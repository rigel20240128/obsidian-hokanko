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/>
  <mc:AlternateContent xmlns:mc="http://schemas.openxmlformats.org/markup-compatibility/2006">
    <mc:Choice Requires="x15">
      <x15ac:absPath xmlns:x15ac="http://schemas.microsoft.com/office/spreadsheetml/2010/11/ac" url="\\Sv-ap\data\製品管理部(機材)出荷管理課・資材調達課\機材・資材調達課(ﾛﾎﾞｯﾄ部品手配)\"/>
    </mc:Choice>
  </mc:AlternateContent>
  <xr:revisionPtr revIDLastSave="0" documentId="13_ncr:1_{5D8475CF-38D5-44E7-941A-9FC0404D72C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20230428" sheetId="12" r:id="rId1"/>
    <sheet name="Sheet1" sheetId="13" r:id="rId2"/>
    <sheet name="Sheet2" sheetId="2" r:id="rId3"/>
    <sheet name="Sheet3" sheetId="3" r:id="rId4"/>
  </sheets>
  <definedNames>
    <definedName name="_xlnm._FilterDatabase" localSheetId="0">'20230428'!$C$8:$P$8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1" i="12" l="1"/>
  <c r="I12" i="12"/>
  <c r="I10" i="12"/>
  <c r="I20" i="12"/>
  <c r="I19" i="12"/>
  <c r="I18" i="12"/>
  <c r="K2" i="12" l="1"/>
</calcChain>
</file>

<file path=xl/sharedStrings.xml><?xml version="1.0" encoding="utf-8"?>
<sst xmlns="http://schemas.openxmlformats.org/spreadsheetml/2006/main" count="44" uniqueCount="37">
  <si>
    <t>お客先名</t>
  </si>
  <si>
    <t>合計金額</t>
  </si>
  <si>
    <t>担当営業</t>
  </si>
  <si>
    <t>受注番号</t>
  </si>
  <si>
    <t>希望納期</t>
  </si>
  <si>
    <t>最終納品</t>
  </si>
  <si>
    <t>見積り分類</t>
  </si>
  <si>
    <t>メーカー</t>
  </si>
  <si>
    <t>仕入先</t>
  </si>
  <si>
    <t>品名 / 型式</t>
  </si>
  <si>
    <t>数量</t>
  </si>
  <si>
    <t>単価</t>
  </si>
  <si>
    <t>金額</t>
  </si>
  <si>
    <t>分類合計</t>
  </si>
  <si>
    <t>詳細</t>
  </si>
  <si>
    <t>備考</t>
  </si>
  <si>
    <t>技術分類</t>
  </si>
  <si>
    <t>発注日</t>
  </si>
  <si>
    <t>発注</t>
  </si>
  <si>
    <t>納期</t>
  </si>
  <si>
    <t>入荷予定日</t>
  </si>
  <si>
    <t>入荷日</t>
  </si>
  <si>
    <t>運送費</t>
  </si>
  <si>
    <t>設計費</t>
  </si>
  <si>
    <t>組立調整費</t>
  </si>
  <si>
    <t>出荷依頼項目NO.</t>
    <rPh sb="0" eb="4">
      <t>シュッカイライ</t>
    </rPh>
    <rPh sb="4" eb="6">
      <t>コウモク</t>
    </rPh>
    <phoneticPr fontId="9"/>
  </si>
  <si>
    <t>SET</t>
  </si>
  <si>
    <t>専用PCｺﾝﾄﾛｰﾗ ﾓﾆﾀｰ ｷｰﾎﾞｰﾄﾞ &amp; ﾏｳｽ【ﾛﾎﾞｯﾄ付属品】</t>
    <rPh sb="35" eb="38">
      <t>フゾクヒン</t>
    </rPh>
    <phoneticPr fontId="10"/>
  </si>
  <si>
    <t>PCｿﾌﾄ 外部ｽｲｯﾁ 含む【ﾛﾎﾞｯﾄ付属品】</t>
  </si>
  <si>
    <t>AXA卓上ﾛﾎﾞｯﾄ</t>
    <rPh sb="0" eb="5">
      <t>チサチタクジョウ</t>
    </rPh>
    <phoneticPr fontId="9"/>
  </si>
  <si>
    <t>AXELIAｼﾘｰｽﾞAXA-HV（300角）　(PNP仕様）</t>
    <rPh sb="25" eb="30">
      <t>セミセシヨウ</t>
    </rPh>
    <phoneticPr fontId="9"/>
  </si>
  <si>
    <t xml:space="preserve">AXA300-HV-P </t>
    <phoneticPr fontId="9"/>
  </si>
  <si>
    <t>Ｎo.205580</t>
    <phoneticPr fontId="9"/>
  </si>
  <si>
    <t>AXA300-HV+BEATRUM+ﾜｰｸ治具+ﾏｰｷﾝｸﾞﾌﾟﾚｰﾄ</t>
    <phoneticPr fontId="9"/>
  </si>
  <si>
    <t>図面NO.　SETB-0150-A01</t>
    <rPh sb="0" eb="2">
      <t>ズメン</t>
    </rPh>
    <phoneticPr fontId="9"/>
  </si>
  <si>
    <t>ｹｼｰﾙ</t>
    <phoneticPr fontId="9"/>
  </si>
  <si>
    <t>Axend (ﾕｰｻﾞｰ：Cirtekﾌｨﾘﾋﾟﾝ)様　</t>
    <phoneticPr fontId="9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</si>
</sst>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_);[Red]\(#,##0\)"/>
    <numFmt numFmtId="177" formatCode="yyyy&quot;年&quot;m&quot;月&quot;d&quot;日&quot;;@"/>
    <numFmt numFmtId="178" formatCode="m/d;@"/>
    <numFmt numFmtId="179" formatCode="m&quot;月&quot;d&quot;日&quot;;@"/>
  </numFmts>
  <fonts count="15" x14ac:knownFonts="1">
    <font>
      <sz val="11"/>
      <color theme="1"/>
      <name val="ＭＳ Ｐゴシック"/>
      <scheme val="minor"/>
    </font>
    <font>
      <u/>
      <sz val="11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b/>
      <sz val="13.95"/>
      <color rgb="FF000000"/>
      <name val="ＭＳ Ｐゴシック"/>
      <family val="3"/>
      <charset val="128"/>
    </font>
    <font>
      <b/>
      <sz val="11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b/>
      <sz val="13.95"/>
      <color theme="1"/>
      <name val="ＭＳ Ｐゴシック"/>
      <family val="3"/>
      <charset val="128"/>
      <scheme val="minor"/>
    </font>
    <font>
      <b/>
      <sz val="12"/>
      <color rgb="FF000000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  <scheme val="minor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sz val="16"/>
      <color theme="1"/>
      <name val="ＭＳ Ｐゴシック"/>
      <family val="3"/>
      <charset val="128"/>
      <scheme val="minor"/>
    </font>
    <font>
      <b/>
      <sz val="14"/>
      <color theme="1"/>
      <name val="ＭＳ Ｐゴシック"/>
      <family val="3"/>
      <charset val="128"/>
      <scheme val="minor"/>
    </font>
    <font>
      <b/>
      <sz val="18"/>
      <color theme="1"/>
      <name val="ＭＳ Ｐゴシック"/>
      <family val="3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58998382518997772"/>
        <bgColor indexed="64"/>
      </patternFill>
    </fill>
    <fill>
      <patternFill patternType="solid">
        <fgColor rgb="FF92D050"/>
      </patternFill>
    </fill>
    <fill>
      <patternFill patternType="solid">
        <fgColor rgb="FFFFFF99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5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1" fillId="0" borderId="0">
      <alignment vertical="center"/>
    </xf>
  </cellStyleXfs>
  <cellXfs count="66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shrinkToFit="1"/>
    </xf>
    <xf numFmtId="0" fontId="0" fillId="0" borderId="1" xfId="0" applyBorder="1" applyAlignment="1">
      <alignment vertical="center" shrinkToFit="1"/>
    </xf>
    <xf numFmtId="176" fontId="0" fillId="0" borderId="1" xfId="0" applyNumberFormat="1" applyBorder="1">
      <alignment vertical="center"/>
    </xf>
    <xf numFmtId="177" fontId="0" fillId="0" borderId="1" xfId="0" applyNumberForma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7" fontId="3" fillId="0" borderId="1" xfId="0" applyNumberFormat="1" applyFont="1" applyBorder="1" applyAlignment="1">
      <alignment horizontal="center" vertical="center"/>
    </xf>
    <xf numFmtId="176" fontId="4" fillId="0" borderId="1" xfId="0" applyNumberFormat="1" applyFont="1" applyBorder="1">
      <alignment vertical="center"/>
    </xf>
    <xf numFmtId="0" fontId="0" fillId="0" borderId="0" xfId="0" applyAlignment="1">
      <alignment horizontal="right" vertical="center"/>
    </xf>
    <xf numFmtId="176" fontId="0" fillId="0" borderId="1" xfId="0" applyNumberFormat="1" applyBorder="1" applyAlignment="1"/>
    <xf numFmtId="178" fontId="0" fillId="0" borderId="1" xfId="0" applyNumberFormat="1" applyBorder="1" applyAlignment="1">
      <alignment horizontal="center" vertical="center"/>
    </xf>
    <xf numFmtId="179" fontId="0" fillId="0" borderId="1" xfId="0" applyNumberForma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76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 shrinkToFit="1"/>
    </xf>
    <xf numFmtId="0" fontId="0" fillId="0" borderId="1" xfId="0" applyBorder="1">
      <alignment vertical="center"/>
    </xf>
    <xf numFmtId="0" fontId="7" fillId="0" borderId="1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3" fontId="0" fillId="0" borderId="8" xfId="0" applyNumberFormat="1" applyBorder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6" fontId="0" fillId="0" borderId="8" xfId="0" applyNumberFormat="1" applyBorder="1" applyAlignment="1">
      <alignment horizontal="center" vertical="center"/>
    </xf>
    <xf numFmtId="176" fontId="0" fillId="0" borderId="8" xfId="0" applyNumberFormat="1" applyBorder="1" applyAlignment="1"/>
    <xf numFmtId="0" fontId="8" fillId="0" borderId="0" xfId="0" applyFont="1">
      <alignment vertical="center"/>
    </xf>
    <xf numFmtId="0" fontId="0" fillId="0" borderId="8" xfId="0" applyBorder="1" applyAlignment="1">
      <alignment vertical="center" shrinkToFit="1"/>
    </xf>
    <xf numFmtId="3" fontId="0" fillId="0" borderId="7" xfId="0" applyNumberForma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8" fillId="0" borderId="8" xfId="3" applyBorder="1" applyAlignment="1">
      <alignment horizontal="center" vertical="center"/>
    </xf>
    <xf numFmtId="3" fontId="8" fillId="0" borderId="8" xfId="3" applyNumberFormat="1" applyBorder="1" applyAlignment="1">
      <alignment horizontal="center" vertical="center"/>
    </xf>
    <xf numFmtId="0" fontId="8" fillId="0" borderId="9" xfId="3" applyBorder="1" applyAlignment="1">
      <alignment horizontal="center" vertical="center"/>
    </xf>
    <xf numFmtId="0" fontId="8" fillId="0" borderId="8" xfId="3" applyBorder="1">
      <alignment vertical="center"/>
    </xf>
    <xf numFmtId="0" fontId="8" fillId="0" borderId="8" xfId="3" applyBorder="1" applyAlignment="1">
      <alignment horizontal="left" vertical="center"/>
    </xf>
    <xf numFmtId="49" fontId="8" fillId="0" borderId="8" xfId="3" applyNumberFormat="1" applyBorder="1" applyAlignment="1">
      <alignment horizontal="left" vertical="center"/>
    </xf>
    <xf numFmtId="0" fontId="0" fillId="0" borderId="7" xfId="0" applyBorder="1" applyAlignment="1">
      <alignment horizontal="left" vertical="center" shrinkToFit="1"/>
    </xf>
    <xf numFmtId="3" fontId="8" fillId="0" borderId="10" xfId="3" applyNumberFormat="1" applyBorder="1" applyAlignment="1">
      <alignment horizontal="center" vertical="center"/>
    </xf>
    <xf numFmtId="49" fontId="8" fillId="0" borderId="10" xfId="3" applyNumberFormat="1" applyBorder="1" applyAlignment="1">
      <alignment horizontal="left" vertical="center"/>
    </xf>
    <xf numFmtId="0" fontId="8" fillId="0" borderId="13" xfId="3" applyBorder="1" applyAlignment="1">
      <alignment horizontal="center" vertical="center"/>
    </xf>
    <xf numFmtId="0" fontId="8" fillId="5" borderId="8" xfId="3" applyFill="1" applyBorder="1" applyAlignment="1">
      <alignment horizontal="center" vertical="center"/>
    </xf>
    <xf numFmtId="0" fontId="8" fillId="5" borderId="10" xfId="3" applyFill="1" applyBorder="1" applyAlignment="1">
      <alignment horizontal="center" vertical="center"/>
    </xf>
    <xf numFmtId="3" fontId="8" fillId="0" borderId="9" xfId="3" applyNumberFormat="1" applyBorder="1" applyAlignment="1">
      <alignment horizontal="center" vertical="center"/>
    </xf>
    <xf numFmtId="38" fontId="8" fillId="0" borderId="10" xfId="3" applyNumberFormat="1" applyBorder="1" applyAlignment="1">
      <alignment horizontal="center" vertical="center"/>
    </xf>
    <xf numFmtId="3" fontId="0" fillId="0" borderId="6" xfId="0" applyNumberFormat="1" applyBorder="1" applyAlignment="1">
      <alignment horizontal="center" vertical="center"/>
    </xf>
    <xf numFmtId="3" fontId="0" fillId="0" borderId="11" xfId="0" applyNumberFormat="1" applyBorder="1" applyAlignment="1">
      <alignment horizontal="center" vertical="center"/>
    </xf>
    <xf numFmtId="0" fontId="2" fillId="6" borderId="8" xfId="0" applyFont="1" applyFill="1" applyBorder="1" applyAlignment="1">
      <alignment horizontal="center" vertical="center"/>
    </xf>
    <xf numFmtId="56" fontId="0" fillId="0" borderId="1" xfId="0" applyNumberForma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176" fontId="6" fillId="3" borderId="2" xfId="0" applyNumberFormat="1" applyFont="1" applyFill="1" applyBorder="1" applyAlignment="1">
      <alignment horizontal="center" vertical="center"/>
    </xf>
    <xf numFmtId="176" fontId="6" fillId="3" borderId="6" xfId="0" applyNumberFormat="1" applyFont="1" applyFill="1" applyBorder="1" applyAlignment="1">
      <alignment horizontal="center" vertical="center"/>
    </xf>
    <xf numFmtId="176" fontId="6" fillId="3" borderId="7" xfId="0" applyNumberFormat="1" applyFont="1" applyFill="1" applyBorder="1" applyAlignment="1">
      <alignment horizontal="center" vertical="center"/>
    </xf>
    <xf numFmtId="176" fontId="6" fillId="0" borderId="2" xfId="0" applyNumberFormat="1" applyFont="1" applyBorder="1" applyAlignment="1">
      <alignment horizontal="center" vertical="center"/>
    </xf>
    <xf numFmtId="176" fontId="6" fillId="0" borderId="6" xfId="0" applyNumberFormat="1" applyFont="1" applyBorder="1" applyAlignment="1">
      <alignment horizontal="center" vertical="center"/>
    </xf>
    <xf numFmtId="176" fontId="6" fillId="0" borderId="7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</cellXfs>
  <cellStyles count="5">
    <cellStyle name="ハイパーリンク" xfId="2" xr:uid="{00000000-0005-0000-0000-000000000000}"/>
    <cellStyle name="標準" xfId="0" builtinId="0"/>
    <cellStyle name="標準 2" xfId="4" xr:uid="{C2CBC382-4BC1-4D3B-B64A-4DC2C10C5618}"/>
    <cellStyle name="標準 3" xfId="3" xr:uid="{1B9717F3-D5E1-4047-8E84-2BA2544C8F2B}"/>
    <cellStyle name="表示済みのハイパーリンク" xfId="1" xr:uid="{00000000-0005-0000-0000-000003000000}"/>
  </cellStyles>
  <dxfs count="0"/>
  <tableStyles count="0" defaultTableStyle="TableStyleMedium9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300B5-EE36-4172-912D-1EAD2DE8984B}">
  <sheetPr>
    <tabColor rgb="FFFFC000"/>
  </sheetPr>
  <dimension ref="A2:R24"/>
  <sheetViews>
    <sheetView tabSelected="1" zoomScale="85" zoomScaleNormal="85" workbookViewId="0">
      <pane xSplit="11" ySplit="8" topLeftCell="P9" activePane="bottomRight" state="frozen"/>
      <selection activeCell="D26" sqref="D26"/>
      <selection pane="topRight" activeCell="D26" sqref="D26"/>
      <selection pane="bottomLeft" activeCell="D26" sqref="D26"/>
      <selection pane="bottomRight" activeCell="Q31" sqref="Q31"/>
    </sheetView>
  </sheetViews>
  <sheetFormatPr defaultColWidth="11.875" defaultRowHeight="13.5" customHeight="1" x14ac:dyDescent="0.15"/>
  <cols>
    <col min="1" max="1" width="18.625" customWidth="1"/>
    <col min="2" max="2" width="17" customWidth="1"/>
    <col min="3" max="3" width="6.125" style="3" customWidth="1"/>
    <col min="4" max="4" width="15.125" customWidth="1"/>
    <col min="5" max="5" width="15.5" customWidth="1"/>
    <col min="6" max="6" width="66.5" customWidth="1"/>
    <col min="7" max="7" width="7.875" style="3" customWidth="1"/>
    <col min="8" max="8" width="9.625" style="3" customWidth="1"/>
    <col min="9" max="9" width="9.375" style="3" customWidth="1"/>
    <col min="10" max="10" width="7.125" style="12" customWidth="1"/>
    <col min="11" max="11" width="44.875" customWidth="1"/>
    <col min="12" max="12" width="26.125" customWidth="1"/>
    <col min="13" max="13" width="8.125" style="3" customWidth="1"/>
    <col min="14" max="14" width="17" style="3" customWidth="1"/>
    <col min="15" max="15" width="7.875" customWidth="1"/>
    <col min="16" max="16" width="16.375" style="3" customWidth="1"/>
    <col min="17" max="17" width="17.875" style="25" customWidth="1"/>
    <col min="18" max="18" width="19.375" style="25" customWidth="1"/>
  </cols>
  <sheetData>
    <row r="2" spans="1:18" ht="20.100000000000001" customHeight="1" x14ac:dyDescent="0.15">
      <c r="C2" s="50" t="s">
        <v>0</v>
      </c>
      <c r="D2" s="50"/>
      <c r="E2" s="50"/>
      <c r="F2" s="22" t="s">
        <v>36</v>
      </c>
      <c r="H2" s="51" t="s">
        <v>1</v>
      </c>
      <c r="I2" s="52"/>
      <c r="J2" s="53"/>
      <c r="K2" s="11">
        <f>SUM(I:I)</f>
        <v>931000</v>
      </c>
    </row>
    <row r="3" spans="1:18" ht="20.100000000000001" customHeight="1" x14ac:dyDescent="0.15">
      <c r="C3" s="50" t="s">
        <v>2</v>
      </c>
      <c r="D3" s="50"/>
      <c r="E3" s="50"/>
      <c r="F3" s="9" t="s">
        <v>35</v>
      </c>
    </row>
    <row r="4" spans="1:18" ht="20.100000000000001" customHeight="1" x14ac:dyDescent="0.15">
      <c r="C4" s="50" t="s">
        <v>3</v>
      </c>
      <c r="D4" s="50"/>
      <c r="E4" s="50"/>
      <c r="F4" s="9" t="s">
        <v>32</v>
      </c>
      <c r="G4" s="55"/>
      <c r="H4" s="54" t="s">
        <v>33</v>
      </c>
      <c r="I4" s="54"/>
      <c r="J4" s="54"/>
      <c r="K4" s="54"/>
      <c r="L4" s="28"/>
    </row>
    <row r="5" spans="1:18" ht="20.100000000000001" customHeight="1" x14ac:dyDescent="0.15">
      <c r="C5" s="50" t="s">
        <v>4</v>
      </c>
      <c r="D5" s="50"/>
      <c r="E5" s="50"/>
      <c r="F5" s="10">
        <v>45083</v>
      </c>
      <c r="G5" s="55"/>
      <c r="H5" s="54"/>
      <c r="I5" s="54"/>
      <c r="J5" s="54"/>
      <c r="K5" s="54"/>
    </row>
    <row r="6" spans="1:18" ht="20.100000000000001" customHeight="1" x14ac:dyDescent="0.15">
      <c r="C6" s="50" t="s">
        <v>5</v>
      </c>
      <c r="D6" s="50"/>
      <c r="E6" s="50"/>
      <c r="F6" s="10">
        <v>45084</v>
      </c>
      <c r="H6" s="62" t="s">
        <v>34</v>
      </c>
      <c r="I6" s="62"/>
      <c r="J6" s="62"/>
      <c r="K6" s="62"/>
    </row>
    <row r="8" spans="1:18" s="3" customFormat="1" ht="19.5" customHeight="1" x14ac:dyDescent="0.15">
      <c r="B8" s="31" t="s">
        <v>25</v>
      </c>
      <c r="C8" s="30" t="s">
        <v>6</v>
      </c>
      <c r="D8" s="4" t="s">
        <v>7</v>
      </c>
      <c r="E8" s="4" t="s">
        <v>8</v>
      </c>
      <c r="F8" s="1" t="s">
        <v>9</v>
      </c>
      <c r="G8" s="1" t="s">
        <v>10</v>
      </c>
      <c r="H8" s="1" t="s">
        <v>11</v>
      </c>
      <c r="I8" s="2" t="s">
        <v>12</v>
      </c>
      <c r="J8" s="2" t="s">
        <v>13</v>
      </c>
      <c r="K8" s="1" t="s">
        <v>14</v>
      </c>
      <c r="L8" s="1" t="s">
        <v>15</v>
      </c>
      <c r="M8" s="1" t="s">
        <v>16</v>
      </c>
      <c r="N8" s="15" t="s">
        <v>17</v>
      </c>
      <c r="O8" s="4" t="s">
        <v>18</v>
      </c>
      <c r="P8" s="1" t="s">
        <v>19</v>
      </c>
      <c r="Q8" s="15" t="s">
        <v>20</v>
      </c>
      <c r="R8" s="8" t="s">
        <v>21</v>
      </c>
    </row>
    <row r="9" spans="1:18" s="3" customFormat="1" ht="19.5" customHeight="1" x14ac:dyDescent="0.15">
      <c r="C9" s="63" t="s">
        <v>29</v>
      </c>
      <c r="D9" s="64"/>
      <c r="E9" s="64"/>
      <c r="F9" s="65"/>
      <c r="G9" s="19"/>
      <c r="H9" s="19"/>
      <c r="I9" s="19"/>
      <c r="J9" s="13"/>
      <c r="K9" s="20"/>
      <c r="L9" s="1"/>
      <c r="M9" s="1"/>
      <c r="N9" s="15"/>
      <c r="O9" s="4"/>
      <c r="P9" s="1"/>
      <c r="Q9" s="15"/>
      <c r="R9" s="8"/>
    </row>
    <row r="10" spans="1:18" s="3" customFormat="1" ht="19.5" customHeight="1" x14ac:dyDescent="0.15">
      <c r="A10" s="23"/>
      <c r="B10" s="48">
        <v>1</v>
      </c>
      <c r="C10" s="46"/>
      <c r="D10" s="33" t="s">
        <v>26</v>
      </c>
      <c r="E10" s="33" t="s">
        <v>26</v>
      </c>
      <c r="F10" s="36" t="s">
        <v>31</v>
      </c>
      <c r="G10" s="42">
        <v>1</v>
      </c>
      <c r="H10" s="33">
        <v>931000</v>
      </c>
      <c r="I10" s="44">
        <f>G10*H10</f>
        <v>931000</v>
      </c>
      <c r="J10" s="34"/>
      <c r="K10" s="36" t="s">
        <v>30</v>
      </c>
      <c r="L10" s="32"/>
      <c r="M10" s="32"/>
      <c r="N10" s="15">
        <v>45044</v>
      </c>
      <c r="O10" s="4"/>
      <c r="P10" s="49">
        <v>45083</v>
      </c>
      <c r="Q10" s="15"/>
      <c r="R10" s="14">
        <v>45072</v>
      </c>
    </row>
    <row r="11" spans="1:18" s="3" customFormat="1" ht="19.5" customHeight="1" x14ac:dyDescent="0.15">
      <c r="A11" s="23"/>
      <c r="B11" s="48">
        <v>1</v>
      </c>
      <c r="C11" s="46"/>
      <c r="D11" s="33" t="s">
        <v>26</v>
      </c>
      <c r="E11" s="33" t="s">
        <v>26</v>
      </c>
      <c r="F11" s="37" t="s">
        <v>27</v>
      </c>
      <c r="G11" s="42">
        <v>1</v>
      </c>
      <c r="H11" s="33">
        <v>0</v>
      </c>
      <c r="I11" s="44">
        <f t="shared" ref="I11:I12" si="0">G11*H11</f>
        <v>0</v>
      </c>
      <c r="J11" s="34"/>
      <c r="K11" s="36"/>
      <c r="L11" s="32"/>
      <c r="M11" s="32"/>
      <c r="N11" s="15"/>
      <c r="O11" s="4"/>
      <c r="P11" s="1"/>
      <c r="Q11" s="15"/>
      <c r="R11" s="8"/>
    </row>
    <row r="12" spans="1:18" s="3" customFormat="1" ht="19.5" customHeight="1" x14ac:dyDescent="0.15">
      <c r="A12" s="23"/>
      <c r="B12" s="48">
        <v>1</v>
      </c>
      <c r="C12" s="47"/>
      <c r="D12" s="39" t="s">
        <v>26</v>
      </c>
      <c r="E12" s="39" t="s">
        <v>26</v>
      </c>
      <c r="F12" s="40" t="s">
        <v>28</v>
      </c>
      <c r="G12" s="43">
        <v>1</v>
      </c>
      <c r="H12" s="45">
        <v>0</v>
      </c>
      <c r="I12" s="44">
        <f t="shared" si="0"/>
        <v>0</v>
      </c>
      <c r="J12" s="41"/>
      <c r="K12" s="35"/>
      <c r="L12" s="32"/>
      <c r="M12" s="32"/>
      <c r="N12" s="15"/>
      <c r="O12" s="4"/>
      <c r="P12" s="1"/>
      <c r="Q12" s="15"/>
      <c r="R12" s="8"/>
    </row>
    <row r="13" spans="1:18" s="3" customFormat="1" ht="19.5" customHeight="1" x14ac:dyDescent="0.15">
      <c r="C13" s="24"/>
      <c r="D13" s="24"/>
      <c r="E13" s="24"/>
      <c r="F13" s="29"/>
      <c r="G13" s="26"/>
      <c r="H13" s="26"/>
      <c r="I13" s="26"/>
      <c r="J13" s="27"/>
      <c r="K13" s="38"/>
      <c r="L13" s="1"/>
      <c r="M13" s="1"/>
      <c r="N13" s="15"/>
      <c r="O13" s="4"/>
      <c r="P13" s="1"/>
      <c r="Q13" s="15"/>
      <c r="R13" s="8"/>
    </row>
    <row r="14" spans="1:18" s="3" customFormat="1" ht="19.5" customHeight="1" x14ac:dyDescent="0.15">
      <c r="C14" s="24"/>
      <c r="D14" s="24"/>
      <c r="E14" s="24"/>
      <c r="F14" s="29"/>
      <c r="G14" s="26"/>
      <c r="H14" s="26"/>
      <c r="I14" s="26"/>
      <c r="J14" s="27"/>
      <c r="K14" s="38"/>
      <c r="L14" s="1"/>
      <c r="M14" s="1"/>
      <c r="N14" s="15"/>
      <c r="O14" s="4"/>
      <c r="P14" s="1"/>
      <c r="Q14" s="15"/>
      <c r="R14" s="8"/>
    </row>
    <row r="15" spans="1:18" s="3" customFormat="1" ht="19.5" customHeight="1" x14ac:dyDescent="0.15">
      <c r="C15" s="24"/>
      <c r="D15" s="24"/>
      <c r="E15" s="24"/>
      <c r="F15" s="29"/>
      <c r="G15" s="26"/>
      <c r="H15" s="26"/>
      <c r="I15" s="26"/>
      <c r="J15" s="27"/>
      <c r="K15" s="38"/>
      <c r="L15" s="1"/>
      <c r="M15" s="1"/>
      <c r="N15" s="15"/>
      <c r="O15" s="4"/>
      <c r="P15" s="1"/>
      <c r="Q15" s="15"/>
      <c r="R15" s="8"/>
    </row>
    <row r="16" spans="1:18" ht="18" customHeight="1" x14ac:dyDescent="0.15">
      <c r="C16" s="1"/>
      <c r="D16" s="4"/>
      <c r="E16" s="4"/>
      <c r="F16" s="56"/>
      <c r="G16" s="57"/>
      <c r="H16" s="57"/>
      <c r="I16" s="58"/>
      <c r="J16" s="7"/>
      <c r="K16" s="18"/>
      <c r="L16" s="6"/>
      <c r="M16" s="5"/>
      <c r="N16" s="15"/>
      <c r="O16" s="8"/>
      <c r="P16" s="8"/>
      <c r="Q16" s="15"/>
      <c r="R16" s="14"/>
    </row>
    <row r="17" spans="3:18" ht="18" customHeight="1" x14ac:dyDescent="0.15">
      <c r="C17" s="1"/>
      <c r="D17" s="4"/>
      <c r="E17" s="4"/>
      <c r="F17" s="16"/>
      <c r="G17" s="17"/>
      <c r="H17" s="17"/>
      <c r="I17" s="19"/>
      <c r="J17" s="2"/>
      <c r="K17" s="16"/>
      <c r="L17" s="6"/>
      <c r="M17" s="5"/>
      <c r="N17" s="15"/>
      <c r="O17" s="8"/>
      <c r="P17" s="8"/>
      <c r="Q17" s="15"/>
      <c r="R17" s="14"/>
    </row>
    <row r="18" spans="3:18" ht="18" customHeight="1" x14ac:dyDescent="0.15">
      <c r="C18" s="1"/>
      <c r="D18" s="1"/>
      <c r="E18" s="1"/>
      <c r="F18" s="6" t="s">
        <v>22</v>
      </c>
      <c r="G18" s="19"/>
      <c r="H18" s="19"/>
      <c r="I18" s="19">
        <f>G18*H18</f>
        <v>0</v>
      </c>
      <c r="J18" s="13"/>
      <c r="K18" s="16" t="s">
        <v>23</v>
      </c>
      <c r="L18" s="21"/>
      <c r="M18" s="1"/>
      <c r="N18" s="15"/>
      <c r="O18" s="21"/>
      <c r="P18" s="1"/>
      <c r="Q18" s="15"/>
      <c r="R18" s="14"/>
    </row>
    <row r="19" spans="3:18" ht="18" customHeight="1" x14ac:dyDescent="0.15">
      <c r="C19" s="1"/>
      <c r="D19" s="4"/>
      <c r="E19" s="4"/>
      <c r="F19" s="6" t="s">
        <v>23</v>
      </c>
      <c r="G19" s="19"/>
      <c r="H19" s="19">
        <v>5000</v>
      </c>
      <c r="I19" s="19">
        <f>G19*H19</f>
        <v>0</v>
      </c>
      <c r="J19" s="13"/>
      <c r="K19" s="16" t="s">
        <v>24</v>
      </c>
      <c r="L19" s="21"/>
      <c r="M19" s="1"/>
      <c r="N19" s="15"/>
      <c r="O19" s="21"/>
      <c r="P19" s="1"/>
      <c r="Q19" s="15"/>
      <c r="R19" s="8"/>
    </row>
    <row r="20" spans="3:18" ht="18" customHeight="1" x14ac:dyDescent="0.15">
      <c r="C20" s="1"/>
      <c r="D20" s="4"/>
      <c r="E20" s="4"/>
      <c r="F20" s="6" t="s">
        <v>24</v>
      </c>
      <c r="G20" s="19"/>
      <c r="H20" s="19"/>
      <c r="I20" s="19">
        <f>G20*H20</f>
        <v>0</v>
      </c>
      <c r="J20" s="13"/>
      <c r="K20" s="5"/>
      <c r="L20" s="21"/>
      <c r="M20" s="1"/>
      <c r="N20" s="1"/>
      <c r="O20" s="21"/>
      <c r="P20" s="1"/>
      <c r="Q20" s="8"/>
      <c r="R20" s="8"/>
    </row>
    <row r="21" spans="3:18" ht="18" customHeight="1" x14ac:dyDescent="0.15">
      <c r="C21" s="1"/>
      <c r="D21" s="4"/>
      <c r="E21" s="4"/>
      <c r="F21" s="59"/>
      <c r="G21" s="60"/>
      <c r="H21" s="60"/>
      <c r="I21" s="61"/>
      <c r="J21" s="7"/>
      <c r="K21" s="18"/>
    </row>
    <row r="22" spans="3:18" ht="18" customHeight="1" x14ac:dyDescent="0.15"/>
    <row r="23" spans="3:18" ht="18" customHeight="1" x14ac:dyDescent="0.15"/>
    <row r="24" spans="3:18" ht="18" customHeight="1" x14ac:dyDescent="0.15"/>
  </sheetData>
  <autoFilter ref="C8:P24" xr:uid="{00000000-0009-0000-0000-000003000000}"/>
  <mergeCells count="12">
    <mergeCell ref="F16:I16"/>
    <mergeCell ref="F21:I21"/>
    <mergeCell ref="C6:E6"/>
    <mergeCell ref="H6:K6"/>
    <mergeCell ref="C9:F9"/>
    <mergeCell ref="C2:E2"/>
    <mergeCell ref="H2:J2"/>
    <mergeCell ref="C3:E3"/>
    <mergeCell ref="C4:E4"/>
    <mergeCell ref="H4:K5"/>
    <mergeCell ref="C5:E5"/>
    <mergeCell ref="G4:G5"/>
  </mergeCells>
  <phoneticPr fontId="9"/>
  <printOptions gridLines="1"/>
  <pageMargins left="0.2" right="0.2" top="0.75" bottom="0.75" header="0.3" footer="0.3"/>
  <pageSetup orientation="landscape" r:id="rId1"/>
  <headerFooter>
    <oddHeader>&amp;L&amp;C&amp;R</oddHeader>
    <oddFooter>&amp;L&amp;C&amp;R</oddFooter>
    <evenHeader>&amp;L&amp;C&amp;R</evenHeader>
    <evenFooter>&amp;L&amp;C&amp;R</even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BC676-B54A-494E-955F-116A03425A63}">
  <dimension ref="A1"/>
  <sheetViews>
    <sheetView workbookViewId="0"/>
  </sheetViews>
  <sheetFormatPr defaultRowHeight="13.5" x14ac:dyDescent="0.15"/>
  <sheetData/>
  <phoneticPr fontId="9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D7" sqref="D7"/>
    </sheetView>
  </sheetViews>
  <sheetFormatPr defaultColWidth="11.875" defaultRowHeight="13.5" customHeight="1" x14ac:dyDescent="0.15"/>
  <sheetData/>
  <phoneticPr fontId="9"/>
  <printOptions gridLines="1"/>
  <pageMargins left="0.7" right="0.7" top="0.75" bottom="0.75" header="0.3" footer="0.3"/>
  <pageSetup orientation="landscape"/>
  <headerFooter>
    <oddHeader>&amp;L&amp;C&amp;R</oddHeader>
    <oddFooter>&amp;L&amp;C&amp;R</oddFooter>
    <evenHeader>&amp;L&amp;C&amp;R</evenHeader>
    <evenFooter>&amp;L&amp;C&amp;R</even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C33" sqref="C33"/>
    </sheetView>
  </sheetViews>
  <sheetFormatPr defaultColWidth="11.875" defaultRowHeight="13.5" customHeight="1" x14ac:dyDescent="0.15"/>
  <sheetData/>
  <phoneticPr fontId="9"/>
  <printOptions gridLines="1"/>
  <pageMargins left="0.7" right="0.7" top="0.75" bottom="0.75" header="0.3" footer="0.3"/>
  <pageSetup orientation="landscape" r:id="rId1"/>
  <headerFooter>
    <oddHeader>&amp;L&amp;C&amp;R</oddHeader>
    <oddFooter>&amp;L&amp;C&amp;R</oddFooter>
    <evenHeader>&amp;L&amp;C&amp;R</evenHeader>
    <evenFooter>&amp;L&amp;C&amp;R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20230428</vt:lpstr>
      <vt:lpstr>Sheet1</vt:lpstr>
      <vt:lpstr>Sheet2</vt:lpstr>
      <vt:lpstr>Sheet3</vt:lpstr>
      <vt:lpstr>'20230428'!_FilterDatabase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h-saito</dc:creator>
  <cp:lastModifiedBy>shinohara</cp:lastModifiedBy>
  <dcterms:created xsi:type="dcterms:W3CDTF">2016-05-16T08:05:24Z</dcterms:created>
  <dcterms:modified xsi:type="dcterms:W3CDTF">2023-05-26T04:10:22Z</dcterms:modified>
</cp:coreProperties>
</file>