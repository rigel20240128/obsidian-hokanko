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31E6D1D-4738-44FB-88D3-9A797ACDBA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(20230802) " sheetId="12" r:id="rId1"/>
    <sheet name="Sheet2" sheetId="2" r:id="rId2"/>
    <sheet name="Sheet3" sheetId="3" r:id="rId3"/>
  </sheets>
  <definedNames>
    <definedName name="_xlnm._FilterDatabase" localSheetId="0" hidden="1">'原価一覧 (20230802) '!$C$8:$P$217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2" l="1"/>
  <c r="I59" i="12"/>
  <c r="I191" i="12"/>
  <c r="I188" i="12"/>
  <c r="I187" i="12"/>
  <c r="I205" i="12"/>
  <c r="I182" i="12"/>
  <c r="I197" i="12"/>
  <c r="I79" i="12"/>
  <c r="C11" i="12"/>
  <c r="C12" i="12" s="1"/>
  <c r="C13" i="12" s="1"/>
  <c r="C18" i="12" s="1"/>
  <c r="I100" i="12"/>
  <c r="I172" i="12"/>
  <c r="I77" i="12"/>
  <c r="I78" i="12"/>
  <c r="I76" i="12"/>
  <c r="I130" i="12"/>
  <c r="I129" i="12"/>
  <c r="I128" i="12"/>
  <c r="I127" i="12"/>
  <c r="I126" i="12"/>
  <c r="I125" i="12"/>
  <c r="I124" i="12"/>
  <c r="I123" i="12"/>
  <c r="I171" i="12"/>
  <c r="I185" i="12"/>
  <c r="I109" i="12"/>
  <c r="F132" i="12" l="1"/>
  <c r="I206" i="12"/>
  <c r="I204" i="12"/>
  <c r="I203" i="12"/>
  <c r="I202" i="12"/>
  <c r="I201" i="12"/>
  <c r="I196" i="12"/>
  <c r="I194" i="12"/>
  <c r="I193" i="12"/>
  <c r="I192" i="12"/>
  <c r="I190" i="12"/>
  <c r="I189" i="12"/>
  <c r="I186" i="12"/>
  <c r="I184" i="12"/>
  <c r="I183" i="12"/>
  <c r="I181" i="12"/>
  <c r="I180" i="12"/>
  <c r="I179" i="12"/>
  <c r="I161" i="12" l="1"/>
  <c r="I113" i="12"/>
  <c r="I159" i="12"/>
  <c r="I157" i="12"/>
  <c r="I170" i="12"/>
  <c r="I169" i="12"/>
  <c r="I168" i="12"/>
  <c r="I167" i="12"/>
  <c r="I166" i="12"/>
  <c r="I165" i="12"/>
  <c r="I164" i="12"/>
  <c r="I163" i="12"/>
  <c r="I162" i="12"/>
  <c r="I160" i="12"/>
  <c r="I158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213" i="12"/>
  <c r="I212" i="12"/>
  <c r="I211" i="12"/>
  <c r="I200" i="12"/>
  <c r="I199" i="12"/>
  <c r="I198" i="12"/>
  <c r="I195" i="12"/>
  <c r="I116" i="12"/>
  <c r="I115" i="12"/>
  <c r="I114" i="12"/>
  <c r="I112" i="12"/>
  <c r="I111" i="12"/>
  <c r="I110" i="12"/>
  <c r="I108" i="12"/>
  <c r="I107" i="12"/>
  <c r="I106" i="12"/>
  <c r="I105" i="12"/>
  <c r="I104" i="12"/>
  <c r="I103" i="12"/>
  <c r="I102" i="12"/>
  <c r="I101" i="12"/>
  <c r="I92" i="12"/>
  <c r="I91" i="12"/>
  <c r="I90" i="12"/>
  <c r="I89" i="12"/>
  <c r="I88" i="12"/>
  <c r="I87" i="12"/>
  <c r="I8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C19" i="12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F174" i="12" l="1"/>
  <c r="F81" i="12"/>
  <c r="F118" i="12"/>
  <c r="F209" i="12"/>
  <c r="F94" i="12"/>
  <c r="K2" i="12"/>
  <c r="C86" i="12" l="1"/>
  <c r="C87" i="12" s="1"/>
  <c r="C88" i="12" s="1"/>
  <c r="C89" i="12" s="1"/>
  <c r="C90" i="12" s="1"/>
  <c r="C91" i="12" s="1"/>
  <c r="C92" i="12" l="1"/>
  <c r="C100" i="12" s="1"/>
  <c r="C101" i="12" s="1"/>
  <c r="C102" i="12" s="1"/>
  <c r="C103" i="12" l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l="1"/>
  <c r="C116" i="12" s="1"/>
  <c r="C123" i="12" s="1"/>
  <c r="C124" i="12" s="1"/>
  <c r="C125" i="12" s="1"/>
  <c r="C126" i="12" s="1"/>
  <c r="C127" i="12" s="1"/>
  <c r="C128" i="12" s="1"/>
  <c r="C129" i="12" s="1"/>
  <c r="C130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l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l="1"/>
  <c r="C179" i="12" s="1"/>
  <c r="C180" i="12" s="1"/>
  <c r="C181" i="12" s="1"/>
  <c r="C182" i="12" s="1"/>
  <c r="C183" i="12" s="1"/>
  <c r="C184" i="12" s="1"/>
  <c r="C185" i="12" s="1"/>
  <c r="C186" i="12" s="1"/>
  <c r="C187" i="12" l="1"/>
  <c r="C188" i="12" s="1"/>
  <c r="C189" i="12" s="1"/>
  <c r="C190" i="12" s="1"/>
  <c r="C192" i="12" s="1"/>
  <c r="C193" i="12" s="1"/>
  <c r="C194" i="12" s="1"/>
  <c r="C195" i="12" s="1"/>
  <c r="C196" i="12" l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G205" authorId="0" shapeId="0" xr:uid="{F3E2B59D-45D7-4B67-BEB3-A05635052096}">
      <text>
        <r>
          <rPr>
            <sz val="9"/>
            <color indexed="81"/>
            <rFont val="MS P ゴシック"/>
            <family val="3"/>
            <charset val="128"/>
          </rPr>
          <t xml:space="preserve">
最小発注数10個</t>
        </r>
      </text>
    </comment>
  </commentList>
</comments>
</file>

<file path=xl/sharedStrings.xml><?xml version="1.0" encoding="utf-8"?>
<sst xmlns="http://schemas.openxmlformats.org/spreadsheetml/2006/main" count="881" uniqueCount="397">
  <si>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</si>
  <si>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</si>
  <si>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</si>
  <si>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</si>
  <si>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</si>
  <si>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</si>
  <si>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</si>
  <si>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</si>
  <si>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</si>
  <si>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</si>
  <si>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</si>
  <si>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</si>
  <si>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</si>
  <si>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</si>
  <si>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</si>
  <si>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</si>
  <si>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</si>
  <si>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</si>
  <si>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</si>
  <si>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</si>
  <si>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</si>
  <si>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</si>
  <si>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</si>
  <si>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</si>
  <si>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ﾏｰｸﾁｭｰﾌﾞ</t>
  </si>
  <si>
    <t>運送費</t>
  </si>
  <si>
    <t>設計費</t>
  </si>
  <si>
    <t>組立調整費</t>
  </si>
  <si>
    <t>ﾉｯｸﾋﾟﾝ　φ3-10mm</t>
  </si>
  <si>
    <t>ミスミ</t>
    <phoneticPr fontId="13"/>
  </si>
  <si>
    <t>F1.25-M3</t>
    <phoneticPr fontId="13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</si>
  <si>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3"/>
  </si>
  <si>
    <t>PUT6-10-B</t>
    <phoneticPr fontId="13"/>
  </si>
  <si>
    <t>配電部分</t>
    <rPh sb="0" eb="2">
      <t>ハイデン</t>
    </rPh>
    <rPh sb="2" eb="4">
      <t>ブブン</t>
    </rPh>
    <phoneticPr fontId="11"/>
  </si>
  <si>
    <t>セットカラー　止めねじ固定</t>
    <phoneticPr fontId="11"/>
  </si>
  <si>
    <t>SCB4-20</t>
    <phoneticPr fontId="11"/>
  </si>
  <si>
    <t>BVHVU6-3</t>
    <phoneticPr fontId="13"/>
  </si>
  <si>
    <t>MNCNL6-M5</t>
    <phoneticPr fontId="13"/>
  </si>
  <si>
    <t>MNCNL4-M5</t>
    <phoneticPr fontId="13"/>
  </si>
  <si>
    <t xml:space="preserve">配電BOX 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</si>
  <si>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</si>
  <si>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</si>
  <si>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>コモン端子台</t>
    <rPh sb="3" eb="5">
      <t>タンシ</t>
    </rPh>
    <rPh sb="5" eb="6">
      <t>ダイ</t>
    </rPh>
    <phoneticPr fontId="13"/>
  </si>
  <si>
    <t>DINレール</t>
    <phoneticPr fontId="13"/>
  </si>
  <si>
    <t>SLBNR4</t>
    <phoneticPr fontId="13"/>
  </si>
  <si>
    <t>M4ﾅｯﾄ</t>
    <phoneticPr fontId="13"/>
  </si>
  <si>
    <t>漏電ブレーカ</t>
    <rPh sb="0" eb="2">
      <t>ロウデン</t>
    </rPh>
    <phoneticPr fontId="13"/>
  </si>
  <si>
    <t>ACコード(プラグ）</t>
    <phoneticPr fontId="13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</si>
  <si>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3"/>
  </si>
  <si>
    <t>NA3GH UL規格 横巻きシールドセンサー用(２芯）</t>
    <rPh sb="25" eb="26">
      <t>シン</t>
    </rPh>
    <phoneticPr fontId="13"/>
  </si>
  <si>
    <t>PC-2005-M</t>
    <phoneticPr fontId="13"/>
  </si>
  <si>
    <t>差込み型ピン端子　オス（１００個入り）</t>
    <rPh sb="15" eb="16">
      <t>コ</t>
    </rPh>
    <rPh sb="16" eb="17">
      <t>イ</t>
    </rPh>
    <phoneticPr fontId="13"/>
  </si>
  <si>
    <t>PC-2005-F</t>
    <phoneticPr fontId="13"/>
  </si>
  <si>
    <t>差込み型ピン端子　メス（１００個入り）</t>
    <phoneticPr fontId="13"/>
  </si>
  <si>
    <t>ハンドバルブ　φ6</t>
    <phoneticPr fontId="13"/>
  </si>
  <si>
    <t>USSTL4</t>
    <phoneticPr fontId="13"/>
  </si>
  <si>
    <t>TBS-22</t>
    <phoneticPr fontId="13"/>
  </si>
  <si>
    <t>浸け置きﾕﾆｯﾄ</t>
    <rPh sb="0" eb="1">
      <t>ツ</t>
    </rPh>
    <rPh sb="2" eb="3">
      <t>オ</t>
    </rPh>
    <phoneticPr fontId="13"/>
  </si>
  <si>
    <t>CRKB4-8</t>
    <phoneticPr fontId="13"/>
  </si>
  <si>
    <t>樹脂付ローレットボルト</t>
    <rPh sb="0" eb="2">
      <t>ジュシ</t>
    </rPh>
    <rPh sb="2" eb="3">
      <t>ツキ</t>
    </rPh>
    <phoneticPr fontId="13"/>
  </si>
  <si>
    <t>CHNS4</t>
    <phoneticPr fontId="13"/>
  </si>
  <si>
    <t>蝶ﾅｯﾄ</t>
    <phoneticPr fontId="13"/>
  </si>
  <si>
    <t>RSCB4-15</t>
    <phoneticPr fontId="13"/>
  </si>
  <si>
    <t>六角ﾎﾞﾙﾄ</t>
    <phoneticPr fontId="13"/>
  </si>
  <si>
    <t>アズワン</t>
    <phoneticPr fontId="13"/>
  </si>
  <si>
    <t>PUT4-10-B</t>
    <phoneticPr fontId="13"/>
  </si>
  <si>
    <t>ﾉｽﾞﾙ位置合わせ冶具　</t>
    <phoneticPr fontId="11"/>
  </si>
  <si>
    <t>ミニチュアワンタッチ継手　エルボ</t>
    <phoneticPr fontId="11"/>
  </si>
  <si>
    <t>押え板</t>
    <phoneticPr fontId="13"/>
  </si>
  <si>
    <t>ASFCS-A27-B14-T0.3-D4.5-E6-C6-P15</t>
    <phoneticPr fontId="13"/>
  </si>
  <si>
    <t>SCB4-5</t>
    <phoneticPr fontId="13"/>
  </si>
  <si>
    <t>SCB4-12</t>
    <phoneticPr fontId="11"/>
  </si>
  <si>
    <t>在庫使用</t>
    <rPh sb="0" eb="2">
      <t>ザイコ</t>
    </rPh>
    <rPh sb="2" eb="4">
      <t>シヨウ</t>
    </rPh>
    <phoneticPr fontId="11"/>
  </si>
  <si>
    <t xml:space="preserve">FSAWM-K-P11-1086-181203-0241 </t>
    <phoneticPr fontId="11"/>
  </si>
  <si>
    <t xml:space="preserve">HDV-2 </t>
    <phoneticPr fontId="13"/>
  </si>
  <si>
    <t>1日間</t>
    <rPh sb="1" eb="2">
      <t>ヒ</t>
    </rPh>
    <rPh sb="2" eb="3">
      <t>カン</t>
    </rPh>
    <phoneticPr fontId="11"/>
  </si>
  <si>
    <t>3日間</t>
    <rPh sb="1" eb="2">
      <t>ヒ</t>
    </rPh>
    <rPh sb="2" eb="3">
      <t>カン</t>
    </rPh>
    <phoneticPr fontId="11"/>
  </si>
  <si>
    <t>8日間</t>
    <rPh sb="1" eb="2">
      <t>ヒ</t>
    </rPh>
    <rPh sb="2" eb="3">
      <t>カン</t>
    </rPh>
    <phoneticPr fontId="11"/>
  </si>
  <si>
    <t>2日間</t>
    <rPh sb="1" eb="2">
      <t>ヒ</t>
    </rPh>
    <rPh sb="2" eb="3">
      <t>カン</t>
    </rPh>
    <phoneticPr fontId="11"/>
  </si>
  <si>
    <t>ﾏｰｶｰﾋﾟﾝ</t>
    <phoneticPr fontId="13"/>
  </si>
  <si>
    <t>リブ</t>
    <phoneticPr fontId="13"/>
  </si>
  <si>
    <t>ＳＭＣ</t>
    <phoneticPr fontId="13"/>
  </si>
  <si>
    <t>制御機材</t>
    <rPh sb="0" eb="2">
      <t>セイギョ</t>
    </rPh>
    <rPh sb="2" eb="4">
      <t>キザイ</t>
    </rPh>
    <phoneticPr fontId="13"/>
  </si>
  <si>
    <t>ロータリシリンダ</t>
    <phoneticPr fontId="13"/>
  </si>
  <si>
    <t>AW10-M5BG-A</t>
    <phoneticPr fontId="13"/>
  </si>
  <si>
    <t>レギュレータ</t>
    <phoneticPr fontId="13"/>
  </si>
  <si>
    <t>電磁弁</t>
    <rPh sb="0" eb="3">
      <t>デンジベン</t>
    </rPh>
    <phoneticPr fontId="13"/>
  </si>
  <si>
    <t>リード線</t>
    <rPh sb="3" eb="4">
      <t>セン</t>
    </rPh>
    <phoneticPr fontId="13"/>
  </si>
  <si>
    <t>AS1201F-M5-04A</t>
    <phoneticPr fontId="13"/>
  </si>
  <si>
    <t>スピコン</t>
    <phoneticPr fontId="13"/>
  </si>
  <si>
    <t>WQBB-JW-A22-B8-T15-H6.5-Q45-X6-F10-S10.5-Z3</t>
    <phoneticPr fontId="13"/>
  </si>
  <si>
    <t>位置決めｶﾞｲﾄﾞ受け　2018-09-13-X028　</t>
    <phoneticPr fontId="13"/>
  </si>
  <si>
    <t>アルミフレーム用フレームキャップ</t>
    <phoneticPr fontId="13"/>
  </si>
  <si>
    <t xml:space="preserve">SHNTP5-5 </t>
    <phoneticPr fontId="13"/>
  </si>
  <si>
    <t xml:space="preserve">SCB4-8  </t>
    <phoneticPr fontId="13"/>
  </si>
  <si>
    <t xml:space="preserve">SHNTP5-4  </t>
    <phoneticPr fontId="13"/>
  </si>
  <si>
    <t xml:space="preserve">SBCB4-6 </t>
    <phoneticPr fontId="13"/>
  </si>
  <si>
    <t>WSSS10-4-1</t>
    <phoneticPr fontId="13"/>
  </si>
  <si>
    <t>金属ﾜｯｼｬｰ　　Ｔ寸選択・指定タイプ　並級</t>
    <rPh sb="0" eb="2">
      <t>キンゾク</t>
    </rPh>
    <phoneticPr fontId="13"/>
  </si>
  <si>
    <t>MS3-10</t>
    <phoneticPr fontId="13"/>
  </si>
  <si>
    <t>meviy</t>
    <phoneticPr fontId="13"/>
  </si>
  <si>
    <t>MVSHM-3N02050005013-JPA25G7CB111AA</t>
    <phoneticPr fontId="13"/>
  </si>
  <si>
    <t>SETA0010-Z04位置決めベース</t>
    <phoneticPr fontId="13"/>
  </si>
  <si>
    <t>MVSHM-3N03002003003-JPA25GYD1111AA</t>
    <phoneticPr fontId="13"/>
  </si>
  <si>
    <t>SETA0010-Z02角度切替ベース</t>
    <phoneticPr fontId="13"/>
  </si>
  <si>
    <t>MVSHM-3N02050002004-JPA25GP0K111AA</t>
    <phoneticPr fontId="13"/>
  </si>
  <si>
    <t>SETA0010-Z03角度切替ブラケット</t>
    <phoneticPr fontId="13"/>
  </si>
  <si>
    <t>JTDA-SUD-A27-B12-T2-X6-Y6-M4-L15-MA4</t>
    <phoneticPr fontId="13"/>
  </si>
  <si>
    <t>シム</t>
    <phoneticPr fontId="13"/>
  </si>
  <si>
    <t>六角穴付きﾎﾞﾙﾄ　M4×5mm　　　　6本</t>
    <rPh sb="21" eb="22">
      <t>ホン</t>
    </rPh>
    <phoneticPr fontId="13"/>
  </si>
  <si>
    <t>在庫使用</t>
    <rPh sb="0" eb="2">
      <t>ザイコ</t>
    </rPh>
    <rPh sb="2" eb="4">
      <t>シヨウ</t>
    </rPh>
    <phoneticPr fontId="13"/>
  </si>
  <si>
    <t xml:space="preserve">SPWF4 </t>
    <phoneticPr fontId="13"/>
  </si>
  <si>
    <t>ワッシャ　　平座金　　M4×8mm　　　4個</t>
    <rPh sb="21" eb="22">
      <t>コ</t>
    </rPh>
    <phoneticPr fontId="13"/>
  </si>
  <si>
    <t>3日目</t>
    <rPh sb="1" eb="2">
      <t>ヒ</t>
    </rPh>
    <rPh sb="2" eb="3">
      <t>メ</t>
    </rPh>
    <phoneticPr fontId="13"/>
  </si>
  <si>
    <t>1日目</t>
    <rPh sb="1" eb="2">
      <t>ヒ</t>
    </rPh>
    <rPh sb="2" eb="3">
      <t>メ</t>
    </rPh>
    <phoneticPr fontId="13"/>
  </si>
  <si>
    <t>2日目</t>
    <rPh sb="1" eb="2">
      <t>ヒ</t>
    </rPh>
    <rPh sb="2" eb="3">
      <t>メ</t>
    </rPh>
    <phoneticPr fontId="13"/>
  </si>
  <si>
    <t>RACW30-40-10</t>
    <phoneticPr fontId="11"/>
  </si>
  <si>
    <t xml:space="preserve"> 六角穴付ボタンボルト　　6本</t>
    <rPh sb="14" eb="15">
      <t>ホン</t>
    </rPh>
    <phoneticPr fontId="13"/>
  </si>
  <si>
    <t>JPLRS4-P5.0-B7.0</t>
    <phoneticPr fontId="11"/>
  </si>
  <si>
    <t>MS3-10</t>
    <phoneticPr fontId="11"/>
  </si>
  <si>
    <t xml:space="preserve">SCB5-8   </t>
    <phoneticPr fontId="11"/>
  </si>
  <si>
    <t>六角穴付ボルト</t>
    <phoneticPr fontId="11"/>
  </si>
  <si>
    <t>SCB5-12</t>
    <phoneticPr fontId="11"/>
  </si>
  <si>
    <t>SETB0075-X02　RA取付板</t>
    <phoneticPr fontId="11"/>
  </si>
  <si>
    <t>CBSST8-16</t>
    <phoneticPr fontId="11"/>
  </si>
  <si>
    <t xml:space="preserve">SCB5-10 </t>
    <phoneticPr fontId="11"/>
  </si>
  <si>
    <t>SETB0075-X03　シャフトホルダ変換板</t>
    <phoneticPr fontId="11"/>
  </si>
  <si>
    <t>MS3-6</t>
    <phoneticPr fontId="11"/>
  </si>
  <si>
    <t>SSTHS10M-MB</t>
    <phoneticPr fontId="11"/>
  </si>
  <si>
    <t>CBSST5-16</t>
    <phoneticPr fontId="11"/>
  </si>
  <si>
    <t>SETB0075-X04 セットカラー固定ﾌﾞﾗｹｯﾄ</t>
    <phoneticPr fontId="11"/>
  </si>
  <si>
    <t>CBSST5-12</t>
    <phoneticPr fontId="11"/>
  </si>
  <si>
    <t>SETB0075-Y05  補強ﾌﾞﾛｯｸ</t>
    <phoneticPr fontId="11"/>
  </si>
  <si>
    <t>SETB0075-Y06　ﾊﾞﾙﾌﾞﾎﾙﾀﾞｰﾌﾞﾗｹｯﾄ</t>
    <phoneticPr fontId="11"/>
  </si>
  <si>
    <t xml:space="preserve">MS3-10 </t>
    <phoneticPr fontId="11"/>
  </si>
  <si>
    <t>ノックピン</t>
    <phoneticPr fontId="11"/>
  </si>
  <si>
    <t xml:space="preserve">SCB4-10 </t>
    <phoneticPr fontId="11"/>
  </si>
  <si>
    <t>SCB4-16</t>
    <phoneticPr fontId="11"/>
  </si>
  <si>
    <t xml:space="preserve">SCB6-10 </t>
    <phoneticPr fontId="11"/>
  </si>
  <si>
    <t>MS3-35</t>
    <phoneticPr fontId="11"/>
  </si>
  <si>
    <t>SETB0075-Y07 ｶﾑﾌｧﾛｱ固定ﾌﾞﾛｯｸ</t>
    <phoneticPr fontId="11"/>
  </si>
  <si>
    <t>C-CFA5-13</t>
    <phoneticPr fontId="11"/>
  </si>
  <si>
    <t>CFBRA5-40</t>
    <phoneticPr fontId="11"/>
  </si>
  <si>
    <t>SBCB5-10</t>
    <phoneticPr fontId="11"/>
  </si>
  <si>
    <t>CSHCS-SUS-M3-4</t>
    <phoneticPr fontId="11"/>
  </si>
  <si>
    <t>SFB3-8</t>
    <phoneticPr fontId="11"/>
  </si>
  <si>
    <t>AETTS10-93-SC46.5-M3-N3</t>
    <phoneticPr fontId="11"/>
  </si>
  <si>
    <t>PSSFGW10-44-M5-N5-WRC11-Y4</t>
    <phoneticPr fontId="11"/>
  </si>
  <si>
    <t xml:space="preserve">MVBLK-AMW-2GL-8WK59    </t>
    <phoneticPr fontId="11"/>
  </si>
  <si>
    <t xml:space="preserve"> SETB0047-Y04　SV51、SV70、SV91、SV97用ホルダ(P=25)</t>
    <rPh sb="33" eb="34">
      <t>ヨウ</t>
    </rPh>
    <phoneticPr fontId="13"/>
  </si>
  <si>
    <t>低頭六角穴付ボルト</t>
    <phoneticPr fontId="11"/>
  </si>
  <si>
    <t>MVBLK-AMW-2UH-4X1XW</t>
    <phoneticPr fontId="11"/>
  </si>
  <si>
    <t>8日目</t>
    <rPh sb="1" eb="2">
      <t>ヒ</t>
    </rPh>
    <rPh sb="2" eb="3">
      <t>メ</t>
    </rPh>
    <phoneticPr fontId="13"/>
  </si>
  <si>
    <t>MVBLK-AMW-2UH-KS44C</t>
    <phoneticPr fontId="11"/>
  </si>
  <si>
    <t>MVBLK-AMW-2UH-LT9DG</t>
    <phoneticPr fontId="11"/>
  </si>
  <si>
    <t>MVBLK-AMW-2UH-AZWZ7</t>
    <phoneticPr fontId="11"/>
  </si>
  <si>
    <t>MVBLK-AMW-2UH-KM5D8</t>
    <phoneticPr fontId="11"/>
  </si>
  <si>
    <t>MVBLK-AMW-2UH-D2WFZ</t>
    <phoneticPr fontId="11"/>
  </si>
  <si>
    <t>SUNCO</t>
    <phoneticPr fontId="11"/>
  </si>
  <si>
    <t>シャフト　両端めねじタイプ</t>
    <phoneticPr fontId="11"/>
  </si>
  <si>
    <t>円形支柱－両端めねじ</t>
    <phoneticPr fontId="11"/>
  </si>
  <si>
    <t>5日目</t>
    <rPh sb="1" eb="2">
      <t>ヒ</t>
    </rPh>
    <rPh sb="2" eb="3">
      <t>メ</t>
    </rPh>
    <phoneticPr fontId="13"/>
  </si>
  <si>
    <t>カムフォロア　頭部六角穴付　フラットタイプ</t>
    <phoneticPr fontId="11"/>
  </si>
  <si>
    <t>カムフォロア用ブラケット</t>
    <phoneticPr fontId="11"/>
  </si>
  <si>
    <t>六角穴付ボタンボルト　－ステンレス</t>
    <phoneticPr fontId="11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</si>
  <si>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1"/>
  </si>
  <si>
    <r>
      <t xml:space="preserve">ノックピン       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1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</si>
  <si>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1"/>
  </si>
  <si>
    <r>
      <t xml:space="preserve"> ノックピン     11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　</t>
    </r>
    <phoneticPr fontId="11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</si>
  <si>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1"/>
  </si>
  <si>
    <r>
      <t xml:space="preserve">低頭六角穴付ボルト  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</si>
  <si>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シャフトホルダ　-ブラケット型スタンダードタイプ</t>
    <phoneticPr fontId="11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</si>
  <si>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1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</si>
  <si>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</si>
  <si>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1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</si>
  <si>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</si>
  <si>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1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</si>
  <si>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</si>
  <si>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</si>
  <si>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t>止め金具　　　　　　2個</t>
    <rPh sb="0" eb="1">
      <t>ト</t>
    </rPh>
    <rPh sb="2" eb="4">
      <t>カナグ</t>
    </rPh>
    <rPh sb="11" eb="12">
      <t>コ</t>
    </rPh>
    <phoneticPr fontId="13"/>
  </si>
  <si>
    <t>A8110</t>
    <phoneticPr fontId="13"/>
  </si>
  <si>
    <t>汎用3芯OAタップ 4ヶ口</t>
    <phoneticPr fontId="13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</si>
  <si>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3"/>
  </si>
  <si>
    <t xml:space="preserve">漏電ブレーカ　ｶﾊﾞｰ  1セット </t>
    <phoneticPr fontId="13"/>
  </si>
  <si>
    <t xml:space="preserve">SYJ3240-5MOZE-M5  </t>
    <phoneticPr fontId="13"/>
  </si>
  <si>
    <t>https://www.monotaro.com/p/5685/0394/</t>
    <phoneticPr fontId="11"/>
  </si>
  <si>
    <t>https://www.monotaro.com/g/00231808/?t.mpn=msqb10r-m9nz</t>
    <phoneticPr fontId="11"/>
  </si>
  <si>
    <t>SY100-30-4A</t>
    <phoneticPr fontId="13"/>
  </si>
  <si>
    <t>MSQB10R-M9N</t>
    <phoneticPr fontId="13"/>
  </si>
  <si>
    <t>SETB0075-Z01 電磁弁+レギュラーﾕﾆｯﾄ取付板金</t>
    <phoneticPr fontId="11"/>
  </si>
  <si>
    <t>MVSHM-3N03002011027-2UK-1UMGD</t>
    <phoneticPr fontId="13"/>
  </si>
  <si>
    <t>SCB4-5</t>
    <phoneticPr fontId="11"/>
  </si>
  <si>
    <t>SBCB5-8</t>
    <phoneticPr fontId="11"/>
  </si>
  <si>
    <t>六角穴付ボタンボルト　</t>
    <phoneticPr fontId="11"/>
  </si>
  <si>
    <t>sunco</t>
    <phoneticPr fontId="13"/>
  </si>
  <si>
    <t>CSH-SUS-M3-12</t>
    <phoneticPr fontId="11"/>
  </si>
  <si>
    <t>CNYW6-6</t>
    <phoneticPr fontId="11"/>
  </si>
  <si>
    <t>チェリック</t>
    <phoneticPr fontId="11"/>
  </si>
  <si>
    <t>BSLG6</t>
    <phoneticPr fontId="11"/>
  </si>
  <si>
    <t>ワンタッチ継手 R（PT）付二重Y型 CNYW</t>
    <phoneticPr fontId="11"/>
  </si>
  <si>
    <t>ねじ変換継手</t>
    <phoneticPr fontId="13"/>
  </si>
  <si>
    <t>平座金－単品販売－　4枚 在庫使用</t>
    <rPh sb="11" eb="12">
      <t>マイ</t>
    </rPh>
    <phoneticPr fontId="13"/>
  </si>
  <si>
    <t>出荷依頼項目NO.</t>
    <rPh sb="0" eb="4">
      <t>シュッカイライ</t>
    </rPh>
    <rPh sb="4" eb="6">
      <t>コウモク</t>
    </rPh>
    <phoneticPr fontId="11"/>
  </si>
  <si>
    <t>福島</t>
    <rPh sb="0" eb="2">
      <t>フクシマ</t>
    </rPh>
    <phoneticPr fontId="11"/>
  </si>
  <si>
    <t>AETTS8-93-SC46.5-M3-N3</t>
    <phoneticPr fontId="11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</si>
  <si>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1"/>
  </si>
  <si>
    <t>六角穴付皿ボルト　  2本　×2SET　</t>
    <phoneticPr fontId="11"/>
  </si>
  <si>
    <t>六角穴付皿ボルト　  9本　×2SET　</t>
    <phoneticPr fontId="11"/>
  </si>
  <si>
    <t>日産ﾈｼﾞ</t>
    <phoneticPr fontId="13"/>
  </si>
  <si>
    <t>ﾐｽﾐ</t>
    <phoneticPr fontId="13"/>
  </si>
  <si>
    <t>浸け置きカップ</t>
    <rPh sb="0" eb="1">
      <t>ツ</t>
    </rPh>
    <rPh sb="2" eb="3">
      <t>オ</t>
    </rPh>
    <phoneticPr fontId="13"/>
  </si>
  <si>
    <t>SUNCO</t>
    <phoneticPr fontId="13"/>
  </si>
  <si>
    <t>捨て打ちBOX</t>
    <rPh sb="0" eb="1">
      <t>ス</t>
    </rPh>
    <rPh sb="2" eb="3">
      <t>ウ</t>
    </rPh>
    <phoneticPr fontId="13"/>
  </si>
  <si>
    <t>KBXS100-100</t>
    <phoneticPr fontId="13"/>
  </si>
  <si>
    <t>金属BOX</t>
    <phoneticPr fontId="13"/>
  </si>
  <si>
    <t>MVSHM-3N03054-33U-TS97K</t>
    <phoneticPr fontId="13"/>
  </si>
  <si>
    <t>SSTT0329金属BOX受皿</t>
    <phoneticPr fontId="13"/>
  </si>
  <si>
    <t>CSHCS-SUS-M4-5</t>
    <phoneticPr fontId="13"/>
  </si>
  <si>
    <t>井桁ﾜｰｸ治具</t>
    <rPh sb="0" eb="2">
      <t>イゲタ</t>
    </rPh>
    <rPh sb="5" eb="7">
      <t>ジグ</t>
    </rPh>
    <phoneticPr fontId="13"/>
  </si>
  <si>
    <t>5日間</t>
    <rPh sb="1" eb="2">
      <t>ヒ</t>
    </rPh>
    <rPh sb="2" eb="3">
      <t>カン</t>
    </rPh>
    <phoneticPr fontId="13"/>
  </si>
  <si>
    <t>ミニチュアクランプレバー</t>
    <phoneticPr fontId="13"/>
  </si>
  <si>
    <t>CLMSC5-12-B</t>
    <phoneticPr fontId="13"/>
  </si>
  <si>
    <t>SUMCO</t>
    <phoneticPr fontId="13"/>
  </si>
  <si>
    <t>CSHZ-SUS-M4-55</t>
    <phoneticPr fontId="13"/>
  </si>
  <si>
    <t>3日間</t>
    <rPh sb="1" eb="2">
      <t>ヒ</t>
    </rPh>
    <rPh sb="2" eb="3">
      <t>カン</t>
    </rPh>
    <phoneticPr fontId="13"/>
  </si>
  <si>
    <t>HBLFSNF5-SEP</t>
    <phoneticPr fontId="13"/>
  </si>
  <si>
    <t>５シリーズ（溝幅６ｍｍ）　－１列溝用－　突起付反転ブラケット</t>
    <phoneticPr fontId="13"/>
  </si>
  <si>
    <t>HFC5-2020-S</t>
    <phoneticPr fontId="13"/>
  </si>
  <si>
    <t>HFC5-2040-S</t>
    <phoneticPr fontId="13"/>
  </si>
  <si>
    <t>アルミフレーム　５シリーズ　正方形　２０×２０ｍｍ　１列溝　４面溝</t>
    <phoneticPr fontId="13"/>
  </si>
  <si>
    <t>HNTP5-4</t>
    <phoneticPr fontId="13"/>
  </si>
  <si>
    <t>後入れバネナット  6個　凸無し</t>
    <rPh sb="11" eb="12">
      <t>コ</t>
    </rPh>
    <rPh sb="13" eb="14">
      <t>トツ</t>
    </rPh>
    <rPh sb="14" eb="15">
      <t>ナ</t>
    </rPh>
    <phoneticPr fontId="13"/>
  </si>
  <si>
    <t xml:space="preserve">HNTP5-5 </t>
    <phoneticPr fontId="13"/>
  </si>
  <si>
    <t>後入れバネナット  4個+4個　凸無し</t>
    <rPh sb="11" eb="12">
      <t>コ</t>
    </rPh>
    <rPh sb="14" eb="15">
      <t>コ</t>
    </rPh>
    <rPh sb="16" eb="17">
      <t>トツ</t>
    </rPh>
    <rPh sb="17" eb="18">
      <t>ナ</t>
    </rPh>
    <phoneticPr fontId="13"/>
  </si>
  <si>
    <t>7日間</t>
    <rPh sb="1" eb="2">
      <t>ヒ</t>
    </rPh>
    <rPh sb="2" eb="3">
      <t>カン</t>
    </rPh>
    <phoneticPr fontId="13"/>
  </si>
  <si>
    <t>NOOSAF4-8-7</t>
    <phoneticPr fontId="13"/>
  </si>
  <si>
    <t>厚型ローレットノブ</t>
    <phoneticPr fontId="13"/>
  </si>
  <si>
    <t>SCB5-20</t>
    <phoneticPr fontId="13"/>
  </si>
  <si>
    <t>六角穴付ボルト　　22本 在庫使用</t>
    <rPh sb="11" eb="12">
      <t>ホン</t>
    </rPh>
    <phoneticPr fontId="13"/>
  </si>
  <si>
    <t>BLFA-SUD-T2-A20-B20-H29-J15-X8-Y10-W0-N4-E10.5-S5-G10-MA3-LCC1</t>
    <phoneticPr fontId="13"/>
  </si>
  <si>
    <t>SETB0082-X02-1 　U字型外形位置決めﾌﾞﾛｯｸ</t>
    <phoneticPr fontId="13"/>
  </si>
  <si>
    <t>JTAB-SUD-A400-B37-T2-X20-Y10-G20-N4-L200-V180-S10-W20-NA4-CC2</t>
    <phoneticPr fontId="13"/>
  </si>
  <si>
    <t>SETB0082-X03　井桁ﾜｰｸ冶具ﾜｰｸ受け　2mm幅　</t>
    <phoneticPr fontId="13"/>
  </si>
  <si>
    <t>6日間</t>
    <rPh sb="1" eb="2">
      <t>ヒ</t>
    </rPh>
    <rPh sb="2" eb="3">
      <t>カン</t>
    </rPh>
    <phoneticPr fontId="13"/>
  </si>
  <si>
    <t>MVBLK-SUB-2XX-P8KB5</t>
    <phoneticPr fontId="13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</si>
  <si>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3"/>
  </si>
  <si>
    <t>8日間</t>
    <rPh sb="1" eb="2">
      <t>ヒ</t>
    </rPh>
    <rPh sb="2" eb="3">
      <t>カン</t>
    </rPh>
    <phoneticPr fontId="13"/>
  </si>
  <si>
    <t>日産ﾈｼﾞ</t>
    <rPh sb="0" eb="2">
      <t>ニッサン</t>
    </rPh>
    <phoneticPr fontId="13"/>
  </si>
  <si>
    <t xml:space="preserve">CRONUR12  </t>
    <phoneticPr fontId="13"/>
  </si>
  <si>
    <t>コロコンローラ　ローラ幅９、１０ｍｍタイプ</t>
    <phoneticPr fontId="13"/>
  </si>
  <si>
    <t>MS4-35</t>
    <phoneticPr fontId="13"/>
  </si>
  <si>
    <t>ﾉｯｸﾋﾟﾝ　φ4-35mm</t>
    <phoneticPr fontId="13"/>
  </si>
  <si>
    <t>六角穴付ボルト　　8本 在庫使用</t>
    <rPh sb="10" eb="11">
      <t>ホン</t>
    </rPh>
    <phoneticPr fontId="13"/>
  </si>
  <si>
    <t>2日間</t>
    <rPh sb="1" eb="2">
      <t>ヒ</t>
    </rPh>
    <rPh sb="2" eb="3">
      <t>カン</t>
    </rPh>
    <phoneticPr fontId="13"/>
  </si>
  <si>
    <t>後入れバネナット  14個</t>
    <rPh sb="12" eb="13">
      <t>コ</t>
    </rPh>
    <phoneticPr fontId="13"/>
  </si>
  <si>
    <t>SNCAA-XN-V6-D12-L11.2</t>
    <phoneticPr fontId="13"/>
  </si>
  <si>
    <t>金属カラー　－並級</t>
    <phoneticPr fontId="13"/>
  </si>
  <si>
    <t>SNCS-XX-V4-D6-L18.5</t>
    <phoneticPr fontId="13"/>
  </si>
  <si>
    <t>金属ワッシャ　Ｔ寸選択・指定タイプ</t>
    <phoneticPr fontId="13"/>
  </si>
  <si>
    <t>後入れバネナット  12個</t>
    <rPh sb="12" eb="13">
      <t>コ</t>
    </rPh>
    <phoneticPr fontId="13"/>
  </si>
  <si>
    <t>ワッシャ　　 12個</t>
    <phoneticPr fontId="13"/>
  </si>
  <si>
    <t>SPWF5</t>
    <phoneticPr fontId="13"/>
  </si>
  <si>
    <t>WSSS10-5-2</t>
    <phoneticPr fontId="13"/>
  </si>
  <si>
    <t>HFS5-2020-570-Z5-XA115.5-XB240.5-XC365.5-XD490.5</t>
    <phoneticPr fontId="13"/>
  </si>
  <si>
    <t>NFS5-2020-492-AV51-BV226-CV401-Z5-XA77-XB352</t>
    <phoneticPr fontId="13"/>
  </si>
  <si>
    <t>NFS5-2040-492-AV77-BV352-Z5-XA51-XB226-XC401</t>
    <phoneticPr fontId="13"/>
  </si>
  <si>
    <t>FWSSA-D16-V5-T8.7</t>
    <phoneticPr fontId="11"/>
  </si>
  <si>
    <t>金属ワッシャ　－焼入品　フリー指定タイプ－</t>
    <phoneticPr fontId="11"/>
  </si>
  <si>
    <t>MS3-20</t>
    <phoneticPr fontId="13"/>
  </si>
  <si>
    <t>ﾉｯｸﾋﾟﾝ　φ3-20mm</t>
    <phoneticPr fontId="11"/>
  </si>
  <si>
    <t>低頭六角穴付ボルト  2本+1本　　    まとめて発注　</t>
    <rPh sb="15" eb="16">
      <t>ホン</t>
    </rPh>
    <phoneticPr fontId="11"/>
  </si>
  <si>
    <t>SETB0133-Y08 ｶﾑﾌｧﾛｱｶﾞｲﾄﾞ</t>
    <phoneticPr fontId="11"/>
  </si>
  <si>
    <t>SETB0133-Y09 右側ｶﾞｲﾄﾞｶﾊﾞｰ</t>
    <phoneticPr fontId="11"/>
  </si>
  <si>
    <t>SETB0133-Y10 左側ｶﾞｲﾄﾞｶﾊﾞｰ</t>
    <phoneticPr fontId="11"/>
  </si>
  <si>
    <t>SETB0133-Y11 上部ｶﾞｲﾄﾞｶﾊﾞｰ</t>
    <rPh sb="13" eb="14">
      <t>ウエ</t>
    </rPh>
    <rPh sb="14" eb="15">
      <t>ブ</t>
    </rPh>
    <phoneticPr fontId="11"/>
  </si>
  <si>
    <r>
      <t>SETB0133-</t>
    </r>
    <r>
      <rPr>
        <b/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01　ﾂｰﾙ取付板</t>
    </r>
    <phoneticPr fontId="11"/>
  </si>
  <si>
    <t>MVBLK-AMN-38U-DN3NT</t>
    <phoneticPr fontId="11"/>
  </si>
  <si>
    <t>6日目</t>
    <rPh sb="1" eb="2">
      <t>ヒ</t>
    </rPh>
    <rPh sb="2" eb="3">
      <t>メ</t>
    </rPh>
    <phoneticPr fontId="13"/>
  </si>
  <si>
    <t>MVSHM-3N02054-38U-WD5SU</t>
    <phoneticPr fontId="11"/>
  </si>
  <si>
    <t>MVSHM-3N02006-38U-D2XMB</t>
    <phoneticPr fontId="11"/>
  </si>
  <si>
    <t>MVSHM-3N02006-38U-E1PYU</t>
    <phoneticPr fontId="11"/>
  </si>
  <si>
    <t>MVBLK-AMW-38U-G1JAA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</si>
  <si>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-Z05　捨て射ちBOX受け</t>
    </r>
    <phoneticPr fontId="11"/>
  </si>
  <si>
    <t>MVSHM-3N03054-38U-7PGND</t>
    <phoneticPr fontId="11"/>
  </si>
  <si>
    <t>Ｎo.【202839】</t>
    <phoneticPr fontId="11"/>
  </si>
  <si>
    <t>PEW池田電機様　(阪本（株））</t>
    <rPh sb="10" eb="12">
      <t>サカモト</t>
    </rPh>
    <rPh sb="12" eb="15">
      <t>カブ</t>
    </rPh>
    <phoneticPr fontId="11"/>
  </si>
  <si>
    <t>PACK10-CIMRS5-16-0.1</t>
    <phoneticPr fontId="11"/>
  </si>
  <si>
    <t>シムリング</t>
    <phoneticPr fontId="11"/>
  </si>
  <si>
    <t>エアチューブ  在庫使用</t>
    <phoneticPr fontId="13"/>
  </si>
  <si>
    <t>低頭六角穴付ボルト　2本</t>
    <rPh sb="11" eb="12">
      <t>ホン</t>
    </rPh>
    <phoneticPr fontId="11"/>
  </si>
  <si>
    <t>SSCMW10</t>
    <phoneticPr fontId="11"/>
  </si>
  <si>
    <t>PDDU-PT-MS-9-2-02S</t>
    <phoneticPr fontId="13"/>
  </si>
  <si>
    <t>Dsub9　オス　コネクタハーネス　#4-40ショートねじ</t>
    <phoneticPr fontId="13"/>
  </si>
  <si>
    <t>PDDJ-PS-JS-37-2</t>
    <phoneticPr fontId="13"/>
  </si>
  <si>
    <t>Dsubコネクタハーネス　M2.6ショートネジ</t>
    <phoneticPr fontId="13"/>
  </si>
  <si>
    <t>MWS-B3102</t>
    <phoneticPr fontId="13"/>
  </si>
  <si>
    <t>アメリカン電機</t>
    <rPh sb="5" eb="7">
      <t>デンキ</t>
    </rPh>
    <phoneticPr fontId="13"/>
  </si>
  <si>
    <t>モノタロウ</t>
    <phoneticPr fontId="13"/>
  </si>
  <si>
    <t>https://www.monotaro.com/p/1026/1684/?t.mpn=a8110</t>
    <phoneticPr fontId="11"/>
  </si>
  <si>
    <t>EBS-32FB-10A</t>
    <phoneticPr fontId="13"/>
  </si>
  <si>
    <t>SS300SB-24-1P-8</t>
    <phoneticPr fontId="13"/>
  </si>
  <si>
    <t>ワンタッチ継手　ブラインドプラグ　3個</t>
    <rPh sb="18" eb="19">
      <t>コ</t>
    </rPh>
    <phoneticPr fontId="11"/>
  </si>
  <si>
    <t>ﾜﾝﾀｯﾁ継手ﾕﾆｵﾝｽﾄﾚｰﾄ　2個</t>
    <rPh sb="5" eb="7">
      <t>ツギテ</t>
    </rPh>
    <rPh sb="18" eb="19">
      <t>コ</t>
    </rPh>
    <phoneticPr fontId="13"/>
  </si>
  <si>
    <t>BCBFS4-6</t>
    <phoneticPr fontId="11"/>
  </si>
  <si>
    <t>六角穴付ボタンボルト　フランジ付タイプ-単品　4個</t>
    <rPh sb="24" eb="25">
      <t>コ</t>
    </rPh>
    <phoneticPr fontId="11"/>
  </si>
  <si>
    <t>ノックピン　－プラス公差－　2本+1本</t>
    <rPh sb="15" eb="16">
      <t>ホン</t>
    </rPh>
    <rPh sb="18" eb="19">
      <t>ホン</t>
    </rPh>
    <phoneticPr fontId="11"/>
  </si>
  <si>
    <t>AXA卓上ﾛﾎﾞｯﾄ</t>
    <rPh sb="0" eb="5">
      <t>チサチタクジョウ</t>
    </rPh>
    <phoneticPr fontId="11"/>
  </si>
  <si>
    <t>SET</t>
  </si>
  <si>
    <t>専用PCｺﾝﾄﾛｰﾗ ﾓﾆﾀｰ ｷｰﾎﾞｰﾄﾞ &amp; ﾏｳｽ【ﾛﾎﾞｯﾄ付属品】</t>
    <rPh sb="35" eb="38">
      <t>フゾクヒン</t>
    </rPh>
    <phoneticPr fontId="13"/>
  </si>
  <si>
    <t>PCｿﾌﾄ 外部ｽｲｯﾁ 含む【ﾛﾎﾞｯﾄ付属品】</t>
  </si>
  <si>
    <t>AXA600-ＨV</t>
    <phoneticPr fontId="11"/>
  </si>
  <si>
    <t>VTUB3.2-W-10⇒TB-3.2W-10</t>
    <phoneticPr fontId="11"/>
  </si>
  <si>
    <t>ﾃﾞﾝｶｴﾚｸﾄﾛﾆｸｽ</t>
    <phoneticPr fontId="11"/>
  </si>
  <si>
    <t>AFPSA4-P3.2-L3-B5</t>
    <phoneticPr fontId="11"/>
  </si>
  <si>
    <t>位置決めピン　高硬度ステンレス　小頭テーパ　－圧入－</t>
    <phoneticPr fontId="11"/>
  </si>
  <si>
    <t>CSHSM-SUS-M3-5　　AXAでは次回から発注しない</t>
    <rPh sb="21" eb="23">
      <t>ジカイ</t>
    </rPh>
    <rPh sb="25" eb="27">
      <t>ハッチュウ</t>
    </rPh>
    <phoneticPr fontId="13"/>
  </si>
  <si>
    <t>FNT3　　AXAでは次回から発注しない</t>
    <phoneticPr fontId="13"/>
  </si>
  <si>
    <t>MRB-170</t>
    <phoneticPr fontId="13"/>
  </si>
  <si>
    <t>WP43AE284400</t>
    <phoneticPr fontId="11"/>
  </si>
  <si>
    <t>WP43AFAAC600</t>
    <phoneticPr fontId="11"/>
  </si>
  <si>
    <t>シリンジ加圧レギュレータユニット</t>
  </si>
  <si>
    <t>MVSHM-3N02052005020-2D1-AN79X</t>
    <phoneticPr fontId="13"/>
  </si>
  <si>
    <t>158930－Z001　レギュレーター取付板金</t>
    <phoneticPr fontId="13"/>
  </si>
  <si>
    <t>SMC</t>
    <phoneticPr fontId="13"/>
  </si>
  <si>
    <t>制御機材</t>
    <rPh sb="0" eb="4">
      <t>セイギョキザイ</t>
    </rPh>
    <phoneticPr fontId="13"/>
  </si>
  <si>
    <t xml:space="preserve">IR1010-01BEA-A </t>
    <phoneticPr fontId="13"/>
  </si>
  <si>
    <r>
      <t>ﾚｷﾞｭﾚｰﾀﾃﾞｼﾞﾀﾙ表示　0～</t>
    </r>
    <r>
      <rPr>
        <b/>
        <sz val="11"/>
        <rFont val="ＭＳ Ｐゴシック"/>
        <family val="3"/>
        <charset val="128"/>
      </rPr>
      <t>0.4</t>
    </r>
    <r>
      <rPr>
        <sz val="11"/>
        <rFont val="ＭＳ Ｐゴシック"/>
        <family val="3"/>
        <charset val="128"/>
      </rPr>
      <t>MPa</t>
    </r>
    <phoneticPr fontId="13"/>
  </si>
  <si>
    <t>https://www.monotaro.com/p/3989/6754/?t.mpn=ir1010-01bea-a</t>
    <phoneticPr fontId="13"/>
  </si>
  <si>
    <t>IR1010-01BEA-Aを158930－Z001へ固定用</t>
    <rPh sb="27" eb="29">
      <t>コテイ</t>
    </rPh>
    <rPh sb="29" eb="30">
      <t>ヨウ</t>
    </rPh>
    <phoneticPr fontId="13"/>
  </si>
  <si>
    <t>BVHV6-1-3-A</t>
    <phoneticPr fontId="13"/>
  </si>
  <si>
    <t>ハンドバルブ</t>
    <phoneticPr fontId="13"/>
  </si>
  <si>
    <t>ﾜﾝﾀｯﾁ継手ﾕﾆｵﾝｽﾄﾚｰﾄ</t>
    <rPh sb="5" eb="7">
      <t>ツギテ</t>
    </rPh>
    <phoneticPr fontId="13"/>
  </si>
  <si>
    <t>シリンジ加圧レギュレータユニット</t>
    <rPh sb="4" eb="6">
      <t>カアツ</t>
    </rPh>
    <phoneticPr fontId="13"/>
  </si>
  <si>
    <t>エアタック</t>
    <phoneticPr fontId="13"/>
  </si>
  <si>
    <t>PC401</t>
    <phoneticPr fontId="13"/>
  </si>
  <si>
    <t>補助機器 ワンタッチ継手</t>
    <phoneticPr fontId="13"/>
  </si>
  <si>
    <t>APMTSL-N1-N1-L20</t>
    <phoneticPr fontId="13"/>
  </si>
  <si>
    <t>APMTS-N1-N1</t>
    <phoneticPr fontId="13"/>
  </si>
  <si>
    <t>Ｎo.【207987 】</t>
    <phoneticPr fontId="11"/>
  </si>
  <si>
    <t>千代電子工業（株）様</t>
    <rPh sb="0" eb="2">
      <t>チヨ</t>
    </rPh>
    <rPh sb="2" eb="4">
      <t>デンシ</t>
    </rPh>
    <rPh sb="4" eb="6">
      <t>コウギョウ</t>
    </rPh>
    <rPh sb="6" eb="9">
      <t>カブ</t>
    </rPh>
    <rPh sb="9" eb="10">
      <t>サマ</t>
    </rPh>
    <phoneticPr fontId="11"/>
  </si>
  <si>
    <t>福島　(齋藤秀昭）</t>
    <rPh sb="0" eb="2">
      <t>フクシマ</t>
    </rPh>
    <rPh sb="4" eb="6">
      <t>サイトウ</t>
    </rPh>
    <rPh sb="6" eb="8">
      <t>ヒデアキ</t>
    </rPh>
    <phoneticPr fontId="11"/>
  </si>
  <si>
    <r>
      <t xml:space="preserve">ノックピン　－プラス公差－ 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１個</t>
    </r>
    <rPh sb="27" eb="29">
      <t>ヌコ</t>
    </rPh>
    <phoneticPr fontId="11"/>
  </si>
  <si>
    <t>SETB0178-Y01　AXAｶﾒﾗﾌﾞﾗｹｯﾄ</t>
    <phoneticPr fontId="11"/>
  </si>
  <si>
    <t>CBBTS4-8</t>
    <phoneticPr fontId="11"/>
  </si>
  <si>
    <t>MS2-8</t>
    <phoneticPr fontId="11"/>
  </si>
  <si>
    <t>SETB0178-Z05　AXA用ｹｰﾌﾞﾙﾍﾞｱ固定部品</t>
    <phoneticPr fontId="11"/>
  </si>
  <si>
    <t>石鍋</t>
    <rPh sb="0" eb="2">
      <t>イシナベ</t>
    </rPh>
    <phoneticPr fontId="13"/>
  </si>
  <si>
    <t xml:space="preserve">5-079-04　   </t>
    <phoneticPr fontId="13"/>
  </si>
  <si>
    <t>ﾐﾆｶｯﾌﾟ（30cc）　</t>
    <phoneticPr fontId="13"/>
  </si>
  <si>
    <t>皿ﾈｼﾞ  2本＋2本</t>
    <rPh sb="7" eb="8">
      <t>ホン</t>
    </rPh>
    <rPh sb="9" eb="11">
      <t>フホン</t>
    </rPh>
    <phoneticPr fontId="13"/>
  </si>
  <si>
    <t>SETB0178-Z01　カップ受け板金1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</si>
  <si>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178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</si>
  <si>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178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1"/>
  </si>
  <si>
    <t>MVBLK-AMW-3GJ-1GFK5</t>
    <phoneticPr fontId="11"/>
  </si>
  <si>
    <t>MVSHM-3N02052-3GJ-1ULA8</t>
    <phoneticPr fontId="11"/>
  </si>
  <si>
    <t>MVSHM-3N02052-3GJ-FFDBT</t>
    <phoneticPr fontId="11"/>
  </si>
  <si>
    <t>MVSHM-3N02050-3GJ-FHUF2</t>
    <phoneticPr fontId="11"/>
  </si>
  <si>
    <t>MVBLK-AMW-3GJ-WEMYJ</t>
    <phoneticPr fontId="11"/>
  </si>
  <si>
    <t>小径頭ボルト　－スタンダード/低頭/極低頭タイプ－</t>
    <phoneticPr fontId="11"/>
  </si>
  <si>
    <t>ノックピン　プラス公差 2本</t>
    <rPh sb="13" eb="14">
      <t>ホン</t>
    </rPh>
    <phoneticPr fontId="11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</si>
  <si>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2本  </t>
    </r>
    <rPh sb="13" eb="14">
      <t>ホン</t>
    </rPh>
    <phoneticPr fontId="11"/>
  </si>
  <si>
    <t>SETB0178-A01　AXAﾛﾎﾞｯﾄ600+SV70ﾛｰﾀﾘｰｱｸﾁｭｴﾀｰ＋浸け置き+SVC720F　構想図　塗布範囲　20230802</t>
    <phoneticPr fontId="11"/>
  </si>
  <si>
    <r>
      <t>SETB01</t>
    </r>
    <r>
      <rPr>
        <b/>
        <sz val="11"/>
        <color rgb="FFFF0000"/>
        <rFont val="ＭＳ Ｐゴシック"/>
        <family val="3"/>
        <charset val="128"/>
        <scheme val="minor"/>
      </rPr>
      <t>78</t>
    </r>
    <r>
      <rPr>
        <sz val="11"/>
        <color theme="1"/>
        <rFont val="ＭＳ Ｐゴシック"/>
        <family val="3"/>
        <charset val="128"/>
        <scheme val="minor"/>
      </rPr>
      <t>-X01　井桁ﾜｰｸ冶具ﾍﾞｰｽ- 1 (400mm)</t>
    </r>
    <phoneticPr fontId="13"/>
  </si>
  <si>
    <t>MVBLK-AMW-3GJ-MP1AW　</t>
    <phoneticPr fontId="11"/>
  </si>
  <si>
    <r>
      <t>ｼﾑ PACK10-CIMRS　　</t>
    </r>
    <r>
      <rPr>
        <b/>
        <sz val="11"/>
        <color rgb="FF0070C0"/>
        <rFont val="ＭＳ Ｐゴシック"/>
        <family val="3"/>
        <charset val="128"/>
        <scheme val="minor"/>
      </rPr>
      <t>AXAﾍﾞｰｽ高さ調整用</t>
    </r>
    <rPh sb="24" eb="25">
      <t>タカ</t>
    </rPh>
    <rPh sb="26" eb="28">
      <t>チョウセイ</t>
    </rPh>
    <rPh sb="28" eb="29">
      <t>ヨウ</t>
    </rPh>
    <phoneticPr fontId="11"/>
  </si>
  <si>
    <t>AXHD-01001K  Tip detect</t>
    <phoneticPr fontId="11"/>
  </si>
  <si>
    <t>ﾁｯﾌﾟﾃﾞｨﾃｸﾄｾﾝｻｰ</t>
    <phoneticPr fontId="11"/>
  </si>
  <si>
    <t>3VC-3</t>
    <phoneticPr fontId="13"/>
  </si>
  <si>
    <t>SS300UCR UL/CE対応（シールド有(３芯）</t>
    <rPh sb="24" eb="25">
      <t>シン</t>
    </rPh>
    <phoneticPr fontId="13"/>
  </si>
  <si>
    <t>SS300UCRSB-23-3-10</t>
    <phoneticPr fontId="13"/>
  </si>
  <si>
    <t>FSC10-C-3</t>
    <phoneticPr fontId="13"/>
  </si>
  <si>
    <t>M8丸型防水コネクタハーネス  ＳＶＥＭﾛﾝｸﾞ3m　TYPE</t>
    <phoneticPr fontId="13"/>
  </si>
  <si>
    <t>Ｄinﾚｰﾙ固定用</t>
    <rPh sb="6" eb="8">
      <t>コテイ</t>
    </rPh>
    <rPh sb="8" eb="9">
      <t>ヨウ</t>
    </rPh>
    <phoneticPr fontId="11"/>
  </si>
  <si>
    <t>日本ピスコ</t>
    <rPh sb="0" eb="2">
      <t>ニホン</t>
    </rPh>
    <phoneticPr fontId="13"/>
  </si>
  <si>
    <t>PLGJ4-6M</t>
    <phoneticPr fontId="13"/>
  </si>
  <si>
    <t>一般配管用 チューブフィッティングミニタイプ 違径ソケットエルボ　1個</t>
    <rPh sb="34" eb="35">
      <t>コ</t>
    </rPh>
    <phoneticPr fontId="13"/>
  </si>
  <si>
    <t>5日目</t>
    <rPh sb="1" eb="3">
      <t>ヒメ</t>
    </rPh>
    <phoneticPr fontId="13"/>
  </si>
  <si>
    <t>三沢電線</t>
    <rPh sb="0" eb="2">
      <t>ミサワ</t>
    </rPh>
    <rPh sb="2" eb="4">
      <t>デンセン</t>
    </rPh>
    <phoneticPr fontId="13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</si>
  <si>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13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</si>
  <si>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13"/>
  </si>
  <si>
    <t>六角穴付きボルト ステンレス　2本</t>
    <rPh sb="16" eb="17">
      <t>ホン</t>
    </rPh>
    <phoneticPr fontId="11"/>
  </si>
  <si>
    <t>モノタロウなら5日間</t>
    <rPh sb="8" eb="9">
      <t>ヒ</t>
    </rPh>
    <rPh sb="9" eb="10">
      <t>カン</t>
    </rPh>
    <phoneticPr fontId="11"/>
  </si>
  <si>
    <t>モノタロウなら10日間</t>
    <rPh sb="9" eb="10">
      <t>ヒ</t>
    </rPh>
    <rPh sb="10" eb="11">
      <t>カン</t>
    </rPh>
    <phoneticPr fontId="11"/>
  </si>
  <si>
    <t>小頭ﾈｼﾞ　　4個</t>
    <rPh sb="8" eb="9">
      <t>コ</t>
    </rPh>
    <phoneticPr fontId="13"/>
  </si>
  <si>
    <t>袋ﾅｯﾄ　4個</t>
    <rPh sb="6" eb="7">
      <t>コ</t>
    </rPh>
    <phoneticPr fontId="13"/>
  </si>
  <si>
    <r>
      <t xml:space="preserve">六角穴付きﾎﾞﾙﾄ　M4×5mm </t>
    </r>
    <r>
      <rPr>
        <b/>
        <sz val="11"/>
        <color indexed="10"/>
        <rFont val="ＭＳ Ｐゴシック"/>
        <family val="3"/>
        <charset val="128"/>
      </rPr>
      <t>2本</t>
    </r>
    <r>
      <rPr>
        <sz val="11"/>
        <color theme="1"/>
        <rFont val="ＭＳ Ｐゴシック"/>
        <family val="3"/>
        <charset val="128"/>
        <scheme val="minor"/>
      </rPr>
      <t>　　　まとめて発注</t>
    </r>
    <r>
      <rPr>
        <sz val="11"/>
        <color indexed="10"/>
        <rFont val="ＭＳ Ｐゴシック"/>
        <family val="3"/>
        <charset val="128"/>
      </rPr>
      <t>　</t>
    </r>
    <rPh sb="18" eb="19">
      <t>ホン</t>
    </rPh>
    <rPh sb="26" eb="28">
      <t>ハッチュウ</t>
    </rPh>
    <phoneticPr fontId="13"/>
  </si>
  <si>
    <t>六角穴付きボルト ステンレス 　6本</t>
    <rPh sb="17" eb="18">
      <t>ホン</t>
    </rPh>
    <phoneticPr fontId="13"/>
  </si>
  <si>
    <t>フランジボタン　　6本</t>
    <rPh sb="10" eb="11">
      <t>ホン</t>
    </rPh>
    <phoneticPr fontId="13"/>
  </si>
  <si>
    <t xml:space="preserve">PACK10-CIMRS4-8-0.5  </t>
    <phoneticPr fontId="11"/>
  </si>
  <si>
    <t>KIV-0.75SQ-R-10</t>
    <phoneticPr fontId="13"/>
  </si>
  <si>
    <t>太陽ｹｰﾌﾞﾙﾃｯｸ</t>
    <rPh sb="0" eb="2">
      <t>タイヨウ</t>
    </rPh>
    <phoneticPr fontId="13"/>
  </si>
  <si>
    <t>KIV-0.75SQ-BK-10</t>
    <phoneticPr fontId="13"/>
  </si>
  <si>
    <t>東陽技研</t>
    <rPh sb="0" eb="2">
      <t>トウヨウ</t>
    </rPh>
    <rPh sb="2" eb="4">
      <t>ギケン</t>
    </rPh>
    <phoneticPr fontId="13"/>
  </si>
  <si>
    <t>図面NO.　SETB-0178-A01</t>
    <rPh sb="0" eb="2">
      <t>ズメン</t>
    </rPh>
    <phoneticPr fontId="11"/>
  </si>
  <si>
    <t>AXELIAｼﾘｰｽﾞAXA-ＨV（600角） 　EVERPRESISION</t>
    <phoneticPr fontId="11"/>
  </si>
  <si>
    <t>大阪営業所　福島氏　ﾛﾎﾞｯﾄ発注の件</t>
    <rPh sb="0" eb="2">
      <t>オオサカ</t>
    </rPh>
    <rPh sb="2" eb="5">
      <t>エイギョウショ</t>
    </rPh>
    <rPh sb="6" eb="8">
      <t>フクシマ</t>
    </rPh>
    <rPh sb="8" eb="9">
      <t>シ</t>
    </rPh>
    <rPh sb="15" eb="17">
      <t>ハッチュウ</t>
    </rPh>
    <rPh sb="18" eb="19">
      <t>ケン</t>
    </rPh>
    <phoneticPr fontId="11"/>
  </si>
  <si>
    <t>送料</t>
    <rPh sb="0" eb="2">
      <t>ソウリョウ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</si>
</sst>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  <numFmt numFmtId="184" formatCode="&quot;¥&quot;#,##0_);[Red]\(&quot;¥&quot;#,##0\)"/>
  </numFmts>
  <fonts count="33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>
      <alignment vertical="center"/>
    </xf>
  </cellStyleXfs>
  <cellXfs count="33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2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6" fontId="12" fillId="0" borderId="11" xfId="0" applyNumberFormat="1" applyFont="1" applyBorder="1">
      <alignment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0" fillId="0" borderId="9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  <xf numFmtId="0" fontId="16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  <xf numFmtId="3" fontId="16" fillId="0" borderId="9" xfId="0" applyNumberFormat="1" applyFont="1" applyBorder="1" applyAlignment="1">
      <alignment horizontal="center" vertical="center"/>
    </xf>
    <xf numFmtId="0" fontId="16" fillId="5" borderId="9" xfId="0" applyFont="1" applyFill="1" applyBorder="1">
      <alignment vertical="center"/>
    </xf>
    <xf numFmtId="0" fontId="21" fillId="0" borderId="9" xfId="0" applyFont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5" fillId="0" borderId="9" xfId="0" applyNumberFormat="1" applyFont="1" applyBorder="1" applyAlignment="1">
      <alignment horizontal="center" vertical="center"/>
    </xf>
    <xf numFmtId="0" fontId="15" fillId="0" borderId="9" xfId="3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15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3" fontId="0" fillId="5" borderId="17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0" fontId="10" fillId="0" borderId="9" xfId="0" applyFont="1" applyBorder="1" applyAlignment="1">
      <alignment horizontal="left" vertical="center" shrinkToFit="1"/>
    </xf>
    <xf numFmtId="176" fontId="7" fillId="0" borderId="7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18" fillId="8" borderId="1" xfId="0" applyFont="1" applyFill="1" applyBorder="1" applyAlignment="1">
      <alignment vertical="center" shrinkToFit="1"/>
    </xf>
    <xf numFmtId="3" fontId="18" fillId="8" borderId="9" xfId="0" applyNumberFormat="1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176" fontId="18" fillId="8" borderId="9" xfId="0" applyNumberFormat="1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176" fontId="16" fillId="0" borderId="9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6" fillId="0" borderId="9" xfId="0" applyNumberFormat="1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19" xfId="0" applyBorder="1" applyAlignment="1">
      <alignment vertical="center" shrinkToFit="1"/>
    </xf>
    <xf numFmtId="176" fontId="7" fillId="0" borderId="9" xfId="0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5" fillId="0" borderId="17" xfId="0" applyNumberFormat="1" applyFont="1" applyBorder="1" applyAlignment="1">
      <alignment horizontal="center" vertical="center"/>
    </xf>
    <xf numFmtId="181" fontId="16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vertical="center" shrinkToFit="1"/>
    </xf>
    <xf numFmtId="176" fontId="19" fillId="8" borderId="9" xfId="0" applyNumberFormat="1" applyFont="1" applyFill="1" applyBorder="1" applyAlignment="1">
      <alignment horizontal="center" vertical="center"/>
    </xf>
    <xf numFmtId="0" fontId="18" fillId="8" borderId="9" xfId="0" applyFont="1" applyFill="1" applyBorder="1">
      <alignment vertical="center"/>
    </xf>
    <xf numFmtId="38" fontId="18" fillId="8" borderId="1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49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3" fontId="0" fillId="0" borderId="19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0" xfId="0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176" fontId="21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76" fontId="23" fillId="0" borderId="9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176" fontId="0" fillId="0" borderId="6" xfId="0" applyNumberFormat="1" applyBorder="1">
      <alignment vertical="center"/>
    </xf>
    <xf numFmtId="176" fontId="8" fillId="0" borderId="9" xfId="0" applyNumberFormat="1" applyFont="1" applyBorder="1" applyAlignment="1">
      <alignment horizontal="center" vertical="center"/>
    </xf>
    <xf numFmtId="49" fontId="18" fillId="8" borderId="9" xfId="0" applyNumberFormat="1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3" fontId="0" fillId="11" borderId="9" xfId="0" applyNumberForma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 shrinkToFit="1"/>
    </xf>
    <xf numFmtId="0" fontId="10" fillId="0" borderId="9" xfId="0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19" fillId="8" borderId="11" xfId="3" applyFont="1" applyFill="1" applyBorder="1" applyAlignment="1">
      <alignment horizontal="left" vertical="center"/>
    </xf>
    <xf numFmtId="0" fontId="18" fillId="8" borderId="11" xfId="0" applyFont="1" applyFill="1" applyBorder="1">
      <alignment vertical="center"/>
    </xf>
    <xf numFmtId="0" fontId="1" fillId="0" borderId="0" xfId="2">
      <alignment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 shrinkToFit="1"/>
    </xf>
    <xf numFmtId="38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0" fillId="0" borderId="11" xfId="0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0" borderId="9" xfId="3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3" fontId="19" fillId="8" borderId="12" xfId="0" applyNumberFormat="1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left" vertical="center"/>
    </xf>
    <xf numFmtId="181" fontId="18" fillId="8" borderId="12" xfId="0" applyNumberFormat="1" applyFont="1" applyFill="1" applyBorder="1">
      <alignment vertical="center"/>
    </xf>
    <xf numFmtId="0" fontId="18" fillId="8" borderId="13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18" fillId="8" borderId="12" xfId="0" applyNumberFormat="1" applyFont="1" applyFill="1" applyBorder="1" applyAlignment="1">
      <alignment horizontal="center" vertical="center"/>
    </xf>
    <xf numFmtId="176" fontId="0" fillId="0" borderId="13" xfId="0" applyNumberFormat="1" applyBorder="1" applyAlignment="1"/>
    <xf numFmtId="0" fontId="5" fillId="0" borderId="12" xfId="0" applyFont="1" applyBorder="1" applyAlignment="1">
      <alignment horizontal="left" vertical="center"/>
    </xf>
    <xf numFmtId="176" fontId="15" fillId="0" borderId="9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/>
    <xf numFmtId="0" fontId="16" fillId="0" borderId="1" xfId="0" applyFont="1" applyBorder="1" applyAlignment="1">
      <alignment vertical="center" shrinkToFit="1"/>
    </xf>
    <xf numFmtId="176" fontId="0" fillId="8" borderId="9" xfId="0" applyNumberFormat="1" applyFill="1" applyBorder="1" applyAlignment="1">
      <alignment horizontal="center" vertical="center"/>
    </xf>
    <xf numFmtId="176" fontId="18" fillId="8" borderId="11" xfId="0" applyNumberFormat="1" applyFont="1" applyFill="1" applyBorder="1">
      <alignment vertical="center"/>
    </xf>
    <xf numFmtId="0" fontId="18" fillId="8" borderId="9" xfId="0" applyFont="1" applyFill="1" applyBorder="1" applyAlignment="1">
      <alignment vertical="center" wrapText="1"/>
    </xf>
    <xf numFmtId="176" fontId="10" fillId="0" borderId="9" xfId="0" applyNumberFormat="1" applyFont="1" applyBorder="1" applyAlignment="1">
      <alignment horizontal="center" vertical="center"/>
    </xf>
    <xf numFmtId="176" fontId="10" fillId="0" borderId="9" xfId="0" applyNumberFormat="1" applyFont="1" applyBorder="1" applyAlignment="1"/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3" fontId="15" fillId="0" borderId="11" xfId="0" applyNumberFormat="1" applyFont="1" applyBorder="1" applyAlignment="1">
      <alignment horizontal="center" vertical="center"/>
    </xf>
    <xf numFmtId="182" fontId="16" fillId="0" borderId="9" xfId="0" applyNumberFormat="1" applyFont="1" applyBorder="1" applyAlignment="1">
      <alignment horizontal="center" vertical="center"/>
    </xf>
    <xf numFmtId="176" fontId="15" fillId="0" borderId="11" xfId="0" applyNumberFormat="1" applyFont="1" applyBorder="1">
      <alignment vertical="center"/>
    </xf>
    <xf numFmtId="0" fontId="19" fillId="8" borderId="9" xfId="3" applyFont="1" applyFill="1" applyBorder="1"/>
    <xf numFmtId="176" fontId="19" fillId="8" borderId="11" xfId="0" applyNumberFormat="1" applyFont="1" applyFill="1" applyBorder="1" applyAlignment="1"/>
    <xf numFmtId="0" fontId="19" fillId="8" borderId="9" xfId="3" applyFont="1" applyFill="1" applyBorder="1" applyAlignment="1">
      <alignment vertical="center"/>
    </xf>
    <xf numFmtId="0" fontId="19" fillId="8" borderId="11" xfId="0" applyFont="1" applyFill="1" applyBorder="1">
      <alignment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3" fontId="10" fillId="0" borderId="9" xfId="4" applyNumberFormat="1" applyBorder="1" applyAlignment="1">
      <alignment horizontal="center" vertical="center"/>
    </xf>
    <xf numFmtId="0" fontId="10" fillId="0" borderId="9" xfId="4" applyBorder="1" applyAlignment="1">
      <alignment horizontal="left" vertical="center"/>
    </xf>
    <xf numFmtId="0" fontId="10" fillId="14" borderId="9" xfId="4" applyFill="1" applyBorder="1" applyAlignment="1">
      <alignment horizontal="center" vertical="center"/>
    </xf>
    <xf numFmtId="3" fontId="10" fillId="0" borderId="11" xfId="4" applyNumberFormat="1" applyBorder="1" applyAlignment="1">
      <alignment horizontal="center" vertical="center"/>
    </xf>
    <xf numFmtId="0" fontId="10" fillId="0" borderId="11" xfId="4" applyBorder="1" applyAlignment="1">
      <alignment horizontal="center" vertical="center"/>
    </xf>
    <xf numFmtId="0" fontId="10" fillId="0" borderId="9" xfId="4" applyBorder="1" applyAlignment="1">
      <alignment horizontal="center" vertical="center"/>
    </xf>
    <xf numFmtId="49" fontId="10" fillId="0" borderId="9" xfId="4" applyNumberFormat="1" applyBorder="1" applyAlignment="1">
      <alignment horizontal="left" vertical="center"/>
    </xf>
    <xf numFmtId="3" fontId="10" fillId="0" borderId="17" xfId="4" applyNumberFormat="1" applyBorder="1" applyAlignment="1">
      <alignment horizontal="center" vertical="center"/>
    </xf>
    <xf numFmtId="49" fontId="10" fillId="0" borderId="17" xfId="4" applyNumberFormat="1" applyBorder="1" applyAlignment="1">
      <alignment horizontal="left" vertical="center"/>
    </xf>
    <xf numFmtId="0" fontId="10" fillId="14" borderId="17" xfId="4" applyFill="1" applyBorder="1" applyAlignment="1">
      <alignment horizontal="center" vertical="center"/>
    </xf>
    <xf numFmtId="38" fontId="10" fillId="0" borderId="17" xfId="4" applyNumberFormat="1" applyBorder="1" applyAlignment="1">
      <alignment horizontal="center" vertical="center"/>
    </xf>
    <xf numFmtId="0" fontId="10" fillId="0" borderId="22" xfId="4" applyBorder="1" applyAlignment="1">
      <alignment horizontal="center" vertical="center"/>
    </xf>
    <xf numFmtId="0" fontId="10" fillId="0" borderId="9" xfId="4" applyBorder="1">
      <alignment vertical="center"/>
    </xf>
    <xf numFmtId="0" fontId="0" fillId="0" borderId="23" xfId="0" applyBorder="1" applyAlignment="1">
      <alignment vertical="center" shrinkToFit="1"/>
    </xf>
    <xf numFmtId="0" fontId="2" fillId="14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5" borderId="1" xfId="0" applyFont="1" applyFill="1" applyBorder="1" applyAlignment="1">
      <alignment vertical="center" shrinkToFit="1"/>
    </xf>
    <xf numFmtId="0" fontId="3" fillId="4" borderId="1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38" fontId="0" fillId="0" borderId="9" xfId="0" applyNumberFormat="1" applyBorder="1">
      <alignment vertical="center"/>
    </xf>
    <xf numFmtId="3" fontId="16" fillId="5" borderId="9" xfId="0" applyNumberFormat="1" applyFont="1" applyFill="1" applyBorder="1" applyAlignment="1">
      <alignment horizontal="center" vertical="center"/>
    </xf>
    <xf numFmtId="38" fontId="16" fillId="0" borderId="9" xfId="0" applyNumberFormat="1" applyFont="1" applyBorder="1">
      <alignment vertical="center"/>
    </xf>
    <xf numFmtId="0" fontId="16" fillId="0" borderId="12" xfId="0" applyFont="1" applyBorder="1">
      <alignment vertical="center"/>
    </xf>
    <xf numFmtId="38" fontId="18" fillId="8" borderId="9" xfId="0" applyNumberFormat="1" applyFont="1" applyFill="1" applyBorder="1">
      <alignment vertical="center"/>
    </xf>
    <xf numFmtId="0" fontId="0" fillId="5" borderId="9" xfId="0" applyFill="1" applyBorder="1">
      <alignment vertical="center"/>
    </xf>
    <xf numFmtId="3" fontId="12" fillId="10" borderId="9" xfId="0" applyNumberFormat="1" applyFont="1" applyFill="1" applyBorder="1" applyAlignment="1">
      <alignment horizontal="center" vertical="center"/>
    </xf>
    <xf numFmtId="0" fontId="1" fillId="0" borderId="9" xfId="2" applyBorder="1" applyAlignment="1">
      <alignment horizontal="left" vertical="center"/>
    </xf>
    <xf numFmtId="182" fontId="0" fillId="16" borderId="9" xfId="0" applyNumberFormat="1" applyFill="1" applyBorder="1">
      <alignment vertical="center"/>
    </xf>
    <xf numFmtId="0" fontId="0" fillId="16" borderId="9" xfId="0" applyFill="1" applyBorder="1" applyAlignment="1">
      <alignment horizontal="left" vertical="center"/>
    </xf>
    <xf numFmtId="0" fontId="0" fillId="16" borderId="9" xfId="0" applyFill="1" applyBorder="1">
      <alignment vertical="center"/>
    </xf>
    <xf numFmtId="176" fontId="0" fillId="16" borderId="9" xfId="0" applyNumberFormat="1" applyFill="1" applyBorder="1">
      <alignment vertical="center"/>
    </xf>
    <xf numFmtId="176" fontId="0" fillId="16" borderId="25" xfId="0" applyNumberFormat="1" applyFill="1" applyBorder="1" applyAlignment="1">
      <alignment horizontal="left"/>
    </xf>
    <xf numFmtId="0" fontId="15" fillId="16" borderId="9" xfId="3" applyFill="1" applyBorder="1" applyAlignment="1">
      <alignment horizontal="left" vertical="center"/>
    </xf>
    <xf numFmtId="38" fontId="18" fillId="0" borderId="9" xfId="0" applyNumberFormat="1" applyFont="1" applyBorder="1">
      <alignment vertical="center"/>
    </xf>
    <xf numFmtId="0" fontId="14" fillId="0" borderId="9" xfId="0" applyFont="1" applyBorder="1">
      <alignment vertical="center"/>
    </xf>
    <xf numFmtId="0" fontId="10" fillId="10" borderId="9" xfId="0" applyFont="1" applyFill="1" applyBorder="1">
      <alignment vertical="center"/>
    </xf>
    <xf numFmtId="0" fontId="0" fillId="10" borderId="9" xfId="0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176" fontId="0" fillId="0" borderId="21" xfId="0" applyNumberFormat="1" applyBorder="1">
      <alignment vertical="center"/>
    </xf>
    <xf numFmtId="49" fontId="16" fillId="0" borderId="9" xfId="0" applyNumberFormat="1" applyFont="1" applyBorder="1" applyAlignment="1">
      <alignment horizontal="left" vertical="center"/>
    </xf>
    <xf numFmtId="176" fontId="25" fillId="6" borderId="11" xfId="0" applyNumberFormat="1" applyFont="1" applyFill="1" applyBorder="1" applyAlignment="1">
      <alignment horizontal="center" vertical="center"/>
    </xf>
    <xf numFmtId="0" fontId="0" fillId="10" borderId="9" xfId="0" applyFill="1" applyBorder="1">
      <alignment vertical="center"/>
    </xf>
    <xf numFmtId="0" fontId="10" fillId="10" borderId="9" xfId="0" applyFont="1" applyFill="1" applyBorder="1" applyAlignment="1">
      <alignment horizontal="left" vertical="center"/>
    </xf>
    <xf numFmtId="3" fontId="10" fillId="10" borderId="9" xfId="0" applyNumberFormat="1" applyFont="1" applyFill="1" applyBorder="1" applyAlignment="1">
      <alignment horizontal="left" vertical="center"/>
    </xf>
    <xf numFmtId="0" fontId="5" fillId="10" borderId="8" xfId="0" applyFont="1" applyFill="1" applyBorder="1">
      <alignment vertical="center"/>
    </xf>
    <xf numFmtId="0" fontId="5" fillId="10" borderId="9" xfId="0" applyFont="1" applyFill="1" applyBorder="1" applyAlignment="1">
      <alignment horizontal="center" vertical="center"/>
    </xf>
    <xf numFmtId="176" fontId="8" fillId="10" borderId="9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0" fillId="10" borderId="9" xfId="0" applyNumberFormat="1" applyFill="1" applyBorder="1" applyAlignment="1">
      <alignment horizontal="center" vertical="center"/>
    </xf>
    <xf numFmtId="49" fontId="10" fillId="10" borderId="9" xfId="0" applyNumberFormat="1" applyFont="1" applyFill="1" applyBorder="1" applyAlignment="1">
      <alignment horizontal="left" vertical="center"/>
    </xf>
    <xf numFmtId="0" fontId="16" fillId="10" borderId="9" xfId="0" applyFont="1" applyFill="1" applyBorder="1" applyAlignment="1">
      <alignment horizontal="center" vertical="center"/>
    </xf>
    <xf numFmtId="183" fontId="16" fillId="10" borderId="9" xfId="0" applyNumberFormat="1" applyFont="1" applyFill="1" applyBorder="1" applyAlignment="1">
      <alignment horizontal="center" vertical="center"/>
    </xf>
    <xf numFmtId="181" fontId="0" fillId="10" borderId="12" xfId="0" applyNumberFormat="1" applyFill="1" applyBorder="1">
      <alignment vertical="center"/>
    </xf>
    <xf numFmtId="181" fontId="0" fillId="10" borderId="9" xfId="0" applyNumberFormat="1" applyFill="1" applyBorder="1">
      <alignment vertical="center"/>
    </xf>
    <xf numFmtId="0" fontId="16" fillId="10" borderId="9" xfId="0" applyFont="1" applyFill="1" applyBorder="1" applyAlignment="1">
      <alignment horizontal="left" vertical="center"/>
    </xf>
    <xf numFmtId="181" fontId="16" fillId="10" borderId="9" xfId="0" applyNumberFormat="1" applyFont="1" applyFill="1" applyBorder="1">
      <alignment vertical="center"/>
    </xf>
    <xf numFmtId="0" fontId="15" fillId="10" borderId="9" xfId="3" applyFill="1" applyBorder="1" applyAlignment="1">
      <alignment horizontal="left" vertical="center"/>
    </xf>
    <xf numFmtId="0" fontId="21" fillId="10" borderId="9" xfId="0" applyFont="1" applyFill="1" applyBorder="1">
      <alignment vertical="center"/>
    </xf>
    <xf numFmtId="0" fontId="15" fillId="10" borderId="9" xfId="0" applyFont="1" applyFill="1" applyBorder="1">
      <alignment vertical="center"/>
    </xf>
    <xf numFmtId="0" fontId="5" fillId="10" borderId="9" xfId="0" applyFont="1" applyFill="1" applyBorder="1">
      <alignment vertical="center"/>
    </xf>
    <xf numFmtId="0" fontId="0" fillId="10" borderId="12" xfId="0" applyFill="1" applyBorder="1" applyAlignment="1">
      <alignment horizontal="center" vertical="center"/>
    </xf>
    <xf numFmtId="0" fontId="5" fillId="10" borderId="12" xfId="0" applyFont="1" applyFill="1" applyBorder="1">
      <alignment vertical="center"/>
    </xf>
    <xf numFmtId="0" fontId="16" fillId="10" borderId="9" xfId="0" applyFont="1" applyFill="1" applyBorder="1">
      <alignment vertical="center"/>
    </xf>
    <xf numFmtId="0" fontId="16" fillId="10" borderId="9" xfId="4" applyFont="1" applyFill="1" applyBorder="1" applyAlignment="1">
      <alignment horizontal="left" vertical="center"/>
    </xf>
    <xf numFmtId="181" fontId="16" fillId="10" borderId="9" xfId="4" applyNumberFormat="1" applyFont="1" applyFill="1" applyBorder="1" applyAlignment="1">
      <alignment horizontal="center" vertical="center"/>
    </xf>
    <xf numFmtId="0" fontId="15" fillId="10" borderId="9" xfId="3" applyFill="1" applyBorder="1" applyAlignment="1">
      <alignment horizontal="center" vertical="center"/>
    </xf>
    <xf numFmtId="0" fontId="12" fillId="10" borderId="9" xfId="0" applyFont="1" applyFill="1" applyBorder="1">
      <alignment vertical="center"/>
    </xf>
    <xf numFmtId="176" fontId="10" fillId="10" borderId="9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left" vertical="center"/>
    </xf>
    <xf numFmtId="0" fontId="15" fillId="10" borderId="9" xfId="0" applyFont="1" applyFill="1" applyBorder="1" applyAlignment="1">
      <alignment horizontal="center" vertical="center"/>
    </xf>
    <xf numFmtId="0" fontId="16" fillId="10" borderId="11" xfId="0" applyFont="1" applyFill="1" applyBorder="1">
      <alignment vertical="center"/>
    </xf>
    <xf numFmtId="176" fontId="16" fillId="10" borderId="9" xfId="0" applyNumberFormat="1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vertical="center" shrinkToFit="1"/>
    </xf>
    <xf numFmtId="181" fontId="16" fillId="10" borderId="9" xfId="0" applyNumberFormat="1" applyFont="1" applyFill="1" applyBorder="1" applyAlignment="1">
      <alignment horizontal="center" vertical="center"/>
    </xf>
    <xf numFmtId="0" fontId="10" fillId="10" borderId="11" xfId="0" applyFont="1" applyFill="1" applyBorder="1">
      <alignment vertical="center"/>
    </xf>
    <xf numFmtId="0" fontId="15" fillId="10" borderId="9" xfId="0" applyFont="1" applyFill="1" applyBorder="1" applyAlignment="1">
      <alignment horizontal="left" vertical="center"/>
    </xf>
    <xf numFmtId="0" fontId="12" fillId="10" borderId="9" xfId="0" applyFont="1" applyFill="1" applyBorder="1" applyAlignment="1">
      <alignment horizontal="center" vertical="center"/>
    </xf>
    <xf numFmtId="176" fontId="15" fillId="10" borderId="9" xfId="0" applyNumberFormat="1" applyFont="1" applyFill="1" applyBorder="1" applyAlignment="1">
      <alignment horizontal="center" vertical="center"/>
    </xf>
    <xf numFmtId="180" fontId="15" fillId="10" borderId="9" xfId="0" applyNumberFormat="1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shrinkToFit="1"/>
    </xf>
    <xf numFmtId="0" fontId="16" fillId="0" borderId="11" xfId="0" applyFon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181" fontId="0" fillId="10" borderId="9" xfId="0" applyNumberFormat="1" applyFill="1" applyBorder="1" applyAlignment="1">
      <alignment horizontal="center" vertical="center"/>
    </xf>
    <xf numFmtId="0" fontId="31" fillId="10" borderId="9" xfId="0" applyFont="1" applyFill="1" applyBorder="1" applyAlignment="1">
      <alignment horizontal="center" vertical="center"/>
    </xf>
    <xf numFmtId="176" fontId="0" fillId="10" borderId="9" xfId="0" applyNumberFormat="1" applyFill="1" applyBorder="1" applyAlignment="1">
      <alignment horizontal="center" vertical="center"/>
    </xf>
    <xf numFmtId="49" fontId="14" fillId="10" borderId="9" xfId="0" applyNumberFormat="1" applyFont="1" applyFill="1" applyBorder="1" applyAlignment="1">
      <alignment horizontal="left" vertical="center"/>
    </xf>
    <xf numFmtId="38" fontId="0" fillId="10" borderId="9" xfId="0" applyNumberFormat="1" applyFill="1" applyBorder="1" applyAlignment="1">
      <alignment horizontal="center" vertical="center"/>
    </xf>
    <xf numFmtId="49" fontId="10" fillId="10" borderId="9" xfId="0" applyNumberFormat="1" applyFont="1" applyFill="1" applyBorder="1" applyAlignment="1">
      <alignment horizontal="left" vertical="center" wrapText="1"/>
    </xf>
    <xf numFmtId="176" fontId="32" fillId="8" borderId="9" xfId="0" applyNumberFormat="1" applyFont="1" applyFill="1" applyBorder="1" applyAlignment="1">
      <alignment horizontal="center" vertical="center"/>
    </xf>
    <xf numFmtId="38" fontId="16" fillId="10" borderId="9" xfId="0" applyNumberFormat="1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38" fontId="18" fillId="8" borderId="9" xfId="0" applyNumberFormat="1" applyFont="1" applyFill="1" applyBorder="1" applyAlignment="1">
      <alignment horizontal="center" vertical="center"/>
    </xf>
    <xf numFmtId="181" fontId="19" fillId="8" borderId="9" xfId="0" applyNumberFormat="1" applyFont="1" applyFill="1" applyBorder="1" applyAlignment="1">
      <alignment horizontal="center" vertical="center"/>
    </xf>
    <xf numFmtId="38" fontId="19" fillId="8" borderId="9" xfId="0" applyNumberFormat="1" applyFont="1" applyFill="1" applyBorder="1" applyAlignment="1">
      <alignment horizontal="center" vertical="center"/>
    </xf>
    <xf numFmtId="38" fontId="12" fillId="8" borderId="11" xfId="0" applyNumberFormat="1" applyFont="1" applyFill="1" applyBorder="1" applyAlignment="1">
      <alignment horizontal="center" vertical="center"/>
    </xf>
    <xf numFmtId="38" fontId="19" fillId="8" borderId="11" xfId="0" applyNumberFormat="1" applyFont="1" applyFill="1" applyBorder="1" applyAlignment="1">
      <alignment horizontal="center" vertical="center"/>
    </xf>
    <xf numFmtId="49" fontId="29" fillId="8" borderId="9" xfId="0" applyNumberFormat="1" applyFont="1" applyFill="1" applyBorder="1" applyAlignment="1">
      <alignment horizontal="left" vertical="center"/>
    </xf>
    <xf numFmtId="183" fontId="0" fillId="10" borderId="9" xfId="0" applyNumberFormat="1" applyFill="1" applyBorder="1" applyAlignment="1">
      <alignment horizontal="center" vertical="center"/>
    </xf>
    <xf numFmtId="0" fontId="15" fillId="10" borderId="9" xfId="3" applyFill="1" applyBorder="1" applyAlignment="1">
      <alignment vertical="center"/>
    </xf>
    <xf numFmtId="0" fontId="21" fillId="10" borderId="9" xfId="0" applyFont="1" applyFill="1" applyBorder="1" applyAlignment="1">
      <alignment horizontal="center" vertical="center"/>
    </xf>
    <xf numFmtId="0" fontId="23" fillId="10" borderId="9" xfId="3" applyFont="1" applyFill="1" applyBorder="1" applyAlignment="1">
      <alignment horizontal="center" vertical="center"/>
    </xf>
    <xf numFmtId="49" fontId="12" fillId="10" borderId="9" xfId="0" applyNumberFormat="1" applyFont="1" applyFill="1" applyBorder="1" applyAlignment="1">
      <alignment horizontal="left" vertical="center"/>
    </xf>
    <xf numFmtId="181" fontId="12" fillId="10" borderId="9" xfId="0" applyNumberFormat="1" applyFont="1" applyFill="1" applyBorder="1" applyAlignment="1">
      <alignment horizontal="center" vertical="center"/>
    </xf>
    <xf numFmtId="38" fontId="12" fillId="10" borderId="9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6" fillId="10" borderId="24" xfId="0" applyFont="1" applyFill="1" applyBorder="1">
      <alignment vertical="center"/>
    </xf>
    <xf numFmtId="183" fontId="16" fillId="10" borderId="12" xfId="0" applyNumberFormat="1" applyFont="1" applyFill="1" applyBorder="1">
      <alignment vertical="center"/>
    </xf>
    <xf numFmtId="38" fontId="16" fillId="10" borderId="9" xfId="0" applyNumberFormat="1" applyFont="1" applyFill="1" applyBorder="1">
      <alignment vertical="center"/>
    </xf>
    <xf numFmtId="183" fontId="0" fillId="10" borderId="9" xfId="0" applyNumberFormat="1" applyFill="1" applyBorder="1">
      <alignment vertical="center"/>
    </xf>
    <xf numFmtId="49" fontId="0" fillId="10" borderId="9" xfId="0" applyNumberFormat="1" applyFill="1" applyBorder="1" applyAlignment="1">
      <alignment horizontal="left" vertical="center"/>
    </xf>
    <xf numFmtId="0" fontId="10" fillId="10" borderId="12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5" fillId="10" borderId="12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9" fillId="8" borderId="9" xfId="3" applyFont="1" applyFill="1" applyBorder="1" applyAlignment="1">
      <alignment horizontal="center" vertical="center"/>
    </xf>
    <xf numFmtId="0" fontId="16" fillId="10" borderId="9" xfId="4" applyFont="1" applyFill="1" applyBorder="1" applyAlignment="1">
      <alignment horizontal="center" vertical="center"/>
    </xf>
    <xf numFmtId="176" fontId="0" fillId="0" borderId="6" xfId="0" applyNumberFormat="1" applyBorder="1" applyAlignment="1"/>
    <xf numFmtId="49" fontId="5" fillId="0" borderId="3" xfId="0" applyNumberFormat="1" applyFont="1" applyBorder="1" applyAlignment="1">
      <alignment vertical="center" shrinkToFit="1"/>
    </xf>
    <xf numFmtId="0" fontId="2" fillId="12" borderId="9" xfId="0" applyFont="1" applyFill="1" applyBorder="1" applyAlignment="1">
      <alignment horizontal="center" vertical="center"/>
    </xf>
    <xf numFmtId="176" fontId="7" fillId="0" borderId="9" xfId="0" applyNumberFormat="1" applyFont="1" applyBorder="1">
      <alignment vertical="center"/>
    </xf>
    <xf numFmtId="176" fontId="0" fillId="0" borderId="7" xfId="0" applyNumberFormat="1" applyBorder="1">
      <alignment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25" fillId="0" borderId="9" xfId="0" applyNumberFormat="1" applyFont="1" applyBorder="1">
      <alignment vertical="center"/>
    </xf>
    <xf numFmtId="3" fontId="2" fillId="0" borderId="9" xfId="0" applyNumberFormat="1" applyFont="1" applyBorder="1" applyAlignment="1">
      <alignment horizontal="center" vertical="center"/>
    </xf>
    <xf numFmtId="184" fontId="25" fillId="6" borderId="9" xfId="0" applyNumberFormat="1" applyFont="1" applyFill="1" applyBorder="1" applyAlignment="1">
      <alignment horizontal="center" vertical="center"/>
    </xf>
    <xf numFmtId="176" fontId="25" fillId="3" borderId="26" xfId="0" applyNumberFormat="1" applyFont="1" applyFill="1" applyBorder="1" applyAlignment="1">
      <alignment horizontal="center" vertical="center"/>
    </xf>
    <xf numFmtId="176" fontId="25" fillId="3" borderId="8" xfId="0" applyNumberFormat="1" applyFont="1" applyFill="1" applyBorder="1" applyAlignment="1">
      <alignment horizontal="center" vertical="center"/>
    </xf>
    <xf numFmtId="176" fontId="25" fillId="6" borderId="9" xfId="0" applyNumberFormat="1" applyFont="1" applyFill="1" applyBorder="1" applyAlignment="1">
      <alignment horizontal="center" vertical="center"/>
    </xf>
    <xf numFmtId="176" fontId="25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10" fillId="0" borderId="11" xfId="0" applyNumberFormat="1" applyFont="1" applyBorder="1" applyAlignment="1"/>
    <xf numFmtId="179" fontId="0" fillId="0" borderId="9" xfId="0" applyNumberFormat="1" applyBorder="1" applyAlignment="1">
      <alignment horizontal="center"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3" fontId="22" fillId="7" borderId="11" xfId="0" applyNumberFormat="1" applyFont="1" applyFill="1" applyBorder="1" applyAlignment="1">
      <alignment horizontal="center" vertical="center"/>
    </xf>
    <xf numFmtId="3" fontId="22" fillId="7" borderId="16" xfId="0" applyNumberFormat="1" applyFont="1" applyFill="1" applyBorder="1" applyAlignment="1">
      <alignment horizontal="center" vertical="center"/>
    </xf>
    <xf numFmtId="3" fontId="22" fillId="7" borderId="1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2" fillId="7" borderId="11" xfId="0" applyNumberFormat="1" applyFont="1" applyFill="1" applyBorder="1" applyAlignment="1">
      <alignment horizontal="center" vertical="center"/>
    </xf>
    <xf numFmtId="3" fontId="2" fillId="7" borderId="16" xfId="0" applyNumberFormat="1" applyFont="1" applyFill="1" applyBorder="1" applyAlignment="1">
      <alignment horizontal="center" vertical="center"/>
    </xf>
    <xf numFmtId="3" fontId="2" fillId="7" borderId="1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78" fontId="0" fillId="5" borderId="9" xfId="0" applyNumberForma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1026/1684/?t.mpn=a8110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notaro.com/p/3989/6754/?t.mpn=ir1010-01bea-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17"/>
  <sheetViews>
    <sheetView tabSelected="1" zoomScale="90" zoomScaleNormal="90" workbookViewId="0">
      <pane xSplit="11" ySplit="8" topLeftCell="Q153" activePane="bottomRight" state="frozen"/>
      <selection activeCell="D26" sqref="D26"/>
      <selection pane="topRight" activeCell="D26" sqref="D26"/>
      <selection pane="bottomLeft" activeCell="D26" sqref="D26"/>
      <selection pane="bottomRight" activeCell="R172" sqref="R172"/>
    </sheetView>
  </sheetViews>
  <sheetFormatPr defaultColWidth="11.75" defaultRowHeight="13.5" customHeight="1"/>
  <cols>
    <col min="1" max="1" width="18.625" customWidth="1"/>
    <col min="2" max="2" width="17" customWidth="1"/>
    <col min="3" max="3" width="6.25" style="5" customWidth="1"/>
    <col min="4" max="4" width="15.25" customWidth="1"/>
    <col min="5" max="5" width="15.5" customWidth="1"/>
    <col min="6" max="6" width="63.875" customWidth="1"/>
    <col min="7" max="7" width="10.75" style="5" customWidth="1"/>
    <col min="8" max="9" width="12.125" style="5" customWidth="1"/>
    <col min="10" max="10" width="7.125" style="10" customWidth="1"/>
    <col min="11" max="11" width="41.625" customWidth="1"/>
    <col min="12" max="12" width="45.25" customWidth="1"/>
    <col min="13" max="13" width="8.125" style="5" customWidth="1"/>
    <col min="14" max="14" width="17" style="5" customWidth="1"/>
    <col min="15" max="15" width="9.25" customWidth="1"/>
    <col min="16" max="16" width="16.375" style="5" customWidth="1"/>
    <col min="17" max="17" width="17.875" style="44" customWidth="1"/>
    <col min="18" max="18" width="13" style="44" customWidth="1"/>
  </cols>
  <sheetData>
    <row r="2" spans="1:18" ht="20.100000000000001" customHeight="1">
      <c r="C2" s="310" t="s">
        <v>0</v>
      </c>
      <c r="D2" s="310"/>
      <c r="E2" s="310"/>
      <c r="F2" s="26" t="s">
        <v>339</v>
      </c>
      <c r="H2" s="325" t="s">
        <v>1</v>
      </c>
      <c r="I2" s="326"/>
      <c r="J2" s="327"/>
      <c r="K2" s="9">
        <f>SUM(I:I)</f>
        <v>439629</v>
      </c>
    </row>
    <row r="3" spans="1:18" ht="20.100000000000001" customHeight="1">
      <c r="C3" s="310" t="s">
        <v>2</v>
      </c>
      <c r="D3" s="310"/>
      <c r="E3" s="310"/>
      <c r="F3" s="7" t="s">
        <v>340</v>
      </c>
    </row>
    <row r="4" spans="1:18" ht="20.100000000000001" customHeight="1">
      <c r="C4" s="310" t="s">
        <v>3</v>
      </c>
      <c r="D4" s="310"/>
      <c r="E4" s="310"/>
      <c r="F4" s="7" t="s">
        <v>338</v>
      </c>
      <c r="H4" s="328" t="s">
        <v>361</v>
      </c>
      <c r="I4" s="328"/>
      <c r="J4" s="328"/>
      <c r="K4" s="328"/>
      <c r="L4" s="80"/>
    </row>
    <row r="5" spans="1:18" ht="20.100000000000001" customHeight="1">
      <c r="C5" s="310" t="s">
        <v>4</v>
      </c>
      <c r="D5" s="310"/>
      <c r="E5" s="310"/>
      <c r="F5" s="8">
        <v>45162</v>
      </c>
      <c r="H5" s="328"/>
      <c r="I5" s="328"/>
      <c r="J5" s="328"/>
      <c r="K5" s="328"/>
    </row>
    <row r="6" spans="1:18" ht="20.100000000000001" customHeight="1">
      <c r="C6" s="310" t="s">
        <v>5</v>
      </c>
      <c r="D6" s="310"/>
      <c r="E6" s="310"/>
      <c r="F6" s="8">
        <v>45166</v>
      </c>
      <c r="H6" s="318" t="s">
        <v>393</v>
      </c>
      <c r="I6" s="318"/>
      <c r="J6" s="318"/>
      <c r="K6" s="318"/>
    </row>
    <row r="8" spans="1:18" s="5" customFormat="1" ht="19.5" customHeight="1">
      <c r="B8" s="126" t="s">
        <v>202</v>
      </c>
      <c r="C8" s="125" t="s">
        <v>6</v>
      </c>
      <c r="D8" s="2" t="s">
        <v>7</v>
      </c>
      <c r="E8" s="2" t="s">
        <v>8</v>
      </c>
      <c r="F8" s="21" t="s">
        <v>9</v>
      </c>
      <c r="G8" s="21" t="s">
        <v>10</v>
      </c>
      <c r="H8" s="21" t="s">
        <v>11</v>
      </c>
      <c r="I8" s="1" t="s">
        <v>12</v>
      </c>
      <c r="J8" s="1" t="s">
        <v>13</v>
      </c>
      <c r="K8" s="21" t="s">
        <v>14</v>
      </c>
      <c r="L8" s="21" t="s">
        <v>15</v>
      </c>
      <c r="M8" s="21" t="s">
        <v>16</v>
      </c>
      <c r="N8" s="23" t="s">
        <v>17</v>
      </c>
      <c r="O8" s="2" t="s">
        <v>18</v>
      </c>
      <c r="P8" s="21" t="s">
        <v>19</v>
      </c>
      <c r="Q8" s="23" t="s">
        <v>20</v>
      </c>
      <c r="R8" s="6" t="s">
        <v>21</v>
      </c>
    </row>
    <row r="9" spans="1:18" s="5" customFormat="1" ht="19.5" customHeight="1">
      <c r="C9" s="319" t="s">
        <v>306</v>
      </c>
      <c r="D9" s="320"/>
      <c r="E9" s="320"/>
      <c r="F9" s="321"/>
      <c r="G9" s="19"/>
      <c r="H9" s="19"/>
      <c r="I9" s="19"/>
      <c r="J9" s="11"/>
      <c r="K9" s="20"/>
      <c r="L9" s="21"/>
      <c r="M9" s="21"/>
      <c r="N9" s="23"/>
      <c r="O9" s="2"/>
      <c r="P9" s="21"/>
      <c r="Q9" s="23"/>
      <c r="R9" s="6"/>
    </row>
    <row r="10" spans="1:18" s="5" customFormat="1" ht="19.5" customHeight="1">
      <c r="A10" s="206"/>
      <c r="B10" s="167">
        <v>1</v>
      </c>
      <c r="C10" s="166">
        <v>1</v>
      </c>
      <c r="D10" s="168" t="s">
        <v>307</v>
      </c>
      <c r="E10" s="168" t="s">
        <v>307</v>
      </c>
      <c r="F10" s="169" t="s">
        <v>310</v>
      </c>
      <c r="G10" s="170">
        <v>1</v>
      </c>
      <c r="H10" s="168">
        <v>0</v>
      </c>
      <c r="I10" s="171">
        <v>0</v>
      </c>
      <c r="J10" s="172"/>
      <c r="K10" s="169" t="s">
        <v>394</v>
      </c>
      <c r="L10" s="173" t="s">
        <v>395</v>
      </c>
      <c r="M10" s="173"/>
      <c r="N10" s="23"/>
      <c r="O10" s="2"/>
      <c r="P10" s="21"/>
      <c r="Q10" s="23"/>
      <c r="R10" s="12">
        <v>45156</v>
      </c>
    </row>
    <row r="11" spans="1:18" s="5" customFormat="1" ht="19.5" customHeight="1">
      <c r="A11" s="206"/>
      <c r="B11" s="167">
        <v>1</v>
      </c>
      <c r="C11" s="141">
        <f>C10+1</f>
        <v>2</v>
      </c>
      <c r="D11" s="168" t="s">
        <v>307</v>
      </c>
      <c r="E11" s="168" t="s">
        <v>307</v>
      </c>
      <c r="F11" s="169" t="s">
        <v>365</v>
      </c>
      <c r="G11" s="170">
        <v>1</v>
      </c>
      <c r="H11" s="168">
        <v>0</v>
      </c>
      <c r="I11" s="171">
        <v>0</v>
      </c>
      <c r="J11" s="172"/>
      <c r="K11" s="169" t="s">
        <v>366</v>
      </c>
      <c r="L11" s="173" t="s">
        <v>395</v>
      </c>
      <c r="M11" s="173"/>
      <c r="N11" s="23"/>
      <c r="O11" s="2"/>
      <c r="P11" s="21"/>
      <c r="Q11" s="23"/>
      <c r="R11" s="12">
        <v>45156</v>
      </c>
    </row>
    <row r="12" spans="1:18" s="5" customFormat="1" ht="19.5" customHeight="1">
      <c r="A12" s="206"/>
      <c r="B12" s="167">
        <v>1</v>
      </c>
      <c r="C12" s="141">
        <f t="shared" ref="C12:C13" si="0">C11+1</f>
        <v>3</v>
      </c>
      <c r="D12" s="168" t="s">
        <v>307</v>
      </c>
      <c r="E12" s="168" t="s">
        <v>307</v>
      </c>
      <c r="F12" s="174" t="s">
        <v>308</v>
      </c>
      <c r="G12" s="170">
        <v>1</v>
      </c>
      <c r="H12" s="168">
        <v>0</v>
      </c>
      <c r="I12" s="168">
        <v>0</v>
      </c>
      <c r="J12" s="172"/>
      <c r="K12" s="169"/>
      <c r="L12" s="173" t="s">
        <v>395</v>
      </c>
      <c r="M12" s="173"/>
      <c r="N12" s="23"/>
      <c r="O12" s="2"/>
      <c r="P12" s="21"/>
      <c r="Q12" s="23"/>
      <c r="R12" s="6"/>
    </row>
    <row r="13" spans="1:18" s="5" customFormat="1" ht="19.5" customHeight="1">
      <c r="A13" s="206"/>
      <c r="B13" s="167">
        <v>1</v>
      </c>
      <c r="C13" s="141">
        <f t="shared" si="0"/>
        <v>4</v>
      </c>
      <c r="D13" s="175" t="s">
        <v>307</v>
      </c>
      <c r="E13" s="175" t="s">
        <v>307</v>
      </c>
      <c r="F13" s="176" t="s">
        <v>309</v>
      </c>
      <c r="G13" s="177">
        <v>1</v>
      </c>
      <c r="H13" s="178">
        <v>0</v>
      </c>
      <c r="I13" s="178">
        <v>0</v>
      </c>
      <c r="J13" s="179"/>
      <c r="K13" s="180"/>
      <c r="L13" s="173" t="s">
        <v>395</v>
      </c>
      <c r="M13" s="173"/>
      <c r="N13" s="23"/>
      <c r="O13" s="2"/>
      <c r="P13" s="21"/>
      <c r="Q13" s="23"/>
      <c r="R13" s="6"/>
    </row>
    <row r="14" spans="1:18" s="5" customFormat="1" ht="19.5" customHeight="1">
      <c r="C14" s="165"/>
      <c r="D14" s="166"/>
      <c r="E14" s="166"/>
      <c r="F14" s="103"/>
      <c r="G14" s="19"/>
      <c r="H14" s="19"/>
      <c r="I14" s="19"/>
      <c r="J14" s="11"/>
      <c r="K14" s="20"/>
      <c r="L14" s="21"/>
      <c r="M14" s="21"/>
      <c r="N14" s="23"/>
      <c r="O14" s="2"/>
      <c r="P14" s="21"/>
      <c r="Q14" s="23"/>
      <c r="R14" s="6"/>
    </row>
    <row r="15" spans="1:18" s="5" customFormat="1" ht="19.5" customHeight="1">
      <c r="C15" s="165"/>
      <c r="D15" s="166"/>
      <c r="E15" s="166"/>
      <c r="F15" s="103"/>
      <c r="G15" s="19"/>
      <c r="H15" s="19"/>
      <c r="I15" s="19"/>
      <c r="J15" s="11"/>
      <c r="K15" s="20"/>
      <c r="L15" s="21"/>
      <c r="M15" s="21"/>
      <c r="N15" s="23"/>
      <c r="O15" s="2"/>
      <c r="P15" s="21"/>
      <c r="Q15" s="23"/>
      <c r="R15" s="6"/>
    </row>
    <row r="16" spans="1:18" s="5" customFormat="1" ht="19.5" customHeight="1">
      <c r="C16" s="165"/>
      <c r="D16" s="166"/>
      <c r="E16" s="166"/>
      <c r="F16" s="103"/>
      <c r="G16" s="19"/>
      <c r="H16" s="19"/>
      <c r="I16" s="19"/>
      <c r="J16" s="11"/>
      <c r="K16" s="20"/>
      <c r="L16" s="21"/>
      <c r="M16" s="21"/>
      <c r="N16" s="23"/>
      <c r="O16" s="2"/>
      <c r="P16" s="21"/>
      <c r="Q16" s="23"/>
      <c r="R16" s="6"/>
    </row>
    <row r="17" spans="1:18" ht="18" customHeight="1">
      <c r="C17" s="311" t="s">
        <v>22</v>
      </c>
      <c r="D17" s="312"/>
      <c r="E17" s="312"/>
      <c r="F17" s="313"/>
      <c r="G17" s="28"/>
      <c r="H17" s="28"/>
      <c r="I17" s="19"/>
      <c r="J17" s="11"/>
      <c r="K17" s="13"/>
      <c r="L17" s="22"/>
      <c r="M17" s="3"/>
      <c r="N17" s="23"/>
      <c r="O17" s="6"/>
      <c r="P17" s="6"/>
      <c r="Q17" s="23"/>
      <c r="R17" s="12"/>
    </row>
    <row r="18" spans="1:18" ht="18" customHeight="1">
      <c r="A18" s="187" t="s">
        <v>161</v>
      </c>
      <c r="B18" s="182">
        <v>3</v>
      </c>
      <c r="C18" s="141">
        <f>C13+1</f>
        <v>5</v>
      </c>
      <c r="D18" s="36" t="s">
        <v>29</v>
      </c>
      <c r="E18" s="36" t="s">
        <v>29</v>
      </c>
      <c r="F18" s="220" t="s">
        <v>146</v>
      </c>
      <c r="G18" s="238">
        <v>2</v>
      </c>
      <c r="H18" s="256">
        <v>1200</v>
      </c>
      <c r="I18" s="48">
        <f t="shared" ref="I18:I75" si="1">G18*H18</f>
        <v>2400</v>
      </c>
      <c r="J18" s="55"/>
      <c r="K18" s="68" t="s">
        <v>160</v>
      </c>
      <c r="L18" s="99"/>
      <c r="M18" s="32"/>
      <c r="N18" s="43">
        <v>45141</v>
      </c>
      <c r="O18" s="30"/>
      <c r="P18" s="43">
        <v>45162</v>
      </c>
      <c r="Q18" s="43">
        <v>45162</v>
      </c>
      <c r="R18" s="41">
        <v>45162</v>
      </c>
    </row>
    <row r="19" spans="1:18" ht="18" customHeight="1">
      <c r="A19" s="187" t="s">
        <v>161</v>
      </c>
      <c r="B19" s="182">
        <v>3</v>
      </c>
      <c r="C19" s="29">
        <f>C18+1</f>
        <v>6</v>
      </c>
      <c r="D19" s="36" t="s">
        <v>29</v>
      </c>
      <c r="E19" s="36" t="s">
        <v>29</v>
      </c>
      <c r="F19" s="220" t="s">
        <v>204</v>
      </c>
      <c r="G19" s="238">
        <v>1</v>
      </c>
      <c r="H19" s="256">
        <v>1120</v>
      </c>
      <c r="I19" s="48">
        <f t="shared" si="1"/>
        <v>1120</v>
      </c>
      <c r="J19" s="55"/>
      <c r="K19" s="68" t="s">
        <v>160</v>
      </c>
      <c r="L19" s="99"/>
      <c r="M19" s="32"/>
      <c r="N19" s="43">
        <v>45141</v>
      </c>
      <c r="O19" s="30"/>
      <c r="P19" s="43">
        <v>45162</v>
      </c>
      <c r="Q19" s="43">
        <v>45162</v>
      </c>
      <c r="R19" s="41">
        <v>45162</v>
      </c>
    </row>
    <row r="20" spans="1:18" ht="18" customHeight="1">
      <c r="A20" s="187" t="s">
        <v>152</v>
      </c>
      <c r="B20" s="182">
        <v>3</v>
      </c>
      <c r="C20" s="29">
        <f t="shared" ref="C20:C79" si="2">C19+1</f>
        <v>7</v>
      </c>
      <c r="D20" s="117" t="s">
        <v>100</v>
      </c>
      <c r="E20" s="117" t="s">
        <v>29</v>
      </c>
      <c r="F20" s="220" t="s">
        <v>281</v>
      </c>
      <c r="G20" s="256">
        <v>1</v>
      </c>
      <c r="H20" s="256">
        <v>17487</v>
      </c>
      <c r="I20" s="48">
        <f t="shared" si="1"/>
        <v>17487</v>
      </c>
      <c r="J20" s="61"/>
      <c r="K20" s="68" t="s">
        <v>275</v>
      </c>
      <c r="L20" s="99"/>
      <c r="M20" s="32"/>
      <c r="N20" s="43">
        <v>45141</v>
      </c>
      <c r="O20" s="30"/>
      <c r="P20" s="43">
        <v>45162</v>
      </c>
      <c r="Q20" s="43">
        <v>45162</v>
      </c>
      <c r="R20" s="41">
        <v>45162</v>
      </c>
    </row>
    <row r="21" spans="1:18" ht="18" customHeight="1">
      <c r="A21" s="187" t="s">
        <v>115</v>
      </c>
      <c r="B21" s="182">
        <v>3</v>
      </c>
      <c r="C21" s="29">
        <f t="shared" si="2"/>
        <v>8</v>
      </c>
      <c r="D21" s="36" t="s">
        <v>29</v>
      </c>
      <c r="E21" s="36" t="s">
        <v>29</v>
      </c>
      <c r="F21" s="220" t="s">
        <v>118</v>
      </c>
      <c r="G21" s="256">
        <v>2</v>
      </c>
      <c r="H21" s="256">
        <v>1320</v>
      </c>
      <c r="I21" s="48">
        <f t="shared" si="1"/>
        <v>2640</v>
      </c>
      <c r="J21" s="55"/>
      <c r="K21" s="56" t="s">
        <v>79</v>
      </c>
      <c r="L21" s="99"/>
      <c r="M21" s="32"/>
      <c r="N21" s="43">
        <v>45141</v>
      </c>
      <c r="O21" s="30"/>
      <c r="P21" s="43">
        <v>45162</v>
      </c>
      <c r="Q21" s="43">
        <v>45162</v>
      </c>
      <c r="R21" s="41">
        <v>45162</v>
      </c>
    </row>
    <row r="22" spans="1:18" ht="18" customHeight="1">
      <c r="A22" s="206" t="s">
        <v>114</v>
      </c>
      <c r="B22" s="182">
        <v>3</v>
      </c>
      <c r="C22" s="29">
        <f t="shared" si="2"/>
        <v>9</v>
      </c>
      <c r="D22" s="36" t="s">
        <v>29</v>
      </c>
      <c r="E22" s="36" t="s">
        <v>29</v>
      </c>
      <c r="F22" s="115" t="s">
        <v>119</v>
      </c>
      <c r="G22" s="74"/>
      <c r="H22" s="74">
        <v>19</v>
      </c>
      <c r="I22" s="74">
        <f t="shared" si="1"/>
        <v>0</v>
      </c>
      <c r="J22" s="61"/>
      <c r="K22" s="68" t="s">
        <v>169</v>
      </c>
      <c r="L22" s="99"/>
      <c r="M22" s="32"/>
      <c r="N22" s="43"/>
      <c r="O22" s="30"/>
      <c r="P22" s="43"/>
      <c r="Q22" s="43"/>
      <c r="R22" s="41"/>
    </row>
    <row r="23" spans="1:18" ht="18" customHeight="1">
      <c r="A23" s="206" t="s">
        <v>114</v>
      </c>
      <c r="B23" s="182">
        <v>3</v>
      </c>
      <c r="C23" s="29">
        <f t="shared" si="2"/>
        <v>10</v>
      </c>
      <c r="D23" s="36" t="s">
        <v>29</v>
      </c>
      <c r="E23" s="36" t="s">
        <v>29</v>
      </c>
      <c r="F23" s="115" t="s">
        <v>120</v>
      </c>
      <c r="G23" s="74"/>
      <c r="H23" s="74">
        <v>23</v>
      </c>
      <c r="I23" s="74">
        <f t="shared" si="1"/>
        <v>0</v>
      </c>
      <c r="J23" s="61"/>
      <c r="K23" s="68" t="s">
        <v>176</v>
      </c>
      <c r="L23" s="99"/>
      <c r="M23" s="32"/>
      <c r="N23" s="43"/>
      <c r="O23" s="30"/>
      <c r="P23" s="43"/>
      <c r="Q23" s="43"/>
      <c r="R23" s="41"/>
    </row>
    <row r="24" spans="1:18" ht="18" customHeight="1">
      <c r="A24" s="206" t="s">
        <v>114</v>
      </c>
      <c r="B24" s="182">
        <v>3</v>
      </c>
      <c r="C24" s="29">
        <f t="shared" si="2"/>
        <v>11</v>
      </c>
      <c r="D24" s="36" t="s">
        <v>29</v>
      </c>
      <c r="E24" s="36" t="s">
        <v>29</v>
      </c>
      <c r="F24" s="115" t="s">
        <v>122</v>
      </c>
      <c r="G24" s="74"/>
      <c r="H24" s="74">
        <v>23</v>
      </c>
      <c r="I24" s="74">
        <f t="shared" si="1"/>
        <v>0</v>
      </c>
      <c r="J24" s="61"/>
      <c r="K24" s="68" t="s">
        <v>178</v>
      </c>
      <c r="L24" s="99"/>
      <c r="M24" s="32"/>
      <c r="N24" s="43"/>
      <c r="O24" s="30"/>
      <c r="P24" s="43"/>
      <c r="Q24" s="43"/>
      <c r="R24" s="41"/>
    </row>
    <row r="25" spans="1:18" ht="18" customHeight="1">
      <c r="A25" s="206" t="s">
        <v>114</v>
      </c>
      <c r="B25" s="182">
        <v>3</v>
      </c>
      <c r="C25" s="29">
        <f t="shared" si="2"/>
        <v>12</v>
      </c>
      <c r="D25" s="36" t="s">
        <v>29</v>
      </c>
      <c r="E25" s="36" t="s">
        <v>29</v>
      </c>
      <c r="F25" s="239" t="s">
        <v>129</v>
      </c>
      <c r="G25" s="242">
        <v>4</v>
      </c>
      <c r="H25" s="256">
        <v>70</v>
      </c>
      <c r="I25" s="48">
        <f t="shared" si="1"/>
        <v>280</v>
      </c>
      <c r="J25" s="61"/>
      <c r="K25" s="118" t="s">
        <v>270</v>
      </c>
      <c r="L25" s="99"/>
      <c r="M25" s="32"/>
      <c r="N25" s="43">
        <v>45141</v>
      </c>
      <c r="O25" s="30"/>
      <c r="P25" s="43">
        <v>45162</v>
      </c>
      <c r="Q25" s="43">
        <v>45162</v>
      </c>
      <c r="R25" s="41">
        <v>45162</v>
      </c>
    </row>
    <row r="26" spans="1:18" ht="18" customHeight="1">
      <c r="A26" s="187" t="s">
        <v>152</v>
      </c>
      <c r="B26" s="182">
        <v>3</v>
      </c>
      <c r="C26" s="29">
        <f t="shared" si="2"/>
        <v>13</v>
      </c>
      <c r="D26" s="117" t="s">
        <v>100</v>
      </c>
      <c r="E26" s="117" t="s">
        <v>29</v>
      </c>
      <c r="F26" s="220" t="s">
        <v>151</v>
      </c>
      <c r="G26" s="256">
        <v>1</v>
      </c>
      <c r="H26" s="256">
        <v>6380</v>
      </c>
      <c r="I26" s="48">
        <f t="shared" si="1"/>
        <v>6380</v>
      </c>
      <c r="J26" s="61"/>
      <c r="K26" s="68" t="s">
        <v>123</v>
      </c>
      <c r="L26" s="99"/>
      <c r="M26" s="32"/>
      <c r="N26" s="43">
        <v>45141</v>
      </c>
      <c r="O26" s="30"/>
      <c r="P26" s="43">
        <v>45162</v>
      </c>
      <c r="Q26" s="43">
        <v>45162</v>
      </c>
      <c r="R26" s="41">
        <v>45162</v>
      </c>
    </row>
    <row r="27" spans="1:18" ht="18" customHeight="1">
      <c r="A27" s="206" t="s">
        <v>114</v>
      </c>
      <c r="B27" s="182">
        <v>3</v>
      </c>
      <c r="C27" s="29">
        <f t="shared" si="2"/>
        <v>14</v>
      </c>
      <c r="D27" s="36" t="s">
        <v>29</v>
      </c>
      <c r="E27" s="36" t="s">
        <v>29</v>
      </c>
      <c r="F27" s="220" t="s">
        <v>124</v>
      </c>
      <c r="G27" s="256">
        <v>2</v>
      </c>
      <c r="H27" s="256">
        <v>144</v>
      </c>
      <c r="I27" s="48">
        <f t="shared" si="1"/>
        <v>288</v>
      </c>
      <c r="J27" s="61"/>
      <c r="K27" s="68" t="s">
        <v>289</v>
      </c>
      <c r="L27" s="99"/>
      <c r="M27" s="32"/>
      <c r="N27" s="43">
        <v>45141</v>
      </c>
      <c r="O27" s="30"/>
      <c r="P27" s="43">
        <v>45162</v>
      </c>
      <c r="Q27" s="43">
        <v>45162</v>
      </c>
      <c r="R27" s="41">
        <v>45162</v>
      </c>
    </row>
    <row r="28" spans="1:18" ht="18" customHeight="1">
      <c r="A28" s="206" t="s">
        <v>114</v>
      </c>
      <c r="B28" s="182">
        <v>3</v>
      </c>
      <c r="C28" s="29">
        <f t="shared" si="2"/>
        <v>15</v>
      </c>
      <c r="D28" s="36" t="s">
        <v>29</v>
      </c>
      <c r="E28" s="36" t="s">
        <v>29</v>
      </c>
      <c r="F28" s="115" t="s">
        <v>119</v>
      </c>
      <c r="G28" s="74"/>
      <c r="H28" s="74">
        <v>19</v>
      </c>
      <c r="I28" s="74">
        <f t="shared" si="1"/>
        <v>0</v>
      </c>
      <c r="J28" s="61"/>
      <c r="K28" s="68" t="s">
        <v>168</v>
      </c>
      <c r="L28" s="99"/>
      <c r="M28" s="32"/>
      <c r="N28" s="43"/>
      <c r="O28" s="30"/>
      <c r="P28" s="43"/>
      <c r="Q28" s="43"/>
      <c r="R28" s="41"/>
    </row>
    <row r="29" spans="1:18" ht="18" customHeight="1">
      <c r="A29" s="206" t="s">
        <v>114</v>
      </c>
      <c r="B29" s="182">
        <v>3</v>
      </c>
      <c r="C29" s="29">
        <f t="shared" si="2"/>
        <v>16</v>
      </c>
      <c r="D29" s="36" t="s">
        <v>29</v>
      </c>
      <c r="E29" s="36" t="s">
        <v>29</v>
      </c>
      <c r="F29" s="115" t="s">
        <v>125</v>
      </c>
      <c r="G29" s="74"/>
      <c r="H29" s="74">
        <v>23</v>
      </c>
      <c r="I29" s="74">
        <f t="shared" si="1"/>
        <v>0</v>
      </c>
      <c r="J29" s="61"/>
      <c r="K29" s="68" t="s">
        <v>177</v>
      </c>
      <c r="L29" s="99"/>
      <c r="M29" s="32"/>
      <c r="N29" s="43"/>
      <c r="O29" s="30"/>
      <c r="P29" s="43"/>
      <c r="Q29" s="43"/>
      <c r="R29" s="41"/>
    </row>
    <row r="30" spans="1:18" ht="18" customHeight="1">
      <c r="A30" s="187" t="s">
        <v>152</v>
      </c>
      <c r="B30" s="182">
        <v>3</v>
      </c>
      <c r="C30" s="29">
        <f t="shared" si="2"/>
        <v>17</v>
      </c>
      <c r="D30" s="117" t="s">
        <v>100</v>
      </c>
      <c r="E30" s="117" t="s">
        <v>29</v>
      </c>
      <c r="F30" s="220" t="s">
        <v>154</v>
      </c>
      <c r="G30" s="256">
        <v>1</v>
      </c>
      <c r="H30" s="256">
        <v>6397</v>
      </c>
      <c r="I30" s="48">
        <f t="shared" si="1"/>
        <v>6397</v>
      </c>
      <c r="J30" s="61"/>
      <c r="K30" s="68" t="s">
        <v>126</v>
      </c>
      <c r="L30" s="99"/>
      <c r="M30" s="32"/>
      <c r="N30" s="43">
        <v>45141</v>
      </c>
      <c r="O30" s="30"/>
      <c r="P30" s="43">
        <v>45162</v>
      </c>
      <c r="Q30" s="43">
        <v>45162</v>
      </c>
      <c r="R30" s="329">
        <v>45194</v>
      </c>
    </row>
    <row r="31" spans="1:18" ht="18" customHeight="1">
      <c r="A31" s="206" t="s">
        <v>114</v>
      </c>
      <c r="B31" s="182">
        <v>3</v>
      </c>
      <c r="C31" s="29">
        <f t="shared" si="2"/>
        <v>18</v>
      </c>
      <c r="D31" s="36" t="s">
        <v>29</v>
      </c>
      <c r="E31" s="36" t="s">
        <v>29</v>
      </c>
      <c r="F31" s="115" t="s">
        <v>129</v>
      </c>
      <c r="G31" s="151"/>
      <c r="H31" s="74">
        <v>70</v>
      </c>
      <c r="I31" s="74">
        <f t="shared" si="1"/>
        <v>0</v>
      </c>
      <c r="J31" s="61"/>
      <c r="K31" s="68" t="s">
        <v>170</v>
      </c>
      <c r="L31" s="99"/>
      <c r="M31" s="32"/>
      <c r="N31" s="43"/>
      <c r="O31" s="30"/>
      <c r="P31" s="43"/>
      <c r="Q31" s="43"/>
      <c r="R31" s="41"/>
    </row>
    <row r="32" spans="1:18" ht="18" customHeight="1">
      <c r="A32" s="206" t="s">
        <v>114</v>
      </c>
      <c r="B32" s="182">
        <v>3</v>
      </c>
      <c r="C32" s="29">
        <f t="shared" si="2"/>
        <v>19</v>
      </c>
      <c r="D32" s="36" t="s">
        <v>29</v>
      </c>
      <c r="E32" s="36" t="s">
        <v>29</v>
      </c>
      <c r="F32" s="115" t="s">
        <v>127</v>
      </c>
      <c r="G32" s="74"/>
      <c r="H32" s="74">
        <v>169</v>
      </c>
      <c r="I32" s="74">
        <f t="shared" si="1"/>
        <v>0</v>
      </c>
      <c r="J32" s="61"/>
      <c r="K32" s="68" t="s">
        <v>341</v>
      </c>
      <c r="L32" s="99"/>
      <c r="M32" s="32"/>
      <c r="N32" s="43"/>
      <c r="O32" s="30"/>
      <c r="P32" s="43"/>
      <c r="Q32" s="43"/>
      <c r="R32" s="41"/>
    </row>
    <row r="33" spans="1:18" ht="18" customHeight="1">
      <c r="A33" s="206" t="s">
        <v>114</v>
      </c>
      <c r="B33" s="182">
        <v>3</v>
      </c>
      <c r="C33" s="29">
        <f t="shared" si="2"/>
        <v>20</v>
      </c>
      <c r="D33" s="36" t="s">
        <v>29</v>
      </c>
      <c r="E33" s="36" t="s">
        <v>29</v>
      </c>
      <c r="F33" s="115" t="s">
        <v>119</v>
      </c>
      <c r="G33" s="74"/>
      <c r="H33" s="74">
        <v>19</v>
      </c>
      <c r="I33" s="74">
        <f t="shared" si="1"/>
        <v>0</v>
      </c>
      <c r="J33" s="61"/>
      <c r="K33" s="68" t="s">
        <v>167</v>
      </c>
      <c r="L33" s="99"/>
      <c r="M33" s="32"/>
      <c r="N33" s="43"/>
      <c r="O33" s="30"/>
      <c r="P33" s="43"/>
      <c r="Q33" s="43"/>
      <c r="R33" s="41"/>
    </row>
    <row r="34" spans="1:18" ht="18" customHeight="1">
      <c r="A34" s="206" t="s">
        <v>114</v>
      </c>
      <c r="B34" s="182">
        <v>3</v>
      </c>
      <c r="C34" s="29">
        <f t="shared" si="2"/>
        <v>21</v>
      </c>
      <c r="D34" s="36" t="s">
        <v>29</v>
      </c>
      <c r="E34" s="36" t="s">
        <v>29</v>
      </c>
      <c r="F34" s="115" t="s">
        <v>71</v>
      </c>
      <c r="G34" s="74"/>
      <c r="H34" s="74">
        <v>27</v>
      </c>
      <c r="I34" s="74">
        <f t="shared" si="1"/>
        <v>0</v>
      </c>
      <c r="J34" s="61"/>
      <c r="K34" s="68" t="s">
        <v>176</v>
      </c>
      <c r="L34" s="99"/>
      <c r="M34" s="32"/>
      <c r="N34" s="43"/>
      <c r="O34" s="30"/>
      <c r="P34" s="43"/>
      <c r="Q34" s="43"/>
      <c r="R34" s="41"/>
    </row>
    <row r="35" spans="1:18" ht="18" customHeight="1">
      <c r="A35" s="206" t="s">
        <v>114</v>
      </c>
      <c r="B35" s="182">
        <v>3</v>
      </c>
      <c r="C35" s="29">
        <f t="shared" si="2"/>
        <v>22</v>
      </c>
      <c r="D35" s="36" t="s">
        <v>29</v>
      </c>
      <c r="E35" s="36" t="s">
        <v>29</v>
      </c>
      <c r="F35" s="115" t="s">
        <v>122</v>
      </c>
      <c r="G35" s="74"/>
      <c r="H35" s="74">
        <v>23</v>
      </c>
      <c r="I35" s="74">
        <f t="shared" si="1"/>
        <v>0</v>
      </c>
      <c r="J35" s="61"/>
      <c r="K35" s="68" t="s">
        <v>173</v>
      </c>
      <c r="L35" s="99"/>
      <c r="M35" s="32"/>
      <c r="N35" s="43"/>
      <c r="O35" s="30"/>
      <c r="P35" s="43"/>
      <c r="Q35" s="43"/>
      <c r="R35" s="41"/>
    </row>
    <row r="36" spans="1:18" ht="18" customHeight="1">
      <c r="A36" s="187" t="s">
        <v>113</v>
      </c>
      <c r="B36" s="182">
        <v>3</v>
      </c>
      <c r="C36" s="29">
        <f t="shared" si="2"/>
        <v>23</v>
      </c>
      <c r="D36" s="36" t="s">
        <v>29</v>
      </c>
      <c r="E36" s="36" t="s">
        <v>29</v>
      </c>
      <c r="F36" s="220" t="s">
        <v>128</v>
      </c>
      <c r="G36" s="256">
        <v>1</v>
      </c>
      <c r="H36" s="256">
        <v>2110</v>
      </c>
      <c r="I36" s="48">
        <f t="shared" si="1"/>
        <v>2110</v>
      </c>
      <c r="J36" s="61"/>
      <c r="K36" s="68" t="s">
        <v>171</v>
      </c>
      <c r="L36" s="99"/>
      <c r="M36" s="32"/>
      <c r="N36" s="43">
        <v>45141</v>
      </c>
      <c r="O36" s="30"/>
      <c r="P36" s="43">
        <v>45162</v>
      </c>
      <c r="Q36" s="43">
        <v>45162</v>
      </c>
      <c r="R36" s="41">
        <v>45162</v>
      </c>
    </row>
    <row r="37" spans="1:18" ht="18" customHeight="1">
      <c r="A37" s="187" t="s">
        <v>152</v>
      </c>
      <c r="B37" s="182">
        <v>3</v>
      </c>
      <c r="C37" s="29">
        <f t="shared" si="2"/>
        <v>24</v>
      </c>
      <c r="D37" s="117" t="s">
        <v>100</v>
      </c>
      <c r="E37" s="117" t="s">
        <v>29</v>
      </c>
      <c r="F37" s="220" t="s">
        <v>155</v>
      </c>
      <c r="G37" s="256">
        <v>1</v>
      </c>
      <c r="H37" s="256">
        <v>5771</v>
      </c>
      <c r="I37" s="48">
        <f t="shared" si="1"/>
        <v>5771</v>
      </c>
      <c r="J37" s="61"/>
      <c r="K37" s="68" t="s">
        <v>130</v>
      </c>
      <c r="L37" s="99"/>
      <c r="M37" s="32"/>
      <c r="N37" s="43">
        <v>45141</v>
      </c>
      <c r="O37" s="30"/>
      <c r="P37" s="43">
        <v>45162</v>
      </c>
      <c r="Q37" s="43">
        <v>45162</v>
      </c>
      <c r="R37" s="41">
        <v>45162</v>
      </c>
    </row>
    <row r="38" spans="1:18" ht="18" customHeight="1">
      <c r="A38" s="206" t="s">
        <v>114</v>
      </c>
      <c r="B38" s="182">
        <v>3</v>
      </c>
      <c r="C38" s="29">
        <f t="shared" si="2"/>
        <v>25</v>
      </c>
      <c r="D38" s="36" t="s">
        <v>29</v>
      </c>
      <c r="E38" s="36" t="s">
        <v>29</v>
      </c>
      <c r="F38" s="220" t="s">
        <v>131</v>
      </c>
      <c r="G38" s="256">
        <v>1</v>
      </c>
      <c r="H38" s="238">
        <v>220</v>
      </c>
      <c r="I38" s="48">
        <f t="shared" si="1"/>
        <v>220</v>
      </c>
      <c r="J38" s="61"/>
      <c r="K38" s="118" t="s">
        <v>150</v>
      </c>
      <c r="L38" s="99"/>
      <c r="M38" s="32"/>
      <c r="N38" s="43">
        <v>45141</v>
      </c>
      <c r="O38" s="30"/>
      <c r="P38" s="43">
        <v>45162</v>
      </c>
      <c r="Q38" s="43">
        <v>45162</v>
      </c>
      <c r="R38" s="41">
        <v>45162</v>
      </c>
    </row>
    <row r="39" spans="1:18" ht="18" customHeight="1">
      <c r="A39" s="206" t="s">
        <v>114</v>
      </c>
      <c r="B39" s="182">
        <v>3</v>
      </c>
      <c r="C39" s="29">
        <f t="shared" si="2"/>
        <v>26</v>
      </c>
      <c r="D39" s="36" t="s">
        <v>29</v>
      </c>
      <c r="E39" s="36" t="s">
        <v>29</v>
      </c>
      <c r="F39" s="115" t="s">
        <v>71</v>
      </c>
      <c r="G39" s="74"/>
      <c r="H39" s="74">
        <v>27</v>
      </c>
      <c r="I39" s="74">
        <f t="shared" si="1"/>
        <v>0</v>
      </c>
      <c r="J39" s="61"/>
      <c r="K39" s="68" t="s">
        <v>175</v>
      </c>
      <c r="L39" s="99"/>
      <c r="M39" s="32"/>
      <c r="N39" s="43"/>
      <c r="O39" s="30"/>
      <c r="P39" s="43"/>
      <c r="Q39" s="43"/>
      <c r="R39" s="41"/>
    </row>
    <row r="40" spans="1:18" ht="18" customHeight="1">
      <c r="A40" s="206" t="s">
        <v>114</v>
      </c>
      <c r="B40" s="182">
        <v>3</v>
      </c>
      <c r="C40" s="29">
        <f t="shared" si="2"/>
        <v>27</v>
      </c>
      <c r="D40" s="36" t="s">
        <v>29</v>
      </c>
      <c r="E40" s="36" t="s">
        <v>29</v>
      </c>
      <c r="F40" s="220" t="s">
        <v>290</v>
      </c>
      <c r="G40" s="256">
        <v>1</v>
      </c>
      <c r="H40" s="256">
        <v>590</v>
      </c>
      <c r="I40" s="48">
        <f t="shared" si="1"/>
        <v>590</v>
      </c>
      <c r="J40" s="61"/>
      <c r="K40" s="68" t="s">
        <v>34</v>
      </c>
      <c r="L40" s="99"/>
      <c r="M40" s="32"/>
      <c r="N40" s="43">
        <v>45141</v>
      </c>
      <c r="O40" s="30"/>
      <c r="P40" s="43">
        <v>45162</v>
      </c>
      <c r="Q40" s="43">
        <v>45162</v>
      </c>
      <c r="R40" s="41">
        <v>45162</v>
      </c>
    </row>
    <row r="41" spans="1:18" ht="18" customHeight="1">
      <c r="A41" s="187" t="s">
        <v>152</v>
      </c>
      <c r="B41" s="182">
        <v>3</v>
      </c>
      <c r="C41" s="29">
        <f t="shared" si="2"/>
        <v>28</v>
      </c>
      <c r="D41" s="117" t="s">
        <v>100</v>
      </c>
      <c r="E41" s="117" t="s">
        <v>29</v>
      </c>
      <c r="F41" s="220" t="s">
        <v>157</v>
      </c>
      <c r="G41" s="256">
        <v>1</v>
      </c>
      <c r="H41" s="256">
        <v>6289</v>
      </c>
      <c r="I41" s="48">
        <f t="shared" si="1"/>
        <v>6289</v>
      </c>
      <c r="J41" s="61"/>
      <c r="K41" s="68" t="s">
        <v>132</v>
      </c>
      <c r="L41" s="99"/>
      <c r="M41" s="32"/>
      <c r="N41" s="43">
        <v>45141</v>
      </c>
      <c r="O41" s="30"/>
      <c r="P41" s="43">
        <v>45162</v>
      </c>
      <c r="Q41" s="43">
        <v>45162</v>
      </c>
      <c r="R41" s="329">
        <v>45163</v>
      </c>
    </row>
    <row r="42" spans="1:18" ht="18" customHeight="1">
      <c r="A42" s="187" t="s">
        <v>152</v>
      </c>
      <c r="B42" s="182">
        <v>3</v>
      </c>
      <c r="C42" s="29">
        <f t="shared" si="2"/>
        <v>29</v>
      </c>
      <c r="D42" s="117" t="s">
        <v>100</v>
      </c>
      <c r="E42" s="117" t="s">
        <v>29</v>
      </c>
      <c r="F42" s="259" t="s">
        <v>153</v>
      </c>
      <c r="G42" s="238">
        <v>1</v>
      </c>
      <c r="H42" s="256">
        <v>4957</v>
      </c>
      <c r="I42" s="48">
        <f t="shared" si="1"/>
        <v>4957</v>
      </c>
      <c r="J42" s="61"/>
      <c r="K42" s="68" t="s">
        <v>133</v>
      </c>
      <c r="L42" s="99"/>
      <c r="M42" s="32"/>
      <c r="N42" s="43">
        <v>45141</v>
      </c>
      <c r="O42" s="30"/>
      <c r="P42" s="43">
        <v>45162</v>
      </c>
      <c r="Q42" s="43">
        <v>45162</v>
      </c>
      <c r="R42" s="41">
        <v>45162</v>
      </c>
    </row>
    <row r="43" spans="1:18" ht="18" customHeight="1">
      <c r="A43" s="206" t="s">
        <v>114</v>
      </c>
      <c r="B43" s="182">
        <v>3</v>
      </c>
      <c r="C43" s="29">
        <f t="shared" si="2"/>
        <v>30</v>
      </c>
      <c r="D43" s="36" t="s">
        <v>29</v>
      </c>
      <c r="E43" s="36" t="s">
        <v>29</v>
      </c>
      <c r="F43" s="220" t="s">
        <v>134</v>
      </c>
      <c r="G43" s="238">
        <v>45</v>
      </c>
      <c r="H43" s="256">
        <v>19</v>
      </c>
      <c r="I43" s="48">
        <f t="shared" si="1"/>
        <v>855</v>
      </c>
      <c r="J43" s="61"/>
      <c r="K43" s="68" t="s">
        <v>205</v>
      </c>
      <c r="L43" s="99"/>
      <c r="M43" s="32"/>
      <c r="N43" s="43">
        <v>45141</v>
      </c>
      <c r="O43" s="30"/>
      <c r="P43" s="43">
        <v>45162</v>
      </c>
      <c r="Q43" s="43">
        <v>45162</v>
      </c>
      <c r="R43" s="41">
        <v>45162</v>
      </c>
    </row>
    <row r="44" spans="1:18" ht="18" customHeight="1">
      <c r="A44" s="206" t="s">
        <v>114</v>
      </c>
      <c r="B44" s="182">
        <v>3</v>
      </c>
      <c r="C44" s="29">
        <f t="shared" si="2"/>
        <v>31</v>
      </c>
      <c r="D44" s="36" t="s">
        <v>29</v>
      </c>
      <c r="E44" s="36" t="s">
        <v>29</v>
      </c>
      <c r="F44" s="115" t="s">
        <v>136</v>
      </c>
      <c r="G44" s="74"/>
      <c r="H44" s="74">
        <v>23</v>
      </c>
      <c r="I44" s="74">
        <f t="shared" si="1"/>
        <v>0</v>
      </c>
      <c r="J44" s="61"/>
      <c r="K44" s="68" t="s">
        <v>174</v>
      </c>
      <c r="L44" s="99"/>
      <c r="M44" s="32"/>
      <c r="N44" s="43"/>
      <c r="O44" s="30"/>
      <c r="P44" s="43"/>
      <c r="Q44" s="43"/>
      <c r="R44" s="41"/>
    </row>
    <row r="45" spans="1:18" ht="18" customHeight="1">
      <c r="A45" s="187" t="s">
        <v>77</v>
      </c>
      <c r="B45" s="182">
        <v>3</v>
      </c>
      <c r="C45" s="29">
        <f t="shared" si="2"/>
        <v>32</v>
      </c>
      <c r="D45" s="117" t="s">
        <v>100</v>
      </c>
      <c r="E45" s="117" t="s">
        <v>29</v>
      </c>
      <c r="F45" s="220" t="s">
        <v>148</v>
      </c>
      <c r="G45" s="256">
        <v>1</v>
      </c>
      <c r="H45" s="256">
        <v>8216</v>
      </c>
      <c r="I45" s="111">
        <f t="shared" si="1"/>
        <v>8216</v>
      </c>
      <c r="J45" s="55"/>
      <c r="K45" s="38" t="s">
        <v>149</v>
      </c>
      <c r="L45" s="99"/>
      <c r="M45" s="32"/>
      <c r="N45" s="43">
        <v>45141</v>
      </c>
      <c r="O45" s="30"/>
      <c r="P45" s="43">
        <v>45162</v>
      </c>
      <c r="Q45" s="43">
        <v>45162</v>
      </c>
      <c r="R45" s="41">
        <v>45162</v>
      </c>
    </row>
    <row r="46" spans="1:18" ht="18" customHeight="1">
      <c r="A46" s="206" t="s">
        <v>114</v>
      </c>
      <c r="B46" s="182">
        <v>3</v>
      </c>
      <c r="C46" s="29">
        <f t="shared" si="2"/>
        <v>33</v>
      </c>
      <c r="D46" s="36" t="s">
        <v>29</v>
      </c>
      <c r="E46" s="36" t="s">
        <v>29</v>
      </c>
      <c r="F46" s="115" t="s">
        <v>137</v>
      </c>
      <c r="G46" s="74"/>
      <c r="H46" s="74">
        <v>27</v>
      </c>
      <c r="I46" s="260">
        <f t="shared" si="1"/>
        <v>0</v>
      </c>
      <c r="J46" s="55"/>
      <c r="K46" s="68" t="s">
        <v>173</v>
      </c>
      <c r="L46" s="99"/>
      <c r="M46" s="32"/>
      <c r="N46" s="43"/>
      <c r="O46" s="30"/>
      <c r="P46" s="43"/>
      <c r="Q46" s="43"/>
      <c r="R46" s="41"/>
    </row>
    <row r="47" spans="1:18" ht="18" customHeight="1">
      <c r="A47" s="206" t="s">
        <v>114</v>
      </c>
      <c r="B47" s="182">
        <v>3</v>
      </c>
      <c r="C47" s="29">
        <f t="shared" si="2"/>
        <v>34</v>
      </c>
      <c r="D47" s="36" t="s">
        <v>29</v>
      </c>
      <c r="E47" s="36" t="s">
        <v>29</v>
      </c>
      <c r="F47" s="220" t="s">
        <v>138</v>
      </c>
      <c r="G47" s="256">
        <v>1</v>
      </c>
      <c r="H47" s="238">
        <v>226</v>
      </c>
      <c r="I47" s="111">
        <f t="shared" si="1"/>
        <v>226</v>
      </c>
      <c r="J47" s="55"/>
      <c r="K47" s="68" t="s">
        <v>121</v>
      </c>
      <c r="L47" s="99"/>
      <c r="M47" s="32"/>
      <c r="N47" s="43">
        <v>45141</v>
      </c>
      <c r="O47" s="30"/>
      <c r="P47" s="43">
        <v>45162</v>
      </c>
      <c r="Q47" s="43">
        <v>45162</v>
      </c>
      <c r="R47" s="41">
        <v>45162</v>
      </c>
    </row>
    <row r="48" spans="1:18" ht="18" customHeight="1">
      <c r="A48" s="206" t="s">
        <v>114</v>
      </c>
      <c r="B48" s="182">
        <v>3</v>
      </c>
      <c r="C48" s="29">
        <f t="shared" si="2"/>
        <v>35</v>
      </c>
      <c r="D48" s="36" t="s">
        <v>29</v>
      </c>
      <c r="E48" s="36" t="s">
        <v>29</v>
      </c>
      <c r="F48" s="220" t="s">
        <v>139</v>
      </c>
      <c r="G48" s="238">
        <v>4</v>
      </c>
      <c r="H48" s="256">
        <v>169</v>
      </c>
      <c r="I48" s="111">
        <f t="shared" si="1"/>
        <v>676</v>
      </c>
      <c r="J48" s="55"/>
      <c r="K48" s="68" t="s">
        <v>135</v>
      </c>
      <c r="L48" s="99"/>
      <c r="M48" s="32"/>
      <c r="N48" s="43">
        <v>45141</v>
      </c>
      <c r="O48" s="30"/>
      <c r="P48" s="43">
        <v>45162</v>
      </c>
      <c r="Q48" s="43">
        <v>45162</v>
      </c>
      <c r="R48" s="41">
        <v>45162</v>
      </c>
    </row>
    <row r="49" spans="1:18" ht="18" customHeight="1">
      <c r="A49" s="187" t="s">
        <v>152</v>
      </c>
      <c r="B49" s="182">
        <v>3</v>
      </c>
      <c r="C49" s="29">
        <f t="shared" si="2"/>
        <v>36</v>
      </c>
      <c r="D49" s="117" t="s">
        <v>100</v>
      </c>
      <c r="E49" s="117" t="s">
        <v>29</v>
      </c>
      <c r="F49" s="220" t="s">
        <v>156</v>
      </c>
      <c r="G49" s="238">
        <v>2</v>
      </c>
      <c r="H49" s="256">
        <v>4896</v>
      </c>
      <c r="I49" s="111">
        <f t="shared" si="1"/>
        <v>9792</v>
      </c>
      <c r="J49" s="55"/>
      <c r="K49" s="68" t="s">
        <v>140</v>
      </c>
      <c r="L49" s="99"/>
      <c r="M49" s="32"/>
      <c r="N49" s="43">
        <v>45141</v>
      </c>
      <c r="O49" s="30"/>
      <c r="P49" s="43">
        <v>45162</v>
      </c>
      <c r="Q49" s="43">
        <v>45162</v>
      </c>
      <c r="R49" s="41">
        <v>45162</v>
      </c>
    </row>
    <row r="50" spans="1:18" ht="18" customHeight="1">
      <c r="A50" s="206" t="s">
        <v>114</v>
      </c>
      <c r="B50" s="182">
        <v>3</v>
      </c>
      <c r="C50" s="29">
        <f t="shared" si="2"/>
        <v>37</v>
      </c>
      <c r="D50" s="36" t="s">
        <v>29</v>
      </c>
      <c r="E50" s="36" t="s">
        <v>29</v>
      </c>
      <c r="F50" s="220" t="s">
        <v>141</v>
      </c>
      <c r="G50" s="238">
        <v>2</v>
      </c>
      <c r="H50" s="256">
        <v>870</v>
      </c>
      <c r="I50" s="111">
        <f t="shared" si="1"/>
        <v>1740</v>
      </c>
      <c r="J50" s="55"/>
      <c r="K50" s="68" t="s">
        <v>162</v>
      </c>
      <c r="L50" s="99"/>
      <c r="M50" s="32"/>
      <c r="N50" s="43">
        <v>45141</v>
      </c>
      <c r="O50" s="30"/>
      <c r="P50" s="43">
        <v>45162</v>
      </c>
      <c r="Q50" s="43">
        <v>45162</v>
      </c>
      <c r="R50" s="41">
        <v>45162</v>
      </c>
    </row>
    <row r="51" spans="1:18" ht="18" customHeight="1">
      <c r="A51" s="187" t="s">
        <v>161</v>
      </c>
      <c r="B51" s="182">
        <v>3</v>
      </c>
      <c r="C51" s="29">
        <f t="shared" si="2"/>
        <v>38</v>
      </c>
      <c r="D51" s="36" t="s">
        <v>29</v>
      </c>
      <c r="E51" s="36" t="s">
        <v>29</v>
      </c>
      <c r="F51" s="220" t="s">
        <v>142</v>
      </c>
      <c r="G51" s="256">
        <v>2</v>
      </c>
      <c r="H51" s="256">
        <v>3680</v>
      </c>
      <c r="I51" s="111">
        <f t="shared" si="1"/>
        <v>7360</v>
      </c>
      <c r="J51" s="55"/>
      <c r="K51" s="68" t="s">
        <v>163</v>
      </c>
      <c r="L51" s="99"/>
      <c r="M51" s="32"/>
      <c r="N51" s="43">
        <v>45141</v>
      </c>
      <c r="O51" s="30"/>
      <c r="P51" s="43">
        <v>45162</v>
      </c>
      <c r="Q51" s="43">
        <v>45162</v>
      </c>
      <c r="R51" s="41">
        <v>45162</v>
      </c>
    </row>
    <row r="52" spans="1:18" ht="18" customHeight="1">
      <c r="A52" s="206" t="s">
        <v>114</v>
      </c>
      <c r="B52" s="182">
        <v>3</v>
      </c>
      <c r="C52" s="29">
        <f t="shared" si="2"/>
        <v>39</v>
      </c>
      <c r="D52" s="36" t="s">
        <v>29</v>
      </c>
      <c r="E52" s="36" t="s">
        <v>29</v>
      </c>
      <c r="F52" s="220" t="s">
        <v>143</v>
      </c>
      <c r="G52" s="256">
        <v>4</v>
      </c>
      <c r="H52" s="256">
        <v>36</v>
      </c>
      <c r="I52" s="111">
        <f t="shared" si="1"/>
        <v>144</v>
      </c>
      <c r="J52" s="55"/>
      <c r="K52" s="68" t="s">
        <v>164</v>
      </c>
      <c r="L52" s="99"/>
      <c r="M52" s="32"/>
      <c r="N52" s="43">
        <v>45141</v>
      </c>
      <c r="O52" s="30"/>
      <c r="P52" s="43">
        <v>45162</v>
      </c>
      <c r="Q52" s="43">
        <v>45162</v>
      </c>
      <c r="R52" s="41">
        <v>45162</v>
      </c>
    </row>
    <row r="53" spans="1:18" ht="18" customHeight="1">
      <c r="A53" s="206" t="s">
        <v>114</v>
      </c>
      <c r="B53" s="182">
        <v>3</v>
      </c>
      <c r="C53" s="29">
        <f t="shared" si="2"/>
        <v>40</v>
      </c>
      <c r="D53" s="36" t="s">
        <v>29</v>
      </c>
      <c r="E53" s="36" t="s">
        <v>29</v>
      </c>
      <c r="F53" s="115" t="s">
        <v>136</v>
      </c>
      <c r="G53" s="74"/>
      <c r="H53" s="74">
        <v>23</v>
      </c>
      <c r="I53" s="260">
        <f t="shared" si="1"/>
        <v>0</v>
      </c>
      <c r="J53" s="55"/>
      <c r="K53" s="68" t="s">
        <v>172</v>
      </c>
      <c r="L53" s="99"/>
      <c r="M53" s="32"/>
      <c r="N53" s="43"/>
      <c r="O53" s="30"/>
      <c r="P53" s="43"/>
      <c r="Q53" s="43"/>
      <c r="R53" s="41"/>
    </row>
    <row r="54" spans="1:18" ht="18" customHeight="1">
      <c r="A54" s="187" t="s">
        <v>277</v>
      </c>
      <c r="B54" s="182">
        <v>3</v>
      </c>
      <c r="C54" s="29">
        <f t="shared" si="2"/>
        <v>41</v>
      </c>
      <c r="D54" s="117" t="s">
        <v>100</v>
      </c>
      <c r="E54" s="117" t="s">
        <v>29</v>
      </c>
      <c r="F54" s="259" t="s">
        <v>276</v>
      </c>
      <c r="G54" s="256">
        <v>4</v>
      </c>
      <c r="H54" s="256">
        <v>4724</v>
      </c>
      <c r="I54" s="111">
        <f t="shared" si="1"/>
        <v>18896</v>
      </c>
      <c r="J54" s="55"/>
      <c r="K54" s="77" t="s">
        <v>271</v>
      </c>
      <c r="L54" s="99"/>
      <c r="M54" s="32"/>
      <c r="N54" s="43">
        <v>45141</v>
      </c>
      <c r="O54" s="30"/>
      <c r="P54" s="43">
        <v>45162</v>
      </c>
      <c r="Q54" s="43">
        <v>45162</v>
      </c>
      <c r="R54" s="41">
        <v>45162</v>
      </c>
    </row>
    <row r="55" spans="1:18" ht="18" customHeight="1">
      <c r="A55" s="187" t="s">
        <v>113</v>
      </c>
      <c r="B55" s="182">
        <v>3</v>
      </c>
      <c r="C55" s="29">
        <f t="shared" si="2"/>
        <v>42</v>
      </c>
      <c r="D55" s="117" t="s">
        <v>100</v>
      </c>
      <c r="E55" s="117" t="s">
        <v>29</v>
      </c>
      <c r="F55" s="220" t="s">
        <v>279</v>
      </c>
      <c r="G55" s="256">
        <v>1</v>
      </c>
      <c r="H55" s="256">
        <v>5090</v>
      </c>
      <c r="I55" s="48">
        <f t="shared" si="1"/>
        <v>5090</v>
      </c>
      <c r="J55" s="55"/>
      <c r="K55" s="77" t="s">
        <v>272</v>
      </c>
      <c r="L55" s="99"/>
      <c r="M55" s="32"/>
      <c r="N55" s="43">
        <v>45141</v>
      </c>
      <c r="O55" s="30"/>
      <c r="P55" s="43">
        <v>45162</v>
      </c>
      <c r="Q55" s="43">
        <v>45162</v>
      </c>
      <c r="R55" s="41">
        <v>45162</v>
      </c>
    </row>
    <row r="56" spans="1:18" ht="18" customHeight="1">
      <c r="A56" s="187" t="s">
        <v>113</v>
      </c>
      <c r="B56" s="182">
        <v>3</v>
      </c>
      <c r="C56" s="29">
        <f t="shared" si="2"/>
        <v>43</v>
      </c>
      <c r="D56" s="117" t="s">
        <v>100</v>
      </c>
      <c r="E56" s="117" t="s">
        <v>29</v>
      </c>
      <c r="F56" s="220" t="s">
        <v>280</v>
      </c>
      <c r="G56" s="256">
        <v>1</v>
      </c>
      <c r="H56" s="256">
        <v>5090</v>
      </c>
      <c r="I56" s="48">
        <f t="shared" si="1"/>
        <v>5090</v>
      </c>
      <c r="J56" s="55"/>
      <c r="K56" s="68" t="s">
        <v>273</v>
      </c>
      <c r="L56" s="99"/>
      <c r="M56" s="32"/>
      <c r="N56" s="43">
        <v>45141</v>
      </c>
      <c r="O56" s="30"/>
      <c r="P56" s="43">
        <v>45162</v>
      </c>
      <c r="Q56" s="43">
        <v>45162</v>
      </c>
      <c r="R56" s="41">
        <v>45162</v>
      </c>
    </row>
    <row r="57" spans="1:18" ht="18" customHeight="1">
      <c r="A57" s="206" t="s">
        <v>114</v>
      </c>
      <c r="B57" s="182">
        <v>3</v>
      </c>
      <c r="C57" s="29">
        <f t="shared" si="2"/>
        <v>44</v>
      </c>
      <c r="D57" s="120" t="s">
        <v>158</v>
      </c>
      <c r="E57" s="36" t="s">
        <v>29</v>
      </c>
      <c r="F57" s="220" t="s">
        <v>144</v>
      </c>
      <c r="G57" s="238">
        <v>6</v>
      </c>
      <c r="H57" s="256">
        <v>82</v>
      </c>
      <c r="I57" s="48">
        <f t="shared" si="1"/>
        <v>492</v>
      </c>
      <c r="J57" s="55"/>
      <c r="K57" s="68" t="s">
        <v>206</v>
      </c>
      <c r="L57" s="99"/>
      <c r="M57" s="32"/>
      <c r="N57" s="43">
        <v>45141</v>
      </c>
      <c r="O57" s="30"/>
      <c r="P57" s="43">
        <v>45162</v>
      </c>
      <c r="Q57" s="43">
        <v>45162</v>
      </c>
      <c r="R57" s="41">
        <v>45162</v>
      </c>
    </row>
    <row r="58" spans="1:18" ht="18" customHeight="1">
      <c r="A58" s="206" t="s">
        <v>114</v>
      </c>
      <c r="B58" s="182">
        <v>3</v>
      </c>
      <c r="C58" s="29">
        <f t="shared" si="2"/>
        <v>45</v>
      </c>
      <c r="D58" s="36" t="s">
        <v>29</v>
      </c>
      <c r="E58" s="36" t="s">
        <v>29</v>
      </c>
      <c r="F58" s="115" t="s">
        <v>134</v>
      </c>
      <c r="G58" s="74"/>
      <c r="H58" s="74">
        <v>19</v>
      </c>
      <c r="I58" s="74">
        <f t="shared" si="1"/>
        <v>0</v>
      </c>
      <c r="J58" s="61"/>
      <c r="K58" s="68" t="s">
        <v>166</v>
      </c>
      <c r="L58" s="99"/>
      <c r="M58" s="32"/>
      <c r="N58" s="43"/>
      <c r="O58" s="30"/>
      <c r="P58" s="43"/>
      <c r="Q58" s="43"/>
      <c r="R58" s="41"/>
    </row>
    <row r="59" spans="1:18" ht="18" customHeight="1">
      <c r="A59" s="206" t="s">
        <v>114</v>
      </c>
      <c r="B59" s="182">
        <v>3</v>
      </c>
      <c r="C59" s="29">
        <f t="shared" si="2"/>
        <v>46</v>
      </c>
      <c r="D59" s="36" t="s">
        <v>29</v>
      </c>
      <c r="E59" s="36" t="s">
        <v>29</v>
      </c>
      <c r="F59" s="220" t="s">
        <v>145</v>
      </c>
      <c r="G59" s="238">
        <v>18</v>
      </c>
      <c r="H59" s="256">
        <v>54</v>
      </c>
      <c r="I59" s="48">
        <f t="shared" si="1"/>
        <v>972</v>
      </c>
      <c r="J59" s="55"/>
      <c r="K59" s="68" t="s">
        <v>207</v>
      </c>
      <c r="L59" s="99"/>
      <c r="M59" s="32"/>
      <c r="N59" s="43">
        <v>45141</v>
      </c>
      <c r="O59" s="30"/>
      <c r="P59" s="43">
        <v>45162</v>
      </c>
      <c r="Q59" s="43">
        <v>45162</v>
      </c>
      <c r="R59" s="41">
        <v>45162</v>
      </c>
    </row>
    <row r="60" spans="1:18" ht="18" customHeight="1">
      <c r="A60" s="206" t="s">
        <v>114</v>
      </c>
      <c r="B60" s="182">
        <v>3</v>
      </c>
      <c r="C60" s="29">
        <f t="shared" si="2"/>
        <v>47</v>
      </c>
      <c r="D60" s="36" t="s">
        <v>29</v>
      </c>
      <c r="E60" s="36" t="s">
        <v>29</v>
      </c>
      <c r="F60" s="115" t="s">
        <v>35</v>
      </c>
      <c r="G60" s="74"/>
      <c r="H60" s="74">
        <v>27</v>
      </c>
      <c r="I60" s="74">
        <f t="shared" si="1"/>
        <v>0</v>
      </c>
      <c r="J60" s="55"/>
      <c r="K60" s="68" t="s">
        <v>165</v>
      </c>
      <c r="L60" s="99"/>
      <c r="M60" s="32"/>
      <c r="N60" s="43"/>
      <c r="O60" s="30"/>
      <c r="P60" s="43"/>
      <c r="Q60" s="43"/>
      <c r="R60" s="41"/>
    </row>
    <row r="61" spans="1:18" ht="18" customHeight="1">
      <c r="A61" s="187" t="s">
        <v>113</v>
      </c>
      <c r="B61" s="182">
        <v>3</v>
      </c>
      <c r="C61" s="29">
        <f t="shared" si="2"/>
        <v>48</v>
      </c>
      <c r="D61" s="117" t="s">
        <v>100</v>
      </c>
      <c r="E61" s="117" t="s">
        <v>29</v>
      </c>
      <c r="F61" s="220" t="s">
        <v>278</v>
      </c>
      <c r="G61" s="256">
        <v>1</v>
      </c>
      <c r="H61" s="256">
        <v>2590</v>
      </c>
      <c r="I61" s="48">
        <f t="shared" si="1"/>
        <v>2590</v>
      </c>
      <c r="J61" s="55"/>
      <c r="K61" s="77" t="s">
        <v>274</v>
      </c>
      <c r="L61" s="99"/>
      <c r="M61" s="32"/>
      <c r="N61" s="43">
        <v>45141</v>
      </c>
      <c r="O61" s="30"/>
      <c r="P61" s="43">
        <v>45162</v>
      </c>
      <c r="Q61" s="43">
        <v>45162</v>
      </c>
      <c r="R61" s="41">
        <v>45162</v>
      </c>
    </row>
    <row r="62" spans="1:18" ht="18" customHeight="1">
      <c r="A62" s="187" t="s">
        <v>113</v>
      </c>
      <c r="B62" s="182">
        <v>3</v>
      </c>
      <c r="C62" s="29">
        <f t="shared" si="2"/>
        <v>49</v>
      </c>
      <c r="D62" s="36" t="s">
        <v>29</v>
      </c>
      <c r="E62" s="36" t="s">
        <v>29</v>
      </c>
      <c r="F62" s="220" t="s">
        <v>116</v>
      </c>
      <c r="G62" s="256">
        <v>2</v>
      </c>
      <c r="H62" s="256">
        <v>1600</v>
      </c>
      <c r="I62" s="48">
        <f t="shared" si="1"/>
        <v>3200</v>
      </c>
      <c r="J62" s="55"/>
      <c r="K62" s="56" t="s">
        <v>80</v>
      </c>
      <c r="L62" s="99"/>
      <c r="M62" s="32"/>
      <c r="N62" s="43">
        <v>45141</v>
      </c>
      <c r="O62" s="30"/>
      <c r="P62" s="43">
        <v>45162</v>
      </c>
      <c r="Q62" s="43">
        <v>45162</v>
      </c>
      <c r="R62" s="41">
        <v>45162</v>
      </c>
    </row>
    <row r="63" spans="1:18" ht="18" customHeight="1">
      <c r="A63" s="187" t="s">
        <v>113</v>
      </c>
      <c r="B63" s="182">
        <v>3</v>
      </c>
      <c r="C63" s="29">
        <f t="shared" si="2"/>
        <v>50</v>
      </c>
      <c r="D63" s="36" t="s">
        <v>29</v>
      </c>
      <c r="E63" s="36" t="s">
        <v>29</v>
      </c>
      <c r="F63" s="220" t="s">
        <v>147</v>
      </c>
      <c r="G63" s="256">
        <v>1</v>
      </c>
      <c r="H63" s="256">
        <v>1960</v>
      </c>
      <c r="I63" s="48">
        <f t="shared" si="1"/>
        <v>1960</v>
      </c>
      <c r="J63" s="55"/>
      <c r="K63" s="68" t="s">
        <v>159</v>
      </c>
      <c r="L63" s="99"/>
      <c r="M63" s="32"/>
      <c r="N63" s="43">
        <v>45141</v>
      </c>
      <c r="O63" s="30"/>
      <c r="P63" s="43">
        <v>45162</v>
      </c>
      <c r="Q63" s="43">
        <v>45162</v>
      </c>
      <c r="R63" s="41">
        <v>45162</v>
      </c>
    </row>
    <row r="64" spans="1:18" ht="18" customHeight="1">
      <c r="A64" s="187" t="s">
        <v>113</v>
      </c>
      <c r="B64" s="182">
        <v>3</v>
      </c>
      <c r="C64" s="29">
        <f t="shared" si="2"/>
        <v>51</v>
      </c>
      <c r="D64" s="117" t="s">
        <v>100</v>
      </c>
      <c r="E64" s="117" t="s">
        <v>29</v>
      </c>
      <c r="F64" s="220" t="s">
        <v>190</v>
      </c>
      <c r="G64" s="256">
        <v>1</v>
      </c>
      <c r="H64" s="242">
        <v>4070</v>
      </c>
      <c r="I64" s="48">
        <f>G64*H64</f>
        <v>4070</v>
      </c>
      <c r="J64" s="55"/>
      <c r="K64" s="68" t="s">
        <v>189</v>
      </c>
      <c r="L64" s="99"/>
      <c r="M64" s="32"/>
      <c r="N64" s="43">
        <v>45141</v>
      </c>
      <c r="O64" s="30"/>
      <c r="P64" s="43">
        <v>45162</v>
      </c>
      <c r="Q64" s="43">
        <v>45162</v>
      </c>
      <c r="R64" s="41">
        <v>45162</v>
      </c>
    </row>
    <row r="65" spans="1:18" ht="18" customHeight="1">
      <c r="A65" s="206" t="s">
        <v>114</v>
      </c>
      <c r="B65" s="182">
        <v>3</v>
      </c>
      <c r="C65" s="29">
        <f t="shared" si="2"/>
        <v>52</v>
      </c>
      <c r="D65" s="72" t="s">
        <v>29</v>
      </c>
      <c r="E65" s="72" t="s">
        <v>29</v>
      </c>
      <c r="F65" s="115" t="s">
        <v>191</v>
      </c>
      <c r="G65" s="74"/>
      <c r="H65" s="74">
        <v>35</v>
      </c>
      <c r="I65" s="74">
        <f t="shared" ref="I65:I67" si="3">G65*H65</f>
        <v>0</v>
      </c>
      <c r="J65" s="55"/>
      <c r="K65" s="68" t="s">
        <v>360</v>
      </c>
      <c r="L65" s="99"/>
      <c r="M65" s="32"/>
      <c r="N65" s="43"/>
      <c r="O65" s="30"/>
      <c r="P65" s="43"/>
      <c r="Q65" s="43"/>
      <c r="R65" s="41"/>
    </row>
    <row r="66" spans="1:18" ht="18" customHeight="1">
      <c r="A66" s="206" t="s">
        <v>114</v>
      </c>
      <c r="B66" s="182">
        <v>3</v>
      </c>
      <c r="C66" s="29">
        <f t="shared" si="2"/>
        <v>53</v>
      </c>
      <c r="D66" s="36" t="s">
        <v>29</v>
      </c>
      <c r="E66" s="36" t="s">
        <v>29</v>
      </c>
      <c r="F66" s="220" t="s">
        <v>192</v>
      </c>
      <c r="G66" s="256">
        <v>6</v>
      </c>
      <c r="H66" s="242">
        <v>41</v>
      </c>
      <c r="I66" s="48">
        <f t="shared" si="3"/>
        <v>246</v>
      </c>
      <c r="J66" s="55"/>
      <c r="K66" s="68" t="s">
        <v>193</v>
      </c>
      <c r="L66" s="99"/>
      <c r="M66" s="32"/>
      <c r="N66" s="43">
        <v>45141</v>
      </c>
      <c r="O66" s="30"/>
      <c r="P66" s="43">
        <v>45162</v>
      </c>
      <c r="Q66" s="43">
        <v>45162</v>
      </c>
      <c r="R66" s="41">
        <v>45162</v>
      </c>
    </row>
    <row r="67" spans="1:18" ht="18" customHeight="1">
      <c r="A67" s="206" t="s">
        <v>114</v>
      </c>
      <c r="B67" s="182">
        <v>3</v>
      </c>
      <c r="C67" s="29">
        <f t="shared" si="2"/>
        <v>54</v>
      </c>
      <c r="D67" s="120" t="s">
        <v>194</v>
      </c>
      <c r="E67" s="36" t="s">
        <v>29</v>
      </c>
      <c r="F67" s="220" t="s">
        <v>195</v>
      </c>
      <c r="G67" s="256">
        <v>8</v>
      </c>
      <c r="H67" s="242">
        <v>20</v>
      </c>
      <c r="I67" s="48">
        <f t="shared" si="3"/>
        <v>160</v>
      </c>
      <c r="J67" s="55"/>
      <c r="K67" s="68" t="s">
        <v>380</v>
      </c>
      <c r="L67" s="99"/>
      <c r="M67" s="32"/>
      <c r="N67" s="43">
        <v>45141</v>
      </c>
      <c r="O67" s="30"/>
      <c r="P67" s="43">
        <v>45162</v>
      </c>
      <c r="Q67" s="43">
        <v>45162</v>
      </c>
      <c r="R67" s="41">
        <v>45162</v>
      </c>
    </row>
    <row r="68" spans="1:18" ht="18" customHeight="1">
      <c r="A68" s="205" t="s">
        <v>381</v>
      </c>
      <c r="B68" s="182">
        <v>3</v>
      </c>
      <c r="C68" s="29">
        <f t="shared" si="2"/>
        <v>55</v>
      </c>
      <c r="D68" s="36" t="s">
        <v>81</v>
      </c>
      <c r="E68" s="36" t="s">
        <v>82</v>
      </c>
      <c r="F68" s="220" t="s">
        <v>188</v>
      </c>
      <c r="G68" s="256">
        <v>1</v>
      </c>
      <c r="H68" s="256">
        <v>31930</v>
      </c>
      <c r="I68" s="48">
        <f t="shared" si="1"/>
        <v>31930</v>
      </c>
      <c r="J68" s="55"/>
      <c r="K68" s="56" t="s">
        <v>83</v>
      </c>
      <c r="L68" s="124" t="s">
        <v>186</v>
      </c>
      <c r="M68" s="32"/>
      <c r="N68" s="43">
        <v>45141</v>
      </c>
      <c r="O68" s="30"/>
      <c r="P68" s="43">
        <v>45162</v>
      </c>
      <c r="Q68" s="43">
        <v>45161</v>
      </c>
      <c r="R68" s="41">
        <v>45160</v>
      </c>
    </row>
    <row r="69" spans="1:18" ht="18" customHeight="1">
      <c r="A69" s="206" t="s">
        <v>114</v>
      </c>
      <c r="B69" s="182">
        <v>3</v>
      </c>
      <c r="C69" s="29">
        <f t="shared" si="2"/>
        <v>56</v>
      </c>
      <c r="D69" s="36" t="s">
        <v>81</v>
      </c>
      <c r="E69" s="36" t="s">
        <v>82</v>
      </c>
      <c r="F69" s="257" t="s">
        <v>84</v>
      </c>
      <c r="G69" s="256">
        <v>1</v>
      </c>
      <c r="H69" s="256">
        <v>3040</v>
      </c>
      <c r="I69" s="48">
        <f t="shared" si="1"/>
        <v>3040</v>
      </c>
      <c r="J69" s="55"/>
      <c r="K69" s="56" t="s">
        <v>85</v>
      </c>
      <c r="L69" s="98"/>
      <c r="M69" s="97"/>
      <c r="N69" s="43">
        <v>45141</v>
      </c>
      <c r="O69" s="30"/>
      <c r="P69" s="43">
        <v>45162</v>
      </c>
      <c r="Q69" s="43">
        <v>45161</v>
      </c>
      <c r="R69" s="41">
        <v>45160</v>
      </c>
    </row>
    <row r="70" spans="1:18" ht="18" customHeight="1">
      <c r="A70" s="205" t="s">
        <v>382</v>
      </c>
      <c r="B70" s="182">
        <v>3</v>
      </c>
      <c r="C70" s="29">
        <f t="shared" si="2"/>
        <v>57</v>
      </c>
      <c r="D70" s="36" t="s">
        <v>81</v>
      </c>
      <c r="E70" s="36" t="s">
        <v>82</v>
      </c>
      <c r="F70" s="220" t="s">
        <v>184</v>
      </c>
      <c r="G70" s="256">
        <v>1</v>
      </c>
      <c r="H70" s="256">
        <v>6100</v>
      </c>
      <c r="I70" s="48">
        <f t="shared" si="1"/>
        <v>6100</v>
      </c>
      <c r="J70" s="55"/>
      <c r="K70" s="56" t="s">
        <v>86</v>
      </c>
      <c r="L70" s="124" t="s">
        <v>185</v>
      </c>
      <c r="M70" s="97"/>
      <c r="N70" s="43">
        <v>45141</v>
      </c>
      <c r="O70" s="30"/>
      <c r="P70" s="43">
        <v>45162</v>
      </c>
      <c r="Q70" s="43">
        <v>45161</v>
      </c>
      <c r="R70" s="41">
        <v>45160</v>
      </c>
    </row>
    <row r="71" spans="1:18" ht="18" customHeight="1">
      <c r="A71" s="206" t="s">
        <v>114</v>
      </c>
      <c r="B71" s="182">
        <v>3</v>
      </c>
      <c r="C71" s="29">
        <f t="shared" si="2"/>
        <v>58</v>
      </c>
      <c r="D71" s="36" t="s">
        <v>81</v>
      </c>
      <c r="E71" s="36" t="s">
        <v>82</v>
      </c>
      <c r="F71" s="220" t="s">
        <v>187</v>
      </c>
      <c r="G71" s="256">
        <v>2</v>
      </c>
      <c r="H71" s="256">
        <v>60</v>
      </c>
      <c r="I71" s="48">
        <f t="shared" si="1"/>
        <v>120</v>
      </c>
      <c r="J71" s="55"/>
      <c r="K71" s="56" t="s">
        <v>87</v>
      </c>
      <c r="L71" s="98"/>
      <c r="M71" s="97"/>
      <c r="N71" s="43">
        <v>45141</v>
      </c>
      <c r="O71" s="30"/>
      <c r="P71" s="43">
        <v>45162</v>
      </c>
      <c r="Q71" s="43">
        <v>45161</v>
      </c>
      <c r="R71" s="41">
        <v>45160</v>
      </c>
    </row>
    <row r="72" spans="1:18" ht="18" customHeight="1">
      <c r="A72" s="206" t="s">
        <v>114</v>
      </c>
      <c r="B72" s="182">
        <v>3</v>
      </c>
      <c r="C72" s="29">
        <f t="shared" si="2"/>
        <v>59</v>
      </c>
      <c r="D72" s="36" t="s">
        <v>81</v>
      </c>
      <c r="E72" s="36" t="s">
        <v>82</v>
      </c>
      <c r="F72" s="220" t="s">
        <v>88</v>
      </c>
      <c r="G72" s="206">
        <v>2</v>
      </c>
      <c r="H72" s="258">
        <v>600</v>
      </c>
      <c r="I72" s="81">
        <f t="shared" si="1"/>
        <v>1200</v>
      </c>
      <c r="J72" s="33"/>
      <c r="K72" s="56" t="s">
        <v>89</v>
      </c>
      <c r="L72" s="99"/>
      <c r="M72" s="97"/>
      <c r="N72" s="43">
        <v>45141</v>
      </c>
      <c r="O72" s="30"/>
      <c r="P72" s="43">
        <v>45162</v>
      </c>
      <c r="Q72" s="43">
        <v>45161</v>
      </c>
      <c r="R72" s="41">
        <v>45160</v>
      </c>
    </row>
    <row r="73" spans="1:18" ht="18" customHeight="1">
      <c r="A73" s="206" t="s">
        <v>114</v>
      </c>
      <c r="B73" s="182">
        <v>3</v>
      </c>
      <c r="C73" s="29">
        <f t="shared" si="2"/>
        <v>60</v>
      </c>
      <c r="D73" s="36" t="s">
        <v>29</v>
      </c>
      <c r="E73" s="36" t="s">
        <v>29</v>
      </c>
      <c r="F73" s="220" t="s">
        <v>38</v>
      </c>
      <c r="G73" s="206">
        <v>2</v>
      </c>
      <c r="H73" s="258">
        <v>290</v>
      </c>
      <c r="I73" s="81">
        <f t="shared" si="1"/>
        <v>580</v>
      </c>
      <c r="J73" s="55"/>
      <c r="K73" s="68" t="s">
        <v>67</v>
      </c>
      <c r="L73" s="99"/>
      <c r="M73" s="97"/>
      <c r="N73" s="43">
        <v>45141</v>
      </c>
      <c r="O73" s="30"/>
      <c r="P73" s="43">
        <v>45162</v>
      </c>
      <c r="Q73" s="43">
        <v>45162</v>
      </c>
      <c r="R73" s="41">
        <v>45162</v>
      </c>
    </row>
    <row r="74" spans="1:18" ht="18" customHeight="1">
      <c r="A74" s="206" t="s">
        <v>114</v>
      </c>
      <c r="B74" s="182">
        <v>3</v>
      </c>
      <c r="C74" s="29">
        <f t="shared" si="2"/>
        <v>61</v>
      </c>
      <c r="D74" s="36" t="s">
        <v>29</v>
      </c>
      <c r="E74" s="36" t="s">
        <v>29</v>
      </c>
      <c r="F74" s="220" t="s">
        <v>37</v>
      </c>
      <c r="G74" s="206">
        <v>3</v>
      </c>
      <c r="H74" s="258">
        <v>290</v>
      </c>
      <c r="I74" s="81">
        <f t="shared" si="1"/>
        <v>870</v>
      </c>
      <c r="J74" s="55"/>
      <c r="K74" s="68" t="s">
        <v>67</v>
      </c>
      <c r="L74" s="99"/>
      <c r="M74" s="97"/>
      <c r="N74" s="43">
        <v>45141</v>
      </c>
      <c r="O74" s="30"/>
      <c r="P74" s="43">
        <v>45162</v>
      </c>
      <c r="Q74" s="43">
        <v>45162</v>
      </c>
      <c r="R74" s="41">
        <v>45162</v>
      </c>
    </row>
    <row r="75" spans="1:18" ht="18" customHeight="1">
      <c r="A75" s="207" t="s">
        <v>113</v>
      </c>
      <c r="B75" s="182">
        <v>3</v>
      </c>
      <c r="C75" s="29">
        <f t="shared" si="2"/>
        <v>62</v>
      </c>
      <c r="D75" s="52" t="s">
        <v>29</v>
      </c>
      <c r="E75" s="52" t="s">
        <v>29</v>
      </c>
      <c r="F75" s="225" t="s">
        <v>337</v>
      </c>
      <c r="G75" s="221">
        <v>1</v>
      </c>
      <c r="H75" s="221">
        <v>1070</v>
      </c>
      <c r="I75" s="108">
        <f t="shared" si="1"/>
        <v>1070</v>
      </c>
      <c r="J75" s="108"/>
      <c r="K75" s="78" t="s">
        <v>200</v>
      </c>
      <c r="L75" s="22"/>
      <c r="M75" s="3"/>
      <c r="N75" s="43">
        <v>45141</v>
      </c>
      <c r="O75" s="30"/>
      <c r="P75" s="43">
        <v>45162</v>
      </c>
      <c r="Q75" s="43">
        <v>45162</v>
      </c>
      <c r="R75" s="41">
        <v>45162</v>
      </c>
    </row>
    <row r="76" spans="1:18" ht="18" customHeight="1">
      <c r="A76" s="207" t="s">
        <v>113</v>
      </c>
      <c r="B76" s="182">
        <v>3</v>
      </c>
      <c r="C76" s="29">
        <f t="shared" si="2"/>
        <v>63</v>
      </c>
      <c r="D76" s="52" t="s">
        <v>29</v>
      </c>
      <c r="E76" s="52" t="s">
        <v>29</v>
      </c>
      <c r="F76" s="225" t="s">
        <v>336</v>
      </c>
      <c r="G76" s="221">
        <v>1</v>
      </c>
      <c r="H76" s="221">
        <v>1280</v>
      </c>
      <c r="I76" s="108">
        <f t="shared" ref="I76:I79" si="4">G76*H76</f>
        <v>1280</v>
      </c>
      <c r="J76" s="108"/>
      <c r="K76" s="78" t="s">
        <v>200</v>
      </c>
      <c r="L76" s="22"/>
      <c r="M76" s="3"/>
      <c r="N76" s="43">
        <v>45141</v>
      </c>
      <c r="O76" s="30"/>
      <c r="P76" s="43">
        <v>45162</v>
      </c>
      <c r="Q76" s="43">
        <v>45162</v>
      </c>
      <c r="R76" s="41">
        <v>45162</v>
      </c>
    </row>
    <row r="77" spans="1:18" ht="18" customHeight="1">
      <c r="A77" s="187" t="s">
        <v>152</v>
      </c>
      <c r="B77" s="182">
        <v>3</v>
      </c>
      <c r="C77" s="29">
        <f t="shared" si="2"/>
        <v>64</v>
      </c>
      <c r="D77" s="117" t="s">
        <v>100</v>
      </c>
      <c r="E77" s="117" t="s">
        <v>29</v>
      </c>
      <c r="F77" s="215" t="s">
        <v>357</v>
      </c>
      <c r="G77" s="216">
        <v>1</v>
      </c>
      <c r="H77" s="217">
        <v>4102</v>
      </c>
      <c r="I77" s="108">
        <f t="shared" si="4"/>
        <v>4102</v>
      </c>
      <c r="J77" s="49"/>
      <c r="K77" s="208" t="s">
        <v>342</v>
      </c>
      <c r="L77" s="22"/>
      <c r="M77" s="3"/>
      <c r="N77" s="43">
        <v>45141</v>
      </c>
      <c r="O77" s="30"/>
      <c r="P77" s="43">
        <v>45162</v>
      </c>
      <c r="Q77" s="43">
        <v>45162</v>
      </c>
      <c r="R77" s="41">
        <v>45162</v>
      </c>
    </row>
    <row r="78" spans="1:18" ht="18" customHeight="1">
      <c r="A78" s="206" t="s">
        <v>114</v>
      </c>
      <c r="B78" s="182">
        <v>3</v>
      </c>
      <c r="C78" s="29">
        <f t="shared" si="2"/>
        <v>65</v>
      </c>
      <c r="D78" s="52" t="s">
        <v>29</v>
      </c>
      <c r="E78" s="52" t="s">
        <v>29</v>
      </c>
      <c r="F78" s="215" t="s">
        <v>343</v>
      </c>
      <c r="G78" s="216">
        <v>3</v>
      </c>
      <c r="H78" s="217">
        <v>210</v>
      </c>
      <c r="I78" s="108">
        <f t="shared" si="4"/>
        <v>630</v>
      </c>
      <c r="J78" s="49"/>
      <c r="K78" s="208" t="s">
        <v>358</v>
      </c>
      <c r="L78" s="22"/>
      <c r="M78" s="3"/>
      <c r="N78" s="43">
        <v>45141</v>
      </c>
      <c r="O78" s="30"/>
      <c r="P78" s="43">
        <v>45162</v>
      </c>
      <c r="Q78" s="43">
        <v>45162</v>
      </c>
      <c r="R78" s="41">
        <v>45162</v>
      </c>
    </row>
    <row r="79" spans="1:18" ht="18" customHeight="1">
      <c r="A79" s="206" t="s">
        <v>114</v>
      </c>
      <c r="B79" s="182">
        <v>3</v>
      </c>
      <c r="C79" s="29">
        <f t="shared" si="2"/>
        <v>66</v>
      </c>
      <c r="D79" s="52" t="s">
        <v>29</v>
      </c>
      <c r="E79" s="52" t="s">
        <v>29</v>
      </c>
      <c r="F79" s="215" t="s">
        <v>344</v>
      </c>
      <c r="G79" s="216">
        <v>4</v>
      </c>
      <c r="H79" s="217">
        <v>169</v>
      </c>
      <c r="I79" s="62">
        <f t="shared" si="4"/>
        <v>676</v>
      </c>
      <c r="J79" s="209"/>
      <c r="K79" s="218" t="s">
        <v>359</v>
      </c>
      <c r="L79" s="22"/>
      <c r="M79" s="3"/>
      <c r="N79" s="43">
        <v>45141</v>
      </c>
      <c r="O79" s="30"/>
      <c r="P79" s="43">
        <v>45162</v>
      </c>
      <c r="Q79" s="43">
        <v>45162</v>
      </c>
      <c r="R79" s="41">
        <v>45162</v>
      </c>
    </row>
    <row r="80" spans="1:18" ht="18" customHeight="1">
      <c r="C80" s="28"/>
      <c r="D80" s="2"/>
      <c r="E80" s="2"/>
      <c r="F80" s="112"/>
      <c r="G80" s="42"/>
      <c r="H80" s="114"/>
      <c r="I80" s="48"/>
      <c r="J80" s="113"/>
      <c r="K80" s="17"/>
      <c r="L80" s="22"/>
      <c r="M80" s="3"/>
      <c r="N80" s="23"/>
      <c r="O80" s="6"/>
      <c r="P80" s="6"/>
      <c r="Q80" s="6"/>
      <c r="R80" s="12"/>
    </row>
    <row r="81" spans="1:18" ht="18" customHeight="1">
      <c r="C81" s="16"/>
      <c r="D81" s="2"/>
      <c r="E81" s="4"/>
      <c r="F81" s="299">
        <f>SUM(I18:I79)</f>
        <v>180302</v>
      </c>
      <c r="G81" s="291"/>
      <c r="H81" s="291"/>
      <c r="I81" s="291"/>
      <c r="J81" s="288"/>
      <c r="K81" s="17"/>
      <c r="L81" s="22"/>
      <c r="M81" s="3"/>
      <c r="N81" s="23"/>
      <c r="O81" s="6"/>
      <c r="P81" s="6"/>
      <c r="Q81" s="6"/>
      <c r="R81" s="12"/>
    </row>
    <row r="82" spans="1:18" ht="18" customHeight="1">
      <c r="C82" s="16"/>
      <c r="D82" s="84"/>
      <c r="E82" s="85"/>
      <c r="F82" s="104"/>
      <c r="G82" s="104"/>
      <c r="H82" s="104"/>
      <c r="I82" s="104"/>
      <c r="J82" s="105"/>
      <c r="K82" s="106"/>
      <c r="L82" s="22"/>
      <c r="M82" s="3"/>
      <c r="N82" s="23"/>
      <c r="O82" s="6"/>
      <c r="P82" s="6"/>
      <c r="Q82" s="6"/>
      <c r="R82" s="12"/>
    </row>
    <row r="83" spans="1:18" ht="18" customHeight="1">
      <c r="C83" s="16"/>
      <c r="D83" s="102"/>
      <c r="E83" s="49"/>
      <c r="F83" s="87"/>
      <c r="G83" s="87"/>
      <c r="H83" s="87"/>
      <c r="I83" s="87"/>
      <c r="J83" s="55"/>
      <c r="K83" s="37"/>
      <c r="L83" s="103"/>
      <c r="M83" s="3"/>
      <c r="N83" s="23"/>
      <c r="O83" s="6"/>
      <c r="P83" s="6"/>
      <c r="Q83" s="6"/>
      <c r="R83" s="12"/>
    </row>
    <row r="84" spans="1:18" s="5" customFormat="1" ht="19.5" customHeight="1">
      <c r="C84" s="2"/>
      <c r="D84" s="100"/>
      <c r="E84" s="100"/>
      <c r="F84" s="86"/>
      <c r="G84" s="82"/>
      <c r="H84" s="82"/>
      <c r="I84" s="82"/>
      <c r="J84" s="15"/>
      <c r="K84" s="101"/>
      <c r="L84" s="21"/>
      <c r="M84" s="21"/>
      <c r="N84" s="23"/>
      <c r="O84" s="2"/>
      <c r="P84" s="21"/>
      <c r="Q84" s="21"/>
      <c r="R84" s="6"/>
    </row>
    <row r="85" spans="1:18" ht="18" customHeight="1">
      <c r="C85" s="39"/>
      <c r="D85" s="314" t="s">
        <v>66</v>
      </c>
      <c r="E85" s="314"/>
      <c r="F85" s="314"/>
      <c r="G85" s="40"/>
      <c r="H85" s="19"/>
      <c r="I85" s="19"/>
      <c r="J85" s="4"/>
      <c r="K85" s="17"/>
      <c r="L85" s="22"/>
      <c r="M85" s="3"/>
      <c r="N85" s="23"/>
      <c r="O85" s="6"/>
      <c r="P85" s="6"/>
      <c r="Q85" s="6"/>
      <c r="R85" s="12"/>
    </row>
    <row r="86" spans="1:18" ht="18" customHeight="1">
      <c r="A86" s="206" t="s">
        <v>113</v>
      </c>
      <c r="B86" s="182">
        <v>3</v>
      </c>
      <c r="C86" s="276">
        <f>C79+1</f>
        <v>67</v>
      </c>
      <c r="D86" s="117" t="s">
        <v>100</v>
      </c>
      <c r="E86" s="117" t="s">
        <v>29</v>
      </c>
      <c r="F86" s="239" t="s">
        <v>101</v>
      </c>
      <c r="G86" s="221">
        <v>1</v>
      </c>
      <c r="H86" s="261">
        <v>1536</v>
      </c>
      <c r="I86" s="83">
        <f t="shared" ref="I86:I92" si="5">G86*H86</f>
        <v>1536</v>
      </c>
      <c r="J86" s="108"/>
      <c r="K86" s="47" t="s">
        <v>102</v>
      </c>
      <c r="L86" s="59"/>
      <c r="M86" s="3"/>
      <c r="N86" s="43">
        <v>45141</v>
      </c>
      <c r="O86" s="6"/>
      <c r="P86" s="43">
        <v>45162</v>
      </c>
      <c r="Q86" s="43">
        <v>45162</v>
      </c>
      <c r="R86" s="41">
        <v>45162</v>
      </c>
    </row>
    <row r="87" spans="1:18" ht="18" customHeight="1">
      <c r="A87" s="206" t="s">
        <v>113</v>
      </c>
      <c r="B87" s="182">
        <v>3</v>
      </c>
      <c r="C87" s="29">
        <f t="shared" ref="C87:C92" si="6">+C86+1</f>
        <v>68</v>
      </c>
      <c r="D87" s="117" t="s">
        <v>100</v>
      </c>
      <c r="E87" s="117" t="s">
        <v>29</v>
      </c>
      <c r="F87" s="239" t="s">
        <v>103</v>
      </c>
      <c r="G87" s="221">
        <v>1</v>
      </c>
      <c r="H87" s="261">
        <v>1488</v>
      </c>
      <c r="I87" s="83">
        <f t="shared" si="5"/>
        <v>1488</v>
      </c>
      <c r="J87" s="108"/>
      <c r="K87" s="47" t="s">
        <v>104</v>
      </c>
      <c r="L87" s="59"/>
      <c r="M87" s="3"/>
      <c r="N87" s="43">
        <v>45141</v>
      </c>
      <c r="O87" s="6"/>
      <c r="P87" s="43">
        <v>45162</v>
      </c>
      <c r="Q87" s="43">
        <v>45162</v>
      </c>
      <c r="R87" s="41">
        <v>45162</v>
      </c>
    </row>
    <row r="88" spans="1:18" ht="18" customHeight="1">
      <c r="A88" s="206" t="s">
        <v>113</v>
      </c>
      <c r="B88" s="182">
        <v>3</v>
      </c>
      <c r="C88" s="29">
        <f t="shared" si="6"/>
        <v>69</v>
      </c>
      <c r="D88" s="117" t="s">
        <v>100</v>
      </c>
      <c r="E88" s="117" t="s">
        <v>29</v>
      </c>
      <c r="F88" s="239" t="s">
        <v>105</v>
      </c>
      <c r="G88" s="221">
        <v>1</v>
      </c>
      <c r="H88" s="261">
        <v>1312</v>
      </c>
      <c r="I88" s="83">
        <f t="shared" si="5"/>
        <v>1312</v>
      </c>
      <c r="J88" s="108"/>
      <c r="K88" s="47" t="s">
        <v>106</v>
      </c>
      <c r="L88" s="59"/>
      <c r="M88" s="3"/>
      <c r="N88" s="43">
        <v>45141</v>
      </c>
      <c r="O88" s="6"/>
      <c r="P88" s="43">
        <v>45162</v>
      </c>
      <c r="Q88" s="43">
        <v>45162</v>
      </c>
      <c r="R88" s="41">
        <v>45162</v>
      </c>
    </row>
    <row r="89" spans="1:18" ht="18" customHeight="1">
      <c r="A89" s="206" t="s">
        <v>113</v>
      </c>
      <c r="B89" s="182">
        <v>3</v>
      </c>
      <c r="C89" s="29">
        <f t="shared" si="6"/>
        <v>70</v>
      </c>
      <c r="D89" s="36" t="s">
        <v>29</v>
      </c>
      <c r="E89" s="36" t="s">
        <v>29</v>
      </c>
      <c r="F89" s="220" t="s">
        <v>107</v>
      </c>
      <c r="G89" s="206">
        <v>1</v>
      </c>
      <c r="H89" s="258">
        <v>930</v>
      </c>
      <c r="I89" s="81">
        <f t="shared" si="5"/>
        <v>930</v>
      </c>
      <c r="J89" s="33"/>
      <c r="K89" s="30" t="s">
        <v>68</v>
      </c>
      <c r="L89" s="59"/>
      <c r="M89" s="3"/>
      <c r="N89" s="43">
        <v>45141</v>
      </c>
      <c r="O89" s="6"/>
      <c r="P89" s="43">
        <v>45162</v>
      </c>
      <c r="Q89" s="43">
        <v>45162</v>
      </c>
      <c r="R89" s="41">
        <v>45162</v>
      </c>
    </row>
    <row r="90" spans="1:18" ht="18" customHeight="1">
      <c r="A90" s="206" t="s">
        <v>114</v>
      </c>
      <c r="B90" s="182">
        <v>3</v>
      </c>
      <c r="C90" s="29">
        <f t="shared" si="6"/>
        <v>71</v>
      </c>
      <c r="D90" s="36" t="s">
        <v>29</v>
      </c>
      <c r="E90" s="36" t="s">
        <v>29</v>
      </c>
      <c r="F90" s="220" t="s">
        <v>69</v>
      </c>
      <c r="G90" s="206">
        <v>1</v>
      </c>
      <c r="H90" s="258">
        <v>750</v>
      </c>
      <c r="I90" s="81">
        <f t="shared" si="5"/>
        <v>750</v>
      </c>
      <c r="J90" s="33"/>
      <c r="K90" s="30" t="s">
        <v>108</v>
      </c>
      <c r="L90" s="59"/>
      <c r="M90" s="3"/>
      <c r="N90" s="43">
        <v>45141</v>
      </c>
      <c r="O90" s="6"/>
      <c r="P90" s="43">
        <v>45162</v>
      </c>
      <c r="Q90" s="43">
        <v>45162</v>
      </c>
      <c r="R90" s="41">
        <v>45162</v>
      </c>
    </row>
    <row r="91" spans="1:18" ht="18" customHeight="1">
      <c r="A91" s="206" t="s">
        <v>114</v>
      </c>
      <c r="B91" s="182">
        <v>3</v>
      </c>
      <c r="C91" s="29">
        <f>+C90+1</f>
        <v>72</v>
      </c>
      <c r="D91" s="52" t="s">
        <v>29</v>
      </c>
      <c r="E91" s="52" t="s">
        <v>29</v>
      </c>
      <c r="F91" s="233" t="s">
        <v>70</v>
      </c>
      <c r="G91" s="262">
        <v>20</v>
      </c>
      <c r="H91" s="261">
        <v>35</v>
      </c>
      <c r="I91" s="83">
        <f t="shared" si="5"/>
        <v>700</v>
      </c>
      <c r="J91" s="108"/>
      <c r="K91" s="47" t="s">
        <v>109</v>
      </c>
      <c r="L91" s="150"/>
      <c r="M91" s="3"/>
      <c r="N91" s="43">
        <v>45141</v>
      </c>
      <c r="O91" s="6"/>
      <c r="P91" s="43">
        <v>45162</v>
      </c>
      <c r="Q91" s="43">
        <v>45162</v>
      </c>
      <c r="R91" s="41">
        <v>45162</v>
      </c>
    </row>
    <row r="92" spans="1:18" ht="18" customHeight="1">
      <c r="A92" s="206" t="s">
        <v>114</v>
      </c>
      <c r="B92" s="182">
        <v>3</v>
      </c>
      <c r="C92" s="29">
        <f t="shared" si="6"/>
        <v>73</v>
      </c>
      <c r="D92" s="72" t="s">
        <v>29</v>
      </c>
      <c r="E92" s="72" t="s">
        <v>29</v>
      </c>
      <c r="F92" s="95" t="s">
        <v>111</v>
      </c>
      <c r="G92" s="75"/>
      <c r="H92" s="263">
        <v>92</v>
      </c>
      <c r="I92" s="96">
        <f t="shared" si="5"/>
        <v>0</v>
      </c>
      <c r="J92" s="75"/>
      <c r="K92" s="95" t="s">
        <v>112</v>
      </c>
      <c r="L92" s="71" t="s">
        <v>110</v>
      </c>
      <c r="M92" s="3"/>
      <c r="N92" s="43"/>
      <c r="O92" s="6"/>
      <c r="P92" s="6"/>
      <c r="Q92" s="43"/>
      <c r="R92" s="41"/>
    </row>
    <row r="93" spans="1:18" ht="18" customHeight="1">
      <c r="B93" s="27"/>
      <c r="C93" s="29"/>
      <c r="D93" s="2"/>
      <c r="E93" s="165"/>
      <c r="F93" s="67"/>
      <c r="G93" s="48"/>
      <c r="H93" s="48"/>
      <c r="I93" s="48"/>
      <c r="J93" s="288"/>
      <c r="K93" s="20"/>
      <c r="L93" s="22"/>
      <c r="M93" s="3"/>
      <c r="N93" s="45"/>
      <c r="O93" s="6"/>
      <c r="P93" s="6"/>
      <c r="Q93" s="43"/>
      <c r="R93" s="41"/>
    </row>
    <row r="94" spans="1:18" ht="18" customHeight="1">
      <c r="C94" s="21"/>
      <c r="D94" s="2"/>
      <c r="E94" s="2"/>
      <c r="F94" s="298">
        <f>SUM(I86:I92)</f>
        <v>6716</v>
      </c>
      <c r="G94" s="291"/>
      <c r="H94" s="291"/>
      <c r="I94" s="291"/>
      <c r="J94" s="292"/>
      <c r="K94" s="17"/>
      <c r="L94" s="22"/>
      <c r="M94" s="3"/>
      <c r="N94" s="23"/>
      <c r="O94" s="6"/>
      <c r="P94" s="6"/>
      <c r="Q94" s="43"/>
      <c r="R94" s="41"/>
    </row>
    <row r="95" spans="1:18" ht="18" customHeight="1">
      <c r="C95" s="21"/>
      <c r="D95" s="2"/>
      <c r="E95" s="165"/>
      <c r="F95" s="87"/>
      <c r="G95" s="293"/>
      <c r="H95" s="293"/>
      <c r="I95" s="294"/>
      <c r="J95" s="70"/>
      <c r="K95" s="17"/>
      <c r="L95" s="22"/>
      <c r="M95" s="3"/>
      <c r="N95" s="23"/>
      <c r="O95" s="6"/>
      <c r="P95" s="6"/>
      <c r="Q95" s="43"/>
      <c r="R95" s="41"/>
    </row>
    <row r="96" spans="1:18" ht="18" customHeight="1">
      <c r="C96" s="21"/>
      <c r="D96" s="2"/>
      <c r="E96" s="165"/>
      <c r="F96" s="87"/>
      <c r="G96" s="87"/>
      <c r="H96" s="87"/>
      <c r="I96" s="69"/>
      <c r="J96" s="70"/>
      <c r="K96" s="17"/>
      <c r="L96" s="22"/>
      <c r="M96" s="3"/>
      <c r="N96" s="23"/>
      <c r="O96" s="6"/>
      <c r="P96" s="6"/>
      <c r="Q96" s="43"/>
      <c r="R96" s="41"/>
    </row>
    <row r="97" spans="1:18" ht="18" customHeight="1">
      <c r="C97" s="21"/>
      <c r="D97" s="2"/>
      <c r="E97" s="165"/>
      <c r="F97" s="87"/>
      <c r="G97" s="87"/>
      <c r="H97" s="87"/>
      <c r="I97" s="69"/>
      <c r="J97" s="70"/>
      <c r="K97" s="17"/>
      <c r="L97" s="22"/>
      <c r="M97" s="3"/>
      <c r="N97" s="23"/>
      <c r="O97" s="6"/>
      <c r="P97" s="6"/>
      <c r="Q97" s="43"/>
      <c r="R97" s="41"/>
    </row>
    <row r="98" spans="1:18" ht="18" customHeight="1">
      <c r="C98" s="21"/>
      <c r="D98" s="2"/>
      <c r="E98" s="2"/>
      <c r="F98" s="289"/>
      <c r="G98" s="82"/>
      <c r="H98" s="82"/>
      <c r="I98" s="19"/>
      <c r="J98" s="18"/>
      <c r="K98" s="20"/>
      <c r="L98" s="22"/>
      <c r="M98" s="3"/>
      <c r="N98" s="23"/>
      <c r="O98" s="6"/>
      <c r="P98" s="6"/>
      <c r="Q98" s="43"/>
      <c r="R98" s="41"/>
    </row>
    <row r="99" spans="1:18" ht="18" customHeight="1">
      <c r="C99" s="63"/>
      <c r="D99" s="315" t="s">
        <v>57</v>
      </c>
      <c r="E99" s="316"/>
      <c r="F99" s="317"/>
      <c r="G99" s="32"/>
      <c r="H99" s="32"/>
      <c r="I99" s="33"/>
      <c r="J99" s="33"/>
      <c r="K99" s="32"/>
      <c r="L99" s="22"/>
      <c r="M99" s="3"/>
      <c r="N99" s="23"/>
      <c r="O99" s="6"/>
      <c r="P99" s="6"/>
      <c r="Q99" s="43"/>
      <c r="R99" s="41"/>
    </row>
    <row r="100" spans="1:18" ht="18" customHeight="1">
      <c r="A100" s="206" t="s">
        <v>115</v>
      </c>
      <c r="B100" s="182">
        <v>3</v>
      </c>
      <c r="C100" s="29">
        <f>+C92+1</f>
        <v>74</v>
      </c>
      <c r="D100" s="52" t="s">
        <v>64</v>
      </c>
      <c r="E100" s="52" t="s">
        <v>346</v>
      </c>
      <c r="F100" s="239" t="s">
        <v>347</v>
      </c>
      <c r="G100" s="221">
        <v>1</v>
      </c>
      <c r="H100" s="222">
        <v>2000</v>
      </c>
      <c r="I100" s="83">
        <f t="shared" ref="I100" si="7">G100*H100</f>
        <v>2000</v>
      </c>
      <c r="J100" s="108"/>
      <c r="K100" s="210" t="s">
        <v>348</v>
      </c>
      <c r="L100" s="93"/>
      <c r="M100" s="3"/>
      <c r="N100" s="23"/>
      <c r="O100" s="6"/>
      <c r="P100" s="6"/>
      <c r="Q100" s="43">
        <v>45142</v>
      </c>
      <c r="R100" s="41">
        <v>45147</v>
      </c>
    </row>
    <row r="101" spans="1:18" ht="18" customHeight="1">
      <c r="A101" s="206" t="s">
        <v>114</v>
      </c>
      <c r="B101" s="182">
        <v>3</v>
      </c>
      <c r="C101" s="29">
        <f t="shared" ref="C101:C116" si="8">+C100+1</f>
        <v>75</v>
      </c>
      <c r="D101" s="36" t="s">
        <v>29</v>
      </c>
      <c r="E101" s="36" t="s">
        <v>29</v>
      </c>
      <c r="F101" s="220" t="s">
        <v>60</v>
      </c>
      <c r="G101" s="206">
        <v>2</v>
      </c>
      <c r="H101" s="269">
        <v>72</v>
      </c>
      <c r="I101" s="81">
        <f t="shared" ref="I101:I109" si="9">G101*H101</f>
        <v>144</v>
      </c>
      <c r="J101" s="33"/>
      <c r="K101" s="30" t="s">
        <v>61</v>
      </c>
      <c r="L101" s="93"/>
      <c r="M101" s="3"/>
      <c r="N101" s="43">
        <v>45141</v>
      </c>
      <c r="O101" s="6"/>
      <c r="P101" s="43">
        <v>45162</v>
      </c>
      <c r="Q101" s="43">
        <v>45162</v>
      </c>
      <c r="R101" s="41">
        <v>45162</v>
      </c>
    </row>
    <row r="102" spans="1:18" ht="18" customHeight="1">
      <c r="A102" s="206" t="s">
        <v>114</v>
      </c>
      <c r="B102" s="182">
        <v>3</v>
      </c>
      <c r="C102" s="29">
        <f t="shared" si="8"/>
        <v>76</v>
      </c>
      <c r="D102" s="32" t="s">
        <v>29</v>
      </c>
      <c r="E102" s="32" t="s">
        <v>29</v>
      </c>
      <c r="F102" s="270" t="s">
        <v>58</v>
      </c>
      <c r="G102" s="271">
        <v>1</v>
      </c>
      <c r="H102" s="272">
        <v>70</v>
      </c>
      <c r="I102" s="109">
        <f t="shared" si="9"/>
        <v>70</v>
      </c>
      <c r="J102" s="33"/>
      <c r="K102" s="58" t="s">
        <v>59</v>
      </c>
      <c r="L102" s="93"/>
      <c r="M102" s="3"/>
      <c r="N102" s="43">
        <v>45141</v>
      </c>
      <c r="O102" s="6"/>
      <c r="P102" s="43">
        <v>45162</v>
      </c>
      <c r="Q102" s="43">
        <v>45162</v>
      </c>
      <c r="R102" s="41">
        <v>45162</v>
      </c>
    </row>
    <row r="103" spans="1:18" ht="18" customHeight="1">
      <c r="A103" s="206" t="s">
        <v>114</v>
      </c>
      <c r="B103" s="182">
        <v>3</v>
      </c>
      <c r="C103" s="29">
        <f t="shared" si="8"/>
        <v>77</v>
      </c>
      <c r="D103" s="72" t="s">
        <v>208</v>
      </c>
      <c r="E103" s="72" t="s">
        <v>209</v>
      </c>
      <c r="F103" s="268" t="s">
        <v>315</v>
      </c>
      <c r="G103" s="264"/>
      <c r="H103" s="265">
        <v>102</v>
      </c>
      <c r="I103" s="266">
        <f t="shared" si="9"/>
        <v>0</v>
      </c>
      <c r="J103" s="130"/>
      <c r="K103" s="64" t="s">
        <v>383</v>
      </c>
      <c r="L103" s="131" t="s">
        <v>210</v>
      </c>
      <c r="M103" s="3"/>
      <c r="N103" s="43"/>
      <c r="O103" s="6"/>
      <c r="P103" s="43"/>
      <c r="Q103" s="43"/>
      <c r="R103" s="41"/>
    </row>
    <row r="104" spans="1:18" ht="18" customHeight="1">
      <c r="A104" s="206" t="s">
        <v>114</v>
      </c>
      <c r="B104" s="182">
        <v>3</v>
      </c>
      <c r="C104" s="29">
        <f t="shared" si="8"/>
        <v>78</v>
      </c>
      <c r="D104" s="36" t="s">
        <v>211</v>
      </c>
      <c r="E104" s="36" t="s">
        <v>209</v>
      </c>
      <c r="F104" s="273" t="s">
        <v>217</v>
      </c>
      <c r="G104" s="274">
        <v>6</v>
      </c>
      <c r="H104" s="275">
        <v>80</v>
      </c>
      <c r="I104" s="129">
        <f t="shared" si="9"/>
        <v>480</v>
      </c>
      <c r="J104" s="130"/>
      <c r="K104" s="64" t="s">
        <v>349</v>
      </c>
      <c r="L104" s="131" t="s">
        <v>212</v>
      </c>
      <c r="M104" s="3"/>
      <c r="N104" s="43">
        <v>45141</v>
      </c>
      <c r="O104" s="6"/>
      <c r="P104" s="43">
        <v>45162</v>
      </c>
      <c r="Q104" s="43">
        <v>45162</v>
      </c>
      <c r="R104" s="41">
        <v>45162</v>
      </c>
    </row>
    <row r="105" spans="1:18" ht="18" customHeight="1">
      <c r="A105" s="206" t="s">
        <v>114</v>
      </c>
      <c r="B105" s="182">
        <v>3</v>
      </c>
      <c r="C105" s="29">
        <f t="shared" si="8"/>
        <v>79</v>
      </c>
      <c r="D105" s="72" t="s">
        <v>209</v>
      </c>
      <c r="E105" s="72" t="s">
        <v>209</v>
      </c>
      <c r="F105" s="268" t="s">
        <v>316</v>
      </c>
      <c r="G105" s="264"/>
      <c r="H105" s="265">
        <v>51</v>
      </c>
      <c r="I105" s="267">
        <f t="shared" si="9"/>
        <v>0</v>
      </c>
      <c r="J105" s="130"/>
      <c r="K105" s="64" t="s">
        <v>384</v>
      </c>
      <c r="L105" s="131" t="s">
        <v>210</v>
      </c>
      <c r="M105" s="3"/>
      <c r="N105" s="43"/>
      <c r="O105" s="6"/>
      <c r="P105" s="43"/>
      <c r="Q105" s="43"/>
      <c r="R105" s="41"/>
    </row>
    <row r="106" spans="1:18" ht="18" customHeight="1">
      <c r="A106" s="206" t="s">
        <v>114</v>
      </c>
      <c r="B106" s="182">
        <v>3</v>
      </c>
      <c r="C106" s="29">
        <f t="shared" si="8"/>
        <v>80</v>
      </c>
      <c r="D106" s="36" t="s">
        <v>209</v>
      </c>
      <c r="E106" s="36" t="s">
        <v>209</v>
      </c>
      <c r="F106" s="273" t="s">
        <v>213</v>
      </c>
      <c r="G106" s="274">
        <v>1</v>
      </c>
      <c r="H106" s="275">
        <v>5500</v>
      </c>
      <c r="I106" s="129">
        <f t="shared" si="9"/>
        <v>5500</v>
      </c>
      <c r="J106" s="130"/>
      <c r="K106" s="64" t="s">
        <v>214</v>
      </c>
      <c r="L106" s="131" t="s">
        <v>212</v>
      </c>
      <c r="M106" s="3"/>
      <c r="N106" s="43">
        <v>45141</v>
      </c>
      <c r="O106" s="6"/>
      <c r="P106" s="43">
        <v>45162</v>
      </c>
      <c r="Q106" s="43">
        <v>45162</v>
      </c>
      <c r="R106" s="41">
        <v>45162</v>
      </c>
    </row>
    <row r="107" spans="1:18" ht="18" customHeight="1">
      <c r="A107" s="206" t="s">
        <v>114</v>
      </c>
      <c r="B107" s="182">
        <v>3</v>
      </c>
      <c r="C107" s="29">
        <f t="shared" si="8"/>
        <v>81</v>
      </c>
      <c r="D107" s="36" t="s">
        <v>29</v>
      </c>
      <c r="E107" s="36" t="s">
        <v>29</v>
      </c>
      <c r="F107" s="220" t="s">
        <v>127</v>
      </c>
      <c r="G107" s="256">
        <v>4</v>
      </c>
      <c r="H107" s="256">
        <v>169</v>
      </c>
      <c r="I107" s="48">
        <f t="shared" si="9"/>
        <v>676</v>
      </c>
      <c r="J107" s="61"/>
      <c r="K107" s="68" t="s">
        <v>305</v>
      </c>
      <c r="L107" s="93"/>
      <c r="M107" s="3"/>
      <c r="N107" s="43">
        <v>45141</v>
      </c>
      <c r="O107" s="6"/>
      <c r="P107" s="43">
        <v>45162</v>
      </c>
      <c r="Q107" s="43">
        <v>45162</v>
      </c>
      <c r="R107" s="41">
        <v>45162</v>
      </c>
    </row>
    <row r="108" spans="1:18" ht="18" customHeight="1">
      <c r="A108" s="206" t="s">
        <v>114</v>
      </c>
      <c r="B108" s="182">
        <v>3</v>
      </c>
      <c r="C108" s="29">
        <f t="shared" si="8"/>
        <v>82</v>
      </c>
      <c r="D108" s="36" t="s">
        <v>29</v>
      </c>
      <c r="E108" s="36" t="s">
        <v>29</v>
      </c>
      <c r="F108" s="220" t="s">
        <v>62</v>
      </c>
      <c r="G108" s="206">
        <v>2</v>
      </c>
      <c r="H108" s="269">
        <v>31</v>
      </c>
      <c r="I108" s="81">
        <f t="shared" si="9"/>
        <v>62</v>
      </c>
      <c r="J108" s="33"/>
      <c r="K108" s="30" t="s">
        <v>63</v>
      </c>
      <c r="L108" s="93"/>
      <c r="M108" s="3"/>
      <c r="N108" s="43">
        <v>45141</v>
      </c>
      <c r="O108" s="6"/>
      <c r="P108" s="43">
        <v>45162</v>
      </c>
      <c r="Q108" s="43">
        <v>45162</v>
      </c>
      <c r="R108" s="41">
        <v>45162</v>
      </c>
    </row>
    <row r="109" spans="1:18" ht="18" customHeight="1">
      <c r="A109" s="187" t="s">
        <v>113</v>
      </c>
      <c r="B109" s="182">
        <v>3</v>
      </c>
      <c r="C109" s="29">
        <f t="shared" si="8"/>
        <v>83</v>
      </c>
      <c r="D109" s="219" t="s">
        <v>29</v>
      </c>
      <c r="E109" s="219" t="s">
        <v>29</v>
      </c>
      <c r="F109" s="220" t="s">
        <v>313</v>
      </c>
      <c r="G109" s="221">
        <v>4</v>
      </c>
      <c r="H109" s="222">
        <v>560</v>
      </c>
      <c r="I109" s="83">
        <f t="shared" si="9"/>
        <v>2240</v>
      </c>
      <c r="J109" s="108"/>
      <c r="K109" s="77" t="s">
        <v>314</v>
      </c>
      <c r="L109" s="150"/>
      <c r="M109" s="3"/>
      <c r="N109" s="43">
        <v>45141</v>
      </c>
      <c r="O109" s="6"/>
      <c r="P109" s="43">
        <v>45162</v>
      </c>
      <c r="Q109" s="43">
        <v>45162</v>
      </c>
      <c r="R109" s="41">
        <v>45162</v>
      </c>
    </row>
    <row r="110" spans="1:18" ht="18" customHeight="1">
      <c r="A110" s="187" t="s">
        <v>76</v>
      </c>
      <c r="B110" s="182">
        <v>3</v>
      </c>
      <c r="C110" s="29">
        <f t="shared" si="8"/>
        <v>84</v>
      </c>
      <c r="D110" s="117" t="s">
        <v>100</v>
      </c>
      <c r="E110" s="117" t="s">
        <v>29</v>
      </c>
      <c r="F110" s="214" t="s">
        <v>356</v>
      </c>
      <c r="G110" s="206">
        <v>1</v>
      </c>
      <c r="H110" s="206">
        <v>2710</v>
      </c>
      <c r="I110" s="48">
        <f t="shared" ref="I110:I113" si="10">G110*H110</f>
        <v>2710</v>
      </c>
      <c r="J110" s="33"/>
      <c r="K110" s="116" t="s">
        <v>350</v>
      </c>
      <c r="L110" s="22"/>
      <c r="M110" s="3"/>
      <c r="N110" s="43">
        <v>45141</v>
      </c>
      <c r="O110" s="6"/>
      <c r="P110" s="43">
        <v>45162</v>
      </c>
      <c r="Q110" s="43">
        <v>45162</v>
      </c>
      <c r="R110" s="41">
        <v>45162</v>
      </c>
    </row>
    <row r="111" spans="1:18" ht="18" customHeight="1">
      <c r="A111" s="187" t="s">
        <v>76</v>
      </c>
      <c r="B111" s="182">
        <v>3</v>
      </c>
      <c r="C111" s="29">
        <f t="shared" si="8"/>
        <v>85</v>
      </c>
      <c r="D111" s="117" t="s">
        <v>100</v>
      </c>
      <c r="E111" s="117" t="s">
        <v>29</v>
      </c>
      <c r="F111" s="213" t="s">
        <v>355</v>
      </c>
      <c r="G111" s="206">
        <v>1</v>
      </c>
      <c r="H111" s="206">
        <v>3140</v>
      </c>
      <c r="I111" s="48">
        <f t="shared" si="10"/>
        <v>3140</v>
      </c>
      <c r="J111" s="33"/>
      <c r="K111" s="116" t="s">
        <v>351</v>
      </c>
      <c r="L111" s="22"/>
      <c r="M111" s="3"/>
      <c r="N111" s="43">
        <v>45141</v>
      </c>
      <c r="O111" s="6"/>
      <c r="P111" s="43">
        <v>45162</v>
      </c>
      <c r="Q111" s="43">
        <v>45162</v>
      </c>
      <c r="R111" s="41">
        <v>45162</v>
      </c>
    </row>
    <row r="112" spans="1:18" ht="18" customHeight="1">
      <c r="A112" s="187" t="s">
        <v>76</v>
      </c>
      <c r="B112" s="182">
        <v>3</v>
      </c>
      <c r="C112" s="29">
        <f t="shared" si="8"/>
        <v>86</v>
      </c>
      <c r="D112" s="117" t="s">
        <v>100</v>
      </c>
      <c r="E112" s="117" t="s">
        <v>29</v>
      </c>
      <c r="F112" s="213" t="s">
        <v>354</v>
      </c>
      <c r="G112" s="206">
        <v>1</v>
      </c>
      <c r="H112" s="206">
        <v>3920</v>
      </c>
      <c r="I112" s="48">
        <f t="shared" si="10"/>
        <v>3920</v>
      </c>
      <c r="J112" s="33"/>
      <c r="K112" s="116" t="s">
        <v>352</v>
      </c>
      <c r="L112" s="181"/>
      <c r="M112" s="3"/>
      <c r="N112" s="43">
        <v>45141</v>
      </c>
      <c r="O112" s="6"/>
      <c r="P112" s="43">
        <v>45162</v>
      </c>
      <c r="Q112" s="43">
        <v>45162</v>
      </c>
      <c r="R112" s="41">
        <v>45162</v>
      </c>
    </row>
    <row r="113" spans="1:18" ht="18" customHeight="1">
      <c r="A113" s="187" t="s">
        <v>76</v>
      </c>
      <c r="B113" s="182">
        <v>3</v>
      </c>
      <c r="C113" s="29">
        <f t="shared" si="8"/>
        <v>87</v>
      </c>
      <c r="D113" s="117" t="s">
        <v>100</v>
      </c>
      <c r="E113" s="117" t="s">
        <v>29</v>
      </c>
      <c r="F113" s="214" t="s">
        <v>283</v>
      </c>
      <c r="G113" s="206">
        <v>1</v>
      </c>
      <c r="H113" s="206">
        <v>3420</v>
      </c>
      <c r="I113" s="48">
        <f t="shared" si="10"/>
        <v>3420</v>
      </c>
      <c r="J113" s="33"/>
      <c r="K113" s="116" t="s">
        <v>282</v>
      </c>
      <c r="L113" s="132"/>
      <c r="M113" s="3"/>
      <c r="N113" s="43">
        <v>45141</v>
      </c>
      <c r="O113" s="6"/>
      <c r="P113" s="43">
        <v>45162</v>
      </c>
      <c r="Q113" s="43">
        <v>45162</v>
      </c>
      <c r="R113" s="41">
        <v>45162</v>
      </c>
    </row>
    <row r="114" spans="1:18" ht="18" customHeight="1">
      <c r="A114" s="187" t="s">
        <v>76</v>
      </c>
      <c r="B114" s="182">
        <v>3</v>
      </c>
      <c r="C114" s="29">
        <f t="shared" si="8"/>
        <v>88</v>
      </c>
      <c r="D114" s="117" t="s">
        <v>100</v>
      </c>
      <c r="E114" s="117" t="s">
        <v>29</v>
      </c>
      <c r="F114" s="239" t="s">
        <v>215</v>
      </c>
      <c r="G114" s="244">
        <v>1</v>
      </c>
      <c r="H114" s="261">
        <v>3130</v>
      </c>
      <c r="I114" s="129">
        <f>G114*H114</f>
        <v>3130</v>
      </c>
      <c r="J114" s="130"/>
      <c r="K114" s="78" t="s">
        <v>216</v>
      </c>
      <c r="L114" s="131" t="s">
        <v>212</v>
      </c>
      <c r="M114" s="3"/>
      <c r="N114" s="43">
        <v>45141</v>
      </c>
      <c r="O114" s="6"/>
      <c r="P114" s="43">
        <v>45162</v>
      </c>
      <c r="Q114" s="43">
        <v>45162</v>
      </c>
      <c r="R114" s="41">
        <v>45162</v>
      </c>
    </row>
    <row r="115" spans="1:18" ht="18" customHeight="1">
      <c r="A115" s="187" t="s">
        <v>114</v>
      </c>
      <c r="B115" s="182">
        <v>3</v>
      </c>
      <c r="C115" s="29">
        <f t="shared" si="8"/>
        <v>89</v>
      </c>
      <c r="D115" s="57" t="s">
        <v>29</v>
      </c>
      <c r="E115" s="57" t="s">
        <v>29</v>
      </c>
      <c r="F115" s="229" t="s">
        <v>65</v>
      </c>
      <c r="G115" s="249">
        <v>1</v>
      </c>
      <c r="H115" s="248">
        <v>830</v>
      </c>
      <c r="I115" s="148">
        <f>G115*H115</f>
        <v>830</v>
      </c>
      <c r="J115" s="149"/>
      <c r="K115" s="128" t="s">
        <v>288</v>
      </c>
      <c r="L115" s="150"/>
      <c r="M115" s="3"/>
      <c r="N115" s="43">
        <v>45141</v>
      </c>
      <c r="O115" s="6"/>
      <c r="P115" s="43">
        <v>45162</v>
      </c>
      <c r="Q115" s="43">
        <v>45162</v>
      </c>
      <c r="R115" s="41">
        <v>45162</v>
      </c>
    </row>
    <row r="116" spans="1:18" ht="18" customHeight="1">
      <c r="A116" s="187" t="s">
        <v>114</v>
      </c>
      <c r="B116" s="182">
        <v>3</v>
      </c>
      <c r="C116" s="29">
        <f t="shared" si="8"/>
        <v>90</v>
      </c>
      <c r="D116" s="57" t="s">
        <v>29</v>
      </c>
      <c r="E116" s="57" t="s">
        <v>29</v>
      </c>
      <c r="F116" s="229" t="s">
        <v>32</v>
      </c>
      <c r="G116" s="249">
        <v>1</v>
      </c>
      <c r="H116" s="248">
        <v>1350</v>
      </c>
      <c r="I116" s="148">
        <f>G116*H116</f>
        <v>1350</v>
      </c>
      <c r="J116" s="149"/>
      <c r="K116" s="128" t="s">
        <v>288</v>
      </c>
      <c r="L116" s="150"/>
      <c r="M116" s="3"/>
      <c r="N116" s="43">
        <v>45141</v>
      </c>
      <c r="O116" s="6"/>
      <c r="P116" s="43">
        <v>45162</v>
      </c>
      <c r="Q116" s="43">
        <v>45162</v>
      </c>
      <c r="R116" s="41">
        <v>45162</v>
      </c>
    </row>
    <row r="117" spans="1:18" ht="18" customHeight="1">
      <c r="C117" s="32"/>
      <c r="D117" s="57"/>
      <c r="E117" s="57"/>
      <c r="F117" s="37"/>
      <c r="G117" s="32"/>
      <c r="H117" s="48"/>
      <c r="I117" s="48"/>
      <c r="J117" s="33"/>
      <c r="K117" s="64"/>
      <c r="L117" s="22"/>
      <c r="M117" s="3"/>
      <c r="N117" s="23"/>
      <c r="O117" s="6"/>
      <c r="P117" s="6"/>
      <c r="Q117" s="6"/>
      <c r="R117" s="12"/>
    </row>
    <row r="118" spans="1:18" ht="18" customHeight="1">
      <c r="C118" s="32"/>
      <c r="D118" s="65"/>
      <c r="E118" s="65"/>
      <c r="F118" s="211">
        <f>SUM(I100:I116)</f>
        <v>29672</v>
      </c>
      <c r="G118" s="295"/>
      <c r="H118" s="295"/>
      <c r="I118" s="295"/>
      <c r="J118" s="32"/>
      <c r="K118" s="53"/>
      <c r="L118" s="22"/>
      <c r="M118" s="3"/>
      <c r="N118" s="23"/>
      <c r="O118" s="6"/>
      <c r="P118" s="6"/>
      <c r="Q118" s="6"/>
      <c r="R118" s="12"/>
    </row>
    <row r="119" spans="1:18" ht="18" customHeight="1">
      <c r="C119" s="32"/>
      <c r="D119" s="88"/>
      <c r="E119" s="88"/>
      <c r="F119" s="89"/>
      <c r="G119" s="90"/>
      <c r="H119" s="91"/>
      <c r="I119" s="48"/>
      <c r="J119" s="32"/>
      <c r="K119" s="47"/>
      <c r="L119" s="103"/>
      <c r="M119" s="3"/>
      <c r="N119" s="23"/>
      <c r="O119" s="6"/>
      <c r="P119" s="6"/>
      <c r="Q119" s="6"/>
      <c r="R119" s="12"/>
    </row>
    <row r="120" spans="1:18" ht="18" customHeight="1">
      <c r="C120" s="32"/>
      <c r="D120" s="88"/>
      <c r="E120" s="88"/>
      <c r="F120" s="89"/>
      <c r="G120" s="90"/>
      <c r="H120" s="91"/>
      <c r="I120" s="48"/>
      <c r="J120" s="32"/>
      <c r="K120" s="47"/>
      <c r="L120" s="103"/>
      <c r="M120" s="3"/>
      <c r="N120" s="23"/>
      <c r="O120" s="6"/>
      <c r="P120" s="6"/>
      <c r="Q120" s="6"/>
      <c r="R120" s="12"/>
    </row>
    <row r="121" spans="1:18" ht="18" customHeight="1">
      <c r="C121" s="32"/>
      <c r="D121" s="88"/>
      <c r="E121" s="88"/>
      <c r="F121" s="89"/>
      <c r="G121" s="90"/>
      <c r="H121" s="91"/>
      <c r="I121" s="48"/>
      <c r="J121" s="32"/>
      <c r="K121" s="47"/>
      <c r="L121" s="103"/>
      <c r="M121" s="3"/>
      <c r="N121" s="23"/>
      <c r="O121" s="6"/>
      <c r="P121" s="6"/>
      <c r="Q121" s="6"/>
      <c r="R121" s="12"/>
    </row>
    <row r="122" spans="1:18" ht="18" customHeight="1">
      <c r="C122" s="322" t="s">
        <v>320</v>
      </c>
      <c r="D122" s="323"/>
      <c r="E122" s="323"/>
      <c r="F122" s="324"/>
      <c r="G122" s="30"/>
      <c r="H122" s="49"/>
      <c r="I122" s="189"/>
      <c r="J122" s="51"/>
      <c r="K122" s="30"/>
      <c r="L122" s="30"/>
      <c r="M122" s="36"/>
      <c r="N122" s="23"/>
      <c r="O122" s="6"/>
      <c r="P122" s="6"/>
      <c r="Q122" s="6"/>
      <c r="R122" s="12"/>
    </row>
    <row r="123" spans="1:18" ht="18" customHeight="1">
      <c r="A123" s="206" t="s">
        <v>113</v>
      </c>
      <c r="B123" s="182">
        <v>3</v>
      </c>
      <c r="C123" s="190">
        <f>+C116+1</f>
        <v>91</v>
      </c>
      <c r="D123" s="195" t="s">
        <v>100</v>
      </c>
      <c r="E123" s="195" t="s">
        <v>29</v>
      </c>
      <c r="F123" s="213" t="s">
        <v>321</v>
      </c>
      <c r="G123" s="212">
        <v>1</v>
      </c>
      <c r="H123" s="212">
        <v>2320</v>
      </c>
      <c r="I123" s="191">
        <f t="shared" ref="I123:I130" si="11">G123*H123</f>
        <v>2320</v>
      </c>
      <c r="J123" s="108"/>
      <c r="K123" s="192" t="s">
        <v>322</v>
      </c>
      <c r="L123" s="78"/>
      <c r="M123" s="32"/>
      <c r="N123" s="23">
        <v>45141</v>
      </c>
      <c r="O123" s="6"/>
      <c r="P123" s="23">
        <v>45162</v>
      </c>
      <c r="Q123" s="23">
        <v>45162</v>
      </c>
      <c r="R123" s="41">
        <v>45162</v>
      </c>
    </row>
    <row r="124" spans="1:18" ht="18" customHeight="1">
      <c r="A124" s="206" t="s">
        <v>114</v>
      </c>
      <c r="B124" s="182">
        <v>3</v>
      </c>
      <c r="C124" s="190">
        <f t="shared" ref="C124:C130" si="12">+C123+1</f>
        <v>92</v>
      </c>
      <c r="D124" s="52" t="s">
        <v>323</v>
      </c>
      <c r="E124" s="62" t="s">
        <v>324</v>
      </c>
      <c r="F124" s="277" t="s">
        <v>325</v>
      </c>
      <c r="G124" s="278">
        <v>1</v>
      </c>
      <c r="H124" s="279">
        <v>10610</v>
      </c>
      <c r="I124" s="191">
        <f t="shared" si="11"/>
        <v>10610</v>
      </c>
      <c r="J124" s="108"/>
      <c r="K124" s="192" t="s">
        <v>326</v>
      </c>
      <c r="L124" s="196" t="s">
        <v>327</v>
      </c>
      <c r="M124" s="32"/>
      <c r="N124" s="23">
        <v>45141</v>
      </c>
      <c r="O124" s="6"/>
      <c r="P124" s="23">
        <v>45162</v>
      </c>
      <c r="Q124" s="23">
        <v>45161</v>
      </c>
      <c r="R124" s="12">
        <v>45160</v>
      </c>
    </row>
    <row r="125" spans="1:18" ht="18" customHeight="1">
      <c r="A125" s="206" t="s">
        <v>114</v>
      </c>
      <c r="B125" s="182">
        <v>3</v>
      </c>
      <c r="C125" s="190">
        <f t="shared" si="12"/>
        <v>93</v>
      </c>
      <c r="D125" s="72" t="s">
        <v>29</v>
      </c>
      <c r="E125" s="72" t="s">
        <v>29</v>
      </c>
      <c r="F125" s="95" t="s">
        <v>70</v>
      </c>
      <c r="G125" s="123"/>
      <c r="H125" s="193">
        <v>27</v>
      </c>
      <c r="I125" s="194">
        <f>G125*H125</f>
        <v>0</v>
      </c>
      <c r="J125" s="33"/>
      <c r="K125" s="38" t="s">
        <v>385</v>
      </c>
      <c r="L125" s="78" t="s">
        <v>328</v>
      </c>
      <c r="M125" s="32"/>
      <c r="N125" s="23"/>
      <c r="O125" s="6"/>
      <c r="P125" s="23"/>
      <c r="Q125" s="23"/>
      <c r="R125" s="12"/>
    </row>
    <row r="126" spans="1:18" ht="18" customHeight="1">
      <c r="A126" s="206" t="s">
        <v>114</v>
      </c>
      <c r="B126" s="182">
        <v>3</v>
      </c>
      <c r="C126" s="190">
        <f t="shared" si="12"/>
        <v>94</v>
      </c>
      <c r="D126" s="32" t="s">
        <v>29</v>
      </c>
      <c r="E126" s="32" t="s">
        <v>29</v>
      </c>
      <c r="F126" s="205" t="s">
        <v>329</v>
      </c>
      <c r="G126" s="212">
        <v>1</v>
      </c>
      <c r="H126" s="212">
        <v>990</v>
      </c>
      <c r="I126" s="197">
        <f>G126*H126</f>
        <v>990</v>
      </c>
      <c r="J126" s="198"/>
      <c r="K126" s="199" t="s">
        <v>330</v>
      </c>
      <c r="L126" s="196"/>
      <c r="M126" s="32"/>
      <c r="N126" s="23">
        <v>45141</v>
      </c>
      <c r="O126" s="6"/>
      <c r="P126" s="23">
        <v>45162</v>
      </c>
      <c r="Q126" s="23">
        <v>45162</v>
      </c>
      <c r="R126" s="41">
        <v>45162</v>
      </c>
    </row>
    <row r="127" spans="1:18" ht="18" customHeight="1">
      <c r="A127" s="206" t="s">
        <v>114</v>
      </c>
      <c r="B127" s="182">
        <v>3</v>
      </c>
      <c r="C127" s="190">
        <f t="shared" si="12"/>
        <v>95</v>
      </c>
      <c r="D127" s="54" t="s">
        <v>29</v>
      </c>
      <c r="E127" s="54" t="s">
        <v>29</v>
      </c>
      <c r="F127" s="227" t="s">
        <v>55</v>
      </c>
      <c r="G127" s="270">
        <v>1</v>
      </c>
      <c r="H127" s="270">
        <v>210</v>
      </c>
      <c r="I127" s="200">
        <f>G127*H127</f>
        <v>210</v>
      </c>
      <c r="J127" s="201"/>
      <c r="K127" s="202" t="s">
        <v>331</v>
      </c>
      <c r="L127" s="78"/>
      <c r="M127" s="32"/>
      <c r="N127" s="23">
        <v>45141</v>
      </c>
      <c r="O127" s="6"/>
      <c r="P127" s="23">
        <v>45162</v>
      </c>
      <c r="Q127" s="23">
        <v>45162</v>
      </c>
      <c r="R127" s="41">
        <v>45162</v>
      </c>
    </row>
    <row r="128" spans="1:18" ht="18" customHeight="1">
      <c r="A128" s="206" t="s">
        <v>114</v>
      </c>
      <c r="B128" s="182">
        <v>3</v>
      </c>
      <c r="C128" s="190">
        <f t="shared" si="12"/>
        <v>96</v>
      </c>
      <c r="D128" s="36" t="s">
        <v>29</v>
      </c>
      <c r="E128" s="36" t="s">
        <v>29</v>
      </c>
      <c r="F128" s="220" t="s">
        <v>60</v>
      </c>
      <c r="G128" s="212">
        <v>2</v>
      </c>
      <c r="H128" s="280">
        <v>72</v>
      </c>
      <c r="I128" s="189">
        <f t="shared" si="11"/>
        <v>144</v>
      </c>
      <c r="J128" s="33"/>
      <c r="K128" s="30" t="s">
        <v>61</v>
      </c>
      <c r="L128" s="78"/>
      <c r="M128" s="32" t="s">
        <v>332</v>
      </c>
      <c r="N128" s="23">
        <v>45141</v>
      </c>
      <c r="O128" s="6"/>
      <c r="P128" s="23">
        <v>45162</v>
      </c>
      <c r="Q128" s="23">
        <v>45162</v>
      </c>
      <c r="R128" s="41">
        <v>45162</v>
      </c>
    </row>
    <row r="129" spans="1:18" ht="18" customHeight="1">
      <c r="A129" s="206" t="s">
        <v>114</v>
      </c>
      <c r="B129" s="182">
        <v>3</v>
      </c>
      <c r="C129" s="190">
        <f t="shared" si="12"/>
        <v>97</v>
      </c>
      <c r="D129" s="36" t="s">
        <v>29</v>
      </c>
      <c r="E129" s="36" t="s">
        <v>29</v>
      </c>
      <c r="F129" s="281" t="s">
        <v>62</v>
      </c>
      <c r="G129" s="212">
        <v>2</v>
      </c>
      <c r="H129" s="280">
        <v>31</v>
      </c>
      <c r="I129" s="189">
        <f t="shared" si="11"/>
        <v>62</v>
      </c>
      <c r="J129" s="33"/>
      <c r="K129" s="30" t="s">
        <v>63</v>
      </c>
      <c r="L129" s="78"/>
      <c r="M129" s="32" t="s">
        <v>332</v>
      </c>
      <c r="N129" s="23">
        <v>45141</v>
      </c>
      <c r="O129" s="6"/>
      <c r="P129" s="23">
        <v>45162</v>
      </c>
      <c r="Q129" s="23">
        <v>45162</v>
      </c>
      <c r="R129" s="41">
        <v>45162</v>
      </c>
    </row>
    <row r="130" spans="1:18" ht="18" customHeight="1">
      <c r="A130" s="221" t="s">
        <v>114</v>
      </c>
      <c r="B130" s="182">
        <v>3</v>
      </c>
      <c r="C130" s="190">
        <f t="shared" si="12"/>
        <v>98</v>
      </c>
      <c r="D130" s="52" t="s">
        <v>333</v>
      </c>
      <c r="E130" s="36" t="s">
        <v>29</v>
      </c>
      <c r="F130" s="233" t="s">
        <v>334</v>
      </c>
      <c r="G130" s="233">
        <v>1</v>
      </c>
      <c r="H130" s="233">
        <v>136</v>
      </c>
      <c r="I130" s="189">
        <f t="shared" si="11"/>
        <v>136</v>
      </c>
      <c r="J130" s="149"/>
      <c r="K130" s="78" t="s">
        <v>335</v>
      </c>
      <c r="L130" s="203"/>
      <c r="M130" s="32" t="s">
        <v>332</v>
      </c>
      <c r="N130" s="23">
        <v>45141</v>
      </c>
      <c r="O130" s="6"/>
      <c r="P130" s="23">
        <v>45162</v>
      </c>
      <c r="Q130" s="23">
        <v>45162</v>
      </c>
      <c r="R130" s="41">
        <v>45162</v>
      </c>
    </row>
    <row r="131" spans="1:18" ht="18" customHeight="1">
      <c r="C131" s="36"/>
      <c r="D131" s="36"/>
      <c r="E131" s="36"/>
      <c r="F131" s="204"/>
      <c r="G131" s="30"/>
      <c r="H131" s="49"/>
      <c r="I131" s="189"/>
      <c r="J131" s="51"/>
      <c r="K131" s="30"/>
      <c r="L131" s="30"/>
      <c r="M131" s="36"/>
      <c r="N131" s="23"/>
      <c r="O131" s="6"/>
      <c r="P131" s="6"/>
      <c r="Q131" s="6"/>
      <c r="R131" s="12"/>
    </row>
    <row r="132" spans="1:18" ht="18" customHeight="1">
      <c r="C132" s="36"/>
      <c r="D132" s="36"/>
      <c r="E132" s="296"/>
      <c r="F132" s="297">
        <f>SUM(I123:I130)</f>
        <v>14472</v>
      </c>
      <c r="G132" s="30"/>
      <c r="H132" s="49"/>
      <c r="I132" s="189"/>
      <c r="J132" s="51"/>
      <c r="K132" s="30"/>
      <c r="L132" s="30"/>
      <c r="M132" s="36"/>
      <c r="N132" s="23"/>
      <c r="O132" s="6"/>
      <c r="P132" s="6"/>
      <c r="Q132" s="6"/>
      <c r="R132" s="12"/>
    </row>
    <row r="133" spans="1:18" ht="18" customHeight="1">
      <c r="C133" s="32"/>
      <c r="D133" s="88"/>
      <c r="E133" s="88"/>
      <c r="F133" s="89"/>
      <c r="G133" s="90"/>
      <c r="H133" s="91"/>
      <c r="I133" s="48"/>
      <c r="J133" s="32"/>
      <c r="K133" s="47"/>
      <c r="L133" s="103"/>
      <c r="M133" s="3"/>
      <c r="N133" s="23"/>
      <c r="O133" s="6"/>
      <c r="P133" s="6"/>
      <c r="Q133" s="6"/>
      <c r="R133" s="12"/>
    </row>
    <row r="134" spans="1:18" ht="18" customHeight="1">
      <c r="C134" s="32"/>
      <c r="D134" s="88"/>
      <c r="E134" s="88"/>
      <c r="F134" s="89"/>
      <c r="G134" s="90"/>
      <c r="H134" s="91"/>
      <c r="I134" s="48"/>
      <c r="J134" s="32"/>
      <c r="K134" s="47"/>
      <c r="L134" s="103"/>
      <c r="M134" s="3"/>
      <c r="N134" s="23"/>
      <c r="O134" s="6"/>
      <c r="P134" s="6"/>
      <c r="Q134" s="6"/>
      <c r="R134" s="12"/>
    </row>
    <row r="135" spans="1:18" ht="18" customHeight="1">
      <c r="C135" s="32"/>
      <c r="D135" s="88"/>
      <c r="E135" s="88"/>
      <c r="F135" s="89"/>
      <c r="G135" s="90"/>
      <c r="H135" s="91"/>
      <c r="I135" s="48"/>
      <c r="J135" s="32"/>
      <c r="K135" s="47"/>
      <c r="L135" s="103"/>
      <c r="M135" s="3"/>
      <c r="N135" s="23"/>
      <c r="O135" s="6"/>
      <c r="P135" s="6"/>
      <c r="Q135" s="6"/>
      <c r="R135" s="12"/>
    </row>
    <row r="136" spans="1:18" ht="18" customHeight="1">
      <c r="A136" s="5"/>
      <c r="B136" s="5"/>
      <c r="C136" s="36"/>
      <c r="D136" s="315" t="s">
        <v>218</v>
      </c>
      <c r="E136" s="316"/>
      <c r="F136" s="317"/>
      <c r="G136" s="30"/>
      <c r="H136" s="32"/>
      <c r="I136" s="33"/>
      <c r="J136" s="133"/>
      <c r="K136" s="32"/>
      <c r="L136" s="32"/>
      <c r="M136" s="3"/>
      <c r="N136" s="23"/>
      <c r="O136" s="6"/>
      <c r="P136" s="6"/>
      <c r="Q136" s="6"/>
      <c r="R136" s="12"/>
    </row>
    <row r="137" spans="1:18" ht="18" customHeight="1">
      <c r="A137" s="206" t="s">
        <v>219</v>
      </c>
      <c r="B137" s="290">
        <v>14</v>
      </c>
      <c r="C137" s="36">
        <f>+C130+1</f>
        <v>99</v>
      </c>
      <c r="D137" s="142" t="s">
        <v>23</v>
      </c>
      <c r="E137" s="142" t="s">
        <v>23</v>
      </c>
      <c r="F137" s="282" t="s">
        <v>90</v>
      </c>
      <c r="G137" s="223">
        <v>4</v>
      </c>
      <c r="H137" s="231">
        <v>2940</v>
      </c>
      <c r="I137" s="143">
        <f t="shared" ref="I137:I172" si="13">G137*H137</f>
        <v>11760</v>
      </c>
      <c r="J137" s="33"/>
      <c r="K137" s="283" t="s">
        <v>91</v>
      </c>
      <c r="L137" s="32"/>
      <c r="M137" s="3"/>
      <c r="N137" s="43">
        <v>45141</v>
      </c>
      <c r="O137" s="6"/>
      <c r="P137" s="43">
        <v>45162</v>
      </c>
      <c r="Q137" s="43">
        <v>45162</v>
      </c>
      <c r="R137" s="41">
        <v>45162</v>
      </c>
    </row>
    <row r="138" spans="1:18" ht="18" customHeight="1">
      <c r="A138" s="206" t="s">
        <v>114</v>
      </c>
      <c r="B138" s="290">
        <v>14</v>
      </c>
      <c r="C138" s="36">
        <f>+C137+1</f>
        <v>100</v>
      </c>
      <c r="D138" s="57" t="s">
        <v>23</v>
      </c>
      <c r="E138" s="57" t="s">
        <v>23</v>
      </c>
      <c r="F138" s="213" t="s">
        <v>221</v>
      </c>
      <c r="G138" s="224">
        <v>4</v>
      </c>
      <c r="H138" s="206">
        <v>1183</v>
      </c>
      <c r="I138" s="48">
        <f t="shared" si="13"/>
        <v>4732</v>
      </c>
      <c r="J138" s="33"/>
      <c r="K138" s="37" t="s">
        <v>220</v>
      </c>
      <c r="L138" s="32"/>
      <c r="M138" s="3"/>
      <c r="N138" s="43">
        <v>45141</v>
      </c>
      <c r="O138" s="6"/>
      <c r="P138" s="43">
        <v>45162</v>
      </c>
      <c r="Q138" s="43">
        <v>45162</v>
      </c>
      <c r="R138" s="41">
        <v>45162</v>
      </c>
    </row>
    <row r="139" spans="1:18" ht="18" customHeight="1">
      <c r="A139" s="206" t="s">
        <v>114</v>
      </c>
      <c r="B139" s="290">
        <v>14</v>
      </c>
      <c r="C139" s="36">
        <f t="shared" ref="C139:C171" si="14">+C138+1</f>
        <v>101</v>
      </c>
      <c r="D139" s="57" t="s">
        <v>222</v>
      </c>
      <c r="E139" s="57" t="s">
        <v>23</v>
      </c>
      <c r="F139" s="213" t="s">
        <v>223</v>
      </c>
      <c r="G139" s="224">
        <v>8</v>
      </c>
      <c r="H139" s="206">
        <v>129</v>
      </c>
      <c r="I139" s="48">
        <f t="shared" si="13"/>
        <v>1032</v>
      </c>
      <c r="J139" s="33"/>
      <c r="K139" s="116" t="s">
        <v>386</v>
      </c>
      <c r="L139" s="32"/>
      <c r="M139" s="3"/>
      <c r="N139" s="43">
        <v>45141</v>
      </c>
      <c r="O139" s="6"/>
      <c r="P139" s="43">
        <v>45162</v>
      </c>
      <c r="Q139" s="43">
        <v>45162</v>
      </c>
      <c r="R139" s="41">
        <v>45162</v>
      </c>
    </row>
    <row r="140" spans="1:18" ht="18" customHeight="1">
      <c r="A140" s="206" t="s">
        <v>114</v>
      </c>
      <c r="B140" s="290">
        <v>14</v>
      </c>
      <c r="C140" s="36">
        <f>+C139+1</f>
        <v>102</v>
      </c>
      <c r="D140" s="57" t="s">
        <v>23</v>
      </c>
      <c r="E140" s="57" t="s">
        <v>23</v>
      </c>
      <c r="F140" s="213" t="s">
        <v>225</v>
      </c>
      <c r="G140" s="224">
        <v>4</v>
      </c>
      <c r="H140" s="206">
        <v>188</v>
      </c>
      <c r="I140" s="48">
        <f t="shared" si="13"/>
        <v>752</v>
      </c>
      <c r="J140" s="33"/>
      <c r="K140" s="37" t="s">
        <v>226</v>
      </c>
      <c r="L140" s="32"/>
      <c r="M140" s="3"/>
      <c r="N140" s="43">
        <v>45141</v>
      </c>
      <c r="O140" s="6"/>
      <c r="P140" s="43">
        <v>45162</v>
      </c>
      <c r="Q140" s="43">
        <v>45162</v>
      </c>
      <c r="R140" s="41">
        <v>45162</v>
      </c>
    </row>
    <row r="141" spans="1:18" ht="18" customHeight="1">
      <c r="A141" s="206" t="s">
        <v>114</v>
      </c>
      <c r="B141" s="290">
        <v>14</v>
      </c>
      <c r="C141" s="36">
        <f>+C140+1</f>
        <v>103</v>
      </c>
      <c r="D141" s="57" t="s">
        <v>23</v>
      </c>
      <c r="E141" s="57" t="s">
        <v>23</v>
      </c>
      <c r="F141" s="213" t="s">
        <v>227</v>
      </c>
      <c r="G141" s="224">
        <v>4</v>
      </c>
      <c r="H141" s="206">
        <v>156</v>
      </c>
      <c r="I141" s="48">
        <f>G141*H141</f>
        <v>624</v>
      </c>
      <c r="J141" s="33"/>
      <c r="K141" s="107" t="s">
        <v>92</v>
      </c>
      <c r="L141" s="32"/>
      <c r="M141" s="3"/>
      <c r="N141" s="43">
        <v>45141</v>
      </c>
      <c r="O141" s="6"/>
      <c r="P141" s="43">
        <v>45162</v>
      </c>
      <c r="Q141" s="43">
        <v>45162</v>
      </c>
      <c r="R141" s="41">
        <v>45162</v>
      </c>
    </row>
    <row r="142" spans="1:18" ht="18" customHeight="1">
      <c r="A142" s="206" t="s">
        <v>114</v>
      </c>
      <c r="B142" s="290">
        <v>14</v>
      </c>
      <c r="C142" s="36">
        <f t="shared" si="14"/>
        <v>104</v>
      </c>
      <c r="D142" s="57" t="s">
        <v>23</v>
      </c>
      <c r="E142" s="57" t="s">
        <v>23</v>
      </c>
      <c r="F142" s="213" t="s">
        <v>228</v>
      </c>
      <c r="G142" s="224">
        <v>8</v>
      </c>
      <c r="H142" s="206">
        <v>178</v>
      </c>
      <c r="I142" s="48">
        <f t="shared" si="13"/>
        <v>1424</v>
      </c>
      <c r="J142" s="33"/>
      <c r="K142" s="107" t="s">
        <v>92</v>
      </c>
      <c r="L142" s="32"/>
      <c r="M142" s="3"/>
      <c r="N142" s="43">
        <v>45141</v>
      </c>
      <c r="O142" s="6"/>
      <c r="P142" s="43">
        <v>45162</v>
      </c>
      <c r="Q142" s="43">
        <v>45162</v>
      </c>
      <c r="R142" s="41">
        <v>45162</v>
      </c>
    </row>
    <row r="143" spans="1:18" ht="18" customHeight="1">
      <c r="A143" s="206" t="s">
        <v>224</v>
      </c>
      <c r="B143" s="290">
        <v>14</v>
      </c>
      <c r="C143" s="36">
        <f t="shared" si="14"/>
        <v>105</v>
      </c>
      <c r="D143" s="57" t="s">
        <v>23</v>
      </c>
      <c r="E143" s="57" t="s">
        <v>23</v>
      </c>
      <c r="F143" s="213" t="s">
        <v>263</v>
      </c>
      <c r="G143" s="224">
        <v>4</v>
      </c>
      <c r="H143" s="206">
        <v>1300</v>
      </c>
      <c r="I143" s="48">
        <f t="shared" si="13"/>
        <v>5200</v>
      </c>
      <c r="J143" s="33"/>
      <c r="K143" s="107" t="s">
        <v>229</v>
      </c>
      <c r="L143" s="32"/>
      <c r="M143" s="3"/>
      <c r="N143" s="43">
        <v>45141</v>
      </c>
      <c r="O143" s="6"/>
      <c r="P143" s="43">
        <v>45162</v>
      </c>
      <c r="Q143" s="43">
        <v>45162</v>
      </c>
      <c r="R143" s="41">
        <v>45162</v>
      </c>
    </row>
    <row r="144" spans="1:18" ht="18" customHeight="1">
      <c r="A144" s="206" t="s">
        <v>114</v>
      </c>
      <c r="B144" s="290">
        <v>14</v>
      </c>
      <c r="C144" s="36">
        <f t="shared" si="14"/>
        <v>106</v>
      </c>
      <c r="D144" s="57" t="s">
        <v>23</v>
      </c>
      <c r="E144" s="57" t="s">
        <v>23</v>
      </c>
      <c r="F144" s="213" t="s">
        <v>230</v>
      </c>
      <c r="G144" s="224">
        <v>6</v>
      </c>
      <c r="H144" s="206">
        <v>47</v>
      </c>
      <c r="I144" s="48">
        <f t="shared" si="13"/>
        <v>282</v>
      </c>
      <c r="J144" s="33"/>
      <c r="K144" s="37" t="s">
        <v>231</v>
      </c>
      <c r="L144" s="32"/>
      <c r="M144" s="3"/>
      <c r="N144" s="43">
        <v>45141</v>
      </c>
      <c r="O144" s="6"/>
      <c r="P144" s="43">
        <v>45162</v>
      </c>
      <c r="Q144" s="43">
        <v>45162</v>
      </c>
      <c r="R144" s="41">
        <v>45162</v>
      </c>
    </row>
    <row r="145" spans="1:18" ht="18" customHeight="1">
      <c r="A145" s="206" t="s">
        <v>114</v>
      </c>
      <c r="B145" s="290">
        <v>14</v>
      </c>
      <c r="C145" s="36">
        <f t="shared" si="14"/>
        <v>107</v>
      </c>
      <c r="D145" s="57" t="s">
        <v>23</v>
      </c>
      <c r="E145" s="57" t="s">
        <v>23</v>
      </c>
      <c r="F145" s="213" t="s">
        <v>232</v>
      </c>
      <c r="G145" s="224">
        <v>8</v>
      </c>
      <c r="H145" s="206">
        <v>47</v>
      </c>
      <c r="I145" s="48">
        <f t="shared" si="13"/>
        <v>376</v>
      </c>
      <c r="J145" s="33"/>
      <c r="K145" s="37" t="s">
        <v>233</v>
      </c>
      <c r="L145" s="32"/>
      <c r="M145" s="3"/>
      <c r="N145" s="43">
        <v>45141</v>
      </c>
      <c r="O145" s="6"/>
      <c r="P145" s="43">
        <v>45162</v>
      </c>
      <c r="Q145" s="43">
        <v>45162</v>
      </c>
      <c r="R145" s="41">
        <v>45162</v>
      </c>
    </row>
    <row r="146" spans="1:18" ht="18" customHeight="1">
      <c r="A146" s="206" t="s">
        <v>224</v>
      </c>
      <c r="B146" s="290">
        <v>14</v>
      </c>
      <c r="C146" s="36">
        <f t="shared" si="14"/>
        <v>108</v>
      </c>
      <c r="D146" s="57" t="s">
        <v>23</v>
      </c>
      <c r="E146" s="57" t="s">
        <v>23</v>
      </c>
      <c r="F146" s="225" t="s">
        <v>264</v>
      </c>
      <c r="G146" s="224">
        <v>2</v>
      </c>
      <c r="H146" s="206">
        <v>1180</v>
      </c>
      <c r="I146" s="48">
        <f t="shared" si="13"/>
        <v>2360</v>
      </c>
      <c r="J146" s="33"/>
      <c r="K146" s="107" t="s">
        <v>229</v>
      </c>
      <c r="L146" s="32"/>
      <c r="M146" s="3"/>
      <c r="N146" s="43">
        <v>45141</v>
      </c>
      <c r="O146" s="6"/>
      <c r="P146" s="43">
        <v>45162</v>
      </c>
      <c r="Q146" s="43">
        <v>45162</v>
      </c>
      <c r="R146" s="41">
        <v>45162</v>
      </c>
    </row>
    <row r="147" spans="1:18" ht="18" customHeight="1">
      <c r="A147" s="206" t="s">
        <v>224</v>
      </c>
      <c r="B147" s="290">
        <v>14</v>
      </c>
      <c r="C147" s="36">
        <f t="shared" si="14"/>
        <v>109</v>
      </c>
      <c r="D147" s="57" t="s">
        <v>23</v>
      </c>
      <c r="E147" s="57" t="s">
        <v>23</v>
      </c>
      <c r="F147" s="213" t="s">
        <v>265</v>
      </c>
      <c r="G147" s="224">
        <v>2</v>
      </c>
      <c r="H147" s="206">
        <v>1480</v>
      </c>
      <c r="I147" s="48">
        <f t="shared" si="13"/>
        <v>2960</v>
      </c>
      <c r="J147" s="33"/>
      <c r="K147" s="107" t="s">
        <v>229</v>
      </c>
      <c r="L147" s="32"/>
      <c r="M147" s="3"/>
      <c r="N147" s="43">
        <v>45141</v>
      </c>
      <c r="O147" s="6"/>
      <c r="P147" s="43">
        <v>45162</v>
      </c>
      <c r="Q147" s="43">
        <v>45162</v>
      </c>
      <c r="R147" s="41">
        <v>45162</v>
      </c>
    </row>
    <row r="148" spans="1:18" ht="18" customHeight="1">
      <c r="A148" s="206" t="s">
        <v>234</v>
      </c>
      <c r="B148" s="290">
        <v>14</v>
      </c>
      <c r="C148" s="36">
        <f t="shared" si="14"/>
        <v>110</v>
      </c>
      <c r="D148" s="57" t="s">
        <v>23</v>
      </c>
      <c r="E148" s="57" t="s">
        <v>23</v>
      </c>
      <c r="F148" s="213" t="s">
        <v>235</v>
      </c>
      <c r="G148" s="224">
        <v>6</v>
      </c>
      <c r="H148" s="206">
        <v>756</v>
      </c>
      <c r="I148" s="48">
        <f t="shared" si="13"/>
        <v>4536</v>
      </c>
      <c r="J148" s="33"/>
      <c r="K148" s="37" t="s">
        <v>236</v>
      </c>
      <c r="L148" s="32"/>
      <c r="M148" s="3"/>
      <c r="N148" s="43">
        <v>45141</v>
      </c>
      <c r="O148" s="6"/>
      <c r="P148" s="43">
        <v>45162</v>
      </c>
      <c r="Q148" s="43">
        <v>45162</v>
      </c>
      <c r="R148" s="41">
        <v>45162</v>
      </c>
    </row>
    <row r="149" spans="1:18" ht="18" customHeight="1">
      <c r="A149" s="206" t="s">
        <v>114</v>
      </c>
      <c r="B149" s="290">
        <v>14</v>
      </c>
      <c r="C149" s="36">
        <f t="shared" si="14"/>
        <v>111</v>
      </c>
      <c r="D149" s="57" t="s">
        <v>23</v>
      </c>
      <c r="E149" s="57" t="s">
        <v>23</v>
      </c>
      <c r="F149" s="213" t="s">
        <v>96</v>
      </c>
      <c r="G149" s="224">
        <v>10</v>
      </c>
      <c r="H149" s="206">
        <v>29</v>
      </c>
      <c r="I149" s="48">
        <f t="shared" si="13"/>
        <v>290</v>
      </c>
      <c r="J149" s="33"/>
      <c r="K149" s="107" t="s">
        <v>117</v>
      </c>
      <c r="L149" s="32"/>
      <c r="M149" s="3"/>
      <c r="N149" s="43">
        <v>45141</v>
      </c>
      <c r="O149" s="6"/>
      <c r="P149" s="43">
        <v>45162</v>
      </c>
      <c r="Q149" s="43">
        <v>45162</v>
      </c>
      <c r="R149" s="41">
        <v>45162</v>
      </c>
    </row>
    <row r="150" spans="1:18" ht="18" customHeight="1">
      <c r="A150" s="206" t="s">
        <v>114</v>
      </c>
      <c r="B150" s="290">
        <v>14</v>
      </c>
      <c r="C150" s="36">
        <f>+C149+1</f>
        <v>112</v>
      </c>
      <c r="D150" s="57" t="s">
        <v>23</v>
      </c>
      <c r="E150" s="57" t="s">
        <v>23</v>
      </c>
      <c r="F150" s="225" t="s">
        <v>237</v>
      </c>
      <c r="G150" s="226">
        <v>22</v>
      </c>
      <c r="H150" s="221">
        <v>29</v>
      </c>
      <c r="I150" s="79">
        <f t="shared" si="13"/>
        <v>638</v>
      </c>
      <c r="J150" s="108"/>
      <c r="K150" s="78" t="s">
        <v>238</v>
      </c>
      <c r="L150" s="32"/>
      <c r="M150" s="3"/>
      <c r="N150" s="43">
        <v>45141</v>
      </c>
      <c r="O150" s="6"/>
      <c r="P150" s="43">
        <v>45162</v>
      </c>
      <c r="Q150" s="43">
        <v>45162</v>
      </c>
      <c r="R150" s="41">
        <v>45162</v>
      </c>
    </row>
    <row r="151" spans="1:18" ht="18" customHeight="1">
      <c r="A151" s="206" t="s">
        <v>224</v>
      </c>
      <c r="B151" s="290">
        <v>14</v>
      </c>
      <c r="C151" s="36">
        <f t="shared" si="14"/>
        <v>113</v>
      </c>
      <c r="D151" s="57" t="s">
        <v>23</v>
      </c>
      <c r="E151" s="57" t="s">
        <v>23</v>
      </c>
      <c r="F151" s="213" t="s">
        <v>239</v>
      </c>
      <c r="G151" s="224">
        <v>4</v>
      </c>
      <c r="H151" s="206">
        <v>3474</v>
      </c>
      <c r="I151" s="48">
        <f t="shared" si="13"/>
        <v>13896</v>
      </c>
      <c r="J151" s="33"/>
      <c r="K151" s="37" t="s">
        <v>240</v>
      </c>
      <c r="L151" s="32"/>
      <c r="M151" s="3"/>
      <c r="N151" s="43">
        <v>45141</v>
      </c>
      <c r="O151" s="6"/>
      <c r="P151" s="43">
        <v>45162</v>
      </c>
      <c r="Q151" s="43">
        <v>45162</v>
      </c>
      <c r="R151" s="41">
        <v>45162</v>
      </c>
    </row>
    <row r="152" spans="1:18" ht="18" customHeight="1">
      <c r="A152" s="206" t="s">
        <v>224</v>
      </c>
      <c r="B152" s="290">
        <v>14</v>
      </c>
      <c r="C152" s="36">
        <f t="shared" si="14"/>
        <v>114</v>
      </c>
      <c r="D152" s="57" t="s">
        <v>23</v>
      </c>
      <c r="E152" s="57" t="s">
        <v>23</v>
      </c>
      <c r="F152" s="213" t="s">
        <v>241</v>
      </c>
      <c r="G152" s="224">
        <v>2</v>
      </c>
      <c r="H152" s="206">
        <v>2419</v>
      </c>
      <c r="I152" s="48">
        <f t="shared" si="13"/>
        <v>4838</v>
      </c>
      <c r="J152" s="33"/>
      <c r="K152" s="37" t="s">
        <v>242</v>
      </c>
      <c r="L152" s="32"/>
      <c r="M152" s="3"/>
      <c r="N152" s="43">
        <v>45141</v>
      </c>
      <c r="O152" s="6"/>
      <c r="P152" s="43">
        <v>45162</v>
      </c>
      <c r="Q152" s="43">
        <v>45162</v>
      </c>
      <c r="R152" s="41">
        <v>45162</v>
      </c>
    </row>
    <row r="153" spans="1:18" ht="18" customHeight="1">
      <c r="A153" s="206" t="s">
        <v>243</v>
      </c>
      <c r="B153" s="290">
        <v>14</v>
      </c>
      <c r="C153" s="36">
        <f t="shared" si="14"/>
        <v>115</v>
      </c>
      <c r="D153" s="36" t="s">
        <v>100</v>
      </c>
      <c r="E153" s="36" t="s">
        <v>29</v>
      </c>
      <c r="F153" s="213" t="s">
        <v>244</v>
      </c>
      <c r="G153" s="224">
        <v>2</v>
      </c>
      <c r="H153" s="206">
        <v>7393</v>
      </c>
      <c r="I153" s="48">
        <f t="shared" si="13"/>
        <v>14786</v>
      </c>
      <c r="J153" s="32"/>
      <c r="K153" s="134" t="s">
        <v>245</v>
      </c>
      <c r="L153" s="32"/>
      <c r="M153" s="3"/>
      <c r="N153" s="43">
        <v>45141</v>
      </c>
      <c r="O153" s="6"/>
      <c r="P153" s="43">
        <v>45162</v>
      </c>
      <c r="Q153" s="43">
        <v>45162</v>
      </c>
      <c r="R153" s="41">
        <v>45162</v>
      </c>
    </row>
    <row r="154" spans="1:18" ht="18" customHeight="1">
      <c r="A154" s="206" t="s">
        <v>246</v>
      </c>
      <c r="B154" s="290">
        <v>14</v>
      </c>
      <c r="C154" s="36">
        <f t="shared" si="14"/>
        <v>116</v>
      </c>
      <c r="D154" s="36" t="s">
        <v>100</v>
      </c>
      <c r="E154" s="36" t="s">
        <v>29</v>
      </c>
      <c r="F154" s="213" t="s">
        <v>363</v>
      </c>
      <c r="G154" s="224">
        <v>1</v>
      </c>
      <c r="H154" s="206">
        <v>38321</v>
      </c>
      <c r="I154" s="48">
        <f t="shared" si="13"/>
        <v>38321</v>
      </c>
      <c r="J154" s="32"/>
      <c r="K154" s="116" t="s">
        <v>362</v>
      </c>
      <c r="L154" s="32"/>
      <c r="M154" s="3"/>
      <c r="N154" s="43">
        <v>45141</v>
      </c>
      <c r="O154" s="6"/>
      <c r="P154" s="43">
        <v>45162</v>
      </c>
      <c r="Q154" s="43">
        <v>45162</v>
      </c>
      <c r="R154" s="41">
        <v>45162</v>
      </c>
    </row>
    <row r="155" spans="1:18" ht="18" customHeight="1">
      <c r="A155" s="231" t="s">
        <v>114</v>
      </c>
      <c r="B155" s="290">
        <v>14</v>
      </c>
      <c r="C155" s="36">
        <f t="shared" si="14"/>
        <v>117</v>
      </c>
      <c r="D155" s="32" t="s">
        <v>247</v>
      </c>
      <c r="E155" s="57" t="s">
        <v>23</v>
      </c>
      <c r="F155" s="227">
        <v>620705016</v>
      </c>
      <c r="G155" s="228">
        <v>10</v>
      </c>
      <c r="H155" s="272">
        <v>40</v>
      </c>
      <c r="I155" s="109">
        <f t="shared" si="13"/>
        <v>400</v>
      </c>
      <c r="J155" s="33"/>
      <c r="K155" s="135" t="s">
        <v>387</v>
      </c>
      <c r="L155" s="32"/>
      <c r="M155" s="3"/>
      <c r="N155" s="43">
        <v>45141</v>
      </c>
      <c r="O155" s="6"/>
      <c r="P155" s="43">
        <v>45162</v>
      </c>
      <c r="Q155" s="43">
        <v>45162</v>
      </c>
      <c r="R155" s="41">
        <v>45162</v>
      </c>
    </row>
    <row r="156" spans="1:18" ht="18" customHeight="1">
      <c r="A156" s="206" t="s">
        <v>224</v>
      </c>
      <c r="B156" s="290">
        <v>14</v>
      </c>
      <c r="C156" s="36">
        <f t="shared" si="14"/>
        <v>118</v>
      </c>
      <c r="D156" s="57" t="s">
        <v>23</v>
      </c>
      <c r="E156" s="57" t="s">
        <v>23</v>
      </c>
      <c r="F156" s="229" t="s">
        <v>248</v>
      </c>
      <c r="G156" s="224">
        <v>2</v>
      </c>
      <c r="H156" s="206">
        <v>6080</v>
      </c>
      <c r="I156" s="144">
        <f t="shared" si="13"/>
        <v>12160</v>
      </c>
      <c r="J156" s="133"/>
      <c r="K156" s="31" t="s">
        <v>249</v>
      </c>
      <c r="L156" s="32"/>
      <c r="M156" s="3"/>
      <c r="N156" s="43">
        <v>45141</v>
      </c>
      <c r="O156" s="6"/>
      <c r="P156" s="43">
        <v>45162</v>
      </c>
      <c r="Q156" s="43">
        <v>45162</v>
      </c>
      <c r="R156" s="41">
        <v>45162</v>
      </c>
    </row>
    <row r="157" spans="1:18" ht="18" customHeight="1">
      <c r="A157" s="187" t="s">
        <v>219</v>
      </c>
      <c r="B157" s="290">
        <v>14</v>
      </c>
      <c r="C157" s="36">
        <f t="shared" si="14"/>
        <v>119</v>
      </c>
      <c r="D157" s="57" t="s">
        <v>23</v>
      </c>
      <c r="E157" s="57" t="s">
        <v>23</v>
      </c>
      <c r="F157" s="229" t="s">
        <v>266</v>
      </c>
      <c r="G157" s="224">
        <v>6</v>
      </c>
      <c r="H157" s="206">
        <v>570</v>
      </c>
      <c r="I157" s="144">
        <f t="shared" si="13"/>
        <v>3420</v>
      </c>
      <c r="J157" s="133"/>
      <c r="K157" s="31" t="s">
        <v>267</v>
      </c>
      <c r="L157" s="32"/>
      <c r="M157" s="3"/>
      <c r="N157" s="43">
        <v>45141</v>
      </c>
      <c r="O157" s="6"/>
      <c r="P157" s="43">
        <v>45162</v>
      </c>
      <c r="Q157" s="43">
        <v>45162</v>
      </c>
      <c r="R157" s="41">
        <v>45162</v>
      </c>
    </row>
    <row r="158" spans="1:18" ht="18" customHeight="1">
      <c r="A158" s="206" t="s">
        <v>114</v>
      </c>
      <c r="B158" s="290">
        <v>14</v>
      </c>
      <c r="C158" s="36">
        <f t="shared" si="14"/>
        <v>120</v>
      </c>
      <c r="D158" s="92" t="s">
        <v>23</v>
      </c>
      <c r="E158" s="92" t="s">
        <v>23</v>
      </c>
      <c r="F158" s="230" t="s">
        <v>99</v>
      </c>
      <c r="G158" s="230">
        <v>11</v>
      </c>
      <c r="H158" s="216">
        <v>73</v>
      </c>
      <c r="I158" s="48">
        <f t="shared" si="13"/>
        <v>803</v>
      </c>
      <c r="J158" s="55"/>
      <c r="K158" s="136" t="s">
        <v>28</v>
      </c>
      <c r="L158" s="32"/>
      <c r="M158" s="3"/>
      <c r="N158" s="43">
        <v>45141</v>
      </c>
      <c r="O158" s="6"/>
      <c r="P158" s="43">
        <v>45162</v>
      </c>
      <c r="Q158" s="43">
        <v>45162</v>
      </c>
      <c r="R158" s="41">
        <v>45162</v>
      </c>
    </row>
    <row r="159" spans="1:18" ht="18" customHeight="1">
      <c r="A159" s="206" t="s">
        <v>114</v>
      </c>
      <c r="B159" s="290">
        <v>14</v>
      </c>
      <c r="C159" s="36">
        <f t="shared" si="14"/>
        <v>121</v>
      </c>
      <c r="D159" s="92" t="s">
        <v>23</v>
      </c>
      <c r="E159" s="92" t="s">
        <v>23</v>
      </c>
      <c r="F159" s="230" t="s">
        <v>268</v>
      </c>
      <c r="G159" s="230">
        <v>4</v>
      </c>
      <c r="H159" s="216">
        <v>169</v>
      </c>
      <c r="I159" s="48">
        <f t="shared" ref="I159" si="15">G159*H159</f>
        <v>676</v>
      </c>
      <c r="J159" s="55"/>
      <c r="K159" s="136" t="s">
        <v>269</v>
      </c>
      <c r="L159" s="32"/>
      <c r="M159" s="3"/>
      <c r="N159" s="43">
        <v>45141</v>
      </c>
      <c r="O159" s="6"/>
      <c r="P159" s="43">
        <v>45162</v>
      </c>
      <c r="Q159" s="43">
        <v>45162</v>
      </c>
      <c r="R159" s="41">
        <v>45162</v>
      </c>
    </row>
    <row r="160" spans="1:18" ht="18" customHeight="1">
      <c r="A160" s="206" t="s">
        <v>114</v>
      </c>
      <c r="B160" s="290">
        <v>14</v>
      </c>
      <c r="C160" s="36">
        <f t="shared" si="14"/>
        <v>122</v>
      </c>
      <c r="D160" s="92" t="s">
        <v>23</v>
      </c>
      <c r="E160" s="92" t="s">
        <v>23</v>
      </c>
      <c r="F160" s="230" t="s">
        <v>250</v>
      </c>
      <c r="G160" s="230">
        <v>4</v>
      </c>
      <c r="H160" s="216">
        <v>169</v>
      </c>
      <c r="I160" s="48">
        <f t="shared" si="13"/>
        <v>676</v>
      </c>
      <c r="J160" s="55"/>
      <c r="K160" s="136" t="s">
        <v>251</v>
      </c>
      <c r="L160" s="32"/>
      <c r="M160" s="3"/>
      <c r="N160" s="43">
        <v>45141</v>
      </c>
      <c r="O160" s="6"/>
      <c r="P160" s="43">
        <v>45162</v>
      </c>
      <c r="Q160" s="43">
        <v>45162</v>
      </c>
      <c r="R160" s="41">
        <v>45162</v>
      </c>
    </row>
    <row r="161" spans="1:18" ht="18" customHeight="1">
      <c r="A161" s="206" t="s">
        <v>114</v>
      </c>
      <c r="B161" s="290">
        <v>14</v>
      </c>
      <c r="C161" s="36">
        <f t="shared" si="14"/>
        <v>123</v>
      </c>
      <c r="D161" s="92" t="s">
        <v>23</v>
      </c>
      <c r="E161" s="92" t="s">
        <v>23</v>
      </c>
      <c r="F161" s="232" t="s">
        <v>286</v>
      </c>
      <c r="G161" s="232">
        <v>1</v>
      </c>
      <c r="H161" s="284">
        <v>880</v>
      </c>
      <c r="I161" s="143">
        <f t="shared" si="13"/>
        <v>880</v>
      </c>
      <c r="J161" s="146"/>
      <c r="K161" s="147" t="s">
        <v>287</v>
      </c>
      <c r="L161" s="32"/>
      <c r="M161" s="3"/>
      <c r="N161" s="43">
        <v>45141</v>
      </c>
      <c r="O161" s="6"/>
      <c r="P161" s="43">
        <v>45162</v>
      </c>
      <c r="Q161" s="43">
        <v>45162</v>
      </c>
      <c r="R161" s="41">
        <v>45162</v>
      </c>
    </row>
    <row r="162" spans="1:18" ht="18" customHeight="1">
      <c r="A162" s="231" t="s">
        <v>114</v>
      </c>
      <c r="B162" s="290">
        <v>14</v>
      </c>
      <c r="C162" s="36">
        <f t="shared" si="14"/>
        <v>124</v>
      </c>
      <c r="D162" s="137" t="s">
        <v>23</v>
      </c>
      <c r="E162" s="137" t="s">
        <v>23</v>
      </c>
      <c r="F162" s="138" t="s">
        <v>94</v>
      </c>
      <c r="G162" s="139"/>
      <c r="H162" s="285">
        <v>25</v>
      </c>
      <c r="I162" s="145">
        <f t="shared" si="13"/>
        <v>0</v>
      </c>
      <c r="J162" s="140"/>
      <c r="K162" s="138" t="s">
        <v>252</v>
      </c>
      <c r="L162" s="32"/>
      <c r="M162" s="3"/>
      <c r="N162" s="23"/>
      <c r="O162" s="6"/>
      <c r="P162" s="6"/>
      <c r="Q162" s="6"/>
      <c r="R162" s="12"/>
    </row>
    <row r="163" spans="1:18" ht="18" customHeight="1">
      <c r="A163" s="206" t="s">
        <v>114</v>
      </c>
      <c r="B163" s="290">
        <v>14</v>
      </c>
      <c r="C163" s="36">
        <f>+C162+1</f>
        <v>125</v>
      </c>
      <c r="D163" s="57" t="s">
        <v>23</v>
      </c>
      <c r="E163" s="57" t="s">
        <v>23</v>
      </c>
      <c r="F163" s="213" t="s">
        <v>95</v>
      </c>
      <c r="G163" s="224">
        <v>14</v>
      </c>
      <c r="H163" s="206">
        <v>51</v>
      </c>
      <c r="I163" s="48">
        <f t="shared" si="13"/>
        <v>714</v>
      </c>
      <c r="J163" s="33"/>
      <c r="K163" s="37" t="s">
        <v>254</v>
      </c>
      <c r="L163" s="32"/>
      <c r="M163" s="3"/>
      <c r="N163" s="43">
        <v>45141</v>
      </c>
      <c r="O163" s="6"/>
      <c r="P163" s="304">
        <v>45162</v>
      </c>
      <c r="Q163" s="304">
        <v>45162</v>
      </c>
      <c r="R163" s="41">
        <v>45162</v>
      </c>
    </row>
    <row r="164" spans="1:18" ht="18" customHeight="1">
      <c r="A164" s="187" t="s">
        <v>161</v>
      </c>
      <c r="B164" s="290">
        <v>14</v>
      </c>
      <c r="C164" s="36">
        <f t="shared" si="14"/>
        <v>126</v>
      </c>
      <c r="D164" s="57" t="s">
        <v>23</v>
      </c>
      <c r="E164" s="57" t="s">
        <v>23</v>
      </c>
      <c r="F164" s="213" t="s">
        <v>255</v>
      </c>
      <c r="G164" s="224">
        <v>6</v>
      </c>
      <c r="H164" s="206">
        <v>580</v>
      </c>
      <c r="I164" s="48">
        <f t="shared" si="13"/>
        <v>3480</v>
      </c>
      <c r="J164" s="33"/>
      <c r="K164" s="133" t="s">
        <v>256</v>
      </c>
      <c r="L164" s="32"/>
      <c r="M164" s="3"/>
      <c r="N164" s="43">
        <v>45141</v>
      </c>
      <c r="O164" s="6"/>
      <c r="P164" s="304">
        <v>45162</v>
      </c>
      <c r="Q164" s="304">
        <v>45162</v>
      </c>
      <c r="R164" s="41">
        <v>45162</v>
      </c>
    </row>
    <row r="165" spans="1:18" ht="18" customHeight="1">
      <c r="A165" s="206" t="s">
        <v>253</v>
      </c>
      <c r="B165" s="290">
        <v>14</v>
      </c>
      <c r="C165" s="36">
        <f t="shared" si="14"/>
        <v>127</v>
      </c>
      <c r="D165" s="57" t="s">
        <v>23</v>
      </c>
      <c r="E165" s="57" t="s">
        <v>23</v>
      </c>
      <c r="F165" s="213" t="s">
        <v>257</v>
      </c>
      <c r="G165" s="224">
        <v>6</v>
      </c>
      <c r="H165" s="206">
        <v>540</v>
      </c>
      <c r="I165" s="48">
        <f t="shared" si="13"/>
        <v>3240</v>
      </c>
      <c r="J165" s="33"/>
      <c r="K165" s="133" t="s">
        <v>256</v>
      </c>
      <c r="L165" s="32"/>
      <c r="M165" s="3"/>
      <c r="N165" s="43">
        <v>45141</v>
      </c>
      <c r="O165" s="6"/>
      <c r="P165" s="304">
        <v>45162</v>
      </c>
      <c r="Q165" s="304">
        <v>45162</v>
      </c>
      <c r="R165" s="41">
        <v>45162</v>
      </c>
    </row>
    <row r="166" spans="1:18" ht="18" customHeight="1">
      <c r="A166" s="206" t="s">
        <v>114</v>
      </c>
      <c r="B166" s="290">
        <v>14</v>
      </c>
      <c r="C166" s="36">
        <f>+C165+1</f>
        <v>128</v>
      </c>
      <c r="D166" s="57" t="s">
        <v>23</v>
      </c>
      <c r="E166" s="57" t="s">
        <v>23</v>
      </c>
      <c r="F166" s="213" t="s">
        <v>93</v>
      </c>
      <c r="G166" s="224">
        <v>12</v>
      </c>
      <c r="H166" s="206">
        <v>57</v>
      </c>
      <c r="I166" s="48">
        <f t="shared" si="13"/>
        <v>684</v>
      </c>
      <c r="J166" s="33"/>
      <c r="K166" s="37" t="s">
        <v>259</v>
      </c>
      <c r="L166" s="32"/>
      <c r="M166" s="3"/>
      <c r="N166" s="43">
        <v>45141</v>
      </c>
      <c r="O166" s="6"/>
      <c r="P166" s="304">
        <v>45162</v>
      </c>
      <c r="Q166" s="304">
        <v>45162</v>
      </c>
      <c r="R166" s="41">
        <v>45162</v>
      </c>
    </row>
    <row r="167" spans="1:18" ht="18" customHeight="1">
      <c r="A167" s="206" t="s">
        <v>114</v>
      </c>
      <c r="B167" s="290">
        <v>14</v>
      </c>
      <c r="C167" s="36">
        <f t="shared" si="14"/>
        <v>129</v>
      </c>
      <c r="D167" s="57" t="s">
        <v>23</v>
      </c>
      <c r="E167" s="57" t="s">
        <v>23</v>
      </c>
      <c r="F167" s="213" t="s">
        <v>111</v>
      </c>
      <c r="G167" s="224">
        <v>12</v>
      </c>
      <c r="H167" s="206">
        <v>92</v>
      </c>
      <c r="I167" s="48">
        <f t="shared" si="13"/>
        <v>1104</v>
      </c>
      <c r="J167" s="33"/>
      <c r="K167" s="37" t="s">
        <v>260</v>
      </c>
      <c r="L167" s="32"/>
      <c r="M167" s="3"/>
      <c r="N167" s="43">
        <v>45141</v>
      </c>
      <c r="O167" s="6"/>
      <c r="P167" s="304">
        <v>45162</v>
      </c>
      <c r="Q167" s="304">
        <v>45162</v>
      </c>
      <c r="R167" s="41">
        <v>45162</v>
      </c>
    </row>
    <row r="168" spans="1:18" ht="18" customHeight="1">
      <c r="A168" s="206" t="s">
        <v>114</v>
      </c>
      <c r="B168" s="290">
        <v>14</v>
      </c>
      <c r="C168" s="36">
        <f t="shared" si="14"/>
        <v>130</v>
      </c>
      <c r="D168" s="57" t="s">
        <v>23</v>
      </c>
      <c r="E168" s="57" t="s">
        <v>23</v>
      </c>
      <c r="F168" s="225" t="s">
        <v>261</v>
      </c>
      <c r="G168" s="233">
        <v>4</v>
      </c>
      <c r="H168" s="242">
        <v>92</v>
      </c>
      <c r="I168" s="79">
        <f t="shared" si="13"/>
        <v>368</v>
      </c>
      <c r="J168" s="108"/>
      <c r="K168" s="110" t="s">
        <v>201</v>
      </c>
      <c r="L168" s="32"/>
      <c r="M168" s="3"/>
      <c r="N168" s="43">
        <v>45141</v>
      </c>
      <c r="O168" s="6"/>
      <c r="P168" s="304">
        <v>45162</v>
      </c>
      <c r="Q168" s="304">
        <v>45162</v>
      </c>
      <c r="R168" s="41">
        <v>45162</v>
      </c>
    </row>
    <row r="169" spans="1:18" ht="18" customHeight="1">
      <c r="A169" s="206" t="s">
        <v>114</v>
      </c>
      <c r="B169" s="290">
        <v>14</v>
      </c>
      <c r="C169" s="36">
        <f t="shared" si="14"/>
        <v>131</v>
      </c>
      <c r="D169" s="57" t="s">
        <v>23</v>
      </c>
      <c r="E169" s="57" t="s">
        <v>23</v>
      </c>
      <c r="F169" s="213" t="s">
        <v>97</v>
      </c>
      <c r="G169" s="224">
        <v>4</v>
      </c>
      <c r="H169" s="206">
        <v>210</v>
      </c>
      <c r="I169" s="48">
        <f t="shared" si="13"/>
        <v>840</v>
      </c>
      <c r="J169" s="33"/>
      <c r="K169" s="37" t="s">
        <v>98</v>
      </c>
      <c r="L169" s="32"/>
      <c r="M169" s="3"/>
      <c r="N169" s="43">
        <v>45141</v>
      </c>
      <c r="O169" s="6"/>
      <c r="P169" s="304">
        <v>45162</v>
      </c>
      <c r="Q169" s="304">
        <v>45162</v>
      </c>
      <c r="R169" s="41">
        <v>45162</v>
      </c>
    </row>
    <row r="170" spans="1:18" ht="18" customHeight="1">
      <c r="A170" s="206" t="s">
        <v>114</v>
      </c>
      <c r="B170" s="290">
        <v>14</v>
      </c>
      <c r="C170" s="36">
        <f t="shared" si="14"/>
        <v>132</v>
      </c>
      <c r="D170" s="57" t="s">
        <v>23</v>
      </c>
      <c r="E170" s="57" t="s">
        <v>23</v>
      </c>
      <c r="F170" s="213" t="s">
        <v>262</v>
      </c>
      <c r="G170" s="224">
        <v>4</v>
      </c>
      <c r="H170" s="206">
        <v>210</v>
      </c>
      <c r="I170" s="48">
        <f t="shared" si="13"/>
        <v>840</v>
      </c>
      <c r="J170" s="33"/>
      <c r="K170" s="133" t="s">
        <v>258</v>
      </c>
      <c r="L170" s="32"/>
      <c r="M170" s="3"/>
      <c r="N170" s="43">
        <v>45141</v>
      </c>
      <c r="O170" s="6"/>
      <c r="P170" s="304">
        <v>45162</v>
      </c>
      <c r="Q170" s="304">
        <v>45162</v>
      </c>
      <c r="R170" s="41">
        <v>45162</v>
      </c>
    </row>
    <row r="171" spans="1:18" ht="18" customHeight="1">
      <c r="A171" s="206" t="s">
        <v>114</v>
      </c>
      <c r="B171" s="290">
        <v>14</v>
      </c>
      <c r="C171" s="36">
        <f t="shared" si="14"/>
        <v>133</v>
      </c>
      <c r="D171" s="57" t="s">
        <v>23</v>
      </c>
      <c r="E171" s="57" t="s">
        <v>23</v>
      </c>
      <c r="F171" s="213" t="s">
        <v>388</v>
      </c>
      <c r="G171" s="224">
        <v>1</v>
      </c>
      <c r="H171" s="206">
        <v>1050</v>
      </c>
      <c r="I171" s="144">
        <f t="shared" si="13"/>
        <v>1050</v>
      </c>
      <c r="J171" s="33"/>
      <c r="K171" s="188" t="s">
        <v>364</v>
      </c>
      <c r="L171" s="119" t="s">
        <v>319</v>
      </c>
      <c r="M171" s="3"/>
      <c r="N171" s="43">
        <v>45141</v>
      </c>
      <c r="O171" s="6"/>
      <c r="P171" s="23">
        <v>45162</v>
      </c>
      <c r="Q171" s="23">
        <v>45162</v>
      </c>
      <c r="R171" s="41">
        <v>45162</v>
      </c>
    </row>
    <row r="172" spans="1:18" ht="18" customHeight="1">
      <c r="A172" s="187" t="s">
        <v>77</v>
      </c>
      <c r="B172" s="290">
        <v>14</v>
      </c>
      <c r="C172" s="29">
        <f t="shared" ref="C172" si="16">C171+1</f>
        <v>134</v>
      </c>
      <c r="D172" s="117" t="s">
        <v>100</v>
      </c>
      <c r="E172" s="117" t="s">
        <v>29</v>
      </c>
      <c r="F172" s="213" t="s">
        <v>353</v>
      </c>
      <c r="G172" s="212">
        <v>1</v>
      </c>
      <c r="H172" s="206">
        <v>7949</v>
      </c>
      <c r="I172" s="144">
        <f t="shared" si="13"/>
        <v>7949</v>
      </c>
      <c r="J172" s="133"/>
      <c r="K172" s="116" t="s">
        <v>345</v>
      </c>
      <c r="L172" s="32"/>
      <c r="M172" s="3"/>
      <c r="N172" s="43">
        <v>45141</v>
      </c>
      <c r="O172" s="6"/>
      <c r="P172" s="23">
        <v>45162</v>
      </c>
      <c r="Q172" s="23">
        <v>45162</v>
      </c>
      <c r="R172" s="329">
        <v>45163</v>
      </c>
    </row>
    <row r="173" spans="1:18" ht="18" customHeight="1">
      <c r="A173" s="5"/>
      <c r="B173" s="5"/>
      <c r="C173" s="36"/>
      <c r="D173" s="36"/>
      <c r="E173" s="36"/>
      <c r="F173" s="32"/>
      <c r="G173" s="30"/>
      <c r="H173" s="32"/>
      <c r="I173" s="33"/>
      <c r="J173" s="133"/>
      <c r="K173" s="32"/>
      <c r="L173" s="32"/>
      <c r="M173" s="3"/>
      <c r="N173" s="23"/>
      <c r="O173" s="6"/>
      <c r="P173" s="6"/>
      <c r="Q173" s="23"/>
      <c r="R173" s="12"/>
    </row>
    <row r="174" spans="1:18" ht="18" customHeight="1">
      <c r="A174" s="5"/>
      <c r="B174" s="5"/>
      <c r="C174" s="36"/>
      <c r="D174" s="36"/>
      <c r="E174" s="36"/>
      <c r="F174" s="300">
        <f>SUM(I137:I172)</f>
        <v>148091</v>
      </c>
      <c r="G174" s="30"/>
      <c r="H174" s="32"/>
      <c r="I174" s="33"/>
      <c r="J174" s="133"/>
      <c r="K174" s="32"/>
      <c r="L174" s="32"/>
      <c r="M174" s="3"/>
      <c r="N174" s="23"/>
      <c r="O174" s="6"/>
      <c r="P174" s="6"/>
      <c r="Q174" s="23"/>
      <c r="R174" s="12"/>
    </row>
    <row r="175" spans="1:18" ht="18" customHeight="1">
      <c r="C175" s="32"/>
      <c r="D175" s="88"/>
      <c r="E175" s="88"/>
      <c r="F175" s="89"/>
      <c r="G175" s="90"/>
      <c r="H175" s="91"/>
      <c r="I175" s="48"/>
      <c r="J175" s="32"/>
      <c r="K175" s="47"/>
      <c r="L175" s="103"/>
      <c r="M175" s="3"/>
      <c r="N175" s="23"/>
      <c r="O175" s="6"/>
      <c r="P175" s="6"/>
      <c r="Q175" s="23"/>
      <c r="R175" s="12"/>
    </row>
    <row r="176" spans="1:18" ht="18" customHeight="1">
      <c r="C176" s="32"/>
      <c r="D176" s="88"/>
      <c r="E176" s="88"/>
      <c r="F176" s="89"/>
      <c r="G176" s="90"/>
      <c r="H176" s="91"/>
      <c r="I176" s="48"/>
      <c r="J176" s="32"/>
      <c r="K176" s="47"/>
      <c r="L176" s="103"/>
      <c r="M176" s="3"/>
      <c r="N176" s="23"/>
      <c r="O176" s="6"/>
      <c r="P176" s="6"/>
      <c r="Q176" s="23"/>
      <c r="R176" s="12"/>
    </row>
    <row r="177" spans="1:18" ht="18" customHeight="1">
      <c r="C177" s="32"/>
      <c r="D177" s="36"/>
      <c r="E177" s="36"/>
      <c r="F177" s="67"/>
      <c r="G177" s="48"/>
      <c r="H177" s="48"/>
      <c r="I177" s="48"/>
      <c r="J177" s="55"/>
      <c r="K177" s="56"/>
      <c r="L177" s="103"/>
      <c r="M177" s="3"/>
      <c r="N177" s="23"/>
      <c r="O177" s="6"/>
      <c r="P177" s="6"/>
      <c r="Q177" s="23"/>
      <c r="R177" s="12"/>
    </row>
    <row r="178" spans="1:18" ht="18" customHeight="1">
      <c r="C178" s="92"/>
      <c r="D178" s="305" t="s">
        <v>33</v>
      </c>
      <c r="E178" s="306"/>
      <c r="F178" s="306"/>
      <c r="G178" s="66"/>
      <c r="H178" s="82"/>
      <c r="I178" s="82"/>
      <c r="J178" s="14"/>
      <c r="K178" s="25"/>
      <c r="L178" s="22"/>
      <c r="M178" s="3"/>
      <c r="N178" s="23"/>
      <c r="O178" s="6"/>
      <c r="P178" s="6"/>
      <c r="Q178" s="23"/>
      <c r="R178" s="12"/>
    </row>
    <row r="179" spans="1:18" ht="18" customHeight="1">
      <c r="A179" s="187" t="s">
        <v>76</v>
      </c>
      <c r="B179" s="183">
        <v>2</v>
      </c>
      <c r="C179" s="141">
        <f>+C172+1</f>
        <v>135</v>
      </c>
      <c r="D179" s="36" t="s">
        <v>29</v>
      </c>
      <c r="E179" s="36" t="s">
        <v>29</v>
      </c>
      <c r="F179" s="234" t="s">
        <v>73</v>
      </c>
      <c r="G179" s="235">
        <v>1</v>
      </c>
      <c r="H179" s="287">
        <v>11950</v>
      </c>
      <c r="I179" s="81">
        <f t="shared" ref="I179:I194" si="17">G179*H179</f>
        <v>11950</v>
      </c>
      <c r="J179" s="33"/>
      <c r="K179" s="47" t="s">
        <v>39</v>
      </c>
      <c r="L179" s="22"/>
      <c r="M179" s="3"/>
      <c r="N179" s="43">
        <v>45141</v>
      </c>
      <c r="O179" s="6"/>
      <c r="P179" s="43">
        <v>45162</v>
      </c>
      <c r="Q179" s="43">
        <v>45162</v>
      </c>
      <c r="R179" s="41">
        <v>45162</v>
      </c>
    </row>
    <row r="180" spans="1:18" ht="18" customHeight="1">
      <c r="A180" s="187" t="s">
        <v>78</v>
      </c>
      <c r="B180" s="183">
        <v>2</v>
      </c>
      <c r="C180" s="42">
        <f t="shared" ref="C180:C186" si="18">+C179+1</f>
        <v>136</v>
      </c>
      <c r="D180" s="36" t="s">
        <v>29</v>
      </c>
      <c r="E180" s="36" t="s">
        <v>29</v>
      </c>
      <c r="F180" s="225" t="s">
        <v>291</v>
      </c>
      <c r="G180" s="221">
        <v>1</v>
      </c>
      <c r="H180" s="236">
        <v>1730</v>
      </c>
      <c r="I180" s="48">
        <f t="shared" si="17"/>
        <v>1730</v>
      </c>
      <c r="J180" s="49"/>
      <c r="K180" s="99" t="s">
        <v>292</v>
      </c>
      <c r="L180" s="22"/>
      <c r="M180" s="3"/>
      <c r="N180" s="43">
        <v>45141</v>
      </c>
      <c r="O180" s="6"/>
      <c r="P180" s="43">
        <v>45162</v>
      </c>
      <c r="Q180" s="43">
        <v>45162</v>
      </c>
      <c r="R180" s="41">
        <v>45162</v>
      </c>
    </row>
    <row r="181" spans="1:18" ht="18" customHeight="1">
      <c r="A181" s="187" t="s">
        <v>78</v>
      </c>
      <c r="B181" s="183">
        <v>2</v>
      </c>
      <c r="C181" s="42">
        <f t="shared" si="18"/>
        <v>137</v>
      </c>
      <c r="D181" s="36" t="s">
        <v>29</v>
      </c>
      <c r="E181" s="36" t="s">
        <v>29</v>
      </c>
      <c r="F181" s="225" t="s">
        <v>293</v>
      </c>
      <c r="G181" s="221">
        <v>1</v>
      </c>
      <c r="H181" s="236">
        <v>4860</v>
      </c>
      <c r="I181" s="48">
        <f t="shared" si="17"/>
        <v>4860</v>
      </c>
      <c r="J181" s="49"/>
      <c r="K181" s="38" t="s">
        <v>294</v>
      </c>
      <c r="L181" s="38"/>
      <c r="M181" s="3"/>
      <c r="N181" s="43">
        <v>45141</v>
      </c>
      <c r="O181" s="6"/>
      <c r="P181" s="43">
        <v>45162</v>
      </c>
      <c r="Q181" s="43">
        <v>45162</v>
      </c>
      <c r="R181" s="41">
        <v>45162</v>
      </c>
    </row>
    <row r="182" spans="1:18" ht="18" customHeight="1">
      <c r="A182" s="187" t="s">
        <v>76</v>
      </c>
      <c r="B182" s="183">
        <v>2</v>
      </c>
      <c r="C182" s="42">
        <f t="shared" si="18"/>
        <v>138</v>
      </c>
      <c r="D182" s="36" t="s">
        <v>23</v>
      </c>
      <c r="E182" s="36" t="s">
        <v>23</v>
      </c>
      <c r="F182" s="213" t="s">
        <v>370</v>
      </c>
      <c r="G182" s="244">
        <v>1</v>
      </c>
      <c r="H182" s="206">
        <v>3263</v>
      </c>
      <c r="I182" s="81">
        <f>G182*H182</f>
        <v>3263</v>
      </c>
      <c r="J182" s="133"/>
      <c r="K182" s="47" t="s">
        <v>371</v>
      </c>
      <c r="L182" s="38"/>
      <c r="M182" s="3"/>
      <c r="N182" s="43">
        <v>45141</v>
      </c>
      <c r="O182" s="6"/>
      <c r="P182" s="43">
        <v>45162</v>
      </c>
      <c r="Q182" s="43">
        <v>45162</v>
      </c>
      <c r="R182" s="41">
        <v>45162</v>
      </c>
    </row>
    <row r="183" spans="1:18" ht="18" customHeight="1">
      <c r="A183" s="187" t="s">
        <v>75</v>
      </c>
      <c r="B183" s="183">
        <v>2</v>
      </c>
      <c r="C183" s="42">
        <f t="shared" si="18"/>
        <v>139</v>
      </c>
      <c r="D183" s="36" t="s">
        <v>29</v>
      </c>
      <c r="E183" s="36" t="s">
        <v>29</v>
      </c>
      <c r="F183" s="225" t="s">
        <v>40</v>
      </c>
      <c r="G183" s="221">
        <v>1</v>
      </c>
      <c r="H183" s="236">
        <v>5117</v>
      </c>
      <c r="I183" s="48">
        <f t="shared" si="17"/>
        <v>5117</v>
      </c>
      <c r="J183" s="49"/>
      <c r="K183" s="30" t="s">
        <v>41</v>
      </c>
      <c r="L183" s="38"/>
      <c r="M183" s="3"/>
      <c r="N183" s="43">
        <v>45141</v>
      </c>
      <c r="O183" s="6"/>
      <c r="P183" s="43">
        <v>45162</v>
      </c>
      <c r="Q183" s="43">
        <v>45162</v>
      </c>
      <c r="R183" s="41">
        <v>45162</v>
      </c>
    </row>
    <row r="184" spans="1:18" ht="18" customHeight="1">
      <c r="A184" s="187" t="s">
        <v>75</v>
      </c>
      <c r="B184" s="183">
        <v>2</v>
      </c>
      <c r="C184" s="42">
        <f t="shared" si="18"/>
        <v>140</v>
      </c>
      <c r="D184" s="36" t="s">
        <v>29</v>
      </c>
      <c r="E184" s="36" t="s">
        <v>29</v>
      </c>
      <c r="F184" s="225" t="s">
        <v>295</v>
      </c>
      <c r="G184" s="221">
        <v>1</v>
      </c>
      <c r="H184" s="236">
        <v>1560</v>
      </c>
      <c r="I184" s="48">
        <f t="shared" si="17"/>
        <v>1560</v>
      </c>
      <c r="J184" s="50"/>
      <c r="K184" s="30" t="s">
        <v>42</v>
      </c>
      <c r="L184" s="116"/>
      <c r="M184" s="3"/>
      <c r="N184" s="43">
        <v>45141</v>
      </c>
      <c r="O184" s="6"/>
      <c r="P184" s="43">
        <v>45162</v>
      </c>
      <c r="Q184" s="43">
        <v>45162</v>
      </c>
      <c r="R184" s="41">
        <v>45162</v>
      </c>
    </row>
    <row r="185" spans="1:18" ht="18" customHeight="1">
      <c r="A185" s="187" t="s">
        <v>76</v>
      </c>
      <c r="B185" s="183">
        <v>2</v>
      </c>
      <c r="C185" s="42">
        <f t="shared" si="18"/>
        <v>141</v>
      </c>
      <c r="D185" s="36" t="s">
        <v>29</v>
      </c>
      <c r="E185" s="36" t="s">
        <v>29</v>
      </c>
      <c r="F185" s="225" t="s">
        <v>317</v>
      </c>
      <c r="G185" s="221">
        <v>2</v>
      </c>
      <c r="H185" s="236">
        <v>1270</v>
      </c>
      <c r="I185" s="48">
        <f t="shared" ref="I185" si="19">G185*H185</f>
        <v>2540</v>
      </c>
      <c r="J185" s="51"/>
      <c r="K185" s="30" t="s">
        <v>43</v>
      </c>
      <c r="L185" s="80" t="s">
        <v>318</v>
      </c>
      <c r="M185" s="3"/>
      <c r="N185" s="43">
        <v>45141</v>
      </c>
      <c r="O185" s="6"/>
      <c r="P185" s="43">
        <v>45162</v>
      </c>
      <c r="Q185" s="43">
        <v>45162</v>
      </c>
      <c r="R185" s="41">
        <v>45162</v>
      </c>
    </row>
    <row r="186" spans="1:18" ht="18" customHeight="1">
      <c r="A186" s="187" t="s">
        <v>75</v>
      </c>
      <c r="B186" s="183">
        <v>2</v>
      </c>
      <c r="C186" s="42">
        <f t="shared" si="18"/>
        <v>142</v>
      </c>
      <c r="D186" s="72" t="s">
        <v>29</v>
      </c>
      <c r="E186" s="72" t="s">
        <v>29</v>
      </c>
      <c r="F186" s="76" t="s">
        <v>30</v>
      </c>
      <c r="G186" s="73"/>
      <c r="H186" s="286">
        <v>403</v>
      </c>
      <c r="I186" s="74">
        <f t="shared" si="17"/>
        <v>0</v>
      </c>
      <c r="J186" s="152"/>
      <c r="K186" s="95" t="s">
        <v>31</v>
      </c>
      <c r="L186" s="71" t="s">
        <v>72</v>
      </c>
      <c r="M186" s="3"/>
      <c r="N186" s="43"/>
      <c r="O186" s="6"/>
      <c r="P186" s="43"/>
      <c r="Q186" s="43"/>
      <c r="R186" s="41"/>
    </row>
    <row r="187" spans="1:18" ht="18" customHeight="1">
      <c r="A187" s="187" t="s">
        <v>75</v>
      </c>
      <c r="B187" s="183">
        <v>2</v>
      </c>
      <c r="C187" s="42">
        <f t="shared" ref="C187:C193" si="20">+C186+1</f>
        <v>143</v>
      </c>
      <c r="D187" s="120" t="s">
        <v>390</v>
      </c>
      <c r="E187" s="36" t="s">
        <v>29</v>
      </c>
      <c r="F187" s="213" t="s">
        <v>389</v>
      </c>
      <c r="G187" s="254">
        <v>1</v>
      </c>
      <c r="H187" s="255">
        <v>1027</v>
      </c>
      <c r="I187" s="48">
        <f t="shared" si="17"/>
        <v>1027</v>
      </c>
      <c r="J187" s="253"/>
      <c r="K187" s="30" t="s">
        <v>378</v>
      </c>
      <c r="L187" s="93"/>
      <c r="M187" s="3"/>
      <c r="N187" s="23">
        <v>45141</v>
      </c>
      <c r="O187" s="6"/>
      <c r="P187" s="43">
        <v>45162</v>
      </c>
      <c r="Q187" s="43">
        <v>45162</v>
      </c>
      <c r="R187" s="41">
        <v>45162</v>
      </c>
    </row>
    <row r="188" spans="1:18" ht="18" customHeight="1">
      <c r="A188" s="187" t="s">
        <v>75</v>
      </c>
      <c r="B188" s="183">
        <v>3</v>
      </c>
      <c r="C188" s="42">
        <f t="shared" si="20"/>
        <v>144</v>
      </c>
      <c r="D188" s="36" t="s">
        <v>377</v>
      </c>
      <c r="E188" s="36" t="s">
        <v>29</v>
      </c>
      <c r="F188" s="213" t="s">
        <v>391</v>
      </c>
      <c r="G188" s="254">
        <v>1</v>
      </c>
      <c r="H188" s="255">
        <v>1027</v>
      </c>
      <c r="I188" s="48">
        <f t="shared" si="17"/>
        <v>1027</v>
      </c>
      <c r="J188" s="253"/>
      <c r="K188" s="30" t="s">
        <v>379</v>
      </c>
      <c r="L188" s="93"/>
      <c r="M188" s="3"/>
      <c r="N188" s="23">
        <v>45141</v>
      </c>
      <c r="O188" s="6"/>
      <c r="P188" s="43">
        <v>45162</v>
      </c>
      <c r="Q188" s="43">
        <v>45162</v>
      </c>
      <c r="R188" s="41">
        <v>45162</v>
      </c>
    </row>
    <row r="189" spans="1:18" ht="18" customHeight="1">
      <c r="A189" s="187" t="s">
        <v>75</v>
      </c>
      <c r="B189" s="183">
        <v>2</v>
      </c>
      <c r="C189" s="42">
        <f t="shared" si="20"/>
        <v>145</v>
      </c>
      <c r="D189" s="72" t="s">
        <v>29</v>
      </c>
      <c r="E189" s="72" t="s">
        <v>29</v>
      </c>
      <c r="F189" s="153" t="s">
        <v>44</v>
      </c>
      <c r="G189" s="73"/>
      <c r="H189" s="74">
        <v>19</v>
      </c>
      <c r="I189" s="74">
        <f>G189*H189</f>
        <v>0</v>
      </c>
      <c r="J189" s="74"/>
      <c r="K189" s="95" t="s">
        <v>45</v>
      </c>
      <c r="L189" s="71" t="s">
        <v>72</v>
      </c>
      <c r="M189" s="3"/>
      <c r="N189" s="23"/>
      <c r="O189" s="6"/>
      <c r="P189" s="43"/>
      <c r="Q189" s="43"/>
      <c r="R189" s="12"/>
    </row>
    <row r="190" spans="1:18" ht="18" customHeight="1">
      <c r="A190" s="187" t="s">
        <v>75</v>
      </c>
      <c r="B190" s="183">
        <v>2</v>
      </c>
      <c r="C190" s="42">
        <f t="shared" si="20"/>
        <v>146</v>
      </c>
      <c r="D190" s="54" t="s">
        <v>296</v>
      </c>
      <c r="E190" s="54" t="s">
        <v>297</v>
      </c>
      <c r="F190" s="237" t="s">
        <v>180</v>
      </c>
      <c r="G190" s="238">
        <v>1</v>
      </c>
      <c r="H190" s="242">
        <v>2090</v>
      </c>
      <c r="I190" s="154">
        <f t="shared" si="17"/>
        <v>2090</v>
      </c>
      <c r="J190" s="155"/>
      <c r="K190" s="68" t="s">
        <v>181</v>
      </c>
      <c r="L190" s="124" t="s">
        <v>298</v>
      </c>
      <c r="M190" s="3"/>
      <c r="N190" s="23">
        <v>45141</v>
      </c>
      <c r="O190" s="6"/>
      <c r="P190" s="43">
        <v>45162</v>
      </c>
      <c r="Q190" s="43">
        <v>45162</v>
      </c>
      <c r="R190" s="41">
        <v>45145</v>
      </c>
    </row>
    <row r="191" spans="1:18" ht="18" customHeight="1">
      <c r="A191" s="187"/>
      <c r="B191" s="183"/>
      <c r="C191" s="42"/>
      <c r="D191" s="54" t="s">
        <v>296</v>
      </c>
      <c r="E191" s="54" t="s">
        <v>297</v>
      </c>
      <c r="F191" s="237" t="s">
        <v>396</v>
      </c>
      <c r="G191" s="238">
        <v>1</v>
      </c>
      <c r="H191" s="242">
        <v>500</v>
      </c>
      <c r="I191" s="154">
        <f t="shared" si="17"/>
        <v>500</v>
      </c>
      <c r="J191" s="303"/>
      <c r="K191" s="68"/>
      <c r="L191" s="124"/>
      <c r="M191" s="3"/>
      <c r="N191" s="23">
        <v>45141</v>
      </c>
      <c r="O191" s="6"/>
      <c r="P191" s="43">
        <v>45162</v>
      </c>
      <c r="Q191" s="43">
        <v>45162</v>
      </c>
      <c r="R191" s="41"/>
    </row>
    <row r="192" spans="1:18" ht="18" customHeight="1">
      <c r="A192" s="187" t="s">
        <v>75</v>
      </c>
      <c r="B192" s="183">
        <v>2</v>
      </c>
      <c r="C192" s="42">
        <f>+C190+1</f>
        <v>147</v>
      </c>
      <c r="D192" s="120" t="s">
        <v>29</v>
      </c>
      <c r="E192" s="120" t="s">
        <v>29</v>
      </c>
      <c r="F192" s="227" t="s">
        <v>299</v>
      </c>
      <c r="G192" s="187">
        <v>1</v>
      </c>
      <c r="H192" s="242">
        <v>6070</v>
      </c>
      <c r="I192" s="154">
        <f t="shared" si="17"/>
        <v>6070</v>
      </c>
      <c r="J192" s="156"/>
      <c r="K192" s="116" t="s">
        <v>46</v>
      </c>
      <c r="L192" s="157"/>
      <c r="M192" s="3"/>
      <c r="N192" s="23">
        <v>45141</v>
      </c>
      <c r="O192" s="6"/>
      <c r="P192" s="43">
        <v>45162</v>
      </c>
      <c r="Q192" s="43">
        <v>45162</v>
      </c>
      <c r="R192" s="41">
        <v>45162</v>
      </c>
    </row>
    <row r="193" spans="1:18" ht="18" customHeight="1">
      <c r="A193" s="187" t="s">
        <v>75</v>
      </c>
      <c r="B193" s="183">
        <v>2</v>
      </c>
      <c r="C193" s="42">
        <f t="shared" si="20"/>
        <v>148</v>
      </c>
      <c r="D193" s="52" t="s">
        <v>29</v>
      </c>
      <c r="E193" s="52" t="s">
        <v>29</v>
      </c>
      <c r="F193" s="241" t="s">
        <v>56</v>
      </c>
      <c r="G193" s="221">
        <v>1</v>
      </c>
      <c r="H193" s="261">
        <v>237</v>
      </c>
      <c r="I193" s="83">
        <f>G193*H193</f>
        <v>237</v>
      </c>
      <c r="J193" s="108"/>
      <c r="K193" s="47" t="s">
        <v>183</v>
      </c>
      <c r="L193" s="157"/>
      <c r="M193" s="3"/>
      <c r="N193" s="23">
        <v>45141</v>
      </c>
      <c r="O193" s="6"/>
      <c r="P193" s="43">
        <v>45162</v>
      </c>
      <c r="Q193" s="43">
        <v>45162</v>
      </c>
      <c r="R193" s="41">
        <v>45162</v>
      </c>
    </row>
    <row r="194" spans="1:18" ht="18" customHeight="1">
      <c r="A194" s="187" t="s">
        <v>75</v>
      </c>
      <c r="B194" s="183">
        <v>2</v>
      </c>
      <c r="C194" s="42">
        <f>+C193+1</f>
        <v>149</v>
      </c>
      <c r="D194" s="120" t="s">
        <v>29</v>
      </c>
      <c r="E194" s="120" t="s">
        <v>29</v>
      </c>
      <c r="F194" s="243" t="s">
        <v>367</v>
      </c>
      <c r="G194" s="187">
        <v>1</v>
      </c>
      <c r="H194" s="242">
        <v>894</v>
      </c>
      <c r="I194" s="154">
        <f t="shared" si="17"/>
        <v>894</v>
      </c>
      <c r="J194" s="156"/>
      <c r="K194" s="38" t="s">
        <v>47</v>
      </c>
      <c r="L194" s="157"/>
      <c r="M194" s="3"/>
      <c r="N194" s="23">
        <v>45141</v>
      </c>
      <c r="O194" s="6"/>
      <c r="P194" s="43">
        <v>45162</v>
      </c>
      <c r="Q194" s="43">
        <v>45162</v>
      </c>
      <c r="R194" s="41">
        <v>45162</v>
      </c>
    </row>
    <row r="195" spans="1:18" ht="18" customHeight="1">
      <c r="A195" s="187" t="s">
        <v>75</v>
      </c>
      <c r="B195" s="183">
        <v>2</v>
      </c>
      <c r="C195" s="42">
        <f>+C194+1</f>
        <v>150</v>
      </c>
      <c r="D195" s="72" t="s">
        <v>29</v>
      </c>
      <c r="E195" s="72" t="s">
        <v>29</v>
      </c>
      <c r="F195" s="122" t="s">
        <v>182</v>
      </c>
      <c r="G195" s="73"/>
      <c r="H195" s="74">
        <v>508</v>
      </c>
      <c r="I195" s="74">
        <f t="shared" ref="I195:I205" si="21">G195*H195</f>
        <v>0</v>
      </c>
      <c r="J195" s="75"/>
      <c r="K195" s="76" t="s">
        <v>48</v>
      </c>
      <c r="L195" s="71" t="s">
        <v>72</v>
      </c>
      <c r="M195" s="3"/>
      <c r="N195" s="23"/>
      <c r="O195" s="6"/>
      <c r="P195" s="43"/>
      <c r="Q195" s="43"/>
      <c r="R195" s="41"/>
    </row>
    <row r="196" spans="1:18" ht="18" customHeight="1">
      <c r="A196" s="187" t="s">
        <v>75</v>
      </c>
      <c r="B196" s="183">
        <v>2</v>
      </c>
      <c r="C196" s="42">
        <f t="shared" ref="C196:C197" si="22">+C195+1</f>
        <v>151</v>
      </c>
      <c r="D196" s="52" t="s">
        <v>29</v>
      </c>
      <c r="E196" s="52" t="s">
        <v>29</v>
      </c>
      <c r="F196" s="241" t="s">
        <v>300</v>
      </c>
      <c r="G196" s="221">
        <v>1</v>
      </c>
      <c r="H196" s="242">
        <v>2676</v>
      </c>
      <c r="I196" s="79">
        <f t="shared" si="21"/>
        <v>2676</v>
      </c>
      <c r="J196" s="108"/>
      <c r="K196" s="78" t="s">
        <v>49</v>
      </c>
      <c r="L196" s="185"/>
      <c r="M196" s="3"/>
      <c r="N196" s="23">
        <v>45141</v>
      </c>
      <c r="O196" s="6"/>
      <c r="P196" s="43">
        <v>45162</v>
      </c>
      <c r="Q196" s="43">
        <v>45162</v>
      </c>
      <c r="R196" s="41">
        <v>45162</v>
      </c>
    </row>
    <row r="197" spans="1:18" ht="18" customHeight="1">
      <c r="A197" s="206" t="s">
        <v>78</v>
      </c>
      <c r="B197" s="183">
        <v>2</v>
      </c>
      <c r="C197" s="42">
        <f t="shared" si="22"/>
        <v>152</v>
      </c>
      <c r="D197" s="36" t="s">
        <v>29</v>
      </c>
      <c r="E197" s="36" t="s">
        <v>29</v>
      </c>
      <c r="F197" s="245" t="s">
        <v>369</v>
      </c>
      <c r="G197" s="206">
        <v>1</v>
      </c>
      <c r="H197" s="256">
        <v>8597</v>
      </c>
      <c r="I197" s="48">
        <f t="shared" si="21"/>
        <v>8597</v>
      </c>
      <c r="J197" s="133"/>
      <c r="K197" s="37" t="s">
        <v>368</v>
      </c>
      <c r="L197" s="185"/>
      <c r="M197" s="3"/>
      <c r="N197" s="23">
        <v>45141</v>
      </c>
      <c r="O197" s="6"/>
      <c r="P197" s="43">
        <v>45162</v>
      </c>
      <c r="Q197" s="43">
        <v>45162</v>
      </c>
      <c r="R197" s="41">
        <v>45162</v>
      </c>
    </row>
    <row r="198" spans="1:18" ht="18" customHeight="1">
      <c r="A198" s="187" t="s">
        <v>75</v>
      </c>
      <c r="B198" s="183">
        <v>2</v>
      </c>
      <c r="C198" s="42">
        <f>+C197+1</f>
        <v>153</v>
      </c>
      <c r="D198" s="72" t="s">
        <v>29</v>
      </c>
      <c r="E198" s="72" t="s">
        <v>29</v>
      </c>
      <c r="F198" s="123" t="s">
        <v>50</v>
      </c>
      <c r="G198" s="73"/>
      <c r="H198" s="74">
        <v>1098</v>
      </c>
      <c r="I198" s="74">
        <f t="shared" si="21"/>
        <v>0</v>
      </c>
      <c r="J198" s="75"/>
      <c r="K198" s="76" t="s">
        <v>51</v>
      </c>
      <c r="L198" s="71" t="s">
        <v>72</v>
      </c>
      <c r="M198" s="3"/>
      <c r="N198" s="23"/>
      <c r="O198" s="6"/>
      <c r="P198" s="43"/>
      <c r="Q198" s="46"/>
      <c r="R198" s="12"/>
    </row>
    <row r="199" spans="1:18" ht="18" customHeight="1">
      <c r="A199" s="187" t="s">
        <v>75</v>
      </c>
      <c r="B199" s="183">
        <v>2</v>
      </c>
      <c r="C199" s="42">
        <f t="shared" ref="C199:C200" si="23">+C198+1</f>
        <v>154</v>
      </c>
      <c r="D199" s="72" t="s">
        <v>29</v>
      </c>
      <c r="E199" s="72" t="s">
        <v>29</v>
      </c>
      <c r="F199" s="164" t="s">
        <v>52</v>
      </c>
      <c r="G199" s="73"/>
      <c r="H199" s="74">
        <v>1098</v>
      </c>
      <c r="I199" s="74">
        <f t="shared" si="21"/>
        <v>0</v>
      </c>
      <c r="J199" s="75"/>
      <c r="K199" s="76" t="s">
        <v>53</v>
      </c>
      <c r="L199" s="71" t="s">
        <v>72</v>
      </c>
      <c r="M199" s="3"/>
      <c r="N199" s="23"/>
      <c r="O199" s="6"/>
      <c r="P199" s="43"/>
      <c r="Q199" s="46"/>
      <c r="R199" s="12"/>
    </row>
    <row r="200" spans="1:18" ht="18" customHeight="1">
      <c r="A200" s="187" t="s">
        <v>75</v>
      </c>
      <c r="B200" s="183">
        <v>2</v>
      </c>
      <c r="C200" s="42">
        <f t="shared" si="23"/>
        <v>155</v>
      </c>
      <c r="D200" s="57" t="s">
        <v>29</v>
      </c>
      <c r="E200" s="57" t="s">
        <v>29</v>
      </c>
      <c r="F200" s="229" t="s">
        <v>36</v>
      </c>
      <c r="G200" s="249">
        <v>1</v>
      </c>
      <c r="H200" s="248">
        <v>860</v>
      </c>
      <c r="I200" s="250">
        <f t="shared" si="21"/>
        <v>860</v>
      </c>
      <c r="J200" s="149"/>
      <c r="K200" s="251" t="s">
        <v>54</v>
      </c>
      <c r="L200" s="150"/>
      <c r="M200" s="3"/>
      <c r="N200" s="43">
        <v>45141</v>
      </c>
      <c r="O200" s="6"/>
      <c r="P200" s="43">
        <v>45162</v>
      </c>
      <c r="Q200" s="43">
        <v>45162</v>
      </c>
      <c r="R200" s="41">
        <v>45162</v>
      </c>
    </row>
    <row r="201" spans="1:18" ht="18" customHeight="1">
      <c r="A201" s="187" t="s">
        <v>75</v>
      </c>
      <c r="B201" s="183">
        <v>2</v>
      </c>
      <c r="C201" s="42">
        <f>+C200+1</f>
        <v>156</v>
      </c>
      <c r="D201" s="34" t="s">
        <v>197</v>
      </c>
      <c r="E201" s="57" t="s">
        <v>29</v>
      </c>
      <c r="F201" s="246" t="s">
        <v>196</v>
      </c>
      <c r="G201" s="247">
        <v>1</v>
      </c>
      <c r="H201" s="240">
        <v>622</v>
      </c>
      <c r="I201" s="19">
        <f t="shared" si="21"/>
        <v>622</v>
      </c>
      <c r="J201" s="33"/>
      <c r="K201" s="68" t="s">
        <v>199</v>
      </c>
      <c r="L201" s="22"/>
      <c r="M201" s="3"/>
      <c r="N201" s="43">
        <v>45141</v>
      </c>
      <c r="O201" s="6"/>
      <c r="P201" s="43">
        <v>45162</v>
      </c>
      <c r="Q201" s="43">
        <v>45162</v>
      </c>
      <c r="R201" s="41">
        <v>45162</v>
      </c>
    </row>
    <row r="202" spans="1:18" ht="18" customHeight="1">
      <c r="A202" s="187" t="s">
        <v>75</v>
      </c>
      <c r="B202" s="183">
        <v>2</v>
      </c>
      <c r="C202" s="42">
        <f t="shared" ref="C202:C206" si="24">+C201+1</f>
        <v>157</v>
      </c>
      <c r="D202" s="57" t="s">
        <v>29</v>
      </c>
      <c r="E202" s="57" t="s">
        <v>29</v>
      </c>
      <c r="F202" s="205" t="s">
        <v>198</v>
      </c>
      <c r="G202" s="206">
        <v>3</v>
      </c>
      <c r="H202" s="221">
        <v>130</v>
      </c>
      <c r="I202" s="19">
        <f t="shared" si="21"/>
        <v>390</v>
      </c>
      <c r="J202" s="121"/>
      <c r="K202" s="38" t="s">
        <v>301</v>
      </c>
      <c r="L202" s="22"/>
      <c r="M202" s="3"/>
      <c r="N202" s="43">
        <v>45141</v>
      </c>
      <c r="O202" s="6"/>
      <c r="P202" s="43">
        <v>45162</v>
      </c>
      <c r="Q202" s="43">
        <v>45162</v>
      </c>
      <c r="R202" s="41">
        <v>45162</v>
      </c>
    </row>
    <row r="203" spans="1:18" ht="18" customHeight="1">
      <c r="A203" s="187" t="s">
        <v>75</v>
      </c>
      <c r="B203" s="183">
        <v>2</v>
      </c>
      <c r="C203" s="42">
        <f>+C202+1</f>
        <v>158</v>
      </c>
      <c r="D203" s="54" t="s">
        <v>29</v>
      </c>
      <c r="E203" s="54" t="s">
        <v>29</v>
      </c>
      <c r="F203" s="227" t="s">
        <v>55</v>
      </c>
      <c r="G203" s="236">
        <v>2</v>
      </c>
      <c r="H203" s="236">
        <v>210</v>
      </c>
      <c r="I203" s="48">
        <f t="shared" si="21"/>
        <v>420</v>
      </c>
      <c r="J203" s="61"/>
      <c r="K203" s="60" t="s">
        <v>302</v>
      </c>
      <c r="L203" s="22"/>
      <c r="M203" s="3"/>
      <c r="N203" s="43">
        <v>45141</v>
      </c>
      <c r="O203" s="6"/>
      <c r="P203" s="43">
        <v>45162</v>
      </c>
      <c r="Q203" s="43">
        <v>45162</v>
      </c>
      <c r="R203" s="41">
        <v>45162</v>
      </c>
    </row>
    <row r="204" spans="1:18" ht="18" customHeight="1">
      <c r="A204" s="187" t="s">
        <v>75</v>
      </c>
      <c r="B204" s="183">
        <v>2</v>
      </c>
      <c r="C204" s="42">
        <f>+C203+1</f>
        <v>159</v>
      </c>
      <c r="D204" s="57" t="s">
        <v>392</v>
      </c>
      <c r="E204" s="158" t="s">
        <v>29</v>
      </c>
      <c r="F204" s="239" t="s">
        <v>74</v>
      </c>
      <c r="G204" s="240">
        <v>8</v>
      </c>
      <c r="H204" s="248">
        <v>81</v>
      </c>
      <c r="I204" s="159">
        <f t="shared" si="21"/>
        <v>648</v>
      </c>
      <c r="J204" s="160"/>
      <c r="K204" s="47" t="s">
        <v>179</v>
      </c>
      <c r="L204" s="93"/>
      <c r="M204" s="3"/>
      <c r="N204" s="43">
        <v>45141</v>
      </c>
      <c r="O204" s="6"/>
      <c r="P204" s="43">
        <v>45162</v>
      </c>
      <c r="Q204" s="43">
        <v>45162</v>
      </c>
      <c r="R204" s="41">
        <v>45162</v>
      </c>
    </row>
    <row r="205" spans="1:18" ht="18" customHeight="1">
      <c r="A205" s="187" t="s">
        <v>376</v>
      </c>
      <c r="B205" s="183">
        <v>2</v>
      </c>
      <c r="C205" s="42">
        <f>+C204+1</f>
        <v>160</v>
      </c>
      <c r="D205" s="57" t="s">
        <v>373</v>
      </c>
      <c r="E205" s="36" t="s">
        <v>346</v>
      </c>
      <c r="F205" s="225" t="s">
        <v>374</v>
      </c>
      <c r="G205" s="244">
        <v>10</v>
      </c>
      <c r="H205" s="221">
        <v>140</v>
      </c>
      <c r="I205" s="79">
        <f t="shared" si="21"/>
        <v>1400</v>
      </c>
      <c r="J205" s="252"/>
      <c r="K205" s="78" t="s">
        <v>375</v>
      </c>
      <c r="L205" s="93"/>
      <c r="M205" s="3"/>
      <c r="N205" s="43">
        <v>45141</v>
      </c>
      <c r="O205" s="6"/>
      <c r="P205" s="43">
        <v>45162</v>
      </c>
      <c r="Q205" s="23">
        <v>45142</v>
      </c>
      <c r="R205" s="41">
        <v>45147</v>
      </c>
    </row>
    <row r="206" spans="1:18" ht="18" customHeight="1">
      <c r="A206" s="187" t="s">
        <v>75</v>
      </c>
      <c r="B206" s="183">
        <v>2</v>
      </c>
      <c r="C206" s="42">
        <f t="shared" si="24"/>
        <v>161</v>
      </c>
      <c r="D206" s="52" t="s">
        <v>29</v>
      </c>
      <c r="E206" s="57" t="s">
        <v>29</v>
      </c>
      <c r="F206" s="237" t="s">
        <v>303</v>
      </c>
      <c r="G206" s="247">
        <v>11</v>
      </c>
      <c r="H206" s="248">
        <v>116</v>
      </c>
      <c r="I206" s="48">
        <f>G206*H206</f>
        <v>1276</v>
      </c>
      <c r="J206" s="35"/>
      <c r="K206" s="31" t="s">
        <v>304</v>
      </c>
      <c r="L206" s="38" t="s">
        <v>372</v>
      </c>
      <c r="M206" s="3"/>
      <c r="N206" s="43">
        <v>45141</v>
      </c>
      <c r="O206" s="6"/>
      <c r="P206" s="43">
        <v>45162</v>
      </c>
      <c r="Q206" s="43">
        <v>45163</v>
      </c>
      <c r="R206" s="41">
        <v>45162</v>
      </c>
    </row>
    <row r="207" spans="1:18" ht="18" customHeight="1">
      <c r="A207" s="187" t="s">
        <v>75</v>
      </c>
      <c r="B207" s="183">
        <v>2</v>
      </c>
      <c r="C207" s="42">
        <f>+C206+1</f>
        <v>162</v>
      </c>
      <c r="D207" s="73" t="s">
        <v>312</v>
      </c>
      <c r="E207" s="73" t="s">
        <v>23</v>
      </c>
      <c r="F207" s="161" t="s">
        <v>311</v>
      </c>
      <c r="G207" s="94"/>
      <c r="H207" s="286">
        <v>780</v>
      </c>
      <c r="I207" s="94">
        <v>622</v>
      </c>
      <c r="J207" s="162"/>
      <c r="K207" s="163" t="s">
        <v>24</v>
      </c>
      <c r="L207" s="71" t="s">
        <v>72</v>
      </c>
      <c r="M207" s="3"/>
      <c r="N207" s="23"/>
      <c r="O207" s="6"/>
      <c r="P207" s="43"/>
      <c r="Q207" s="46"/>
      <c r="R207" s="12"/>
    </row>
    <row r="208" spans="1:18" ht="18" customHeight="1">
      <c r="A208" s="119"/>
      <c r="B208" s="126"/>
      <c r="C208" s="42"/>
      <c r="D208" s="36"/>
      <c r="E208" s="36"/>
      <c r="F208" s="47"/>
      <c r="G208" s="62"/>
      <c r="H208" s="83"/>
      <c r="I208" s="81"/>
      <c r="J208" s="33"/>
      <c r="K208" s="30"/>
      <c r="L208" s="22"/>
      <c r="M208" s="3"/>
      <c r="N208" s="43"/>
      <c r="O208" s="6"/>
      <c r="P208" s="43"/>
      <c r="Q208" s="23"/>
      <c r="R208" s="41"/>
    </row>
    <row r="209" spans="2:18" ht="18" customHeight="1">
      <c r="C209" s="21"/>
      <c r="D209" s="2"/>
      <c r="E209" s="2"/>
      <c r="F209" s="301">
        <f>SUM(I179:I208)</f>
        <v>60376</v>
      </c>
      <c r="G209" s="291"/>
      <c r="H209" s="291"/>
      <c r="I209" s="291"/>
      <c r="J209" s="292"/>
      <c r="K209" s="17"/>
      <c r="L209" s="22"/>
      <c r="M209" s="3"/>
      <c r="N209" s="23"/>
      <c r="O209" s="6"/>
      <c r="P209" s="6"/>
      <c r="Q209" s="23"/>
      <c r="R209" s="12"/>
    </row>
    <row r="210" spans="2:18" ht="18" customHeight="1">
      <c r="C210" s="21"/>
      <c r="D210" s="2"/>
      <c r="E210" s="2"/>
      <c r="F210" s="13"/>
      <c r="G210" s="302"/>
      <c r="H210" s="302"/>
      <c r="I210" s="82"/>
      <c r="J210" s="1"/>
      <c r="K210" s="13"/>
      <c r="L210" s="22"/>
      <c r="M210" s="3"/>
      <c r="N210" s="23"/>
      <c r="O210" s="6"/>
      <c r="P210" s="6"/>
      <c r="Q210" s="23"/>
      <c r="R210" s="12"/>
    </row>
    <row r="211" spans="2:18" ht="18" customHeight="1">
      <c r="C211" s="21"/>
      <c r="D211" s="21"/>
      <c r="E211" s="21"/>
      <c r="F211" s="22" t="s">
        <v>25</v>
      </c>
      <c r="G211" s="19"/>
      <c r="H211" s="19"/>
      <c r="I211" s="19">
        <f>G211*H211</f>
        <v>0</v>
      </c>
      <c r="J211" s="11"/>
      <c r="K211" s="13" t="s">
        <v>26</v>
      </c>
      <c r="L211" s="24"/>
      <c r="M211" s="21"/>
      <c r="N211" s="23"/>
      <c r="O211" s="24"/>
      <c r="P211" s="21"/>
      <c r="Q211" s="23"/>
      <c r="R211" s="12"/>
    </row>
    <row r="212" spans="2:18" ht="18" customHeight="1">
      <c r="B212" s="127">
        <v>4</v>
      </c>
      <c r="C212" s="184"/>
      <c r="D212" s="2"/>
      <c r="E212" s="2"/>
      <c r="F212" s="22" t="s">
        <v>26</v>
      </c>
      <c r="G212" s="19"/>
      <c r="H212" s="19">
        <v>5000</v>
      </c>
      <c r="I212" s="19">
        <f>G212*H212</f>
        <v>0</v>
      </c>
      <c r="J212" s="11"/>
      <c r="K212" s="13" t="s">
        <v>27</v>
      </c>
      <c r="L212" s="24"/>
      <c r="M212" s="21"/>
      <c r="N212" s="23"/>
      <c r="O212" s="24"/>
      <c r="P212" s="21"/>
      <c r="Q212" s="23"/>
      <c r="R212" s="6"/>
    </row>
    <row r="213" spans="2:18" ht="18" customHeight="1">
      <c r="C213" s="21"/>
      <c r="D213" s="2"/>
      <c r="E213" s="2"/>
      <c r="F213" s="22" t="s">
        <v>27</v>
      </c>
      <c r="G213" s="19"/>
      <c r="H213" s="19"/>
      <c r="I213" s="19">
        <f>G213*H213</f>
        <v>0</v>
      </c>
      <c r="J213" s="11"/>
      <c r="K213" s="3"/>
      <c r="L213" s="24"/>
      <c r="M213" s="21"/>
      <c r="N213" s="21"/>
      <c r="O213" s="24"/>
      <c r="P213" s="21"/>
      <c r="Q213" s="6"/>
      <c r="R213" s="6"/>
    </row>
    <row r="214" spans="2:18" ht="18" customHeight="1">
      <c r="C214" s="21"/>
      <c r="D214" s="2"/>
      <c r="E214" s="2"/>
      <c r="F214" s="307"/>
      <c r="G214" s="308"/>
      <c r="H214" s="308"/>
      <c r="I214" s="309"/>
      <c r="J214" s="4"/>
      <c r="K214" s="17"/>
    </row>
    <row r="215" spans="2:18" ht="18" customHeight="1"/>
    <row r="216" spans="2:18" ht="18" customHeight="1"/>
    <row r="217" spans="2:18" ht="18" customHeight="1"/>
  </sheetData>
  <autoFilter ref="C8:P217" xr:uid="{00000000-0009-0000-0000-000003000000}"/>
  <mergeCells count="16">
    <mergeCell ref="C2:E2"/>
    <mergeCell ref="H2:J2"/>
    <mergeCell ref="C3:E3"/>
    <mergeCell ref="C4:E4"/>
    <mergeCell ref="H4:K5"/>
    <mergeCell ref="C5:E5"/>
    <mergeCell ref="D178:F178"/>
    <mergeCell ref="F214:I214"/>
    <mergeCell ref="C6:E6"/>
    <mergeCell ref="C17:F17"/>
    <mergeCell ref="D85:F85"/>
    <mergeCell ref="D99:F99"/>
    <mergeCell ref="H6:K6"/>
    <mergeCell ref="D136:F136"/>
    <mergeCell ref="C9:F9"/>
    <mergeCell ref="C122:F122"/>
  </mergeCells>
  <phoneticPr fontId="11"/>
  <dataValidations disablePrompts="1" count="2">
    <dataValidation imeMode="hiragana" allowBlank="1" showInputMessage="1" showErrorMessage="1" sqref="K102 K155 K130" xr:uid="{CC80232E-C09F-4CA3-8ADF-B0351E3E97A2}"/>
    <dataValidation allowBlank="1" showInputMessage="1" showErrorMessage="1" sqref="K77:K83" xr:uid="{DEFB5C0D-959F-4B7B-836C-C4801E60D51D}"/>
  </dataValidations>
  <hyperlinks>
    <hyperlink ref="L70" r:id="rId1" xr:uid="{89F91002-8DDE-4491-BFC3-8F60BAE4EFEA}"/>
    <hyperlink ref="L68" r:id="rId2" xr:uid="{E65EE257-B2CC-46AA-9AFB-06E56AF015EC}"/>
    <hyperlink ref="L190" r:id="rId3" xr:uid="{F35D3FEA-AA12-4C6D-A501-4D6F28C89C16}"/>
    <hyperlink ref="L124" r:id="rId4" xr:uid="{3766BA8B-93FD-4239-9365-DC6C80A9B107}"/>
  </hyperlinks>
  <printOptions gridLines="1"/>
  <pageMargins left="0.2" right="0.2" top="0.75" bottom="0.75" header="0.3" footer="0.3"/>
  <pageSetup orientation="landscape" r:id="rId5"/>
  <headerFooter>
    <oddHeader>&amp;L&amp;C&amp;R</oddHeader>
    <oddFooter>&amp;L&amp;C&amp;R</oddFooter>
    <evenHeader>&amp;L&amp;C&amp;R</evenHeader>
    <evenFooter>&amp;L&amp;C&amp;R</evenFooter>
  </headerFooter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25" defaultRowHeight="13.5" customHeight="1"/>
  <cols>
    <col min="1" max="1" width="12.125" bestFit="1" customWidth="1"/>
    <col min="2" max="2" width="31.5" bestFit="1" customWidth="1"/>
  </cols>
  <sheetData>
    <row r="1" spans="1:2" ht="13.5" customHeight="1">
      <c r="A1" s="186" t="s">
        <v>0</v>
      </c>
      <c r="B1" s="26" t="s">
        <v>285</v>
      </c>
    </row>
    <row r="2" spans="1:2" ht="13.5" customHeight="1">
      <c r="A2" s="186" t="s">
        <v>2</v>
      </c>
      <c r="B2" s="7" t="s">
        <v>203</v>
      </c>
    </row>
    <row r="3" spans="1:2" ht="13.5" customHeight="1">
      <c r="A3" s="186" t="s">
        <v>3</v>
      </c>
      <c r="B3" s="7" t="s">
        <v>284</v>
      </c>
    </row>
    <row r="4" spans="1:2" ht="13.5" customHeight="1">
      <c r="A4" s="186" t="s">
        <v>4</v>
      </c>
      <c r="B4" s="8">
        <v>44972</v>
      </c>
    </row>
    <row r="5" spans="1:2" ht="13.5" customHeight="1">
      <c r="A5" s="186" t="s">
        <v>5</v>
      </c>
      <c r="B5" s="8">
        <v>44975</v>
      </c>
    </row>
  </sheetData>
  <phoneticPr fontId="11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/>
  <sheetData/>
  <phoneticPr fontId="11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(20230802)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cp:lastPrinted>2023-01-13T04:52:35Z</cp:lastPrinted>
  <dcterms:created xsi:type="dcterms:W3CDTF">2016-05-16T08:05:24Z</dcterms:created>
  <dcterms:modified xsi:type="dcterms:W3CDTF">2023-08-25T04:04:59Z</dcterms:modified>
</cp:coreProperties>
</file>