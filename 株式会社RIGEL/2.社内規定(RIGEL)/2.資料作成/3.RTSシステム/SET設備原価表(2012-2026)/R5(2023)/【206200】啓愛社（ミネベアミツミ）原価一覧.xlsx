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44EF5C5-491C-4E36-9005-E64BA49587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原価表!$B$9:$O$30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12" i="1"/>
  <c r="H13" i="1"/>
  <c r="H14" i="1"/>
  <c r="H11" i="1"/>
  <c r="J2" i="1" l="1"/>
</calcChain>
</file>

<file path=xl/sharedStrings.xml><?xml version="1.0" encoding="utf-8"?>
<sst xmlns="http://schemas.openxmlformats.org/spreadsheetml/2006/main" count="374" uniqueCount="188">
  <si>
    <t>数量</t>
  </si>
  <si>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</si>
  <si>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</si>
  <si>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</si>
  <si>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</si>
  <si>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</si>
  <si>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</si>
  <si>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</si>
  <si>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</si>
  <si>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</si>
  <si>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</si>
  <si>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</si>
  <si>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</si>
  <si>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</si>
  <si>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</si>
  <si>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</si>
  <si>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</si>
  <si>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</si>
  <si>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</si>
  <si>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</si>
  <si>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</si>
  <si>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日本省力技術研究所</t>
    <phoneticPr fontId="6"/>
  </si>
  <si>
    <t>日本省力技術研究所</t>
    <rPh sb="0" eb="2">
      <t>ニホン</t>
    </rPh>
    <rPh sb="2" eb="4">
      <t>ショウリョク</t>
    </rPh>
    <rPh sb="4" eb="6">
      <t>ギジュツ</t>
    </rPh>
    <rPh sb="6" eb="9">
      <t>ケンキュウショ</t>
    </rPh>
    <phoneticPr fontId="6"/>
  </si>
  <si>
    <t>ユニコントロールズ</t>
    <phoneticPr fontId="6"/>
  </si>
  <si>
    <t>制御機材</t>
    <rPh sb="0" eb="2">
      <t>セイギョ</t>
    </rPh>
    <rPh sb="2" eb="4">
      <t>キザイ</t>
    </rPh>
    <phoneticPr fontId="6"/>
  </si>
  <si>
    <t>ヒロセ電機</t>
    <rPh sb="3" eb="5">
      <t>デンキ</t>
    </rPh>
    <phoneticPr fontId="6"/>
  </si>
  <si>
    <t>コガネイ</t>
    <phoneticPr fontId="6"/>
  </si>
  <si>
    <t>オムロン</t>
    <phoneticPr fontId="6"/>
  </si>
  <si>
    <t>制御機材</t>
    <rPh sb="0" eb="4">
      <t>セイギョキザイ</t>
    </rPh>
    <phoneticPr fontId="6"/>
  </si>
  <si>
    <t>アズワン</t>
    <phoneticPr fontId="6"/>
  </si>
  <si>
    <t>オリエンタルモーター</t>
    <phoneticPr fontId="6"/>
  </si>
  <si>
    <t>オリムベクスタ</t>
    <phoneticPr fontId="6"/>
  </si>
  <si>
    <t>コネクト</t>
    <phoneticPr fontId="6"/>
  </si>
  <si>
    <t>MGP-0020P-1</t>
    <phoneticPr fontId="6"/>
  </si>
  <si>
    <t>MC-146-AFA</t>
    <phoneticPr fontId="6"/>
  </si>
  <si>
    <t>TB1N-LG</t>
    <phoneticPr fontId="6"/>
  </si>
  <si>
    <t>F150-01-BG-F1</t>
    <phoneticPr fontId="6"/>
  </si>
  <si>
    <t>PYFZ-08</t>
    <phoneticPr fontId="6"/>
  </si>
  <si>
    <t>MY2N</t>
    <phoneticPr fontId="6"/>
  </si>
  <si>
    <t>1-2957-01</t>
    <phoneticPr fontId="6"/>
  </si>
  <si>
    <t>図番：JR-AS00-361-11A</t>
    <rPh sb="0" eb="2">
      <t>ズバン</t>
    </rPh>
    <phoneticPr fontId="6"/>
  </si>
  <si>
    <t>図番：JR-AS00-361-01A</t>
    <rPh sb="0" eb="2">
      <t>ズバン</t>
    </rPh>
    <phoneticPr fontId="6"/>
  </si>
  <si>
    <t>図番：JR-AS00-361-02改A</t>
    <rPh sb="0" eb="2">
      <t>ズバン</t>
    </rPh>
    <rPh sb="17" eb="18">
      <t>アラタ</t>
    </rPh>
    <phoneticPr fontId="6"/>
  </si>
  <si>
    <t>図番：JR-AS00-361-03改A</t>
    <phoneticPr fontId="6"/>
  </si>
  <si>
    <t>図番：JR-AS00-361-04A</t>
    <phoneticPr fontId="6"/>
  </si>
  <si>
    <t>図番：JR-AS00-361-05C</t>
    <rPh sb="0" eb="2">
      <t>ズバン</t>
    </rPh>
    <phoneticPr fontId="6"/>
  </si>
  <si>
    <t>図番：JR-AS00-361-06A</t>
    <rPh sb="0" eb="2">
      <t>ズバン</t>
    </rPh>
    <phoneticPr fontId="6"/>
  </si>
  <si>
    <t xml:space="preserve">図番：JR-AS00-361-07B </t>
    <rPh sb="0" eb="2">
      <t>ズバン</t>
    </rPh>
    <phoneticPr fontId="6"/>
  </si>
  <si>
    <t>２型スペアギヤポンプ</t>
    <rPh sb="1" eb="2">
      <t>ガタ</t>
    </rPh>
    <phoneticPr fontId="6"/>
  </si>
  <si>
    <t>２液混合吐出装置</t>
    <rPh sb="1" eb="2">
      <t>エキ</t>
    </rPh>
    <rPh sb="2" eb="4">
      <t>コンゴウ</t>
    </rPh>
    <rPh sb="4" eb="6">
      <t>トシュツ</t>
    </rPh>
    <rPh sb="6" eb="8">
      <t>ソウチ</t>
    </rPh>
    <phoneticPr fontId="6"/>
  </si>
  <si>
    <t>ミキサー</t>
    <phoneticPr fontId="6"/>
  </si>
  <si>
    <t>タンク</t>
    <phoneticPr fontId="6"/>
  </si>
  <si>
    <t>コネクタ</t>
    <phoneticPr fontId="6"/>
  </si>
  <si>
    <t>フイルター</t>
    <phoneticPr fontId="6"/>
  </si>
  <si>
    <t>ソケット</t>
    <phoneticPr fontId="6"/>
  </si>
  <si>
    <t>ミニパワーリレー</t>
    <phoneticPr fontId="6"/>
  </si>
  <si>
    <t>カップ</t>
    <phoneticPr fontId="6"/>
  </si>
  <si>
    <t>モーター</t>
    <phoneticPr fontId="6"/>
  </si>
  <si>
    <t>モーターコントローラー</t>
    <phoneticPr fontId="6"/>
  </si>
  <si>
    <t>治具</t>
    <rPh sb="0" eb="2">
      <t>ジグ</t>
    </rPh>
    <phoneticPr fontId="6"/>
  </si>
  <si>
    <t>日本省力技研</t>
    <rPh sb="0" eb="4">
      <t>ニホンショウリョク</t>
    </rPh>
    <rPh sb="4" eb="6">
      <t>ギケン</t>
    </rPh>
    <phoneticPr fontId="1"/>
  </si>
  <si>
    <t>RM15QPS-4PA</t>
    <phoneticPr fontId="1"/>
  </si>
  <si>
    <t>BLM230-A2</t>
    <phoneticPr fontId="6"/>
  </si>
  <si>
    <t>BMUD30-A2　</t>
    <phoneticPr fontId="6"/>
  </si>
  <si>
    <t>ID-200N　特424</t>
    <rPh sb="8" eb="9">
      <t>トク</t>
    </rPh>
    <phoneticPr fontId="6"/>
  </si>
  <si>
    <t>図番：JR-AS50-734-20</t>
    <rPh sb="0" eb="2">
      <t>ズバン</t>
    </rPh>
    <phoneticPr fontId="6"/>
  </si>
  <si>
    <t>図番：JR-AS50-734-21</t>
    <rPh sb="0" eb="2">
      <t>ズバン</t>
    </rPh>
    <phoneticPr fontId="6"/>
  </si>
  <si>
    <t>図番：JR-AS50-734-22</t>
    <rPh sb="0" eb="2">
      <t>ズバン</t>
    </rPh>
    <phoneticPr fontId="6"/>
  </si>
  <si>
    <t>図番：JR-AS50-734-23</t>
    <rPh sb="0" eb="2">
      <t>ズバン</t>
    </rPh>
    <phoneticPr fontId="6"/>
  </si>
  <si>
    <t>図番：JR-AS50-734-24</t>
    <rPh sb="0" eb="2">
      <t>ズバン</t>
    </rPh>
    <phoneticPr fontId="6"/>
  </si>
  <si>
    <t>図番：JR-AS50-734-25</t>
    <rPh sb="0" eb="2">
      <t>ズバン</t>
    </rPh>
    <phoneticPr fontId="6"/>
  </si>
  <si>
    <t>図番：JR-AS50-734-01A</t>
    <phoneticPr fontId="1"/>
  </si>
  <si>
    <t>図番：JR-AS50-734-02</t>
    <phoneticPr fontId="1"/>
  </si>
  <si>
    <t>株式会社啓愛社</t>
    <rPh sb="0" eb="4">
      <t>カブシキカイシャ</t>
    </rPh>
    <rPh sb="4" eb="7">
      <t>ケイアイシャ</t>
    </rPh>
    <phoneticPr fontId="1"/>
  </si>
  <si>
    <t>前回、組立時不足品 M4止めネジ 5ｍｍ</t>
    <rPh sb="0" eb="2">
      <t>ゼンカイ</t>
    </rPh>
    <rPh sb="3" eb="5">
      <t>クミタテ</t>
    </rPh>
    <rPh sb="5" eb="6">
      <t>ジ</t>
    </rPh>
    <rPh sb="6" eb="9">
      <t>フソクヒン</t>
    </rPh>
    <rPh sb="12" eb="13">
      <t>ト</t>
    </rPh>
    <phoneticPr fontId="1"/>
  </si>
  <si>
    <t>前回、組立時不足品　ヒーター用100V電源ケーブル</t>
    <rPh sb="0" eb="2">
      <t>ゼンカイ</t>
    </rPh>
    <rPh sb="3" eb="5">
      <t>クミタテ</t>
    </rPh>
    <rPh sb="5" eb="6">
      <t>ジ</t>
    </rPh>
    <rPh sb="6" eb="9">
      <t>フソクヒン</t>
    </rPh>
    <rPh sb="14" eb="15">
      <t>ヨウ</t>
    </rPh>
    <rPh sb="19" eb="21">
      <t>デンゲン</t>
    </rPh>
    <phoneticPr fontId="1"/>
  </si>
  <si>
    <t>治具</t>
    <rPh sb="0" eb="2">
      <t>ジグ</t>
    </rPh>
    <phoneticPr fontId="1"/>
  </si>
  <si>
    <t>JANOME</t>
    <phoneticPr fontId="1"/>
  </si>
  <si>
    <t>JR3303-SET02</t>
    <phoneticPr fontId="1"/>
  </si>
  <si>
    <t>ロボット</t>
    <phoneticPr fontId="1"/>
  </si>
  <si>
    <t>在庫品</t>
    <rPh sb="0" eb="3">
      <t>ザイコヒン</t>
    </rPh>
    <phoneticPr fontId="1"/>
  </si>
  <si>
    <t>品名 / 型式</t>
    <rPh sb="0" eb="2">
      <t>ヒンメイ</t>
    </rPh>
    <rPh sb="5" eb="7">
      <t>カタシキ</t>
    </rPh>
    <phoneticPr fontId="1"/>
  </si>
  <si>
    <t>詳細</t>
    <rPh sb="0" eb="2">
      <t>ショウサイ</t>
    </rPh>
    <phoneticPr fontId="1"/>
  </si>
  <si>
    <t>MISUMI</t>
    <phoneticPr fontId="6"/>
  </si>
  <si>
    <t>NSDJ-PT-SB-37-2.5</t>
  </si>
  <si>
    <t>PLCﾛｰﾀﾞｰﾊｰﾈｽ</t>
  </si>
  <si>
    <t>9000-300X300X1.0</t>
  </si>
  <si>
    <t>ﾅﾌﾛﾝPTFEｼｰﾄ(ｽｶｲﾌﾞﾄﾞ)</t>
  </si>
  <si>
    <t>CFPNLA4-P6-L2-B2-ML8</t>
  </si>
  <si>
    <t>ｲﾁｷﾞﾒﾋﾟﾝ CFPNLA</t>
  </si>
  <si>
    <t>FAMDS-SUD-T2-A125-B30-L20-F10-H110-N4-J20-V10-S17-NA4-K15</t>
  </si>
  <si>
    <t>FAﾒｶ_ﾊﾞﾝｷﾝ_ﾌﾞﾗｹｯﾄ(FAMDS)</t>
  </si>
  <si>
    <t>IBNC-T0.2-H8-L50-A4.5-X4-P10</t>
  </si>
  <si>
    <t>ｲﾀﾊﾞﾈ IBN_</t>
  </si>
  <si>
    <t>MSH4-10</t>
  </si>
  <si>
    <t>ﾉｯｸﾋﾟﾝ MSH</t>
  </si>
  <si>
    <t>MTCS</t>
  </si>
  <si>
    <t>ｵﾝﾁｮｳｺﾝﾄﾛｰﾗ</t>
  </si>
  <si>
    <t>SLSBWRK7-50</t>
  </si>
  <si>
    <t>ﾛｯｶｸｼﾁｭｳ SLSBWRK</t>
  </si>
  <si>
    <t>XYSPG80</t>
  </si>
  <si>
    <t>ｳｽｶﾞﾀXYｽﾃｰｼﾞ(XYSPG)</t>
  </si>
  <si>
    <t>NMCPMS5</t>
  </si>
  <si>
    <t>ｴｱﾖｳｶﾌﾟﾗ(NMCPMS)</t>
  </si>
  <si>
    <t>BSFFA10A</t>
  </si>
  <si>
    <t>ﾎﾞｰﾙﾊﾞﾙﾌﾞ(BSFF)</t>
  </si>
  <si>
    <t>HBLFSL5-C-SSP</t>
  </si>
  <si>
    <t>ｱﾙﾐﾌﾞﾗｹｯﾄｻﾞｲ</t>
  </si>
  <si>
    <t>HBLSS5</t>
  </si>
  <si>
    <t>HFCB5-2020-B</t>
  </si>
  <si>
    <t>ﾌﾚｰﾑｷｬｯﾌﾟ (HFC)</t>
  </si>
  <si>
    <t>HFS5-2020-150</t>
  </si>
  <si>
    <t>ｱﾙﾐﾌﾚｰﾑｻﾞｲ</t>
  </si>
  <si>
    <t>HFS5-2020-280</t>
  </si>
  <si>
    <t>HFS5-2020-560</t>
  </si>
  <si>
    <t>HOSBS9N</t>
  </si>
  <si>
    <t>ﾎｰｽﾊﾞﾝﾄﾞ (HOSBS)</t>
  </si>
  <si>
    <t>HOSNS628</t>
  </si>
  <si>
    <t>ﾎｰｽﾖｳｵﾈｼﾞﾆｯﾌﾟﾙ (HOSNS)</t>
  </si>
  <si>
    <t>MBSGN</t>
  </si>
  <si>
    <t>ｶﾝﾂｷﾞﾃ MBSG</t>
  </si>
  <si>
    <t>MCSMSS5</t>
  </si>
  <si>
    <t>ｴｱﾖｳｶﾌﾟﾗ(MCSMSS)</t>
  </si>
  <si>
    <t>MPLGN</t>
  </si>
  <si>
    <t>ｶﾝﾂｷﾞﾃ MPLG</t>
  </si>
  <si>
    <t>MSWTSK2</t>
  </si>
  <si>
    <t>ｽｸﾘｭﾌﾟﾗｸﾞ (MSWTSK)</t>
  </si>
  <si>
    <t>PUJTFL12-1</t>
  </si>
  <si>
    <t>ｼﾞｭｳﾅﾝﾌｯｿﾁｭｰﾌﾞ(PUJTFL)</t>
  </si>
  <si>
    <t>SBCB5-6</t>
  </si>
  <si>
    <t>ﾈｼﾞ CB SCB BCB SBCB GUTB</t>
  </si>
  <si>
    <t>SCB3-8</t>
  </si>
  <si>
    <t>SCB5-8</t>
  </si>
  <si>
    <t>SCB8-15</t>
  </si>
  <si>
    <t>SHNTU5-5</t>
  </si>
  <si>
    <t>ｱﾙﾐﾌﾚｰﾑﾖｳｻｷｲﾚﾊﾞﾈﾅｯﾄ</t>
  </si>
  <si>
    <t>SLBNR8</t>
  </si>
  <si>
    <t>ﾅｯﾄ-ﾀﾝﾋﾟﾝﾊﾝﾊﾞｲ-</t>
  </si>
  <si>
    <t>SRTG6N-1</t>
  </si>
  <si>
    <t>ﾐﾆﾁｭｱｶﾝﾂｷﾞﾃ SRTG</t>
  </si>
  <si>
    <t>SUTCS10A</t>
  </si>
  <si>
    <t>ｺｳｶﾝﾖｳﾂｷﾞﾃ (SUTCS)</t>
  </si>
  <si>
    <t>SUTNR10A</t>
  </si>
  <si>
    <t>ｺｳｶﾝﾖｳﾂｷﾞﾃ (SUTNR)</t>
  </si>
  <si>
    <t>APMTS-T3-T2</t>
  </si>
  <si>
    <t>ﾈｼﾞﾍﾝｶﾝﾂｷﾞﾃ(APMTS)</t>
  </si>
  <si>
    <t>WSSS10-3-2</t>
  </si>
  <si>
    <t>ｷﾝｿﾞｸﾜｯｼｬ SUS (WSSS)</t>
  </si>
  <si>
    <t>MSEN0.32-1000</t>
  </si>
  <si>
    <t>ﾋﾌｸﾈﾂﾃﾞﾝﾂｲ (MSEN)</t>
  </si>
  <si>
    <t>OA-W-15M-07</t>
  </si>
  <si>
    <t>ﾊﾝﾖｳｹｰﾌﾞﾙｸﾗﾝﾌﾟ</t>
  </si>
  <si>
    <t>XCRS60</t>
  </si>
  <si>
    <t>Xｼﾞｸ ﾋｮｳｼﾞｭﾝ(XCRS)</t>
  </si>
  <si>
    <t>SLSBWF7-32</t>
  </si>
  <si>
    <t>ﾛｯｶｸｼﾁｭｳ SLSBWF</t>
  </si>
  <si>
    <t>MSNDM6-1</t>
  </si>
  <si>
    <t>ｾﾝｻ ﾈｼﾞﾄﾘﾂｹ (MSNDM)</t>
  </si>
  <si>
    <t>MCHK5-30-V100-W40</t>
  </si>
  <si>
    <t>ｶｰﾄﾘｯｼﾞﾋｰﾀｰ ｺﾃｲ (MCHK)</t>
  </si>
  <si>
    <t>NOOS4-10</t>
  </si>
  <si>
    <t>ﾉﾌﾞ</t>
  </si>
  <si>
    <t>CPS20-8-8</t>
  </si>
  <si>
    <t>ｶｯﾌﾟﾘﾝｸﾞ CPS</t>
  </si>
  <si>
    <t>MSSFS4-4</t>
  </si>
  <si>
    <t>ﾛｯｶｸｱﾅﾂｷﾄﾞﾒﾈｼﾞﾋﾗｻｷ</t>
  </si>
  <si>
    <t>SCB3-5</t>
  </si>
  <si>
    <t>SCB3-6</t>
  </si>
  <si>
    <t>SCB3-20</t>
  </si>
  <si>
    <t>SCB4-6</t>
  </si>
  <si>
    <t>SCB4-10</t>
  </si>
  <si>
    <t>SCB4-15</t>
  </si>
  <si>
    <t>SCB5-10</t>
  </si>
  <si>
    <t>APMTS-T1-M5</t>
  </si>
  <si>
    <t>SSHH-SUS-M4-5</t>
  </si>
  <si>
    <t>ﾛｯｶｸｱﾅﾂｷﾄﾞﾒﾈｼﾞ ﾋﾗｻｷ</t>
  </si>
  <si>
    <t>3P-W-3</t>
  </si>
  <si>
    <t>ACｺｰﾄﾞ</t>
  </si>
  <si>
    <t>CFPBA4-P6.90-L5-B1.5</t>
  </si>
  <si>
    <t>ｲﾁｷﾞﾒﾋﾟﾝ CFPBA</t>
  </si>
  <si>
    <t>FSMAS-AM-T3.0-A20-B50-L80-H15-F50-N4-V60-S40-NA10</t>
  </si>
  <si>
    <t>FAﾒｶ_ﾊﾞﾝｷﾝ_ﾌﾞﾗｹｯﾄ(FSMAS)</t>
  </si>
  <si>
    <t>SETGS5-20-SC1-M3-N3</t>
  </si>
  <si>
    <t>ｴﾝｹｲｼﾁｭｳ - SETGS</t>
  </si>
  <si>
    <t>本体に含まれる様で発注取消</t>
    <rPh sb="0" eb="2">
      <t>ホンタイ</t>
    </rPh>
    <rPh sb="3" eb="4">
      <t>フク</t>
    </rPh>
    <rPh sb="7" eb="8">
      <t>ヨウ</t>
    </rPh>
    <rPh sb="9" eb="13">
      <t>ハッチュウトリケシ</t>
    </rPh>
    <phoneticPr fontId="1"/>
  </si>
  <si>
    <t>SETGS5-20-SC1-M4-N3</t>
    <phoneticPr fontId="1"/>
  </si>
  <si>
    <t>追加発注依頼品</t>
    <rPh sb="0" eb="2">
      <t>ツイカ</t>
    </rPh>
    <rPh sb="2" eb="4">
      <t>ハッチュウ</t>
    </rPh>
    <rPh sb="4" eb="6">
      <t>イライ</t>
    </rPh>
    <rPh sb="6" eb="7">
      <t>ヒン</t>
    </rPh>
    <phoneticPr fontId="1"/>
  </si>
  <si>
    <t>キャンセル品➡7/5キャンセル済</t>
    <rPh sb="5" eb="6">
      <t>ヒン</t>
    </rPh>
    <rPh sb="15" eb="16">
      <t>スミ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</si>
</sst>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1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b/>
      <u/>
      <sz val="16"/>
      <color theme="1"/>
      <name val="ＭＳ Ｐゴシック"/>
      <family val="3"/>
      <charset val="128"/>
      <scheme val="minor"/>
    </font>
    <font>
      <strike/>
      <sz val="11"/>
      <color theme="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horizontal="center" vertical="center" shrinkToFit="1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180" fontId="0" fillId="3" borderId="1" xfId="0" applyNumberFormat="1" applyFill="1" applyBorder="1">
      <alignment vertical="center"/>
    </xf>
    <xf numFmtId="177" fontId="2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38" fontId="11" fillId="3" borderId="0" xfId="0" applyNumberFormat="1" applyFont="1" applyFill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38" fontId="9" fillId="0" borderId="0" xfId="0" applyNumberFormat="1" applyFont="1">
      <alignment vertical="center"/>
    </xf>
    <xf numFmtId="38" fontId="11" fillId="0" borderId="0" xfId="0" applyNumberFormat="1" applyFont="1">
      <alignment vertical="center"/>
    </xf>
    <xf numFmtId="0" fontId="11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76" fontId="0" fillId="0" borderId="1" xfId="0" applyNumberFormat="1" applyBorder="1">
      <alignment vertical="center"/>
    </xf>
    <xf numFmtId="3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95"/>
  <sheetViews>
    <sheetView tabSelected="1" topLeftCell="A64" zoomScale="70" zoomScaleNormal="70" workbookViewId="0">
      <pane xSplit="8" topLeftCell="L1" activePane="topRight" state="frozen"/>
      <selection pane="topRight" activeCell="Q80" sqref="Q80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4" width="19.25" bestFit="1" customWidth="1"/>
    <col min="5" max="5" width="56" customWidth="1"/>
    <col min="6" max="6" width="6.25" customWidth="1"/>
    <col min="7" max="8" width="20.5" customWidth="1"/>
    <col min="9" max="9" width="16" style="1" customWidth="1"/>
    <col min="10" max="10" width="35.25" bestFit="1" customWidth="1"/>
    <col min="11" max="11" width="45.25" bestFit="1" customWidth="1"/>
    <col min="12" max="12" width="72.75" style="4" bestFit="1" customWidth="1"/>
    <col min="13" max="13" width="13.75" style="5" customWidth="1"/>
    <col min="14" max="14" width="6.875" customWidth="1"/>
    <col min="15" max="15" width="17.25" style="1" customWidth="1"/>
    <col min="16" max="16" width="14.5" style="6" customWidth="1"/>
    <col min="17" max="17" width="39.625" style="7" bestFit="1" customWidth="1"/>
  </cols>
  <sheetData>
    <row r="2" spans="2:17" ht="20.100000000000001" customHeight="1" x14ac:dyDescent="0.15">
      <c r="B2" s="47" t="s">
        <v>9</v>
      </c>
      <c r="C2" s="47"/>
      <c r="D2" s="47"/>
      <c r="E2" s="2" t="s">
        <v>73</v>
      </c>
      <c r="G2" s="38"/>
      <c r="H2" s="38"/>
      <c r="I2" s="35" t="s">
        <v>13</v>
      </c>
      <c r="J2" s="3">
        <f>SUM(H:H)</f>
        <v>4173410</v>
      </c>
    </row>
    <row r="3" spans="2:17" ht="20.100000000000001" customHeight="1" x14ac:dyDescent="0.15">
      <c r="B3" s="47" t="s">
        <v>8</v>
      </c>
      <c r="C3" s="47"/>
      <c r="D3" s="47"/>
      <c r="E3" s="8" t="s">
        <v>20</v>
      </c>
    </row>
    <row r="4" spans="2:17" ht="20.100000000000001" customHeight="1" x14ac:dyDescent="0.15">
      <c r="B4" s="47" t="s">
        <v>10</v>
      </c>
      <c r="C4" s="47"/>
      <c r="D4" s="47"/>
      <c r="E4" s="8">
        <v>206200</v>
      </c>
      <c r="I4" s="9"/>
      <c r="J4" s="9"/>
      <c r="L4" s="28"/>
    </row>
    <row r="5" spans="2:17" ht="20.100000000000001" customHeight="1" x14ac:dyDescent="0.15">
      <c r="B5" s="47" t="s">
        <v>11</v>
      </c>
      <c r="C5" s="47"/>
      <c r="D5" s="47"/>
      <c r="E5" s="10">
        <v>45222</v>
      </c>
      <c r="G5" s="4"/>
      <c r="J5" s="9"/>
      <c r="L5" s="33"/>
    </row>
    <row r="6" spans="2:17" ht="20.100000000000001" customHeight="1" x14ac:dyDescent="0.15">
      <c r="B6" s="47" t="s">
        <v>12</v>
      </c>
      <c r="C6" s="47"/>
      <c r="D6" s="47"/>
      <c r="E6" s="10">
        <v>45264</v>
      </c>
      <c r="J6" s="32"/>
      <c r="L6" s="34"/>
    </row>
    <row r="7" spans="2:17" ht="20.100000000000001" customHeight="1" x14ac:dyDescent="0.15">
      <c r="B7" s="11"/>
      <c r="C7" s="11"/>
      <c r="D7" s="11"/>
      <c r="E7" s="26"/>
      <c r="J7" s="9"/>
      <c r="L7" s="29"/>
      <c r="Q7" s="30"/>
    </row>
    <row r="9" spans="2:17" s="4" customFormat="1" ht="19.7" customHeight="1" x14ac:dyDescent="0.15">
      <c r="B9" s="12" t="s">
        <v>3</v>
      </c>
      <c r="C9" s="12" t="s">
        <v>7</v>
      </c>
      <c r="D9" s="12" t="s">
        <v>4</v>
      </c>
      <c r="E9" s="13" t="s">
        <v>81</v>
      </c>
      <c r="F9" s="13" t="s">
        <v>0</v>
      </c>
      <c r="G9" s="13" t="s">
        <v>1</v>
      </c>
      <c r="H9" s="14" t="s">
        <v>2</v>
      </c>
      <c r="I9" s="14" t="s">
        <v>16</v>
      </c>
      <c r="J9" s="13" t="s">
        <v>82</v>
      </c>
      <c r="K9" s="13" t="s">
        <v>15</v>
      </c>
      <c r="L9" s="13" t="s">
        <v>14</v>
      </c>
      <c r="M9" s="15" t="s">
        <v>5</v>
      </c>
      <c r="N9" s="12" t="s">
        <v>17</v>
      </c>
      <c r="O9" s="13" t="s">
        <v>6</v>
      </c>
      <c r="P9" s="15" t="s">
        <v>18</v>
      </c>
      <c r="Q9" s="16" t="s">
        <v>19</v>
      </c>
    </row>
    <row r="10" spans="2:17" s="4" customFormat="1" ht="19.7" customHeight="1" x14ac:dyDescent="0.15">
      <c r="B10" s="12">
        <v>1</v>
      </c>
      <c r="C10" s="40" t="s">
        <v>77</v>
      </c>
      <c r="D10" s="40" t="s">
        <v>77</v>
      </c>
      <c r="E10" s="39" t="s">
        <v>78</v>
      </c>
      <c r="F10" s="18">
        <v>1</v>
      </c>
      <c r="G10" s="13"/>
      <c r="H10" s="14"/>
      <c r="I10" s="14"/>
      <c r="J10" s="39" t="s">
        <v>79</v>
      </c>
      <c r="K10" s="13" t="s">
        <v>80</v>
      </c>
      <c r="L10" s="13"/>
      <c r="M10" s="15"/>
      <c r="N10" s="12"/>
      <c r="O10" s="13"/>
      <c r="P10" s="15"/>
      <c r="Q10" s="16"/>
    </row>
    <row r="11" spans="2:17" s="4" customFormat="1" ht="19.7" customHeight="1" x14ac:dyDescent="0.15">
      <c r="B11" s="12">
        <v>2</v>
      </c>
      <c r="C11" s="37" t="s">
        <v>21</v>
      </c>
      <c r="D11" s="37" t="s">
        <v>21</v>
      </c>
      <c r="E11" s="18" t="s">
        <v>33</v>
      </c>
      <c r="F11" s="18">
        <v>4</v>
      </c>
      <c r="G11" s="24">
        <v>78160</v>
      </c>
      <c r="H11" s="24">
        <f t="shared" ref="H11:H74" si="0">G11*F11</f>
        <v>312640</v>
      </c>
      <c r="I11" s="14"/>
      <c r="J11" s="23" t="s">
        <v>48</v>
      </c>
      <c r="K11" s="21"/>
      <c r="L11" s="13"/>
      <c r="M11" s="15">
        <v>45078</v>
      </c>
      <c r="N11" s="12"/>
      <c r="O11" s="20">
        <v>45219</v>
      </c>
      <c r="P11" s="16"/>
      <c r="Q11" s="22">
        <v>45215</v>
      </c>
    </row>
    <row r="12" spans="2:17" s="4" customFormat="1" ht="19.7" customHeight="1" x14ac:dyDescent="0.15">
      <c r="B12" s="12">
        <v>2</v>
      </c>
      <c r="C12" s="37" t="s">
        <v>22</v>
      </c>
      <c r="D12" s="37" t="s">
        <v>22</v>
      </c>
      <c r="E12" s="18" t="s">
        <v>64</v>
      </c>
      <c r="F12" s="18">
        <v>2</v>
      </c>
      <c r="G12" s="24">
        <v>1254400</v>
      </c>
      <c r="H12" s="24">
        <f t="shared" si="0"/>
        <v>2508800</v>
      </c>
      <c r="I12" s="14"/>
      <c r="J12" s="23" t="s">
        <v>49</v>
      </c>
      <c r="K12" s="13"/>
      <c r="L12" s="13"/>
      <c r="M12" s="15">
        <v>45078</v>
      </c>
      <c r="N12" s="12"/>
      <c r="O12" s="20">
        <v>45219</v>
      </c>
      <c r="P12" s="16"/>
      <c r="Q12" s="22">
        <v>45215</v>
      </c>
    </row>
    <row r="13" spans="2:17" s="4" customFormat="1" ht="19.7" customHeight="1" x14ac:dyDescent="0.15">
      <c r="B13" s="12">
        <v>2</v>
      </c>
      <c r="C13" s="37" t="s">
        <v>22</v>
      </c>
      <c r="D13" s="37" t="s">
        <v>22</v>
      </c>
      <c r="E13" s="18" t="s">
        <v>34</v>
      </c>
      <c r="F13" s="18">
        <v>4</v>
      </c>
      <c r="G13" s="24">
        <v>36480</v>
      </c>
      <c r="H13" s="24">
        <f t="shared" si="0"/>
        <v>145920</v>
      </c>
      <c r="I13" s="14"/>
      <c r="J13" s="23" t="s">
        <v>50</v>
      </c>
      <c r="K13" s="13"/>
      <c r="L13" s="13"/>
      <c r="M13" s="15">
        <v>45078</v>
      </c>
      <c r="N13" s="12"/>
      <c r="O13" s="20">
        <v>45219</v>
      </c>
      <c r="P13" s="16"/>
      <c r="Q13" s="22">
        <v>45215</v>
      </c>
    </row>
    <row r="14" spans="2:17" s="4" customFormat="1" ht="19.7" customHeight="1" x14ac:dyDescent="0.15">
      <c r="B14" s="12">
        <v>2</v>
      </c>
      <c r="C14" s="39" t="s">
        <v>23</v>
      </c>
      <c r="D14" s="39" t="s">
        <v>24</v>
      </c>
      <c r="E14" s="18" t="s">
        <v>35</v>
      </c>
      <c r="F14" s="18">
        <v>4</v>
      </c>
      <c r="G14" s="41">
        <v>110000</v>
      </c>
      <c r="H14" s="41">
        <f t="shared" si="0"/>
        <v>440000</v>
      </c>
      <c r="I14" s="14"/>
      <c r="J14" s="18" t="s">
        <v>51</v>
      </c>
      <c r="K14" s="13"/>
      <c r="L14" s="13"/>
      <c r="M14" s="15">
        <v>45078</v>
      </c>
      <c r="N14" s="12"/>
      <c r="O14" s="20">
        <v>45219</v>
      </c>
      <c r="P14" s="16">
        <v>45219</v>
      </c>
      <c r="Q14" s="16">
        <v>45218</v>
      </c>
    </row>
    <row r="15" spans="2:17" s="4" customFormat="1" ht="19.7" customHeight="1" x14ac:dyDescent="0.15">
      <c r="B15" s="42">
        <v>3</v>
      </c>
      <c r="C15" s="43" t="s">
        <v>25</v>
      </c>
      <c r="D15" s="43" t="s">
        <v>60</v>
      </c>
      <c r="E15" s="44" t="s">
        <v>61</v>
      </c>
      <c r="F15" s="44">
        <v>2</v>
      </c>
      <c r="G15" s="41"/>
      <c r="H15" s="41">
        <f t="shared" si="0"/>
        <v>0</v>
      </c>
      <c r="I15" s="39"/>
      <c r="J15" s="18" t="s">
        <v>52</v>
      </c>
      <c r="K15" s="21" t="s">
        <v>184</v>
      </c>
      <c r="L15" s="13"/>
      <c r="M15" s="15">
        <v>45078</v>
      </c>
      <c r="N15" s="12"/>
      <c r="O15" s="20">
        <v>45219</v>
      </c>
      <c r="P15" s="16"/>
      <c r="Q15" s="16"/>
    </row>
    <row r="16" spans="2:17" s="4" customFormat="1" ht="19.7" customHeight="1" x14ac:dyDescent="0.15">
      <c r="B16" s="12">
        <v>3</v>
      </c>
      <c r="C16" s="39" t="s">
        <v>26</v>
      </c>
      <c r="D16" s="39" t="s">
        <v>24</v>
      </c>
      <c r="E16" s="45" t="s">
        <v>36</v>
      </c>
      <c r="F16" s="46">
        <v>4</v>
      </c>
      <c r="G16" s="41">
        <v>2400</v>
      </c>
      <c r="H16" s="41">
        <f t="shared" si="0"/>
        <v>9600</v>
      </c>
      <c r="I16" s="17"/>
      <c r="J16" s="18" t="s">
        <v>53</v>
      </c>
      <c r="K16" s="12"/>
      <c r="L16" s="13"/>
      <c r="M16" s="15">
        <v>45078</v>
      </c>
      <c r="N16" s="12"/>
      <c r="O16" s="20">
        <v>45219</v>
      </c>
      <c r="P16" s="16">
        <v>45219</v>
      </c>
      <c r="Q16" s="16">
        <v>45218</v>
      </c>
    </row>
    <row r="17" spans="2:17" s="4" customFormat="1" ht="19.7" customHeight="1" x14ac:dyDescent="0.15">
      <c r="B17" s="12">
        <v>3</v>
      </c>
      <c r="C17" s="39" t="s">
        <v>27</v>
      </c>
      <c r="D17" s="39" t="s">
        <v>28</v>
      </c>
      <c r="E17" s="18" t="s">
        <v>37</v>
      </c>
      <c r="F17" s="18">
        <v>2</v>
      </c>
      <c r="G17" s="41">
        <v>250</v>
      </c>
      <c r="H17" s="41">
        <f t="shared" si="0"/>
        <v>500</v>
      </c>
      <c r="I17" s="17"/>
      <c r="J17" s="18" t="s">
        <v>54</v>
      </c>
      <c r="K17" s="12"/>
      <c r="L17" s="13"/>
      <c r="M17" s="15">
        <v>45078</v>
      </c>
      <c r="N17" s="12"/>
      <c r="O17" s="20">
        <v>45219</v>
      </c>
      <c r="P17" s="16">
        <v>45219</v>
      </c>
      <c r="Q17" s="16">
        <v>45218</v>
      </c>
    </row>
    <row r="18" spans="2:17" s="4" customFormat="1" ht="19.7" customHeight="1" x14ac:dyDescent="0.15">
      <c r="B18" s="12">
        <v>3</v>
      </c>
      <c r="C18" s="39" t="s">
        <v>27</v>
      </c>
      <c r="D18" s="39" t="s">
        <v>28</v>
      </c>
      <c r="E18" s="18" t="s">
        <v>38</v>
      </c>
      <c r="F18" s="18">
        <v>2</v>
      </c>
      <c r="G18" s="41">
        <v>730</v>
      </c>
      <c r="H18" s="41">
        <f t="shared" si="0"/>
        <v>1460</v>
      </c>
      <c r="I18" s="17"/>
      <c r="J18" s="18" t="s">
        <v>55</v>
      </c>
      <c r="K18" s="12"/>
      <c r="L18" s="13"/>
      <c r="M18" s="15">
        <v>45078</v>
      </c>
      <c r="N18" s="12"/>
      <c r="O18" s="20">
        <v>45219</v>
      </c>
      <c r="P18" s="16">
        <v>45219</v>
      </c>
      <c r="Q18" s="16">
        <v>45218</v>
      </c>
    </row>
    <row r="19" spans="2:17" s="4" customFormat="1" ht="19.7" customHeight="1" x14ac:dyDescent="0.15">
      <c r="B19" s="12">
        <v>3</v>
      </c>
      <c r="C19" s="39" t="s">
        <v>29</v>
      </c>
      <c r="D19" s="39" t="s">
        <v>24</v>
      </c>
      <c r="E19" s="18" t="s">
        <v>39</v>
      </c>
      <c r="F19" s="18">
        <v>2</v>
      </c>
      <c r="G19" s="41">
        <v>10200</v>
      </c>
      <c r="H19" s="41">
        <f t="shared" si="0"/>
        <v>20400</v>
      </c>
      <c r="I19" s="17"/>
      <c r="J19" s="18" t="s">
        <v>56</v>
      </c>
      <c r="K19" s="12"/>
      <c r="L19" s="13"/>
      <c r="M19" s="15">
        <v>45078</v>
      </c>
      <c r="N19" s="12"/>
      <c r="O19" s="20">
        <v>45219</v>
      </c>
      <c r="P19" s="16">
        <v>45219</v>
      </c>
      <c r="Q19" s="16">
        <v>45092</v>
      </c>
    </row>
    <row r="20" spans="2:17" s="4" customFormat="1" ht="19.7" customHeight="1" x14ac:dyDescent="0.15">
      <c r="B20" s="12">
        <v>3</v>
      </c>
      <c r="C20" s="37" t="s">
        <v>30</v>
      </c>
      <c r="D20" s="37" t="s">
        <v>31</v>
      </c>
      <c r="E20" s="18" t="s">
        <v>62</v>
      </c>
      <c r="F20" s="18">
        <v>2</v>
      </c>
      <c r="G20" s="24">
        <v>8160</v>
      </c>
      <c r="H20" s="24">
        <f t="shared" si="0"/>
        <v>16320</v>
      </c>
      <c r="I20" s="17"/>
      <c r="J20" s="23" t="s">
        <v>57</v>
      </c>
      <c r="K20" s="21"/>
      <c r="L20" s="13"/>
      <c r="M20" s="15">
        <v>45078</v>
      </c>
      <c r="N20" s="12"/>
      <c r="O20" s="20">
        <v>45219</v>
      </c>
      <c r="P20" s="16">
        <v>45219</v>
      </c>
      <c r="Q20" s="16">
        <v>45219</v>
      </c>
    </row>
    <row r="21" spans="2:17" s="4" customFormat="1" ht="19.7" customHeight="1" x14ac:dyDescent="0.15">
      <c r="B21" s="12">
        <v>3</v>
      </c>
      <c r="C21" s="37" t="s">
        <v>30</v>
      </c>
      <c r="D21" s="37" t="s">
        <v>31</v>
      </c>
      <c r="E21" s="18" t="s">
        <v>63</v>
      </c>
      <c r="F21" s="18">
        <v>2</v>
      </c>
      <c r="G21" s="25">
        <v>11200</v>
      </c>
      <c r="H21" s="24">
        <f t="shared" si="0"/>
        <v>22400</v>
      </c>
      <c r="I21" s="17"/>
      <c r="J21" s="23" t="s">
        <v>58</v>
      </c>
      <c r="K21" s="21"/>
      <c r="L21" s="13"/>
      <c r="M21" s="15">
        <v>45078</v>
      </c>
      <c r="N21" s="12"/>
      <c r="O21" s="20">
        <v>45219</v>
      </c>
      <c r="P21" s="16">
        <v>45219</v>
      </c>
      <c r="Q21" s="16">
        <v>45219</v>
      </c>
    </row>
    <row r="22" spans="2:17" s="4" customFormat="1" ht="19.7" customHeight="1" x14ac:dyDescent="0.15">
      <c r="B22" s="12">
        <v>3</v>
      </c>
      <c r="C22" s="37" t="s">
        <v>83</v>
      </c>
      <c r="D22" s="37" t="s">
        <v>83</v>
      </c>
      <c r="E22" s="18" t="s">
        <v>84</v>
      </c>
      <c r="F22" s="18">
        <v>2</v>
      </c>
      <c r="G22" s="18">
        <v>5295</v>
      </c>
      <c r="H22" s="24">
        <f t="shared" si="0"/>
        <v>10590</v>
      </c>
      <c r="I22" s="17"/>
      <c r="J22" s="18" t="s">
        <v>85</v>
      </c>
      <c r="K22" s="21"/>
      <c r="L22" s="13"/>
      <c r="M22" s="15">
        <v>45078</v>
      </c>
      <c r="N22" s="12"/>
      <c r="O22" s="20">
        <v>45219</v>
      </c>
      <c r="P22" s="16">
        <v>45219</v>
      </c>
      <c r="Q22" s="16">
        <v>45219</v>
      </c>
    </row>
    <row r="23" spans="2:17" s="4" customFormat="1" ht="19.7" customHeight="1" x14ac:dyDescent="0.15">
      <c r="B23" s="12">
        <v>3</v>
      </c>
      <c r="C23" s="37" t="s">
        <v>83</v>
      </c>
      <c r="D23" s="37" t="s">
        <v>83</v>
      </c>
      <c r="E23" s="18" t="s">
        <v>86</v>
      </c>
      <c r="F23" s="18">
        <v>2</v>
      </c>
      <c r="G23" s="18">
        <v>2469</v>
      </c>
      <c r="H23" s="24">
        <f t="shared" si="0"/>
        <v>4938</v>
      </c>
      <c r="I23" s="19"/>
      <c r="J23" s="18" t="s">
        <v>87</v>
      </c>
      <c r="K23" s="12"/>
      <c r="L23" s="13"/>
      <c r="M23" s="15">
        <v>45078</v>
      </c>
      <c r="N23" s="12"/>
      <c r="O23" s="20">
        <v>45219</v>
      </c>
      <c r="P23" s="16">
        <v>45219</v>
      </c>
      <c r="Q23" s="16">
        <v>45219</v>
      </c>
    </row>
    <row r="24" spans="2:17" s="4" customFormat="1" ht="19.7" customHeight="1" x14ac:dyDescent="0.15">
      <c r="B24" s="12">
        <v>3</v>
      </c>
      <c r="C24" s="37" t="s">
        <v>83</v>
      </c>
      <c r="D24" s="37" t="s">
        <v>83</v>
      </c>
      <c r="E24" s="18" t="s">
        <v>88</v>
      </c>
      <c r="F24" s="18">
        <v>4</v>
      </c>
      <c r="G24" s="18">
        <v>1770</v>
      </c>
      <c r="H24" s="24">
        <f t="shared" si="0"/>
        <v>7080</v>
      </c>
      <c r="I24" s="19"/>
      <c r="J24" s="18" t="s">
        <v>89</v>
      </c>
      <c r="K24" s="12"/>
      <c r="L24" s="13"/>
      <c r="M24" s="15">
        <v>45078</v>
      </c>
      <c r="N24" s="12"/>
      <c r="O24" s="20">
        <v>45219</v>
      </c>
      <c r="P24" s="16">
        <v>45219</v>
      </c>
      <c r="Q24" s="16">
        <v>45219</v>
      </c>
    </row>
    <row r="25" spans="2:17" s="4" customFormat="1" ht="19.7" customHeight="1" x14ac:dyDescent="0.15">
      <c r="B25" s="12">
        <v>3</v>
      </c>
      <c r="C25" s="37" t="s">
        <v>83</v>
      </c>
      <c r="D25" s="37" t="s">
        <v>83</v>
      </c>
      <c r="E25" s="18" t="s">
        <v>90</v>
      </c>
      <c r="F25" s="18">
        <v>2</v>
      </c>
      <c r="G25" s="18">
        <v>3890</v>
      </c>
      <c r="H25" s="24">
        <f t="shared" si="0"/>
        <v>7780</v>
      </c>
      <c r="I25" s="19"/>
      <c r="J25" s="18" t="s">
        <v>91</v>
      </c>
      <c r="K25" s="12"/>
      <c r="L25" s="13"/>
      <c r="M25" s="15">
        <v>45078</v>
      </c>
      <c r="N25" s="12"/>
      <c r="O25" s="20">
        <v>45219</v>
      </c>
      <c r="P25" s="16">
        <v>45219</v>
      </c>
      <c r="Q25" s="16">
        <v>45219</v>
      </c>
    </row>
    <row r="26" spans="2:17" s="4" customFormat="1" ht="19.7" customHeight="1" x14ac:dyDescent="0.15">
      <c r="B26" s="12">
        <v>3</v>
      </c>
      <c r="C26" s="37" t="s">
        <v>83</v>
      </c>
      <c r="D26" s="37" t="s">
        <v>83</v>
      </c>
      <c r="E26" s="18" t="s">
        <v>92</v>
      </c>
      <c r="F26" s="18">
        <v>2</v>
      </c>
      <c r="G26" s="18">
        <v>1319</v>
      </c>
      <c r="H26" s="24">
        <f t="shared" si="0"/>
        <v>2638</v>
      </c>
      <c r="I26" s="17"/>
      <c r="J26" s="18" t="s">
        <v>93</v>
      </c>
      <c r="K26" s="12"/>
      <c r="L26" s="13"/>
      <c r="M26" s="15">
        <v>45078</v>
      </c>
      <c r="N26" s="12"/>
      <c r="O26" s="20">
        <v>45219</v>
      </c>
      <c r="P26" s="16">
        <v>45219</v>
      </c>
      <c r="Q26" s="16">
        <v>45219</v>
      </c>
    </row>
    <row r="27" spans="2:17" s="4" customFormat="1" ht="19.7" customHeight="1" x14ac:dyDescent="0.15">
      <c r="B27" s="12">
        <v>3</v>
      </c>
      <c r="C27" s="37" t="s">
        <v>83</v>
      </c>
      <c r="D27" s="37" t="s">
        <v>83</v>
      </c>
      <c r="E27" s="18" t="s">
        <v>94</v>
      </c>
      <c r="F27" s="18">
        <v>2</v>
      </c>
      <c r="G27" s="18">
        <v>160</v>
      </c>
      <c r="H27" s="24">
        <f t="shared" si="0"/>
        <v>320</v>
      </c>
      <c r="I27" s="17"/>
      <c r="J27" s="18" t="s">
        <v>95</v>
      </c>
      <c r="K27" s="12"/>
      <c r="L27" s="13"/>
      <c r="M27" s="15">
        <v>45078</v>
      </c>
      <c r="N27" s="12"/>
      <c r="O27" s="20">
        <v>45219</v>
      </c>
      <c r="P27" s="16">
        <v>45219</v>
      </c>
      <c r="Q27" s="16">
        <v>45219</v>
      </c>
    </row>
    <row r="28" spans="2:17" s="4" customFormat="1" ht="19.7" customHeight="1" x14ac:dyDescent="0.15">
      <c r="B28" s="12">
        <v>3</v>
      </c>
      <c r="C28" s="37" t="s">
        <v>83</v>
      </c>
      <c r="D28" s="37" t="s">
        <v>83</v>
      </c>
      <c r="E28" s="18" t="s">
        <v>96</v>
      </c>
      <c r="F28" s="18">
        <v>2</v>
      </c>
      <c r="G28" s="18">
        <v>34270</v>
      </c>
      <c r="H28" s="24">
        <f t="shared" si="0"/>
        <v>68540</v>
      </c>
      <c r="I28" s="17"/>
      <c r="J28" s="18" t="s">
        <v>97</v>
      </c>
      <c r="K28" s="12"/>
      <c r="L28" s="13"/>
      <c r="M28" s="15">
        <v>45078</v>
      </c>
      <c r="N28" s="12"/>
      <c r="O28" s="20">
        <v>45219</v>
      </c>
      <c r="P28" s="16">
        <v>45219</v>
      </c>
      <c r="Q28" s="16">
        <v>45219</v>
      </c>
    </row>
    <row r="29" spans="2:17" s="4" customFormat="1" ht="19.7" customHeight="1" x14ac:dyDescent="0.15">
      <c r="B29" s="12">
        <v>3</v>
      </c>
      <c r="C29" s="37" t="s">
        <v>83</v>
      </c>
      <c r="D29" s="37" t="s">
        <v>83</v>
      </c>
      <c r="E29" s="18" t="s">
        <v>98</v>
      </c>
      <c r="F29" s="18">
        <v>8</v>
      </c>
      <c r="G29" s="18">
        <v>385</v>
      </c>
      <c r="H29" s="24">
        <f t="shared" si="0"/>
        <v>3080</v>
      </c>
      <c r="I29" s="17"/>
      <c r="J29" s="18" t="s">
        <v>99</v>
      </c>
      <c r="K29" s="12"/>
      <c r="L29" s="13"/>
      <c r="M29" s="15">
        <v>45078</v>
      </c>
      <c r="N29" s="12"/>
      <c r="O29" s="20">
        <v>45219</v>
      </c>
      <c r="P29" s="16">
        <v>45219</v>
      </c>
      <c r="Q29" s="16">
        <v>45219</v>
      </c>
    </row>
    <row r="30" spans="2:17" ht="19.7" customHeight="1" x14ac:dyDescent="0.15">
      <c r="B30" s="12">
        <v>3</v>
      </c>
      <c r="C30" s="37" t="s">
        <v>83</v>
      </c>
      <c r="D30" s="37" t="s">
        <v>83</v>
      </c>
      <c r="E30" s="18" t="s">
        <v>100</v>
      </c>
      <c r="F30" s="18">
        <v>2</v>
      </c>
      <c r="G30" s="18">
        <v>69660</v>
      </c>
      <c r="H30" s="24">
        <f t="shared" si="0"/>
        <v>139320</v>
      </c>
      <c r="I30" s="19"/>
      <c r="J30" s="18" t="s">
        <v>101</v>
      </c>
      <c r="K30" s="12"/>
      <c r="L30" s="13"/>
      <c r="M30" s="15">
        <v>45078</v>
      </c>
      <c r="N30" s="12"/>
      <c r="O30" s="20">
        <v>45219</v>
      </c>
      <c r="P30" s="16">
        <v>45219</v>
      </c>
      <c r="Q30" s="16">
        <v>45219</v>
      </c>
    </row>
    <row r="31" spans="2:17" ht="19.7" customHeight="1" x14ac:dyDescent="0.15">
      <c r="B31" s="12">
        <v>3</v>
      </c>
      <c r="C31" s="37" t="s">
        <v>83</v>
      </c>
      <c r="D31" s="37" t="s">
        <v>83</v>
      </c>
      <c r="E31" s="18" t="s">
        <v>102</v>
      </c>
      <c r="F31" s="18">
        <v>4</v>
      </c>
      <c r="G31" s="18">
        <v>620</v>
      </c>
      <c r="H31" s="24">
        <f t="shared" si="0"/>
        <v>2480</v>
      </c>
      <c r="I31" s="19"/>
      <c r="J31" s="18" t="s">
        <v>103</v>
      </c>
      <c r="K31" s="12"/>
      <c r="L31" s="13"/>
      <c r="M31" s="15">
        <v>45078</v>
      </c>
      <c r="N31" s="12"/>
      <c r="O31" s="20">
        <v>45219</v>
      </c>
      <c r="P31" s="16">
        <v>45219</v>
      </c>
      <c r="Q31" s="16">
        <v>45219</v>
      </c>
    </row>
    <row r="32" spans="2:17" ht="19.7" customHeight="1" x14ac:dyDescent="0.15">
      <c r="B32" s="12">
        <v>3</v>
      </c>
      <c r="C32" s="37" t="s">
        <v>83</v>
      </c>
      <c r="D32" s="37" t="s">
        <v>83</v>
      </c>
      <c r="E32" s="18" t="s">
        <v>104</v>
      </c>
      <c r="F32" s="18">
        <v>8</v>
      </c>
      <c r="G32" s="18">
        <v>1140</v>
      </c>
      <c r="H32" s="24">
        <f t="shared" si="0"/>
        <v>9120</v>
      </c>
      <c r="I32" s="19"/>
      <c r="J32" s="18" t="s">
        <v>105</v>
      </c>
      <c r="K32" s="12"/>
      <c r="L32" s="13"/>
      <c r="M32" s="15">
        <v>45078</v>
      </c>
      <c r="N32" s="12"/>
      <c r="O32" s="20">
        <v>45219</v>
      </c>
      <c r="P32" s="16">
        <v>45219</v>
      </c>
      <c r="Q32" s="16">
        <v>45219</v>
      </c>
    </row>
    <row r="33" spans="2:17" ht="19.7" customHeight="1" x14ac:dyDescent="0.15">
      <c r="B33" s="12">
        <v>3</v>
      </c>
      <c r="C33" s="37" t="s">
        <v>83</v>
      </c>
      <c r="D33" s="37" t="s">
        <v>83</v>
      </c>
      <c r="E33" s="18" t="s">
        <v>106</v>
      </c>
      <c r="F33" s="18">
        <v>48</v>
      </c>
      <c r="G33" s="18">
        <v>220</v>
      </c>
      <c r="H33" s="24">
        <f t="shared" si="0"/>
        <v>10560</v>
      </c>
      <c r="I33" s="19"/>
      <c r="J33" s="18" t="s">
        <v>107</v>
      </c>
      <c r="K33" s="12"/>
      <c r="L33" s="13"/>
      <c r="M33" s="15">
        <v>45078</v>
      </c>
      <c r="N33" s="12"/>
      <c r="O33" s="20">
        <v>45219</v>
      </c>
      <c r="P33" s="16">
        <v>45219</v>
      </c>
      <c r="Q33" s="16">
        <v>45219</v>
      </c>
    </row>
    <row r="34" spans="2:17" ht="19.7" customHeight="1" x14ac:dyDescent="0.15">
      <c r="B34" s="12">
        <v>3</v>
      </c>
      <c r="C34" s="37" t="s">
        <v>83</v>
      </c>
      <c r="D34" s="37" t="s">
        <v>83</v>
      </c>
      <c r="E34" s="18" t="s">
        <v>108</v>
      </c>
      <c r="F34" s="18">
        <v>16</v>
      </c>
      <c r="G34" s="18">
        <v>63</v>
      </c>
      <c r="H34" s="24">
        <f t="shared" si="0"/>
        <v>1008</v>
      </c>
      <c r="I34" s="19"/>
      <c r="J34" s="18" t="s">
        <v>107</v>
      </c>
      <c r="K34" s="12"/>
      <c r="L34" s="13"/>
      <c r="M34" s="15">
        <v>45078</v>
      </c>
      <c r="N34" s="12"/>
      <c r="O34" s="20">
        <v>45219</v>
      </c>
      <c r="P34" s="16">
        <v>45219</v>
      </c>
      <c r="Q34" s="16">
        <v>45219</v>
      </c>
    </row>
    <row r="35" spans="2:17" ht="19.7" customHeight="1" x14ac:dyDescent="0.15">
      <c r="B35" s="12">
        <v>3</v>
      </c>
      <c r="C35" s="37" t="s">
        <v>83</v>
      </c>
      <c r="D35" s="37" t="s">
        <v>83</v>
      </c>
      <c r="E35" s="18" t="s">
        <v>109</v>
      </c>
      <c r="F35" s="18">
        <v>16</v>
      </c>
      <c r="G35" s="18">
        <v>165</v>
      </c>
      <c r="H35" s="24">
        <f t="shared" si="0"/>
        <v>2640</v>
      </c>
      <c r="I35" s="19"/>
      <c r="J35" s="18" t="s">
        <v>110</v>
      </c>
      <c r="K35" s="12"/>
      <c r="L35" s="13"/>
      <c r="M35" s="15">
        <v>45078</v>
      </c>
      <c r="N35" s="12"/>
      <c r="O35" s="20">
        <v>45219</v>
      </c>
      <c r="P35" s="16">
        <v>45219</v>
      </c>
      <c r="Q35" s="16">
        <v>45219</v>
      </c>
    </row>
    <row r="36" spans="2:17" ht="19.7" customHeight="1" x14ac:dyDescent="0.15">
      <c r="B36" s="12">
        <v>3</v>
      </c>
      <c r="C36" s="37" t="s">
        <v>83</v>
      </c>
      <c r="D36" s="37" t="s">
        <v>83</v>
      </c>
      <c r="E36" s="18" t="s">
        <v>111</v>
      </c>
      <c r="F36" s="18">
        <v>8</v>
      </c>
      <c r="G36" s="18">
        <v>267</v>
      </c>
      <c r="H36" s="24">
        <f t="shared" si="0"/>
        <v>2136</v>
      </c>
      <c r="I36" s="19"/>
      <c r="J36" s="18" t="s">
        <v>112</v>
      </c>
      <c r="K36" s="12"/>
      <c r="L36" s="13"/>
      <c r="M36" s="15">
        <v>45078</v>
      </c>
      <c r="N36" s="12"/>
      <c r="O36" s="20">
        <v>45219</v>
      </c>
      <c r="P36" s="16">
        <v>45219</v>
      </c>
      <c r="Q36" s="16">
        <v>45219</v>
      </c>
    </row>
    <row r="37" spans="2:17" ht="19.7" customHeight="1" x14ac:dyDescent="0.15">
      <c r="B37" s="12">
        <v>3</v>
      </c>
      <c r="C37" s="37" t="s">
        <v>83</v>
      </c>
      <c r="D37" s="37" t="s">
        <v>83</v>
      </c>
      <c r="E37" s="18" t="s">
        <v>113</v>
      </c>
      <c r="F37" s="18">
        <v>8</v>
      </c>
      <c r="G37" s="18">
        <v>267</v>
      </c>
      <c r="H37" s="24">
        <f t="shared" si="0"/>
        <v>2136</v>
      </c>
      <c r="I37" s="19"/>
      <c r="J37" s="18" t="s">
        <v>112</v>
      </c>
      <c r="K37" s="12"/>
      <c r="L37" s="13"/>
      <c r="M37" s="15">
        <v>45078</v>
      </c>
      <c r="N37" s="12"/>
      <c r="O37" s="20">
        <v>45219</v>
      </c>
      <c r="P37" s="16">
        <v>45219</v>
      </c>
      <c r="Q37" s="16">
        <v>45219</v>
      </c>
    </row>
    <row r="38" spans="2:17" ht="19.7" customHeight="1" x14ac:dyDescent="0.15">
      <c r="B38" s="12">
        <v>3</v>
      </c>
      <c r="C38" s="37" t="s">
        <v>83</v>
      </c>
      <c r="D38" s="37" t="s">
        <v>83</v>
      </c>
      <c r="E38" s="18" t="s">
        <v>114</v>
      </c>
      <c r="F38" s="18">
        <v>8</v>
      </c>
      <c r="G38" s="18">
        <v>280</v>
      </c>
      <c r="H38" s="24">
        <f t="shared" si="0"/>
        <v>2240</v>
      </c>
      <c r="I38" s="19"/>
      <c r="J38" s="18" t="s">
        <v>112</v>
      </c>
      <c r="K38" s="12"/>
      <c r="L38" s="13"/>
      <c r="M38" s="15">
        <v>45078</v>
      </c>
      <c r="N38" s="12"/>
      <c r="O38" s="20">
        <v>45219</v>
      </c>
      <c r="P38" s="16">
        <v>45219</v>
      </c>
      <c r="Q38" s="16">
        <v>45219</v>
      </c>
    </row>
    <row r="39" spans="2:17" ht="19.7" customHeight="1" x14ac:dyDescent="0.15">
      <c r="B39" s="12">
        <v>3</v>
      </c>
      <c r="C39" s="37" t="s">
        <v>83</v>
      </c>
      <c r="D39" s="37" t="s">
        <v>83</v>
      </c>
      <c r="E39" s="18" t="s">
        <v>115</v>
      </c>
      <c r="F39" s="18">
        <v>8</v>
      </c>
      <c r="G39" s="18">
        <v>220</v>
      </c>
      <c r="H39" s="24">
        <f t="shared" si="0"/>
        <v>1760</v>
      </c>
      <c r="I39" s="19"/>
      <c r="J39" s="18" t="s">
        <v>116</v>
      </c>
      <c r="K39" s="12"/>
      <c r="L39" s="13"/>
      <c r="M39" s="15">
        <v>45078</v>
      </c>
      <c r="N39" s="12"/>
      <c r="O39" s="20">
        <v>45219</v>
      </c>
      <c r="P39" s="16">
        <v>45219</v>
      </c>
      <c r="Q39" s="16">
        <v>45219</v>
      </c>
    </row>
    <row r="40" spans="2:17" ht="19.7" customHeight="1" x14ac:dyDescent="0.15">
      <c r="B40" s="12">
        <v>3</v>
      </c>
      <c r="C40" s="37" t="s">
        <v>83</v>
      </c>
      <c r="D40" s="37" t="s">
        <v>83</v>
      </c>
      <c r="E40" s="18" t="s">
        <v>117</v>
      </c>
      <c r="F40" s="18">
        <v>8</v>
      </c>
      <c r="G40" s="18">
        <v>800</v>
      </c>
      <c r="H40" s="24">
        <f t="shared" si="0"/>
        <v>6400</v>
      </c>
      <c r="I40" s="19"/>
      <c r="J40" s="18" t="s">
        <v>118</v>
      </c>
      <c r="K40" s="12"/>
      <c r="L40" s="13"/>
      <c r="M40" s="15">
        <v>45078</v>
      </c>
      <c r="N40" s="12"/>
      <c r="O40" s="20">
        <v>45219</v>
      </c>
      <c r="P40" s="16">
        <v>45219</v>
      </c>
      <c r="Q40" s="16">
        <v>45219</v>
      </c>
    </row>
    <row r="41" spans="2:17" ht="19.7" customHeight="1" x14ac:dyDescent="0.15">
      <c r="B41" s="12">
        <v>3</v>
      </c>
      <c r="C41" s="37" t="s">
        <v>83</v>
      </c>
      <c r="D41" s="37" t="s">
        <v>83</v>
      </c>
      <c r="E41" s="18" t="s">
        <v>119</v>
      </c>
      <c r="F41" s="18">
        <v>4</v>
      </c>
      <c r="G41" s="18">
        <v>150</v>
      </c>
      <c r="H41" s="24">
        <f t="shared" si="0"/>
        <v>600</v>
      </c>
      <c r="I41" s="19"/>
      <c r="J41" s="18" t="s">
        <v>120</v>
      </c>
      <c r="K41" s="12"/>
      <c r="L41" s="13"/>
      <c r="M41" s="15">
        <v>45078</v>
      </c>
      <c r="N41" s="12"/>
      <c r="O41" s="20">
        <v>45219</v>
      </c>
      <c r="P41" s="16">
        <v>45219</v>
      </c>
      <c r="Q41" s="16">
        <v>45219</v>
      </c>
    </row>
    <row r="42" spans="2:17" ht="19.7" customHeight="1" x14ac:dyDescent="0.15">
      <c r="B42" s="12">
        <v>3</v>
      </c>
      <c r="C42" s="37" t="s">
        <v>83</v>
      </c>
      <c r="D42" s="37" t="s">
        <v>83</v>
      </c>
      <c r="E42" s="18" t="s">
        <v>121</v>
      </c>
      <c r="F42" s="18">
        <v>4</v>
      </c>
      <c r="G42" s="18">
        <v>6020</v>
      </c>
      <c r="H42" s="24">
        <f t="shared" si="0"/>
        <v>24080</v>
      </c>
      <c r="I42" s="27"/>
      <c r="J42" s="18" t="s">
        <v>122</v>
      </c>
      <c r="K42" s="12"/>
      <c r="L42" s="13"/>
      <c r="M42" s="15">
        <v>45078</v>
      </c>
      <c r="N42" s="12"/>
      <c r="O42" s="20">
        <v>45219</v>
      </c>
      <c r="P42" s="16">
        <v>45219</v>
      </c>
      <c r="Q42" s="16">
        <v>45219</v>
      </c>
    </row>
    <row r="43" spans="2:17" ht="19.7" customHeight="1" x14ac:dyDescent="0.15">
      <c r="B43" s="12">
        <v>3</v>
      </c>
      <c r="C43" s="37" t="s">
        <v>83</v>
      </c>
      <c r="D43" s="37" t="s">
        <v>83</v>
      </c>
      <c r="E43" s="18" t="s">
        <v>123</v>
      </c>
      <c r="F43" s="18">
        <v>4</v>
      </c>
      <c r="G43" s="18">
        <v>130</v>
      </c>
      <c r="H43" s="24">
        <f t="shared" si="0"/>
        <v>520</v>
      </c>
      <c r="I43" s="19"/>
      <c r="J43" s="18" t="s">
        <v>124</v>
      </c>
      <c r="K43" s="12"/>
      <c r="L43" s="13"/>
      <c r="M43" s="15">
        <v>45078</v>
      </c>
      <c r="N43" s="12"/>
      <c r="O43" s="20">
        <v>45219</v>
      </c>
      <c r="P43" s="16">
        <v>45219</v>
      </c>
      <c r="Q43" s="16">
        <v>45219</v>
      </c>
    </row>
    <row r="44" spans="2:17" ht="19.7" customHeight="1" x14ac:dyDescent="0.15">
      <c r="B44" s="12">
        <v>3</v>
      </c>
      <c r="C44" s="37" t="s">
        <v>83</v>
      </c>
      <c r="D44" s="37" t="s">
        <v>83</v>
      </c>
      <c r="E44" s="18" t="s">
        <v>125</v>
      </c>
      <c r="F44" s="18">
        <v>8</v>
      </c>
      <c r="G44" s="18">
        <v>430</v>
      </c>
      <c r="H44" s="24">
        <f t="shared" si="0"/>
        <v>3440</v>
      </c>
      <c r="I44" s="19"/>
      <c r="J44" s="18" t="s">
        <v>126</v>
      </c>
      <c r="K44" s="12"/>
      <c r="L44" s="13"/>
      <c r="M44" s="15">
        <v>45078</v>
      </c>
      <c r="N44" s="12"/>
      <c r="O44" s="20">
        <v>45219</v>
      </c>
      <c r="P44" s="16">
        <v>45219</v>
      </c>
      <c r="Q44" s="16">
        <v>45219</v>
      </c>
    </row>
    <row r="45" spans="2:17" ht="19.7" customHeight="1" x14ac:dyDescent="0.15">
      <c r="B45" s="12">
        <v>3</v>
      </c>
      <c r="C45" s="37" t="s">
        <v>83</v>
      </c>
      <c r="D45" s="37" t="s">
        <v>83</v>
      </c>
      <c r="E45" s="18" t="s">
        <v>127</v>
      </c>
      <c r="F45" s="18">
        <v>4</v>
      </c>
      <c r="G45" s="18">
        <v>2260</v>
      </c>
      <c r="H45" s="24">
        <f t="shared" si="0"/>
        <v>9040</v>
      </c>
      <c r="I45" s="19"/>
      <c r="J45" s="18" t="s">
        <v>128</v>
      </c>
      <c r="K45" s="12"/>
      <c r="L45" s="13"/>
      <c r="M45" s="15">
        <v>45078</v>
      </c>
      <c r="N45" s="12"/>
      <c r="O45" s="20">
        <v>45219</v>
      </c>
      <c r="P45" s="16">
        <v>45219</v>
      </c>
      <c r="Q45" s="16">
        <v>45219</v>
      </c>
    </row>
    <row r="46" spans="2:17" ht="19.7" customHeight="1" x14ac:dyDescent="0.15">
      <c r="B46" s="12">
        <v>3</v>
      </c>
      <c r="C46" s="37" t="s">
        <v>83</v>
      </c>
      <c r="D46" s="37" t="s">
        <v>83</v>
      </c>
      <c r="E46" s="18" t="s">
        <v>129</v>
      </c>
      <c r="F46" s="18">
        <v>16</v>
      </c>
      <c r="G46" s="18">
        <v>43</v>
      </c>
      <c r="H46" s="24">
        <f t="shared" si="0"/>
        <v>688</v>
      </c>
      <c r="I46" s="19"/>
      <c r="J46" s="18" t="s">
        <v>130</v>
      </c>
      <c r="K46" s="12"/>
      <c r="L46" s="13"/>
      <c r="M46" s="15">
        <v>45078</v>
      </c>
      <c r="N46" s="12"/>
      <c r="O46" s="20">
        <v>45219</v>
      </c>
      <c r="P46" s="16">
        <v>45219</v>
      </c>
      <c r="Q46" s="16">
        <v>45219</v>
      </c>
    </row>
    <row r="47" spans="2:17" ht="19.7" customHeight="1" x14ac:dyDescent="0.15">
      <c r="B47" s="12">
        <v>3</v>
      </c>
      <c r="C47" s="37" t="s">
        <v>83</v>
      </c>
      <c r="D47" s="37" t="s">
        <v>83</v>
      </c>
      <c r="E47" s="18" t="s">
        <v>131</v>
      </c>
      <c r="F47" s="18">
        <v>8</v>
      </c>
      <c r="G47" s="18">
        <v>198</v>
      </c>
      <c r="H47" s="24">
        <f t="shared" si="0"/>
        <v>1584</v>
      </c>
      <c r="I47" s="19"/>
      <c r="J47" s="18" t="s">
        <v>130</v>
      </c>
      <c r="K47" s="12"/>
      <c r="L47" s="13"/>
      <c r="M47" s="15">
        <v>45078</v>
      </c>
      <c r="N47" s="12"/>
      <c r="O47" s="20">
        <v>45219</v>
      </c>
      <c r="P47" s="16">
        <v>45219</v>
      </c>
      <c r="Q47" s="16">
        <v>45219</v>
      </c>
    </row>
    <row r="48" spans="2:17" ht="19.7" customHeight="1" x14ac:dyDescent="0.15">
      <c r="B48" s="12">
        <v>3</v>
      </c>
      <c r="C48" s="37" t="s">
        <v>83</v>
      </c>
      <c r="D48" s="37" t="s">
        <v>83</v>
      </c>
      <c r="E48" s="18" t="s">
        <v>132</v>
      </c>
      <c r="F48" s="18">
        <v>16</v>
      </c>
      <c r="G48" s="18">
        <v>24</v>
      </c>
      <c r="H48" s="24">
        <f t="shared" si="0"/>
        <v>384</v>
      </c>
      <c r="I48" s="19"/>
      <c r="J48" s="18" t="s">
        <v>130</v>
      </c>
      <c r="K48" s="12"/>
      <c r="L48" s="13"/>
      <c r="M48" s="15">
        <v>45078</v>
      </c>
      <c r="N48" s="12"/>
      <c r="O48" s="20">
        <v>45219</v>
      </c>
      <c r="P48" s="16">
        <v>45219</v>
      </c>
      <c r="Q48" s="16">
        <v>45219</v>
      </c>
    </row>
    <row r="49" spans="2:17" ht="19.7" customHeight="1" x14ac:dyDescent="0.15">
      <c r="B49" s="12">
        <v>3</v>
      </c>
      <c r="C49" s="37" t="s">
        <v>83</v>
      </c>
      <c r="D49" s="37" t="s">
        <v>83</v>
      </c>
      <c r="E49" s="18" t="s">
        <v>133</v>
      </c>
      <c r="F49" s="18">
        <v>12</v>
      </c>
      <c r="G49" s="18">
        <v>38</v>
      </c>
      <c r="H49" s="24">
        <f t="shared" si="0"/>
        <v>456</v>
      </c>
      <c r="I49" s="19"/>
      <c r="J49" s="18" t="s">
        <v>130</v>
      </c>
      <c r="K49" s="12"/>
      <c r="L49" s="13"/>
      <c r="M49" s="15">
        <v>45078</v>
      </c>
      <c r="N49" s="12"/>
      <c r="O49" s="20">
        <v>45219</v>
      </c>
      <c r="P49" s="16">
        <v>45219</v>
      </c>
      <c r="Q49" s="16">
        <v>45219</v>
      </c>
    </row>
    <row r="50" spans="2:17" ht="19.7" customHeight="1" x14ac:dyDescent="0.15">
      <c r="B50" s="12">
        <v>3</v>
      </c>
      <c r="C50" s="37" t="s">
        <v>83</v>
      </c>
      <c r="D50" s="37" t="s">
        <v>83</v>
      </c>
      <c r="E50" s="18" t="s">
        <v>134</v>
      </c>
      <c r="F50" s="18">
        <v>32</v>
      </c>
      <c r="G50" s="18">
        <v>72</v>
      </c>
      <c r="H50" s="24">
        <f t="shared" si="0"/>
        <v>2304</v>
      </c>
      <c r="I50" s="19"/>
      <c r="J50" s="18" t="s">
        <v>135</v>
      </c>
      <c r="K50" s="12"/>
      <c r="L50" s="13"/>
      <c r="M50" s="15">
        <v>45078</v>
      </c>
      <c r="N50" s="12"/>
      <c r="O50" s="20">
        <v>45219</v>
      </c>
      <c r="P50" s="16">
        <v>45219</v>
      </c>
      <c r="Q50" s="16">
        <v>45219</v>
      </c>
    </row>
    <row r="51" spans="2:17" ht="19.7" customHeight="1" x14ac:dyDescent="0.15">
      <c r="B51" s="12">
        <v>3</v>
      </c>
      <c r="C51" s="37" t="s">
        <v>83</v>
      </c>
      <c r="D51" s="37" t="s">
        <v>83</v>
      </c>
      <c r="E51" s="18" t="s">
        <v>136</v>
      </c>
      <c r="F51" s="18">
        <v>12</v>
      </c>
      <c r="G51" s="18">
        <v>106</v>
      </c>
      <c r="H51" s="24">
        <f t="shared" si="0"/>
        <v>1272</v>
      </c>
      <c r="I51" s="19"/>
      <c r="J51" s="18" t="s">
        <v>137</v>
      </c>
      <c r="K51" s="12"/>
      <c r="L51" s="13"/>
      <c r="M51" s="15">
        <v>45078</v>
      </c>
      <c r="N51" s="12"/>
      <c r="O51" s="20">
        <v>45219</v>
      </c>
      <c r="P51" s="16">
        <v>45219</v>
      </c>
      <c r="Q51" s="16">
        <v>45219</v>
      </c>
    </row>
    <row r="52" spans="2:17" ht="19.7" customHeight="1" x14ac:dyDescent="0.15">
      <c r="B52" s="12">
        <v>3</v>
      </c>
      <c r="C52" s="37" t="s">
        <v>83</v>
      </c>
      <c r="D52" s="37" t="s">
        <v>83</v>
      </c>
      <c r="E52" s="18" t="s">
        <v>138</v>
      </c>
      <c r="F52" s="18">
        <v>4</v>
      </c>
      <c r="G52" s="18">
        <v>300</v>
      </c>
      <c r="H52" s="24">
        <f t="shared" si="0"/>
        <v>1200</v>
      </c>
      <c r="I52" s="19"/>
      <c r="J52" s="18" t="s">
        <v>139</v>
      </c>
      <c r="K52" s="12"/>
      <c r="L52" s="13"/>
      <c r="M52" s="15">
        <v>45078</v>
      </c>
      <c r="N52" s="12"/>
      <c r="O52" s="20">
        <v>45219</v>
      </c>
      <c r="P52" s="16">
        <v>45219</v>
      </c>
      <c r="Q52" s="16">
        <v>45219</v>
      </c>
    </row>
    <row r="53" spans="2:17" ht="19.7" customHeight="1" x14ac:dyDescent="0.15">
      <c r="B53" s="12">
        <v>3</v>
      </c>
      <c r="C53" s="37" t="s">
        <v>83</v>
      </c>
      <c r="D53" s="37" t="s">
        <v>83</v>
      </c>
      <c r="E53" s="18" t="s">
        <v>140</v>
      </c>
      <c r="F53" s="18">
        <v>4</v>
      </c>
      <c r="G53" s="18">
        <v>1280</v>
      </c>
      <c r="H53" s="24">
        <f t="shared" si="0"/>
        <v>5120</v>
      </c>
      <c r="I53" s="19"/>
      <c r="J53" s="18" t="s">
        <v>141</v>
      </c>
      <c r="K53" s="12"/>
      <c r="L53" s="13"/>
      <c r="M53" s="15">
        <v>45078</v>
      </c>
      <c r="N53" s="12"/>
      <c r="O53" s="20">
        <v>45219</v>
      </c>
      <c r="P53" s="16">
        <v>45219</v>
      </c>
      <c r="Q53" s="16">
        <v>45219</v>
      </c>
    </row>
    <row r="54" spans="2:17" ht="19.7" customHeight="1" x14ac:dyDescent="0.15">
      <c r="B54" s="12">
        <v>3</v>
      </c>
      <c r="C54" s="37" t="s">
        <v>83</v>
      </c>
      <c r="D54" s="37" t="s">
        <v>83</v>
      </c>
      <c r="E54" s="18" t="s">
        <v>142</v>
      </c>
      <c r="F54" s="18">
        <v>8</v>
      </c>
      <c r="G54" s="18">
        <v>280</v>
      </c>
      <c r="H54" s="24">
        <f t="shared" si="0"/>
        <v>2240</v>
      </c>
      <c r="I54" s="19"/>
      <c r="J54" s="18" t="s">
        <v>143</v>
      </c>
      <c r="K54" s="12"/>
      <c r="L54" s="13"/>
      <c r="M54" s="15">
        <v>45078</v>
      </c>
      <c r="N54" s="12"/>
      <c r="O54" s="20">
        <v>45219</v>
      </c>
      <c r="P54" s="16">
        <v>45219</v>
      </c>
      <c r="Q54" s="16">
        <v>45219</v>
      </c>
    </row>
    <row r="55" spans="2:17" ht="19.7" customHeight="1" x14ac:dyDescent="0.15">
      <c r="B55" s="12">
        <v>3</v>
      </c>
      <c r="C55" s="37" t="s">
        <v>83</v>
      </c>
      <c r="D55" s="37" t="s">
        <v>83</v>
      </c>
      <c r="E55" s="18" t="s">
        <v>144</v>
      </c>
      <c r="F55" s="18">
        <v>8</v>
      </c>
      <c r="G55" s="18">
        <v>1320</v>
      </c>
      <c r="H55" s="24">
        <f t="shared" si="0"/>
        <v>10560</v>
      </c>
      <c r="I55" s="19"/>
      <c r="J55" s="18" t="s">
        <v>145</v>
      </c>
      <c r="K55" s="20"/>
      <c r="L55" s="13"/>
      <c r="M55" s="15">
        <v>45078</v>
      </c>
      <c r="N55" s="12"/>
      <c r="O55" s="20">
        <v>45219</v>
      </c>
      <c r="P55" s="16">
        <v>45219</v>
      </c>
      <c r="Q55" s="16">
        <v>45219</v>
      </c>
    </row>
    <row r="56" spans="2:17" ht="19.7" customHeight="1" x14ac:dyDescent="0.15">
      <c r="B56" s="12">
        <v>3</v>
      </c>
      <c r="C56" s="37" t="s">
        <v>83</v>
      </c>
      <c r="D56" s="37" t="s">
        <v>83</v>
      </c>
      <c r="E56" s="18" t="s">
        <v>146</v>
      </c>
      <c r="F56" s="18">
        <v>8</v>
      </c>
      <c r="G56" s="18">
        <v>210</v>
      </c>
      <c r="H56" s="24">
        <f t="shared" si="0"/>
        <v>1680</v>
      </c>
      <c r="I56" s="19"/>
      <c r="J56" s="18" t="s">
        <v>147</v>
      </c>
      <c r="K56" s="12"/>
      <c r="L56" s="13"/>
      <c r="M56" s="15">
        <v>45078</v>
      </c>
      <c r="N56" s="12"/>
      <c r="O56" s="20">
        <v>45219</v>
      </c>
      <c r="P56" s="16">
        <v>45219</v>
      </c>
      <c r="Q56" s="16">
        <v>45219</v>
      </c>
    </row>
    <row r="57" spans="2:17" ht="19.7" customHeight="1" x14ac:dyDescent="0.15">
      <c r="B57" s="12">
        <v>3</v>
      </c>
      <c r="C57" s="37" t="s">
        <v>83</v>
      </c>
      <c r="D57" s="37" t="s">
        <v>83</v>
      </c>
      <c r="E57" s="18" t="s">
        <v>148</v>
      </c>
      <c r="F57" s="18">
        <v>2</v>
      </c>
      <c r="G57" s="18">
        <v>1050</v>
      </c>
      <c r="H57" s="24">
        <f t="shared" si="0"/>
        <v>2100</v>
      </c>
      <c r="I57" s="19"/>
      <c r="J57" s="18" t="s">
        <v>149</v>
      </c>
      <c r="K57" s="12"/>
      <c r="L57" s="13"/>
      <c r="M57" s="15">
        <v>45078</v>
      </c>
      <c r="N57" s="12"/>
      <c r="O57" s="20">
        <v>45219</v>
      </c>
      <c r="P57" s="16">
        <v>45219</v>
      </c>
      <c r="Q57" s="16">
        <v>45219</v>
      </c>
    </row>
    <row r="58" spans="2:17" ht="19.7" customHeight="1" x14ac:dyDescent="0.15">
      <c r="B58" s="12">
        <v>3</v>
      </c>
      <c r="C58" s="37" t="s">
        <v>83</v>
      </c>
      <c r="D58" s="37" t="s">
        <v>83</v>
      </c>
      <c r="E58" s="18" t="s">
        <v>150</v>
      </c>
      <c r="F58" s="18">
        <v>2</v>
      </c>
      <c r="G58" s="18">
        <v>198</v>
      </c>
      <c r="H58" s="24">
        <f t="shared" si="0"/>
        <v>396</v>
      </c>
      <c r="I58" s="19"/>
      <c r="J58" s="18" t="s">
        <v>151</v>
      </c>
      <c r="K58" s="12"/>
      <c r="L58" s="13"/>
      <c r="M58" s="15">
        <v>45078</v>
      </c>
      <c r="N58" s="12"/>
      <c r="O58" s="20">
        <v>45219</v>
      </c>
      <c r="P58" s="16">
        <v>45219</v>
      </c>
      <c r="Q58" s="16">
        <v>45219</v>
      </c>
    </row>
    <row r="59" spans="2:17" ht="19.7" customHeight="1" x14ac:dyDescent="0.15">
      <c r="B59" s="12">
        <v>3</v>
      </c>
      <c r="C59" s="37" t="s">
        <v>83</v>
      </c>
      <c r="D59" s="37" t="s">
        <v>83</v>
      </c>
      <c r="E59" s="18" t="s">
        <v>152</v>
      </c>
      <c r="F59" s="18">
        <v>2</v>
      </c>
      <c r="G59" s="18">
        <v>12320</v>
      </c>
      <c r="H59" s="24">
        <f t="shared" si="0"/>
        <v>24640</v>
      </c>
      <c r="I59" s="19"/>
      <c r="J59" s="18" t="s">
        <v>153</v>
      </c>
      <c r="K59" s="12"/>
      <c r="L59" s="13"/>
      <c r="M59" s="15">
        <v>45078</v>
      </c>
      <c r="N59" s="12"/>
      <c r="O59" s="20">
        <v>45219</v>
      </c>
      <c r="P59" s="16">
        <v>45219</v>
      </c>
      <c r="Q59" s="16">
        <v>45219</v>
      </c>
    </row>
    <row r="60" spans="2:17" ht="19.7" customHeight="1" x14ac:dyDescent="0.15">
      <c r="B60" s="12">
        <v>3</v>
      </c>
      <c r="C60" s="37" t="s">
        <v>83</v>
      </c>
      <c r="D60" s="37" t="s">
        <v>83</v>
      </c>
      <c r="E60" s="18" t="s">
        <v>154</v>
      </c>
      <c r="F60" s="18">
        <v>4</v>
      </c>
      <c r="G60" s="18">
        <v>750</v>
      </c>
      <c r="H60" s="24">
        <f t="shared" si="0"/>
        <v>3000</v>
      </c>
      <c r="I60" s="19"/>
      <c r="J60" s="18" t="s">
        <v>155</v>
      </c>
      <c r="K60" s="12"/>
      <c r="L60" s="13"/>
      <c r="M60" s="15">
        <v>45078</v>
      </c>
      <c r="N60" s="12"/>
      <c r="O60" s="20">
        <v>45219</v>
      </c>
      <c r="P60" s="16">
        <v>45219</v>
      </c>
      <c r="Q60" s="16">
        <v>45219</v>
      </c>
    </row>
    <row r="61" spans="2:17" ht="19.7" customHeight="1" x14ac:dyDescent="0.15">
      <c r="B61" s="12">
        <v>3</v>
      </c>
      <c r="C61" s="37" t="s">
        <v>83</v>
      </c>
      <c r="D61" s="37" t="s">
        <v>83</v>
      </c>
      <c r="E61" s="18" t="s">
        <v>156</v>
      </c>
      <c r="F61" s="18">
        <v>2</v>
      </c>
      <c r="G61" s="18">
        <v>1710</v>
      </c>
      <c r="H61" s="24">
        <f t="shared" si="0"/>
        <v>3420</v>
      </c>
      <c r="I61" s="19"/>
      <c r="J61" s="18" t="s">
        <v>157</v>
      </c>
      <c r="K61" s="12"/>
      <c r="L61" s="13"/>
      <c r="M61" s="15">
        <v>45078</v>
      </c>
      <c r="N61" s="12"/>
      <c r="O61" s="20">
        <v>45219</v>
      </c>
      <c r="P61" s="16">
        <v>45219</v>
      </c>
      <c r="Q61" s="16">
        <v>45219</v>
      </c>
    </row>
    <row r="62" spans="2:17" ht="19.7" customHeight="1" x14ac:dyDescent="0.15">
      <c r="B62" s="12">
        <v>3</v>
      </c>
      <c r="C62" s="37" t="s">
        <v>83</v>
      </c>
      <c r="D62" s="37" t="s">
        <v>83</v>
      </c>
      <c r="E62" s="18" t="s">
        <v>158</v>
      </c>
      <c r="F62" s="18">
        <v>2</v>
      </c>
      <c r="G62" s="18">
        <v>3100</v>
      </c>
      <c r="H62" s="24">
        <f t="shared" si="0"/>
        <v>6200</v>
      </c>
      <c r="I62" s="19"/>
      <c r="J62" s="18" t="s">
        <v>159</v>
      </c>
      <c r="K62" s="12"/>
      <c r="L62" s="13"/>
      <c r="M62" s="15">
        <v>45078</v>
      </c>
      <c r="N62" s="12"/>
      <c r="O62" s="20">
        <v>45219</v>
      </c>
      <c r="P62" s="16">
        <v>45219</v>
      </c>
      <c r="Q62" s="16">
        <v>45219</v>
      </c>
    </row>
    <row r="63" spans="2:17" ht="19.7" customHeight="1" x14ac:dyDescent="0.15">
      <c r="B63" s="12">
        <v>3</v>
      </c>
      <c r="C63" s="37" t="s">
        <v>83</v>
      </c>
      <c r="D63" s="37" t="s">
        <v>83</v>
      </c>
      <c r="E63" s="18" t="s">
        <v>160</v>
      </c>
      <c r="F63" s="18">
        <v>2</v>
      </c>
      <c r="G63" s="18">
        <v>473</v>
      </c>
      <c r="H63" s="24">
        <f t="shared" si="0"/>
        <v>946</v>
      </c>
      <c r="I63" s="19"/>
      <c r="J63" s="18" t="s">
        <v>161</v>
      </c>
      <c r="K63" s="12"/>
      <c r="L63" s="13"/>
      <c r="M63" s="15">
        <v>45078</v>
      </c>
      <c r="N63" s="12"/>
      <c r="O63" s="20">
        <v>45219</v>
      </c>
      <c r="P63" s="16">
        <v>45219</v>
      </c>
      <c r="Q63" s="16">
        <v>45219</v>
      </c>
    </row>
    <row r="64" spans="2:17" ht="19.7" customHeight="1" x14ac:dyDescent="0.15">
      <c r="B64" s="12">
        <v>3</v>
      </c>
      <c r="C64" s="37" t="s">
        <v>83</v>
      </c>
      <c r="D64" s="37" t="s">
        <v>83</v>
      </c>
      <c r="E64" s="18" t="s">
        <v>162</v>
      </c>
      <c r="F64" s="18">
        <v>2</v>
      </c>
      <c r="G64" s="18">
        <v>1910</v>
      </c>
      <c r="H64" s="24">
        <f t="shared" si="0"/>
        <v>3820</v>
      </c>
      <c r="I64" s="19"/>
      <c r="J64" s="18" t="s">
        <v>163</v>
      </c>
      <c r="K64" s="12"/>
      <c r="L64" s="13"/>
      <c r="M64" s="15">
        <v>45078</v>
      </c>
      <c r="N64" s="12"/>
      <c r="O64" s="20">
        <v>45219</v>
      </c>
      <c r="P64" s="16">
        <v>45219</v>
      </c>
      <c r="Q64" s="16">
        <v>45219</v>
      </c>
    </row>
    <row r="65" spans="2:17" ht="19.7" customHeight="1" x14ac:dyDescent="0.15">
      <c r="B65" s="12">
        <v>3</v>
      </c>
      <c r="C65" s="37" t="s">
        <v>83</v>
      </c>
      <c r="D65" s="37" t="s">
        <v>83</v>
      </c>
      <c r="E65" s="18" t="s">
        <v>164</v>
      </c>
      <c r="F65" s="18">
        <v>2</v>
      </c>
      <c r="G65" s="18">
        <v>155</v>
      </c>
      <c r="H65" s="24">
        <f t="shared" si="0"/>
        <v>310</v>
      </c>
      <c r="I65" s="19"/>
      <c r="J65" s="18" t="s">
        <v>165</v>
      </c>
      <c r="K65" s="12"/>
      <c r="L65" s="13"/>
      <c r="M65" s="15">
        <v>45078</v>
      </c>
      <c r="N65" s="12"/>
      <c r="O65" s="20">
        <v>45219</v>
      </c>
      <c r="P65" s="16">
        <v>45219</v>
      </c>
      <c r="Q65" s="16">
        <v>45219</v>
      </c>
    </row>
    <row r="66" spans="2:17" ht="19.7" customHeight="1" x14ac:dyDescent="0.15">
      <c r="B66" s="12">
        <v>3</v>
      </c>
      <c r="C66" s="37" t="s">
        <v>83</v>
      </c>
      <c r="D66" s="37" t="s">
        <v>83</v>
      </c>
      <c r="E66" s="18" t="s">
        <v>166</v>
      </c>
      <c r="F66" s="18">
        <v>8</v>
      </c>
      <c r="G66" s="18">
        <v>198</v>
      </c>
      <c r="H66" s="24">
        <f t="shared" si="0"/>
        <v>1584</v>
      </c>
      <c r="I66" s="19"/>
      <c r="J66" s="18" t="s">
        <v>130</v>
      </c>
      <c r="K66" s="12"/>
      <c r="L66" s="13"/>
      <c r="M66" s="15">
        <v>45078</v>
      </c>
      <c r="N66" s="12"/>
      <c r="O66" s="20">
        <v>45219</v>
      </c>
      <c r="P66" s="16">
        <v>45219</v>
      </c>
      <c r="Q66" s="16">
        <v>45219</v>
      </c>
    </row>
    <row r="67" spans="2:17" ht="19.7" customHeight="1" x14ac:dyDescent="0.15">
      <c r="B67" s="12">
        <v>3</v>
      </c>
      <c r="C67" s="37" t="s">
        <v>83</v>
      </c>
      <c r="D67" s="37" t="s">
        <v>83</v>
      </c>
      <c r="E67" s="18" t="s">
        <v>167</v>
      </c>
      <c r="F67" s="18">
        <v>6</v>
      </c>
      <c r="G67" s="18">
        <v>198</v>
      </c>
      <c r="H67" s="24">
        <f t="shared" si="0"/>
        <v>1188</v>
      </c>
      <c r="I67" s="19"/>
      <c r="J67" s="18" t="s">
        <v>130</v>
      </c>
      <c r="K67" s="20"/>
      <c r="L67" s="13"/>
      <c r="M67" s="15">
        <v>45078</v>
      </c>
      <c r="N67" s="12"/>
      <c r="O67" s="20">
        <v>45219</v>
      </c>
      <c r="P67" s="16">
        <v>45219</v>
      </c>
      <c r="Q67" s="16">
        <v>45219</v>
      </c>
    </row>
    <row r="68" spans="2:17" ht="19.7" customHeight="1" x14ac:dyDescent="0.15">
      <c r="B68" s="12">
        <v>3</v>
      </c>
      <c r="C68" s="37" t="s">
        <v>83</v>
      </c>
      <c r="D68" s="37" t="s">
        <v>83</v>
      </c>
      <c r="E68" s="18" t="s">
        <v>168</v>
      </c>
      <c r="F68" s="18">
        <v>2</v>
      </c>
      <c r="G68" s="18">
        <v>212</v>
      </c>
      <c r="H68" s="24">
        <f t="shared" si="0"/>
        <v>424</v>
      </c>
      <c r="I68" s="31"/>
      <c r="J68" s="18" t="s">
        <v>130</v>
      </c>
      <c r="K68" s="20"/>
      <c r="L68" s="13"/>
      <c r="M68" s="15">
        <v>45078</v>
      </c>
      <c r="N68" s="12"/>
      <c r="O68" s="20">
        <v>45219</v>
      </c>
      <c r="P68" s="16">
        <v>45219</v>
      </c>
      <c r="Q68" s="16">
        <v>45219</v>
      </c>
    </row>
    <row r="69" spans="2:17" ht="19.7" customHeight="1" x14ac:dyDescent="0.15">
      <c r="B69" s="12">
        <v>3</v>
      </c>
      <c r="C69" s="37" t="s">
        <v>83</v>
      </c>
      <c r="D69" s="37" t="s">
        <v>83</v>
      </c>
      <c r="E69" s="18" t="s">
        <v>169</v>
      </c>
      <c r="F69" s="18">
        <v>16</v>
      </c>
      <c r="G69" s="18">
        <v>23</v>
      </c>
      <c r="H69" s="24">
        <f t="shared" si="0"/>
        <v>368</v>
      </c>
      <c r="I69" s="19"/>
      <c r="J69" s="18" t="s">
        <v>130</v>
      </c>
      <c r="K69" s="12"/>
      <c r="L69" s="13"/>
      <c r="M69" s="15">
        <v>45078</v>
      </c>
      <c r="N69" s="12"/>
      <c r="O69" s="20">
        <v>45219</v>
      </c>
      <c r="P69" s="16">
        <v>45219</v>
      </c>
      <c r="Q69" s="16">
        <v>45219</v>
      </c>
    </row>
    <row r="70" spans="2:17" ht="19.7" customHeight="1" x14ac:dyDescent="0.15">
      <c r="B70" s="12">
        <v>3</v>
      </c>
      <c r="C70" s="37" t="s">
        <v>83</v>
      </c>
      <c r="D70" s="37" t="s">
        <v>83</v>
      </c>
      <c r="E70" s="18" t="s">
        <v>170</v>
      </c>
      <c r="F70" s="18">
        <v>4</v>
      </c>
      <c r="G70" s="18">
        <v>212</v>
      </c>
      <c r="H70" s="24">
        <f t="shared" si="0"/>
        <v>848</v>
      </c>
      <c r="I70" s="19"/>
      <c r="J70" s="18" t="s">
        <v>130</v>
      </c>
      <c r="K70" s="12"/>
      <c r="L70" s="13"/>
      <c r="M70" s="15">
        <v>45078</v>
      </c>
      <c r="N70" s="12"/>
      <c r="O70" s="20">
        <v>45219</v>
      </c>
      <c r="P70" s="16">
        <v>45219</v>
      </c>
      <c r="Q70" s="16">
        <v>45219</v>
      </c>
    </row>
    <row r="71" spans="2:17" ht="19.7" customHeight="1" x14ac:dyDescent="0.15">
      <c r="B71" s="12">
        <v>3</v>
      </c>
      <c r="C71" s="37" t="s">
        <v>83</v>
      </c>
      <c r="D71" s="37" t="s">
        <v>83</v>
      </c>
      <c r="E71" s="18" t="s">
        <v>171</v>
      </c>
      <c r="F71" s="18">
        <v>8</v>
      </c>
      <c r="G71" s="18">
        <v>226</v>
      </c>
      <c r="H71" s="24">
        <f t="shared" si="0"/>
        <v>1808</v>
      </c>
      <c r="I71" s="19"/>
      <c r="J71" s="18" t="s">
        <v>130</v>
      </c>
      <c r="K71" s="12"/>
      <c r="L71" s="13"/>
      <c r="M71" s="15">
        <v>45078</v>
      </c>
      <c r="N71" s="12"/>
      <c r="O71" s="20">
        <v>45219</v>
      </c>
      <c r="P71" s="16">
        <v>45219</v>
      </c>
      <c r="Q71" s="16">
        <v>45219</v>
      </c>
    </row>
    <row r="72" spans="2:17" ht="19.7" customHeight="1" x14ac:dyDescent="0.15">
      <c r="B72" s="12">
        <v>3</v>
      </c>
      <c r="C72" s="37" t="s">
        <v>83</v>
      </c>
      <c r="D72" s="37" t="s">
        <v>83</v>
      </c>
      <c r="E72" s="18" t="s">
        <v>172</v>
      </c>
      <c r="F72" s="18">
        <v>12</v>
      </c>
      <c r="G72" s="18">
        <v>23</v>
      </c>
      <c r="H72" s="24">
        <f t="shared" si="0"/>
        <v>276</v>
      </c>
      <c r="I72" s="19"/>
      <c r="J72" s="18" t="s">
        <v>130</v>
      </c>
      <c r="K72" s="12"/>
      <c r="L72" s="13"/>
      <c r="M72" s="15">
        <v>45078</v>
      </c>
      <c r="N72" s="12"/>
      <c r="O72" s="20">
        <v>45219</v>
      </c>
      <c r="P72" s="16">
        <v>45219</v>
      </c>
      <c r="Q72" s="16">
        <v>45219</v>
      </c>
    </row>
    <row r="73" spans="2:17" ht="19.7" customHeight="1" x14ac:dyDescent="0.15">
      <c r="B73" s="12">
        <v>3</v>
      </c>
      <c r="C73" s="37" t="s">
        <v>83</v>
      </c>
      <c r="D73" s="37" t="s">
        <v>83</v>
      </c>
      <c r="E73" s="18" t="s">
        <v>173</v>
      </c>
      <c r="F73" s="18">
        <v>4</v>
      </c>
      <c r="G73" s="18">
        <v>1010</v>
      </c>
      <c r="H73" s="24">
        <f t="shared" si="0"/>
        <v>4040</v>
      </c>
      <c r="I73" s="27"/>
      <c r="J73" s="18" t="s">
        <v>145</v>
      </c>
      <c r="K73" s="12"/>
      <c r="L73" s="13"/>
      <c r="M73" s="15">
        <v>45078</v>
      </c>
      <c r="N73" s="12"/>
      <c r="O73" s="20">
        <v>45219</v>
      </c>
      <c r="P73" s="16">
        <v>45219</v>
      </c>
      <c r="Q73" s="16">
        <v>45219</v>
      </c>
    </row>
    <row r="74" spans="2:17" ht="19.7" customHeight="1" x14ac:dyDescent="0.15">
      <c r="B74" s="12">
        <v>3</v>
      </c>
      <c r="C74" s="37" t="s">
        <v>83</v>
      </c>
      <c r="D74" s="37" t="s">
        <v>83</v>
      </c>
      <c r="E74" s="18" t="s">
        <v>174</v>
      </c>
      <c r="F74" s="18">
        <v>4</v>
      </c>
      <c r="G74" s="18">
        <v>344</v>
      </c>
      <c r="H74" s="24">
        <f t="shared" si="0"/>
        <v>1376</v>
      </c>
      <c r="I74" s="36" t="s">
        <v>74</v>
      </c>
      <c r="J74" s="18" t="s">
        <v>175</v>
      </c>
      <c r="K74" s="12"/>
      <c r="L74" s="13"/>
      <c r="M74" s="15">
        <v>45078</v>
      </c>
      <c r="N74" s="12"/>
      <c r="O74" s="20">
        <v>45219</v>
      </c>
      <c r="P74" s="16">
        <v>45219</v>
      </c>
      <c r="Q74" s="16">
        <v>45219</v>
      </c>
    </row>
    <row r="75" spans="2:17" ht="19.7" customHeight="1" x14ac:dyDescent="0.15">
      <c r="B75" s="12">
        <v>3</v>
      </c>
      <c r="C75" s="37" t="s">
        <v>83</v>
      </c>
      <c r="D75" s="37" t="s">
        <v>83</v>
      </c>
      <c r="E75" s="18" t="s">
        <v>176</v>
      </c>
      <c r="F75" s="18">
        <v>2</v>
      </c>
      <c r="G75" s="18">
        <v>704</v>
      </c>
      <c r="H75" s="24">
        <f t="shared" ref="H75:H95" si="1">G75*F75</f>
        <v>1408</v>
      </c>
      <c r="I75" s="36" t="s">
        <v>75</v>
      </c>
      <c r="J75" s="18" t="s">
        <v>177</v>
      </c>
      <c r="K75" s="12"/>
      <c r="L75" s="13"/>
      <c r="M75" s="15">
        <v>45078</v>
      </c>
      <c r="N75" s="12"/>
      <c r="O75" s="20">
        <v>45219</v>
      </c>
      <c r="P75" s="16">
        <v>45219</v>
      </c>
      <c r="Q75" s="16">
        <v>45219</v>
      </c>
    </row>
    <row r="76" spans="2:17" ht="19.7" customHeight="1" x14ac:dyDescent="0.15">
      <c r="B76" s="12">
        <v>3</v>
      </c>
      <c r="C76" s="37" t="s">
        <v>83</v>
      </c>
      <c r="D76" s="37" t="s">
        <v>83</v>
      </c>
      <c r="E76" s="18" t="s">
        <v>178</v>
      </c>
      <c r="F76" s="18">
        <v>6</v>
      </c>
      <c r="G76" s="18">
        <v>1281</v>
      </c>
      <c r="H76" s="24">
        <f t="shared" si="1"/>
        <v>7686</v>
      </c>
      <c r="I76" s="27"/>
      <c r="J76" s="18" t="s">
        <v>179</v>
      </c>
      <c r="K76" s="12"/>
      <c r="L76" s="13"/>
      <c r="M76" s="15">
        <v>45078</v>
      </c>
      <c r="N76" s="12"/>
      <c r="O76" s="20">
        <v>45219</v>
      </c>
      <c r="P76" s="16">
        <v>45219</v>
      </c>
      <c r="Q76" s="16">
        <v>45219</v>
      </c>
    </row>
    <row r="77" spans="2:17" ht="19.7" customHeight="1" x14ac:dyDescent="0.15">
      <c r="B77" s="12">
        <v>3</v>
      </c>
      <c r="C77" s="37" t="s">
        <v>83</v>
      </c>
      <c r="D77" s="37" t="s">
        <v>83</v>
      </c>
      <c r="E77" s="18" t="s">
        <v>180</v>
      </c>
      <c r="F77" s="18">
        <v>1</v>
      </c>
      <c r="G77" s="18">
        <v>1470</v>
      </c>
      <c r="H77" s="24">
        <f t="shared" si="1"/>
        <v>1470</v>
      </c>
      <c r="I77" s="27"/>
      <c r="J77" s="18" t="s">
        <v>181</v>
      </c>
      <c r="K77" s="12"/>
      <c r="L77" s="13"/>
      <c r="M77" s="15">
        <v>45078</v>
      </c>
      <c r="N77" s="12"/>
      <c r="O77" s="20">
        <v>45219</v>
      </c>
      <c r="P77" s="16">
        <v>45219</v>
      </c>
      <c r="Q77" s="16">
        <v>45219</v>
      </c>
    </row>
    <row r="78" spans="2:17" ht="19.7" customHeight="1" x14ac:dyDescent="0.15">
      <c r="B78" s="12">
        <v>3</v>
      </c>
      <c r="C78" s="39" t="s">
        <v>83</v>
      </c>
      <c r="D78" s="39" t="s">
        <v>83</v>
      </c>
      <c r="E78" s="18" t="s">
        <v>182</v>
      </c>
      <c r="F78" s="18">
        <v>8</v>
      </c>
      <c r="G78" s="18"/>
      <c r="H78" s="41">
        <f t="shared" si="1"/>
        <v>0</v>
      </c>
      <c r="I78" s="27"/>
      <c r="J78" s="18" t="s">
        <v>183</v>
      </c>
      <c r="K78" s="12" t="s">
        <v>187</v>
      </c>
      <c r="L78" s="13"/>
      <c r="M78" s="15">
        <v>45078</v>
      </c>
      <c r="N78" s="12"/>
      <c r="O78" s="20"/>
      <c r="P78" s="16"/>
      <c r="Q78" s="16"/>
    </row>
    <row r="79" spans="2:17" ht="19.7" customHeight="1" x14ac:dyDescent="0.15">
      <c r="B79" s="12">
        <v>3</v>
      </c>
      <c r="C79" s="39" t="s">
        <v>83</v>
      </c>
      <c r="D79" s="39" t="s">
        <v>83</v>
      </c>
      <c r="E79" s="18" t="s">
        <v>185</v>
      </c>
      <c r="F79" s="18">
        <v>8</v>
      </c>
      <c r="G79" s="18">
        <v>916</v>
      </c>
      <c r="H79" s="41">
        <f t="shared" si="1"/>
        <v>7328</v>
      </c>
      <c r="I79" s="27"/>
      <c r="J79" s="18" t="s">
        <v>183</v>
      </c>
      <c r="K79" s="12" t="s">
        <v>186</v>
      </c>
      <c r="L79" s="13"/>
      <c r="M79" s="15">
        <v>45112</v>
      </c>
      <c r="N79" s="12"/>
      <c r="O79" s="20">
        <v>45219</v>
      </c>
      <c r="P79" s="16">
        <v>45219</v>
      </c>
      <c r="Q79" s="16">
        <v>45219</v>
      </c>
    </row>
    <row r="80" spans="2:17" ht="19.7" customHeight="1" x14ac:dyDescent="0.15">
      <c r="B80" s="12">
        <v>3</v>
      </c>
      <c r="C80" s="37" t="s">
        <v>32</v>
      </c>
      <c r="D80" s="37" t="s">
        <v>32</v>
      </c>
      <c r="E80" s="18" t="s">
        <v>71</v>
      </c>
      <c r="F80" s="18">
        <v>2</v>
      </c>
      <c r="G80" s="24">
        <v>17800</v>
      </c>
      <c r="H80" s="24">
        <f t="shared" si="1"/>
        <v>35600</v>
      </c>
      <c r="I80" s="27"/>
      <c r="J80" s="23" t="s">
        <v>59</v>
      </c>
      <c r="K80" s="12"/>
      <c r="L80" s="13"/>
      <c r="M80" s="15">
        <v>45078</v>
      </c>
      <c r="N80" s="12"/>
      <c r="O80" s="20">
        <v>45219</v>
      </c>
      <c r="P80" s="16">
        <v>45219</v>
      </c>
      <c r="Q80" s="16">
        <v>45205</v>
      </c>
    </row>
    <row r="81" spans="2:17" ht="19.7" customHeight="1" x14ac:dyDescent="0.15">
      <c r="B81" s="12">
        <v>3</v>
      </c>
      <c r="C81" s="37" t="s">
        <v>32</v>
      </c>
      <c r="D81" s="37" t="s">
        <v>32</v>
      </c>
      <c r="E81" s="18" t="s">
        <v>72</v>
      </c>
      <c r="F81" s="18">
        <v>2</v>
      </c>
      <c r="G81" s="24">
        <v>9200</v>
      </c>
      <c r="H81" s="24">
        <f t="shared" si="1"/>
        <v>18400</v>
      </c>
      <c r="I81" s="27"/>
      <c r="J81" s="23" t="s">
        <v>59</v>
      </c>
      <c r="K81" s="12"/>
      <c r="L81" s="13"/>
      <c r="M81" s="15">
        <v>45078</v>
      </c>
      <c r="N81" s="12"/>
      <c r="O81" s="20">
        <v>45219</v>
      </c>
      <c r="P81" s="16">
        <v>45219</v>
      </c>
      <c r="Q81" s="16">
        <v>45205</v>
      </c>
    </row>
    <row r="82" spans="2:17" ht="19.7" customHeight="1" x14ac:dyDescent="0.15">
      <c r="B82" s="12">
        <v>3</v>
      </c>
      <c r="C82" s="37" t="s">
        <v>32</v>
      </c>
      <c r="D82" s="37" t="s">
        <v>32</v>
      </c>
      <c r="E82" s="18" t="s">
        <v>65</v>
      </c>
      <c r="F82" s="18">
        <v>2</v>
      </c>
      <c r="G82" s="24">
        <v>12500</v>
      </c>
      <c r="H82" s="24">
        <f t="shared" si="1"/>
        <v>25000</v>
      </c>
      <c r="I82" s="19"/>
      <c r="J82" s="23" t="s">
        <v>59</v>
      </c>
      <c r="K82" s="12"/>
      <c r="L82" s="13"/>
      <c r="M82" s="15">
        <v>45078</v>
      </c>
      <c r="N82" s="12"/>
      <c r="O82" s="20">
        <v>45219</v>
      </c>
      <c r="P82" s="16">
        <v>45219</v>
      </c>
      <c r="Q82" s="16">
        <v>45205</v>
      </c>
    </row>
    <row r="83" spans="2:17" ht="19.7" customHeight="1" x14ac:dyDescent="0.15">
      <c r="B83" s="12">
        <v>3</v>
      </c>
      <c r="C83" s="37" t="s">
        <v>32</v>
      </c>
      <c r="D83" s="37" t="s">
        <v>32</v>
      </c>
      <c r="E83" s="18" t="s">
        <v>66</v>
      </c>
      <c r="F83" s="18">
        <v>2</v>
      </c>
      <c r="G83" s="24">
        <v>13500</v>
      </c>
      <c r="H83" s="24">
        <f t="shared" si="1"/>
        <v>27000</v>
      </c>
      <c r="I83" s="19"/>
      <c r="J83" s="23" t="s">
        <v>59</v>
      </c>
      <c r="K83" s="12"/>
      <c r="L83" s="13"/>
      <c r="M83" s="15">
        <v>45078</v>
      </c>
      <c r="N83" s="12"/>
      <c r="O83" s="20">
        <v>45219</v>
      </c>
      <c r="P83" s="16">
        <v>45219</v>
      </c>
      <c r="Q83" s="16">
        <v>45205</v>
      </c>
    </row>
    <row r="84" spans="2:17" ht="19.7" customHeight="1" x14ac:dyDescent="0.15">
      <c r="B84" s="12">
        <v>3</v>
      </c>
      <c r="C84" s="37" t="s">
        <v>32</v>
      </c>
      <c r="D84" s="37" t="s">
        <v>32</v>
      </c>
      <c r="E84" s="18" t="s">
        <v>67</v>
      </c>
      <c r="F84" s="18">
        <v>2</v>
      </c>
      <c r="G84" s="24">
        <v>4700</v>
      </c>
      <c r="H84" s="24">
        <f t="shared" si="1"/>
        <v>9400</v>
      </c>
      <c r="I84" s="19"/>
      <c r="J84" s="23" t="s">
        <v>59</v>
      </c>
      <c r="K84" s="12"/>
      <c r="L84" s="13"/>
      <c r="M84" s="15">
        <v>45078</v>
      </c>
      <c r="N84" s="12"/>
      <c r="O84" s="20">
        <v>45219</v>
      </c>
      <c r="P84" s="16">
        <v>45219</v>
      </c>
      <c r="Q84" s="16">
        <v>45205</v>
      </c>
    </row>
    <row r="85" spans="2:17" ht="19.7" customHeight="1" x14ac:dyDescent="0.15">
      <c r="B85" s="12">
        <v>3</v>
      </c>
      <c r="C85" s="37" t="s">
        <v>32</v>
      </c>
      <c r="D85" s="37" t="s">
        <v>32</v>
      </c>
      <c r="E85" s="18" t="s">
        <v>68</v>
      </c>
      <c r="F85" s="18">
        <v>2</v>
      </c>
      <c r="G85" s="24">
        <v>8100</v>
      </c>
      <c r="H85" s="24">
        <f t="shared" si="1"/>
        <v>16200</v>
      </c>
      <c r="I85" s="19"/>
      <c r="J85" s="23" t="s">
        <v>59</v>
      </c>
      <c r="K85" s="12"/>
      <c r="L85" s="13"/>
      <c r="M85" s="15">
        <v>45078</v>
      </c>
      <c r="N85" s="12"/>
      <c r="O85" s="20">
        <v>45219</v>
      </c>
      <c r="P85" s="16">
        <v>45219</v>
      </c>
      <c r="Q85" s="16">
        <v>45205</v>
      </c>
    </row>
    <row r="86" spans="2:17" ht="19.7" customHeight="1" x14ac:dyDescent="0.15">
      <c r="B86" s="12">
        <v>3</v>
      </c>
      <c r="C86" s="37" t="s">
        <v>32</v>
      </c>
      <c r="D86" s="37" t="s">
        <v>32</v>
      </c>
      <c r="E86" s="18" t="s">
        <v>69</v>
      </c>
      <c r="F86" s="18">
        <v>2</v>
      </c>
      <c r="G86" s="24">
        <v>1700</v>
      </c>
      <c r="H86" s="24">
        <f t="shared" si="1"/>
        <v>3400</v>
      </c>
      <c r="I86" s="19"/>
      <c r="J86" s="23" t="s">
        <v>59</v>
      </c>
      <c r="K86" s="12"/>
      <c r="L86" s="13"/>
      <c r="M86" s="15">
        <v>45078</v>
      </c>
      <c r="N86" s="12"/>
      <c r="O86" s="20">
        <v>45219</v>
      </c>
      <c r="P86" s="16">
        <v>45219</v>
      </c>
      <c r="Q86" s="16">
        <v>45205</v>
      </c>
    </row>
    <row r="87" spans="2:17" ht="19.7" customHeight="1" x14ac:dyDescent="0.15">
      <c r="B87" s="12">
        <v>3</v>
      </c>
      <c r="C87" s="37" t="s">
        <v>32</v>
      </c>
      <c r="D87" s="37" t="s">
        <v>32</v>
      </c>
      <c r="E87" s="18" t="s">
        <v>70</v>
      </c>
      <c r="F87" s="18">
        <v>1</v>
      </c>
      <c r="G87" s="24">
        <v>14000</v>
      </c>
      <c r="H87" s="24">
        <f t="shared" si="1"/>
        <v>14000</v>
      </c>
      <c r="I87" s="19"/>
      <c r="J87" s="23" t="s">
        <v>76</v>
      </c>
      <c r="K87" s="12"/>
      <c r="L87" s="13"/>
      <c r="M87" s="15">
        <v>45078</v>
      </c>
      <c r="N87" s="12"/>
      <c r="O87" s="20">
        <v>45219</v>
      </c>
      <c r="P87" s="16">
        <v>45219</v>
      </c>
      <c r="Q87" s="16">
        <v>45205</v>
      </c>
    </row>
    <row r="88" spans="2:17" ht="19.7" customHeight="1" x14ac:dyDescent="0.15">
      <c r="B88" s="12">
        <v>3</v>
      </c>
      <c r="C88" s="37" t="s">
        <v>32</v>
      </c>
      <c r="D88" s="37" t="s">
        <v>32</v>
      </c>
      <c r="E88" s="18" t="s">
        <v>40</v>
      </c>
      <c r="F88" s="18">
        <v>2</v>
      </c>
      <c r="G88" s="24">
        <v>3500</v>
      </c>
      <c r="H88" s="24">
        <f t="shared" si="1"/>
        <v>7000</v>
      </c>
      <c r="I88" s="19"/>
      <c r="J88" s="23" t="s">
        <v>59</v>
      </c>
      <c r="K88" s="12"/>
      <c r="L88" s="13"/>
      <c r="M88" s="15">
        <v>45078</v>
      </c>
      <c r="N88" s="12"/>
      <c r="O88" s="20">
        <v>45219</v>
      </c>
      <c r="P88" s="16">
        <v>45219</v>
      </c>
      <c r="Q88" s="16">
        <v>45205</v>
      </c>
    </row>
    <row r="89" spans="2:17" ht="19.7" customHeight="1" x14ac:dyDescent="0.15">
      <c r="B89" s="12">
        <v>3</v>
      </c>
      <c r="C89" s="37" t="s">
        <v>32</v>
      </c>
      <c r="D89" s="37" t="s">
        <v>32</v>
      </c>
      <c r="E89" s="18" t="s">
        <v>41</v>
      </c>
      <c r="F89" s="18">
        <v>2</v>
      </c>
      <c r="G89" s="24">
        <v>5800</v>
      </c>
      <c r="H89" s="24">
        <f t="shared" si="1"/>
        <v>11600</v>
      </c>
      <c r="I89" s="19"/>
      <c r="J89" s="23" t="s">
        <v>59</v>
      </c>
      <c r="K89" s="12"/>
      <c r="L89" s="13"/>
      <c r="M89" s="15">
        <v>45078</v>
      </c>
      <c r="N89" s="12"/>
      <c r="O89" s="20">
        <v>45219</v>
      </c>
      <c r="P89" s="16">
        <v>45219</v>
      </c>
      <c r="Q89" s="16">
        <v>45205</v>
      </c>
    </row>
    <row r="90" spans="2:17" ht="19.7" customHeight="1" x14ac:dyDescent="0.15">
      <c r="B90" s="12">
        <v>3</v>
      </c>
      <c r="C90" s="37" t="s">
        <v>32</v>
      </c>
      <c r="D90" s="37" t="s">
        <v>32</v>
      </c>
      <c r="E90" s="18" t="s">
        <v>42</v>
      </c>
      <c r="F90" s="18">
        <v>2</v>
      </c>
      <c r="G90" s="24">
        <v>8800</v>
      </c>
      <c r="H90" s="24">
        <f t="shared" si="1"/>
        <v>17600</v>
      </c>
      <c r="I90" s="19"/>
      <c r="J90" s="23" t="s">
        <v>59</v>
      </c>
      <c r="K90" s="12"/>
      <c r="L90" s="13"/>
      <c r="M90" s="15">
        <v>45078</v>
      </c>
      <c r="N90" s="12"/>
      <c r="O90" s="20">
        <v>45219</v>
      </c>
      <c r="P90" s="16">
        <v>45219</v>
      </c>
      <c r="Q90" s="16">
        <v>45205</v>
      </c>
    </row>
    <row r="91" spans="2:17" ht="19.7" customHeight="1" x14ac:dyDescent="0.15">
      <c r="B91" s="12">
        <v>3</v>
      </c>
      <c r="C91" s="37" t="s">
        <v>32</v>
      </c>
      <c r="D91" s="37" t="s">
        <v>32</v>
      </c>
      <c r="E91" s="18" t="s">
        <v>43</v>
      </c>
      <c r="F91" s="18">
        <v>2</v>
      </c>
      <c r="G91" s="24">
        <v>2000</v>
      </c>
      <c r="H91" s="24">
        <f t="shared" si="1"/>
        <v>4000</v>
      </c>
      <c r="I91" s="19"/>
      <c r="J91" s="23" t="s">
        <v>59</v>
      </c>
      <c r="K91" s="12"/>
      <c r="L91" s="13"/>
      <c r="M91" s="15">
        <v>45078</v>
      </c>
      <c r="N91" s="12"/>
      <c r="O91" s="20">
        <v>45219</v>
      </c>
      <c r="P91" s="16">
        <v>45219</v>
      </c>
      <c r="Q91" s="16">
        <v>45205</v>
      </c>
    </row>
    <row r="92" spans="2:17" ht="19.7" customHeight="1" x14ac:dyDescent="0.15">
      <c r="B92" s="12">
        <v>3</v>
      </c>
      <c r="C92" s="37" t="s">
        <v>32</v>
      </c>
      <c r="D92" s="37" t="s">
        <v>32</v>
      </c>
      <c r="E92" s="18" t="s">
        <v>44</v>
      </c>
      <c r="F92" s="18">
        <v>2</v>
      </c>
      <c r="G92" s="24">
        <v>7000</v>
      </c>
      <c r="H92" s="24">
        <f t="shared" si="1"/>
        <v>14000</v>
      </c>
      <c r="I92" s="19"/>
      <c r="J92" s="23" t="s">
        <v>59</v>
      </c>
      <c r="K92" s="12"/>
      <c r="L92" s="13"/>
      <c r="M92" s="15">
        <v>45078</v>
      </c>
      <c r="N92" s="12"/>
      <c r="O92" s="20">
        <v>45219</v>
      </c>
      <c r="P92" s="16">
        <v>45219</v>
      </c>
      <c r="Q92" s="16">
        <v>45205</v>
      </c>
    </row>
    <row r="93" spans="2:17" ht="19.7" customHeight="1" x14ac:dyDescent="0.15">
      <c r="B93" s="12">
        <v>3</v>
      </c>
      <c r="C93" s="37" t="s">
        <v>32</v>
      </c>
      <c r="D93" s="37" t="s">
        <v>32</v>
      </c>
      <c r="E93" t="s">
        <v>45</v>
      </c>
      <c r="F93" s="18">
        <v>2</v>
      </c>
      <c r="G93" s="24">
        <v>6300</v>
      </c>
      <c r="H93" s="24">
        <f t="shared" si="1"/>
        <v>12600</v>
      </c>
      <c r="I93" s="19"/>
      <c r="J93" s="23" t="s">
        <v>59</v>
      </c>
      <c r="K93" s="12"/>
      <c r="L93" s="13"/>
      <c r="M93" s="15">
        <v>45078</v>
      </c>
      <c r="N93" s="12"/>
      <c r="O93" s="20">
        <v>45219</v>
      </c>
      <c r="P93" s="16">
        <v>45219</v>
      </c>
      <c r="Q93" s="16">
        <v>45205</v>
      </c>
    </row>
    <row r="94" spans="2:17" ht="19.7" customHeight="1" x14ac:dyDescent="0.15">
      <c r="B94" s="12">
        <v>3</v>
      </c>
      <c r="C94" s="37" t="s">
        <v>32</v>
      </c>
      <c r="D94" s="37" t="s">
        <v>32</v>
      </c>
      <c r="E94" s="18" t="s">
        <v>46</v>
      </c>
      <c r="F94" s="18">
        <v>2</v>
      </c>
      <c r="G94" s="24">
        <v>10000</v>
      </c>
      <c r="H94" s="24">
        <f t="shared" si="1"/>
        <v>20000</v>
      </c>
      <c r="I94" s="19"/>
      <c r="J94" s="23" t="s">
        <v>59</v>
      </c>
      <c r="K94" s="12"/>
      <c r="L94" s="13"/>
      <c r="M94" s="15">
        <v>45078</v>
      </c>
      <c r="N94" s="12"/>
      <c r="O94" s="20">
        <v>45219</v>
      </c>
      <c r="P94" s="16">
        <v>45219</v>
      </c>
      <c r="Q94" s="16">
        <v>45205</v>
      </c>
    </row>
    <row r="95" spans="2:17" ht="19.7" customHeight="1" x14ac:dyDescent="0.15">
      <c r="B95" s="12">
        <v>3</v>
      </c>
      <c r="C95" s="37" t="s">
        <v>32</v>
      </c>
      <c r="D95" s="37" t="s">
        <v>32</v>
      </c>
      <c r="E95" s="18" t="s">
        <v>47</v>
      </c>
      <c r="F95" s="18">
        <v>2</v>
      </c>
      <c r="G95" s="24">
        <v>17500</v>
      </c>
      <c r="H95" s="24">
        <f t="shared" si="1"/>
        <v>35000</v>
      </c>
      <c r="I95" s="19"/>
      <c r="J95" s="23" t="s">
        <v>59</v>
      </c>
      <c r="K95" s="12"/>
      <c r="L95" s="13"/>
      <c r="M95" s="15">
        <v>45078</v>
      </c>
      <c r="N95" s="12"/>
      <c r="O95" s="20">
        <v>45219</v>
      </c>
      <c r="P95" s="16">
        <v>45219</v>
      </c>
      <c r="Q95" s="16">
        <v>45205</v>
      </c>
    </row>
  </sheetData>
  <autoFilter ref="B9:O27" xr:uid="{00000000-0009-0000-0000-000000000000}"/>
  <mergeCells count="5">
    <mergeCell ref="B6:D6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2021-05-10T06:24:52Z</cp:lastPrinted>
  <dcterms:created xsi:type="dcterms:W3CDTF">2011-12-13T06:48:43Z</dcterms:created>
  <dcterms:modified xsi:type="dcterms:W3CDTF">2023-10-24T01:01:39Z</dcterms:modified>
</cp:coreProperties>
</file>