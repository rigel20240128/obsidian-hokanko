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46029F81-EFC4-44E3-95E9-E7D8FEDC171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232296　原価表  20260424 ①" sheetId="9" r:id="rId1"/>
  </sheets>
  <definedNames>
    <definedName name="_xlnm._FilterDatabase" localSheetId="0" hidden="1">'232296　原価表  20260424 ①'!$C$9:$P$19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9" l="1"/>
  <c r="I13" i="9"/>
  <c r="C13" i="9"/>
  <c r="C14" i="9" s="1"/>
  <c r="I12" i="9"/>
  <c r="F16" i="9" s="1"/>
  <c r="I41" i="9" l="1"/>
  <c r="I40" i="9"/>
  <c r="I39" i="9"/>
  <c r="I38" i="9"/>
  <c r="I37" i="9"/>
  <c r="I36" i="9"/>
  <c r="K2" i="9" l="1"/>
</calcChain>
</file>

<file path=xl/sharedStrings.xml><?xml version="1.0" encoding="utf-8"?>
<sst xmlns="http://schemas.openxmlformats.org/spreadsheetml/2006/main" count="39" uniqueCount="34">
  <si>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</si>
  <si>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</si>
  <si>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</si>
  <si>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</si>
  <si>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</si>
  <si>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</si>
  <si>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</si>
  <si>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</si>
  <si>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</si>
  <si>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</si>
  <si>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</si>
  <si>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</si>
  <si>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</si>
  <si>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</si>
  <si>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</si>
  <si>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</si>
  <si>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</si>
  <si>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</si>
  <si>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</si>
  <si>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</si>
  <si>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</si>
  <si>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</si>
  <si>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</si>
  <si>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①</t>
    <phoneticPr fontId="7"/>
  </si>
  <si>
    <t>AXA卓上ﾛﾎﾞｯﾄ</t>
    <rPh sb="0" eb="5">
      <t>チサチタクジョウ</t>
    </rPh>
    <phoneticPr fontId="16"/>
  </si>
  <si>
    <t>SET</t>
  </si>
  <si>
    <t>専用PCｺﾝﾄﾛｰﾗ ﾓﾆﾀｰ ｷｰﾎﾞｰﾄﾞ &amp; ﾏｳｽ【ﾛﾎﾞｯﾄ付属品】</t>
    <rPh sb="35" eb="38">
      <t>フゾクヒン</t>
    </rPh>
    <phoneticPr fontId="2"/>
  </si>
  <si>
    <t>PCｿﾌﾄ 外部ｽｲｯﾁ 含む【ﾛﾎﾞｯﾄ付属品】</t>
  </si>
  <si>
    <t>アドガワエレクトロニクス株式会社様</t>
    <rPh sb="16" eb="17">
      <t>サマ</t>
    </rPh>
    <phoneticPr fontId="2"/>
  </si>
  <si>
    <t>南(齋藤）</t>
    <rPh sb="0" eb="1">
      <t>ミナミ</t>
    </rPh>
    <rPh sb="2" eb="4">
      <t>サイトウ</t>
    </rPh>
    <phoneticPr fontId="2"/>
  </si>
  <si>
    <t>SETB0322-A01　AXA600-HV+SV51 2本135mmﾋﾟｯﾁ＋浸け置き+井桁治具+SVC720F+配電BOX　　原価一覧　20260424</t>
    <rPh sb="29" eb="30">
      <t>ホン</t>
    </rPh>
    <phoneticPr fontId="2"/>
  </si>
  <si>
    <t>232296</t>
    <phoneticPr fontId="2"/>
  </si>
  <si>
    <t>AXA600-ＨV　　　　(AXE600+HV)</t>
    <phoneticPr fontId="16"/>
  </si>
  <si>
    <t>AXELIAｼﾘｰｽﾞAXA-ＨV（400角）　　(AXE600+HV)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</si>
</sst>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</numFmts>
  <fonts count="1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15" fillId="0" borderId="0">
      <alignment vertical="center"/>
    </xf>
  </cellStyleXfs>
  <cellXfs count="9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56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6" fontId="10" fillId="0" borderId="4" xfId="0" applyNumberFormat="1" applyFont="1" applyBorder="1">
      <alignment vertical="center"/>
    </xf>
    <xf numFmtId="0" fontId="0" fillId="0" borderId="3" xfId="0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/>
    </xf>
    <xf numFmtId="3" fontId="6" fillId="0" borderId="5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6" fillId="0" borderId="1" xfId="1" applyNumberForma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7" xfId="0" applyBorder="1" applyAlignment="1">
      <alignment horizontal="center" vertical="center"/>
    </xf>
    <xf numFmtId="176" fontId="0" fillId="0" borderId="15" xfId="0" applyNumberFormat="1" applyBorder="1" applyAlignment="1">
      <alignment horizontal="center" vertical="center"/>
    </xf>
    <xf numFmtId="176" fontId="0" fillId="0" borderId="15" xfId="0" applyNumberFormat="1" applyBorder="1" applyAlignment="1"/>
    <xf numFmtId="0" fontId="0" fillId="0" borderId="15" xfId="0" applyBorder="1" applyAlignment="1">
      <alignment horizontal="left" vertical="center" shrinkToFit="1"/>
    </xf>
    <xf numFmtId="0" fontId="0" fillId="0" borderId="15" xfId="0" applyBorder="1" applyAlignment="1">
      <alignment horizontal="center" vertical="center"/>
    </xf>
    <xf numFmtId="179" fontId="0" fillId="0" borderId="15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3" fontId="0" fillId="7" borderId="16" xfId="0" applyNumberFormat="1" applyFill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left" vertical="center"/>
    </xf>
    <xf numFmtId="0" fontId="15" fillId="8" borderId="1" xfId="2" applyFill="1" applyBorder="1" applyAlignment="1">
      <alignment horizontal="center" vertical="center"/>
    </xf>
    <xf numFmtId="3" fontId="15" fillId="0" borderId="2" xfId="2" applyNumberFormat="1" applyBorder="1" applyAlignment="1">
      <alignment horizontal="center" vertical="center"/>
    </xf>
    <xf numFmtId="0" fontId="15" fillId="0" borderId="2" xfId="2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5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3" fontId="15" fillId="0" borderId="5" xfId="2" applyNumberFormat="1" applyBorder="1" applyAlignment="1">
      <alignment horizontal="center" vertical="center"/>
    </xf>
    <xf numFmtId="49" fontId="15" fillId="0" borderId="5" xfId="2" applyNumberFormat="1" applyBorder="1" applyAlignment="1">
      <alignment horizontal="left" vertical="center"/>
    </xf>
    <xf numFmtId="0" fontId="15" fillId="8" borderId="5" xfId="2" applyFill="1" applyBorder="1" applyAlignment="1">
      <alignment horizontal="center" vertical="center"/>
    </xf>
    <xf numFmtId="38" fontId="15" fillId="0" borderId="5" xfId="2" applyNumberFormat="1" applyBorder="1" applyAlignment="1">
      <alignment horizontal="center" vertical="center"/>
    </xf>
    <xf numFmtId="0" fontId="15" fillId="0" borderId="10" xfId="2" applyBorder="1" applyAlignment="1">
      <alignment horizontal="center" vertical="center"/>
    </xf>
    <xf numFmtId="0" fontId="15" fillId="0" borderId="1" xfId="2" applyBorder="1">
      <alignment vertical="center"/>
    </xf>
    <xf numFmtId="0" fontId="0" fillId="0" borderId="17" xfId="0" applyBorder="1" applyAlignment="1">
      <alignment vertical="center" shrinkToFit="1"/>
    </xf>
    <xf numFmtId="176" fontId="13" fillId="9" borderId="18" xfId="0" applyNumberFormat="1" applyFont="1" applyFill="1" applyBorder="1" applyAlignment="1">
      <alignment horizontal="center" vertical="center"/>
    </xf>
    <xf numFmtId="3" fontId="12" fillId="7" borderId="18" xfId="0" applyNumberFormat="1" applyFont="1" applyFill="1" applyBorder="1" applyAlignment="1">
      <alignment horizontal="center" vertical="center"/>
    </xf>
    <xf numFmtId="3" fontId="12" fillId="7" borderId="16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2" xfId="0" applyNumberFormat="1" applyFont="1" applyFill="1" applyBorder="1" applyAlignment="1">
      <alignment horizontal="left" vertical="center" shrinkToFit="1"/>
    </xf>
    <xf numFmtId="0" fontId="5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56" fontId="0" fillId="0" borderId="15" xfId="0" applyNumberFormat="1" applyBorder="1" applyAlignment="1">
      <alignment horizontal="center" vertical="center"/>
    </xf>
  </cellXfs>
  <cellStyles count="3"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D026-3078-4DCC-85E8-1AD0C51A088B}">
  <sheetPr>
    <tabColor theme="6" tint="0.59999389629810485"/>
  </sheetPr>
  <dimension ref="A2:R42"/>
  <sheetViews>
    <sheetView tabSelected="1" zoomScale="85" zoomScaleNormal="85" workbookViewId="0">
      <pane xSplit="11" ySplit="9" topLeftCell="L10" activePane="bottomRight" state="frozen"/>
      <selection pane="topRight" activeCell="K1" sqref="K1"/>
      <selection pane="bottomLeft" activeCell="A9" sqref="A9"/>
      <selection pane="bottomRight" activeCell="N12" sqref="N12:P14"/>
    </sheetView>
  </sheetViews>
  <sheetFormatPr defaultRowHeight="13" x14ac:dyDescent="0.2"/>
  <cols>
    <col min="2" max="2" width="17.1796875" customWidth="1"/>
    <col min="3" max="3" width="13.1796875" style="3" customWidth="1"/>
    <col min="4" max="4" width="14.36328125" bestFit="1" customWidth="1"/>
    <col min="5" max="5" width="13.08984375" bestFit="1" customWidth="1"/>
    <col min="6" max="6" width="52.36328125" customWidth="1"/>
    <col min="7" max="7" width="6.1796875" style="3" customWidth="1"/>
    <col min="8" max="9" width="9.90625" style="8" bestFit="1" customWidth="1"/>
    <col min="10" max="10" width="5.81640625" style="8" customWidth="1"/>
    <col min="11" max="11" width="40.81640625" customWidth="1"/>
    <col min="12" max="12" width="41.6328125" customWidth="1"/>
    <col min="13" max="13" width="46.90625" style="3" customWidth="1"/>
    <col min="14" max="14" width="13.81640625" style="10" customWidth="1"/>
    <col min="15" max="15" width="6.36328125" customWidth="1"/>
    <col min="16" max="16" width="13.1796875" style="8" customWidth="1"/>
    <col min="17" max="17" width="14.453125" style="12" customWidth="1"/>
    <col min="18" max="18" width="15.6328125" style="13" customWidth="1"/>
  </cols>
  <sheetData>
    <row r="2" spans="1:18" ht="20.149999999999999" customHeight="1" x14ac:dyDescent="0.2">
      <c r="C2" s="87" t="s">
        <v>11</v>
      </c>
      <c r="D2" s="87"/>
      <c r="E2" s="87"/>
      <c r="F2" s="9" t="s">
        <v>28</v>
      </c>
      <c r="H2" s="89" t="s">
        <v>15</v>
      </c>
      <c r="I2" s="90"/>
      <c r="J2" s="91"/>
      <c r="K2" s="7">
        <f>SUM(I:I)</f>
        <v>2080000</v>
      </c>
    </row>
    <row r="3" spans="1:18" ht="20.149999999999999" customHeight="1" x14ac:dyDescent="0.2">
      <c r="C3" s="87" t="s">
        <v>10</v>
      </c>
      <c r="D3" s="87"/>
      <c r="E3" s="87"/>
      <c r="F3" s="5" t="s">
        <v>29</v>
      </c>
    </row>
    <row r="4" spans="1:18" ht="20.149999999999999" customHeight="1" x14ac:dyDescent="0.2">
      <c r="C4" s="87" t="s">
        <v>12</v>
      </c>
      <c r="D4" s="87"/>
      <c r="E4" s="87"/>
      <c r="F4" s="43" t="s">
        <v>31</v>
      </c>
      <c r="I4" s="44"/>
      <c r="K4" s="83" t="s">
        <v>30</v>
      </c>
      <c r="L4" s="84"/>
    </row>
    <row r="5" spans="1:18" ht="20.149999999999999" customHeight="1" x14ac:dyDescent="0.2">
      <c r="C5" s="87" t="s">
        <v>13</v>
      </c>
      <c r="D5" s="87"/>
      <c r="E5" s="87"/>
      <c r="F5" s="6">
        <v>46176</v>
      </c>
      <c r="H5" s="88" t="s">
        <v>23</v>
      </c>
      <c r="K5" s="85"/>
      <c r="L5" s="86"/>
    </row>
    <row r="6" spans="1:18" ht="20.149999999999999" customHeight="1" x14ac:dyDescent="0.2">
      <c r="C6" s="87" t="s">
        <v>14</v>
      </c>
      <c r="D6" s="87"/>
      <c r="E6" s="87"/>
      <c r="F6" s="6">
        <v>46178</v>
      </c>
      <c r="H6" s="88"/>
      <c r="K6" s="15"/>
      <c r="L6" s="20"/>
    </row>
    <row r="7" spans="1:18" ht="20.149999999999999" customHeight="1" x14ac:dyDescent="0.2">
      <c r="C7" s="17"/>
      <c r="D7" s="17"/>
      <c r="E7" s="17"/>
      <c r="F7" s="16"/>
      <c r="K7" s="15"/>
      <c r="L7" s="20"/>
      <c r="M7" s="18"/>
    </row>
    <row r="9" spans="1:18" s="3" customFormat="1" ht="19.649999999999999" customHeight="1" x14ac:dyDescent="0.2">
      <c r="B9" s="1" t="s">
        <v>22</v>
      </c>
      <c r="C9" s="4" t="s">
        <v>4</v>
      </c>
      <c r="D9" s="4" t="s">
        <v>9</v>
      </c>
      <c r="E9" s="4" t="s">
        <v>5</v>
      </c>
      <c r="F9" s="1" t="s">
        <v>8</v>
      </c>
      <c r="G9" s="1" t="s">
        <v>0</v>
      </c>
      <c r="H9" s="28" t="s">
        <v>1</v>
      </c>
      <c r="I9" s="45" t="s">
        <v>2</v>
      </c>
      <c r="J9" s="2" t="s">
        <v>18</v>
      </c>
      <c r="K9" s="1" t="s">
        <v>3</v>
      </c>
      <c r="L9" s="1" t="s">
        <v>17</v>
      </c>
      <c r="M9" s="1" t="s">
        <v>16</v>
      </c>
      <c r="N9" s="11" t="s">
        <v>6</v>
      </c>
      <c r="O9" s="4" t="s">
        <v>19</v>
      </c>
      <c r="P9" s="1" t="s">
        <v>7</v>
      </c>
      <c r="Q9" s="11" t="s">
        <v>20</v>
      </c>
      <c r="R9" s="14" t="s">
        <v>21</v>
      </c>
    </row>
    <row r="10" spans="1:18" s="3" customFormat="1" ht="19.649999999999999" customHeight="1" x14ac:dyDescent="0.2">
      <c r="A10" s="42"/>
      <c r="B10" s="1"/>
      <c r="C10" s="4"/>
      <c r="D10" s="4"/>
      <c r="E10" s="4"/>
      <c r="F10" s="26"/>
      <c r="G10" s="1"/>
      <c r="H10" s="21"/>
      <c r="I10" s="46"/>
      <c r="J10" s="2"/>
      <c r="K10" s="25"/>
      <c r="L10" s="22"/>
      <c r="M10" s="4"/>
      <c r="N10" s="11"/>
      <c r="O10" s="4"/>
      <c r="P10" s="19"/>
      <c r="Q10" s="19"/>
      <c r="R10" s="14"/>
    </row>
    <row r="11" spans="1:18" s="3" customFormat="1" ht="19.5" customHeight="1" x14ac:dyDescent="0.2">
      <c r="B11" s="1"/>
      <c r="C11" s="81" t="s">
        <v>24</v>
      </c>
      <c r="D11" s="81"/>
      <c r="E11" s="81"/>
      <c r="F11" s="82"/>
      <c r="G11" s="52"/>
      <c r="H11" s="52"/>
      <c r="I11" s="52"/>
      <c r="J11" s="53"/>
      <c r="K11" s="54"/>
      <c r="L11" s="55"/>
      <c r="M11" s="55"/>
      <c r="N11" s="56"/>
      <c r="O11" s="57"/>
      <c r="P11" s="55"/>
      <c r="Q11" s="56"/>
      <c r="R11" s="58"/>
    </row>
    <row r="12" spans="1:18" s="3" customFormat="1" ht="19.5" customHeight="1" x14ac:dyDescent="0.2">
      <c r="A12" s="2"/>
      <c r="B12" s="59">
        <v>1</v>
      </c>
      <c r="C12" s="60">
        <v>1</v>
      </c>
      <c r="D12" s="61" t="s">
        <v>25</v>
      </c>
      <c r="E12" s="61" t="s">
        <v>25</v>
      </c>
      <c r="F12" s="62" t="s">
        <v>32</v>
      </c>
      <c r="G12" s="63">
        <v>2</v>
      </c>
      <c r="H12" s="61">
        <v>1040000</v>
      </c>
      <c r="I12" s="64">
        <f>H12*G12</f>
        <v>2080000</v>
      </c>
      <c r="J12" s="65"/>
      <c r="K12" s="62" t="s">
        <v>33</v>
      </c>
      <c r="L12" s="66"/>
      <c r="M12" s="66"/>
      <c r="N12" s="56">
        <v>46136</v>
      </c>
      <c r="O12" s="57"/>
      <c r="P12" s="92">
        <v>46175</v>
      </c>
      <c r="Q12" s="56"/>
      <c r="R12" s="67"/>
    </row>
    <row r="13" spans="1:18" s="3" customFormat="1" ht="19.5" customHeight="1" x14ac:dyDescent="0.2">
      <c r="A13" s="2"/>
      <c r="B13" s="59">
        <v>1</v>
      </c>
      <c r="C13" s="78">
        <f>C12+1</f>
        <v>2</v>
      </c>
      <c r="D13" s="61" t="s">
        <v>25</v>
      </c>
      <c r="E13" s="61" t="s">
        <v>25</v>
      </c>
      <c r="F13" s="68" t="s">
        <v>26</v>
      </c>
      <c r="G13" s="63">
        <v>2</v>
      </c>
      <c r="H13" s="61">
        <v>0</v>
      </c>
      <c r="I13" s="64">
        <f t="shared" ref="I13:I14" si="0">H13*G13</f>
        <v>0</v>
      </c>
      <c r="J13" s="65"/>
      <c r="K13" s="62"/>
      <c r="L13" s="66"/>
      <c r="M13" s="66"/>
      <c r="N13" s="56">
        <v>46136</v>
      </c>
      <c r="O13" s="57"/>
      <c r="P13" s="92">
        <v>46175</v>
      </c>
      <c r="Q13" s="56"/>
      <c r="R13" s="58"/>
    </row>
    <row r="14" spans="1:18" s="3" customFormat="1" ht="19.5" customHeight="1" x14ac:dyDescent="0.2">
      <c r="A14" s="2"/>
      <c r="B14" s="59">
        <v>1</v>
      </c>
      <c r="C14" s="77">
        <f t="shared" ref="C14" si="1">C13+1</f>
        <v>3</v>
      </c>
      <c r="D14" s="69" t="s">
        <v>25</v>
      </c>
      <c r="E14" s="69" t="s">
        <v>25</v>
      </c>
      <c r="F14" s="70" t="s">
        <v>27</v>
      </c>
      <c r="G14" s="71">
        <v>2</v>
      </c>
      <c r="H14" s="72">
        <v>0</v>
      </c>
      <c r="I14" s="64">
        <f t="shared" si="0"/>
        <v>0</v>
      </c>
      <c r="J14" s="73"/>
      <c r="K14" s="74"/>
      <c r="L14" s="66"/>
      <c r="M14" s="66"/>
      <c r="N14" s="56">
        <v>46136</v>
      </c>
      <c r="O14" s="57"/>
      <c r="P14" s="92">
        <v>46175</v>
      </c>
      <c r="Q14" s="56"/>
      <c r="R14" s="58"/>
    </row>
    <row r="15" spans="1:18" s="3" customFormat="1" ht="19.5" customHeight="1" x14ac:dyDescent="0.2">
      <c r="A15" s="1"/>
      <c r="B15" s="1"/>
      <c r="C15" s="79"/>
      <c r="D15" s="4"/>
      <c r="E15" s="4"/>
      <c r="F15" s="75"/>
      <c r="G15" s="52"/>
      <c r="H15" s="52"/>
      <c r="I15" s="52"/>
      <c r="J15" s="53"/>
      <c r="K15" s="54"/>
      <c r="L15" s="55"/>
      <c r="M15" s="55"/>
      <c r="N15" s="56"/>
      <c r="O15" s="57"/>
      <c r="P15" s="55"/>
      <c r="Q15" s="56"/>
      <c r="R15" s="58"/>
    </row>
    <row r="16" spans="1:18" s="3" customFormat="1" ht="19.5" customHeight="1" x14ac:dyDescent="0.2">
      <c r="A16" s="1"/>
      <c r="B16" s="1"/>
      <c r="C16" s="79"/>
      <c r="D16" s="4"/>
      <c r="E16" s="4"/>
      <c r="F16" s="76">
        <f>SUM(I12:I14)</f>
        <v>2080000</v>
      </c>
      <c r="G16" s="52"/>
      <c r="H16" s="52"/>
      <c r="I16" s="52"/>
      <c r="J16" s="53"/>
      <c r="K16" s="54"/>
      <c r="L16" s="55"/>
      <c r="M16" s="55"/>
      <c r="N16" s="56"/>
      <c r="O16" s="57"/>
      <c r="P16" s="55"/>
      <c r="Q16" s="56"/>
      <c r="R16" s="58"/>
    </row>
    <row r="17" spans="1:18" s="3" customFormat="1" ht="19.649999999999999" customHeight="1" x14ac:dyDescent="0.2">
      <c r="A17" s="80"/>
      <c r="B17" s="1"/>
      <c r="C17" s="4"/>
      <c r="D17" s="4"/>
      <c r="E17" s="4"/>
      <c r="F17" s="26"/>
      <c r="G17" s="1"/>
      <c r="H17" s="21"/>
      <c r="I17" s="46"/>
      <c r="J17" s="2"/>
      <c r="K17" s="25"/>
      <c r="L17" s="22"/>
      <c r="M17" s="4"/>
      <c r="N17" s="11"/>
      <c r="O17" s="4"/>
      <c r="P17" s="19"/>
      <c r="Q17" s="19"/>
      <c r="R17" s="14"/>
    </row>
    <row r="18" spans="1:18" s="3" customFormat="1" ht="19.649999999999999" customHeight="1" x14ac:dyDescent="0.2">
      <c r="A18" s="42"/>
      <c r="B18" s="1"/>
      <c r="C18" s="4"/>
      <c r="D18" s="30"/>
      <c r="E18" s="34"/>
      <c r="F18" s="24"/>
      <c r="G18" s="41"/>
      <c r="H18" s="48"/>
      <c r="I18" s="47"/>
      <c r="J18" s="32"/>
      <c r="K18" s="31"/>
      <c r="L18" s="22"/>
      <c r="M18" s="4"/>
      <c r="N18" s="11"/>
      <c r="O18" s="4"/>
      <c r="P18" s="19"/>
      <c r="Q18" s="19"/>
      <c r="R18" s="14"/>
    </row>
    <row r="19" spans="1:18" s="3" customFormat="1" ht="19.649999999999999" customHeight="1" x14ac:dyDescent="0.2">
      <c r="A19" s="42"/>
      <c r="B19" s="1"/>
      <c r="C19" s="4"/>
      <c r="D19" s="4"/>
      <c r="E19" s="40"/>
      <c r="F19" s="24"/>
      <c r="G19" s="41"/>
      <c r="H19" s="48"/>
      <c r="I19" s="39"/>
      <c r="J19" s="32"/>
      <c r="K19" s="31"/>
      <c r="L19" s="22"/>
      <c r="M19" s="4"/>
      <c r="N19" s="11"/>
      <c r="O19" s="4"/>
      <c r="P19" s="19"/>
      <c r="Q19" s="19"/>
      <c r="R19" s="14"/>
    </row>
    <row r="20" spans="1:18" s="3" customFormat="1" ht="19.649999999999999" customHeight="1" x14ac:dyDescent="0.2">
      <c r="A20" s="42"/>
      <c r="B20" s="1"/>
      <c r="C20" s="4"/>
      <c r="D20" s="4"/>
      <c r="E20" s="4"/>
      <c r="F20" s="26"/>
      <c r="G20" s="35"/>
      <c r="H20" s="49"/>
      <c r="I20" s="47"/>
      <c r="J20" s="36"/>
      <c r="K20" s="37"/>
      <c r="L20" s="25"/>
      <c r="M20" s="4"/>
      <c r="N20" s="11"/>
      <c r="O20" s="4"/>
      <c r="P20" s="19"/>
      <c r="Q20" s="19"/>
      <c r="R20" s="14"/>
    </row>
    <row r="21" spans="1:18" s="3" customFormat="1" ht="19.649999999999999" customHeight="1" x14ac:dyDescent="0.2">
      <c r="A21" s="42"/>
      <c r="B21" s="1"/>
      <c r="C21" s="4"/>
      <c r="D21" s="4"/>
      <c r="E21" s="4"/>
      <c r="F21" s="33"/>
      <c r="G21" s="1"/>
      <c r="H21" s="47"/>
      <c r="I21" s="47"/>
      <c r="J21" s="2"/>
      <c r="K21" s="25"/>
      <c r="L21" s="22"/>
      <c r="M21" s="4"/>
      <c r="N21" s="11"/>
      <c r="O21" s="4"/>
      <c r="P21" s="19"/>
      <c r="Q21" s="19"/>
      <c r="R21" s="14"/>
    </row>
    <row r="22" spans="1:18" s="3" customFormat="1" ht="19.649999999999999" customHeight="1" x14ac:dyDescent="0.2">
      <c r="A22" s="42"/>
      <c r="B22" s="1"/>
      <c r="C22" s="4"/>
      <c r="D22" s="4"/>
      <c r="E22" s="4"/>
      <c r="F22" s="38"/>
      <c r="G22" s="1"/>
      <c r="H22" s="47"/>
      <c r="I22" s="47"/>
      <c r="J22" s="2"/>
      <c r="K22" s="25"/>
      <c r="L22" s="22"/>
      <c r="M22" s="4"/>
      <c r="N22" s="11"/>
      <c r="O22" s="4"/>
      <c r="P22" s="19"/>
      <c r="Q22" s="19"/>
      <c r="R22" s="14"/>
    </row>
    <row r="23" spans="1:18" s="3" customFormat="1" ht="19.649999999999999" customHeight="1" x14ac:dyDescent="0.2">
      <c r="A23" s="42"/>
      <c r="B23" s="1"/>
      <c r="C23" s="4"/>
      <c r="D23" s="4"/>
      <c r="E23" s="4"/>
      <c r="F23" s="26"/>
      <c r="G23" s="1"/>
      <c r="H23" s="21"/>
      <c r="I23" s="46"/>
      <c r="J23" s="2"/>
      <c r="K23" s="25"/>
      <c r="L23" s="25"/>
      <c r="M23" s="4"/>
      <c r="N23" s="11"/>
      <c r="O23" s="11"/>
      <c r="P23" s="11"/>
      <c r="Q23" s="19"/>
      <c r="R23" s="14"/>
    </row>
    <row r="24" spans="1:18" s="3" customFormat="1" ht="19.649999999999999" customHeight="1" x14ac:dyDescent="0.2">
      <c r="A24" s="42"/>
      <c r="B24" s="1"/>
      <c r="C24" s="4"/>
      <c r="D24" s="4"/>
      <c r="E24" s="4"/>
      <c r="F24" s="24"/>
      <c r="G24" s="1"/>
      <c r="H24" s="47"/>
      <c r="I24" s="46"/>
      <c r="J24" s="27"/>
      <c r="K24" s="25"/>
      <c r="L24" s="25"/>
      <c r="M24" s="4"/>
      <c r="N24" s="11"/>
      <c r="O24" s="11"/>
      <c r="P24" s="11"/>
      <c r="Q24" s="19"/>
      <c r="R24" s="14"/>
    </row>
    <row r="25" spans="1:18" s="3" customFormat="1" ht="19.649999999999999" customHeight="1" x14ac:dyDescent="0.2">
      <c r="A25" s="42"/>
      <c r="B25" s="1"/>
      <c r="C25" s="4"/>
      <c r="D25" s="4"/>
      <c r="E25" s="4"/>
      <c r="F25" s="24"/>
      <c r="G25" s="1"/>
      <c r="H25" s="47"/>
      <c r="I25" s="47"/>
      <c r="J25" s="27"/>
      <c r="K25" s="25"/>
      <c r="L25" s="25"/>
      <c r="M25" s="4"/>
      <c r="N25" s="11"/>
      <c r="O25" s="4"/>
      <c r="P25" s="19"/>
      <c r="Q25" s="19"/>
      <c r="R25" s="14"/>
    </row>
    <row r="26" spans="1:18" s="3" customFormat="1" ht="19.649999999999999" customHeight="1" x14ac:dyDescent="0.2">
      <c r="A26" s="42"/>
      <c r="B26" s="1"/>
      <c r="C26" s="4"/>
      <c r="D26" s="4"/>
      <c r="E26" s="4"/>
      <c r="F26" s="24"/>
      <c r="G26" s="1"/>
      <c r="H26" s="47"/>
      <c r="I26" s="46"/>
      <c r="J26" s="27"/>
      <c r="K26" s="25"/>
      <c r="L26" s="25"/>
      <c r="M26" s="4"/>
      <c r="N26" s="11"/>
      <c r="O26" s="4"/>
      <c r="P26" s="19"/>
      <c r="Q26" s="19"/>
      <c r="R26" s="14"/>
    </row>
    <row r="27" spans="1:18" s="3" customFormat="1" ht="19.649999999999999" customHeight="1" x14ac:dyDescent="0.2">
      <c r="A27" s="42"/>
      <c r="B27" s="1"/>
      <c r="C27" s="4"/>
      <c r="D27" s="4"/>
      <c r="E27" s="4"/>
      <c r="F27" s="24"/>
      <c r="G27" s="1"/>
      <c r="H27" s="47"/>
      <c r="I27" s="46"/>
      <c r="J27" s="27"/>
      <c r="K27" s="25"/>
      <c r="L27" s="25"/>
      <c r="M27" s="4"/>
      <c r="N27" s="11"/>
      <c r="O27" s="4"/>
      <c r="P27" s="19"/>
      <c r="Q27" s="19"/>
      <c r="R27" s="14"/>
    </row>
    <row r="28" spans="1:18" s="3" customFormat="1" ht="19.649999999999999" customHeight="1" x14ac:dyDescent="0.2">
      <c r="A28" s="42"/>
      <c r="B28" s="1"/>
      <c r="C28" s="4"/>
      <c r="D28" s="4"/>
      <c r="E28" s="4"/>
      <c r="F28" s="24"/>
      <c r="G28" s="1"/>
      <c r="H28" s="47"/>
      <c r="I28" s="46"/>
      <c r="J28" s="27"/>
      <c r="K28" s="25"/>
      <c r="L28" s="25"/>
      <c r="M28" s="4"/>
      <c r="N28" s="11"/>
      <c r="O28" s="4"/>
      <c r="P28" s="19"/>
      <c r="Q28" s="19"/>
      <c r="R28" s="14"/>
    </row>
    <row r="29" spans="1:18" s="3" customFormat="1" ht="19.649999999999999" customHeight="1" x14ac:dyDescent="0.2">
      <c r="A29" s="42"/>
      <c r="B29" s="1"/>
      <c r="C29" s="4"/>
      <c r="D29" s="4"/>
      <c r="E29" s="4"/>
      <c r="F29" s="26"/>
      <c r="G29" s="1"/>
      <c r="H29" s="21"/>
      <c r="I29" s="46"/>
      <c r="J29" s="2"/>
      <c r="K29" s="25"/>
      <c r="L29" s="25"/>
      <c r="M29" s="4"/>
      <c r="N29" s="11"/>
      <c r="O29" s="4"/>
      <c r="P29" s="19"/>
      <c r="Q29" s="19"/>
      <c r="R29" s="14"/>
    </row>
    <row r="30" spans="1:18" s="3" customFormat="1" ht="19.649999999999999" customHeight="1" x14ac:dyDescent="0.2">
      <c r="A30" s="42"/>
      <c r="B30" s="1"/>
      <c r="C30" s="4"/>
      <c r="D30" s="4"/>
      <c r="E30" s="4"/>
      <c r="F30" s="26"/>
      <c r="G30" s="1"/>
      <c r="H30" s="21"/>
      <c r="I30" s="46"/>
      <c r="J30" s="2"/>
      <c r="K30" s="25"/>
      <c r="L30" s="25"/>
      <c r="M30" s="4"/>
      <c r="N30" s="11"/>
      <c r="O30" s="4"/>
      <c r="P30" s="19"/>
      <c r="Q30" s="19"/>
      <c r="R30" s="14"/>
    </row>
    <row r="31" spans="1:18" ht="19.649999999999999" customHeight="1" x14ac:dyDescent="0.2">
      <c r="A31" s="42"/>
      <c r="B31" s="1"/>
      <c r="C31" s="4"/>
      <c r="D31" s="1"/>
      <c r="E31" s="1"/>
      <c r="F31" s="26"/>
      <c r="G31" s="1"/>
      <c r="H31" s="21"/>
      <c r="I31" s="46"/>
      <c r="J31" s="2"/>
      <c r="K31" s="25"/>
      <c r="L31" s="24"/>
      <c r="M31" s="4"/>
      <c r="N31" s="11"/>
      <c r="O31" s="4"/>
      <c r="P31" s="19"/>
      <c r="Q31" s="19"/>
      <c r="R31" s="14"/>
    </row>
    <row r="32" spans="1:18" ht="19.649999999999999" customHeight="1" x14ac:dyDescent="0.2">
      <c r="A32" s="42"/>
      <c r="B32" s="1"/>
      <c r="C32" s="4"/>
      <c r="D32" s="4"/>
      <c r="E32" s="4"/>
      <c r="F32" s="23"/>
      <c r="G32" s="1"/>
      <c r="H32" s="21"/>
      <c r="I32" s="47"/>
      <c r="J32" s="2"/>
      <c r="K32" s="25"/>
      <c r="L32" s="25"/>
      <c r="M32" s="4"/>
      <c r="N32" s="11"/>
      <c r="O32" s="4"/>
      <c r="P32" s="19"/>
      <c r="Q32" s="19"/>
      <c r="R32" s="14"/>
    </row>
    <row r="33" spans="1:18" ht="19.649999999999999" customHeight="1" x14ac:dyDescent="0.2">
      <c r="A33" s="42"/>
      <c r="B33" s="1"/>
      <c r="C33" s="4"/>
      <c r="D33" s="4"/>
      <c r="E33" s="4"/>
      <c r="F33" s="26"/>
      <c r="G33" s="1"/>
      <c r="H33" s="21"/>
      <c r="I33" s="46"/>
      <c r="J33" s="2"/>
      <c r="K33" s="25"/>
      <c r="L33" s="24"/>
      <c r="M33" s="4"/>
      <c r="N33" s="11"/>
      <c r="O33" s="4"/>
      <c r="P33" s="19"/>
      <c r="Q33" s="29"/>
      <c r="R33" s="14"/>
    </row>
    <row r="34" spans="1:18" ht="19.649999999999999" customHeight="1" x14ac:dyDescent="0.2">
      <c r="A34" s="42"/>
      <c r="B34" s="1"/>
      <c r="C34" s="4"/>
      <c r="D34" s="4"/>
      <c r="E34" s="4"/>
      <c r="F34" s="26"/>
      <c r="G34" s="1"/>
      <c r="H34" s="21"/>
      <c r="I34" s="46"/>
      <c r="J34" s="2"/>
      <c r="K34" s="25"/>
      <c r="L34" s="24"/>
      <c r="M34" s="4"/>
      <c r="N34" s="11"/>
      <c r="O34" s="4"/>
      <c r="P34" s="19"/>
      <c r="Q34" s="19"/>
      <c r="R34" s="14"/>
    </row>
    <row r="35" spans="1:18" ht="19.649999999999999" customHeight="1" x14ac:dyDescent="0.2">
      <c r="A35" s="42"/>
      <c r="B35" s="1"/>
      <c r="C35" s="4"/>
      <c r="D35" s="4"/>
      <c r="E35" s="4"/>
      <c r="F35" s="26"/>
      <c r="G35" s="1"/>
      <c r="H35" s="21"/>
      <c r="I35" s="46"/>
      <c r="J35" s="2"/>
      <c r="K35" s="25"/>
      <c r="L35" s="24"/>
      <c r="M35" s="4"/>
      <c r="N35" s="11"/>
      <c r="O35" s="4"/>
      <c r="P35" s="19"/>
      <c r="Q35" s="19"/>
      <c r="R35" s="14"/>
    </row>
    <row r="36" spans="1:18" ht="19.649999999999999" customHeight="1" x14ac:dyDescent="0.2">
      <c r="A36" s="42"/>
      <c r="B36" s="1"/>
      <c r="C36" s="4"/>
      <c r="D36" s="4"/>
      <c r="E36" s="4"/>
      <c r="F36" s="26"/>
      <c r="G36" s="1"/>
      <c r="H36" s="21"/>
      <c r="I36" s="46">
        <f t="shared" ref="I36:I41" si="2">G36*H36</f>
        <v>0</v>
      </c>
      <c r="J36" s="2"/>
      <c r="K36" s="25"/>
      <c r="L36" s="24"/>
      <c r="M36" s="4"/>
      <c r="N36" s="11"/>
      <c r="O36" s="4"/>
      <c r="P36" s="19"/>
      <c r="Q36" s="19"/>
      <c r="R36" s="14"/>
    </row>
    <row r="37" spans="1:18" ht="19.649999999999999" customHeight="1" x14ac:dyDescent="0.2">
      <c r="A37" s="42"/>
      <c r="B37" s="1"/>
      <c r="C37" s="4"/>
      <c r="D37" s="4"/>
      <c r="E37" s="4"/>
      <c r="F37" s="26"/>
      <c r="G37" s="1"/>
      <c r="H37" s="21"/>
      <c r="I37" s="46">
        <f t="shared" si="2"/>
        <v>0</v>
      </c>
      <c r="J37" s="2"/>
      <c r="K37" s="25"/>
      <c r="L37" s="24"/>
      <c r="M37" s="4"/>
      <c r="N37" s="11"/>
      <c r="O37" s="4"/>
      <c r="P37" s="19"/>
      <c r="Q37" s="19"/>
      <c r="R37" s="14"/>
    </row>
    <row r="38" spans="1:18" ht="19.649999999999999" customHeight="1" x14ac:dyDescent="0.2">
      <c r="A38" s="42"/>
      <c r="B38" s="1"/>
      <c r="C38" s="4"/>
      <c r="D38" s="4"/>
      <c r="E38" s="4"/>
      <c r="F38" s="26"/>
      <c r="G38" s="1"/>
      <c r="H38" s="21"/>
      <c r="I38" s="46">
        <f t="shared" si="2"/>
        <v>0</v>
      </c>
      <c r="J38" s="2"/>
      <c r="K38" s="25"/>
      <c r="L38" s="24"/>
      <c r="M38" s="4"/>
      <c r="N38" s="11"/>
      <c r="O38" s="4"/>
      <c r="P38" s="19"/>
      <c r="Q38" s="19"/>
      <c r="R38" s="14"/>
    </row>
    <row r="39" spans="1:18" ht="19.649999999999999" customHeight="1" x14ac:dyDescent="0.2">
      <c r="A39" s="42"/>
      <c r="B39" s="51"/>
      <c r="C39" s="4"/>
      <c r="D39" s="4"/>
      <c r="E39" s="4"/>
      <c r="F39" s="26"/>
      <c r="G39" s="1"/>
      <c r="H39" s="21"/>
      <c r="I39" s="46">
        <f t="shared" si="2"/>
        <v>0</v>
      </c>
      <c r="J39" s="2"/>
      <c r="K39" s="25"/>
      <c r="L39" s="24"/>
      <c r="M39" s="4"/>
      <c r="N39" s="11"/>
      <c r="O39" s="4"/>
      <c r="P39" s="19"/>
      <c r="Q39" s="19"/>
      <c r="R39" s="14"/>
    </row>
    <row r="40" spans="1:18" ht="19.649999999999999" customHeight="1" x14ac:dyDescent="0.2">
      <c r="A40" s="42"/>
      <c r="B40" s="51"/>
      <c r="C40" s="4"/>
      <c r="D40" s="4"/>
      <c r="E40" s="4"/>
      <c r="F40" s="26"/>
      <c r="G40" s="1"/>
      <c r="H40" s="21"/>
      <c r="I40" s="46">
        <f t="shared" si="2"/>
        <v>0</v>
      </c>
      <c r="J40" s="2"/>
      <c r="K40" s="25"/>
      <c r="L40" s="24"/>
      <c r="M40" s="4"/>
      <c r="N40" s="11"/>
      <c r="O40" s="4"/>
      <c r="P40" s="19"/>
      <c r="Q40" s="19"/>
      <c r="R40" s="14"/>
    </row>
    <row r="41" spans="1:18" ht="19.649999999999999" customHeight="1" x14ac:dyDescent="0.2">
      <c r="A41" s="42"/>
      <c r="B41" s="51"/>
      <c r="C41" s="4"/>
      <c r="D41" s="4"/>
      <c r="E41" s="4"/>
      <c r="F41" s="26"/>
      <c r="G41" s="1"/>
      <c r="H41" s="21"/>
      <c r="I41" s="46">
        <f t="shared" si="2"/>
        <v>0</v>
      </c>
      <c r="J41" s="2"/>
      <c r="K41" s="25"/>
      <c r="L41" s="24"/>
      <c r="M41" s="4"/>
      <c r="N41" s="11"/>
      <c r="O41" s="4"/>
      <c r="P41" s="19"/>
      <c r="Q41" s="19"/>
      <c r="R41" s="14"/>
    </row>
    <row r="42" spans="1:18" x14ac:dyDescent="0.2">
      <c r="I42" s="50"/>
    </row>
  </sheetData>
  <autoFilter ref="C9:P19" xr:uid="{00000000-0009-0000-0000-000000000000}"/>
  <mergeCells count="9">
    <mergeCell ref="C2:E2"/>
    <mergeCell ref="H2:J2"/>
    <mergeCell ref="C3:E3"/>
    <mergeCell ref="C4:E4"/>
    <mergeCell ref="C11:F11"/>
    <mergeCell ref="K4:L5"/>
    <mergeCell ref="C5:E5"/>
    <mergeCell ref="H5:H6"/>
    <mergeCell ref="C6:E6"/>
  </mergeCells>
  <phoneticPr fontId="16"/>
  <pageMargins left="0.2" right="0.2" top="0.36" bottom="0.41" header="0.3" footer="0.3"/>
  <pageSetup paperSize="9" scale="70" orientation="landscape" r:id="rId1"/>
  <ignoredErrors>
    <ignoredError sqref="F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232296　原価表  20260424 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松丸Ｍ</cp:lastModifiedBy>
  <cp:lastPrinted>2018-06-15T01:25:43Z</cp:lastPrinted>
  <dcterms:created xsi:type="dcterms:W3CDTF">2011-12-13T06:48:43Z</dcterms:created>
  <dcterms:modified xsi:type="dcterms:W3CDTF">2026-04-24T07:52:29Z</dcterms:modified>
</cp:coreProperties>
</file>