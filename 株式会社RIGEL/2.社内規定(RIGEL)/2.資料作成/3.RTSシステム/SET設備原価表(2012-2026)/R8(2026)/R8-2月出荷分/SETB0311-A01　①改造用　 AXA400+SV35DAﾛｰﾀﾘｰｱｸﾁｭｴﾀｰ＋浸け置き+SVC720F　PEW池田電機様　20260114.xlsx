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-saito\Desktop\SETB0311-A01 宇都氏　改造確認　AXAﾛﾎﾞｯﾄ400+SV70とSV35DASﾛｰﾀﾘｰｱｸﾁｭｴﾀｰ＋浸け置き+SVC720F　PEW池田電機様　20251219\"/>
    </mc:Choice>
  </mc:AlternateContent>
  <xr:revisionPtr revIDLastSave="0" documentId="13_ncr:1_{52FC3C16-B961-4FD9-BF93-6574EECFFC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原価一覧 (20260114) ①" sheetId="18" r:id="rId1"/>
    <sheet name="Sheet2" sheetId="2" r:id="rId2"/>
    <sheet name="Sheet3" sheetId="3" r:id="rId3"/>
  </sheets>
  <definedNames>
    <definedName name="_xlnm._FilterDatabase" localSheetId="0" hidden="1">'原価一覧 (20260114) ①'!$C$8:$P$33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8" l="1"/>
  <c r="I19" i="18"/>
  <c r="I18" i="18"/>
  <c r="I17" i="18"/>
  <c r="I14" i="18"/>
  <c r="I15" i="18"/>
  <c r="I16" i="18"/>
  <c r="I13" i="18"/>
  <c r="I12" i="18"/>
  <c r="I27" i="18"/>
  <c r="I28" i="18"/>
  <c r="I29" i="18"/>
  <c r="F21" i="18" l="1"/>
  <c r="C13" i="18"/>
  <c r="C14" i="18" s="1"/>
  <c r="C15" i="18" s="1"/>
  <c r="C16" i="18" s="1"/>
  <c r="C17" i="18" s="1"/>
  <c r="C18" i="18" s="1"/>
  <c r="K2" i="18"/>
</calcChain>
</file>

<file path=xl/sharedStrings.xml><?xml version="1.0" encoding="utf-8"?>
<sst xmlns="http://schemas.openxmlformats.org/spreadsheetml/2006/main" count="91" uniqueCount="59">
  <si>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</si>
  <si>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</si>
  <si>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</si>
  <si>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</si>
  <si>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</si>
  <si>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</si>
  <si>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</si>
  <si>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</si>
  <si>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</si>
  <si>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</si>
  <si>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</si>
  <si>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</si>
  <si>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</si>
  <si>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</si>
  <si>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</si>
  <si>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</si>
  <si>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</si>
  <si>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</si>
  <si>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</si>
  <si>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</si>
  <si>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</si>
  <si>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</si>
  <si>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</si>
  <si>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設計費</t>
  </si>
  <si>
    <t>組立調整費</t>
  </si>
  <si>
    <t>ミスミ</t>
    <phoneticPr fontId="11"/>
  </si>
  <si>
    <t>meviy</t>
    <phoneticPr fontId="11"/>
  </si>
  <si>
    <t>3日目</t>
    <rPh sb="1" eb="2">
      <t>ヒ</t>
    </rPh>
    <rPh sb="2" eb="3">
      <t>メ</t>
    </rPh>
    <phoneticPr fontId="11"/>
  </si>
  <si>
    <t>1日目</t>
    <rPh sb="1" eb="2">
      <t>ヒ</t>
    </rPh>
    <rPh sb="2" eb="3">
      <t>メ</t>
    </rPh>
    <phoneticPr fontId="11"/>
  </si>
  <si>
    <t>8日目</t>
    <rPh sb="1" eb="2">
      <t>ヒ</t>
    </rPh>
    <rPh sb="2" eb="3">
      <t>メ</t>
    </rPh>
    <phoneticPr fontId="11"/>
  </si>
  <si>
    <t>ねじ変換継手</t>
    <phoneticPr fontId="11"/>
  </si>
  <si>
    <t>出荷依頼項目NO.</t>
    <rPh sb="0" eb="4">
      <t>シュッカイライ</t>
    </rPh>
    <rPh sb="4" eb="6">
      <t>コウモク</t>
    </rPh>
    <phoneticPr fontId="10"/>
  </si>
  <si>
    <t>福島</t>
    <rPh sb="0" eb="2">
      <t>フクシマ</t>
    </rPh>
    <phoneticPr fontId="10"/>
  </si>
  <si>
    <t>Ｎo.【202839】</t>
    <phoneticPr fontId="10"/>
  </si>
  <si>
    <t>PEW池田電機様　(阪本（株））</t>
    <rPh sb="10" eb="12">
      <t>サカモト</t>
    </rPh>
    <rPh sb="12" eb="15">
      <t>カブ</t>
    </rPh>
    <phoneticPr fontId="10"/>
  </si>
  <si>
    <t>富士化学産業(株)</t>
    <phoneticPr fontId="10"/>
  </si>
  <si>
    <t>宇都</t>
    <rPh sb="0" eb="2">
      <t>ウト</t>
    </rPh>
    <phoneticPr fontId="10"/>
  </si>
  <si>
    <t>APMTSL-N1-N1-L30</t>
    <phoneticPr fontId="11"/>
  </si>
  <si>
    <t>SETB0311-A01　改造用　 AXA400+SV35DAﾛｰﾀﾘｰｱｸﾁｭｴﾀｰ＋浸け置き+SVC720F　PEW池田電機様　構想図　20260106</t>
    <phoneticPr fontId="10"/>
  </si>
  <si>
    <t>図面NO.　SETB-0311-A01</t>
    <rPh sb="0" eb="2">
      <t>ズメン</t>
    </rPh>
    <phoneticPr fontId="10"/>
  </si>
  <si>
    <t>SETB0311-Y01　SV59161　SV35DAﾊﾞﾙﾌﾞﾎﾙﾀﾞ</t>
    <phoneticPr fontId="10"/>
  </si>
  <si>
    <t>AFPBA3-P3.96-L4-B2.3-E0.7</t>
    <phoneticPr fontId="10"/>
  </si>
  <si>
    <t>CBSST8-10</t>
    <phoneticPr fontId="10"/>
  </si>
  <si>
    <t>MS3-30</t>
    <phoneticPr fontId="10"/>
  </si>
  <si>
    <t>①</t>
    <phoneticPr fontId="10"/>
  </si>
  <si>
    <t>ノックピン　ストレート</t>
    <phoneticPr fontId="10"/>
  </si>
  <si>
    <t>低頭六角穴付ボルト</t>
    <phoneticPr fontId="10"/>
  </si>
  <si>
    <t>位置決めピン 高耐食ステンレス</t>
    <phoneticPr fontId="10"/>
  </si>
  <si>
    <t>運送費</t>
    <phoneticPr fontId="10"/>
  </si>
  <si>
    <t>MVBLK-AMW-4E7-H4PGJ</t>
    <phoneticPr fontId="10"/>
  </si>
  <si>
    <t>USLCN4</t>
    <phoneticPr fontId="10"/>
  </si>
  <si>
    <t>USEBL4</t>
    <phoneticPr fontId="10"/>
  </si>
  <si>
    <t>ワンタッチ継手　ユニオンエルボ</t>
    <phoneticPr fontId="10"/>
  </si>
  <si>
    <t>ワンタッチ継手　エルコネクタ</t>
    <phoneticPr fontId="10"/>
  </si>
  <si>
    <t>Ｎo.229618</t>
    <phoneticPr fontId="10"/>
  </si>
  <si>
    <t>AB24BC1F32</t>
    <phoneticPr fontId="10"/>
  </si>
  <si>
    <t>MJELLS4-1-B</t>
    <phoneticPr fontId="10"/>
  </si>
  <si>
    <t>ワンタッチ継手　メイルエルボ</t>
    <phoneticPr fontId="10"/>
  </si>
  <si>
    <t>AB24BEFC2A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</si>
</sst>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0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color theme="10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11"/>
      <color theme="9" tint="-0.249977111117893"/>
      <name val="ＭＳ Ｐゴシック"/>
      <family val="3"/>
      <charset val="128"/>
    </font>
    <font>
      <b/>
      <sz val="11"/>
      <color rgb="FF00B050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99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</cellStyleXfs>
  <cellXfs count="13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2">
      <alignment vertical="center"/>
    </xf>
    <xf numFmtId="0" fontId="9" fillId="0" borderId="8" xfId="3" applyBorder="1" applyAlignment="1">
      <alignment horizontal="left" vertical="center"/>
    </xf>
    <xf numFmtId="0" fontId="9" fillId="0" borderId="10" xfId="3" applyBorder="1" applyAlignment="1">
      <alignment horizontal="center" vertical="center"/>
    </xf>
    <xf numFmtId="0" fontId="9" fillId="0" borderId="8" xfId="3" applyBorder="1" applyAlignment="1">
      <alignment horizontal="center" vertical="center"/>
    </xf>
    <xf numFmtId="49" fontId="9" fillId="0" borderId="8" xfId="3" applyNumberFormat="1" applyBorder="1" applyAlignment="1">
      <alignment horizontal="left" vertical="center"/>
    </xf>
    <xf numFmtId="3" fontId="9" fillId="0" borderId="12" xfId="3" applyNumberFormat="1" applyBorder="1" applyAlignment="1">
      <alignment horizontal="center" vertical="center"/>
    </xf>
    <xf numFmtId="0" fontId="9" fillId="0" borderId="8" xfId="3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38" fontId="9" fillId="0" borderId="8" xfId="3" applyNumberFormat="1" applyBorder="1" applyAlignment="1">
      <alignment horizontal="center" vertical="center"/>
    </xf>
    <xf numFmtId="176" fontId="9" fillId="0" borderId="8" xfId="3" applyNumberFormat="1" applyBorder="1" applyAlignment="1">
      <alignment horizontal="center" vertical="center"/>
    </xf>
    <xf numFmtId="176" fontId="9" fillId="0" borderId="8" xfId="3" applyNumberFormat="1" applyBorder="1">
      <alignment vertical="center"/>
    </xf>
    <xf numFmtId="0" fontId="9" fillId="7" borderId="8" xfId="3" applyFill="1" applyBorder="1" applyAlignment="1">
      <alignment horizontal="center" vertical="center"/>
    </xf>
    <xf numFmtId="3" fontId="9" fillId="7" borderId="8" xfId="3" applyNumberFormat="1" applyFill="1" applyBorder="1" applyAlignment="1">
      <alignment horizontal="center" vertical="center"/>
    </xf>
    <xf numFmtId="0" fontId="9" fillId="0" borderId="0" xfId="3">
      <alignment vertical="center"/>
    </xf>
    <xf numFmtId="177" fontId="9" fillId="0" borderId="0" xfId="3" applyNumberFormat="1" applyAlignment="1">
      <alignment horizontal="center" vertical="center"/>
    </xf>
    <xf numFmtId="0" fontId="9" fillId="0" borderId="0" xfId="3" applyAlignment="1">
      <alignment horizontal="center" vertical="center"/>
    </xf>
    <xf numFmtId="0" fontId="9" fillId="0" borderId="0" xfId="3" applyAlignment="1">
      <alignment horizontal="right" vertical="center"/>
    </xf>
    <xf numFmtId="0" fontId="9" fillId="0" borderId="1" xfId="3" applyBorder="1" applyAlignment="1">
      <alignment horizontal="left" vertical="center"/>
    </xf>
    <xf numFmtId="176" fontId="9" fillId="0" borderId="1" xfId="3" applyNumberFormat="1" applyBorder="1">
      <alignment vertical="center"/>
    </xf>
    <xf numFmtId="3" fontId="9" fillId="0" borderId="1" xfId="3" applyNumberFormat="1" applyBorder="1" applyAlignment="1">
      <alignment horizontal="center" vertical="center"/>
    </xf>
    <xf numFmtId="0" fontId="9" fillId="0" borderId="1" xfId="3" applyBorder="1" applyAlignment="1">
      <alignment horizontal="center" vertical="center"/>
    </xf>
    <xf numFmtId="177" fontId="9" fillId="0" borderId="1" xfId="3" applyNumberFormat="1" applyBorder="1" applyAlignment="1">
      <alignment horizontal="center" vertical="center"/>
    </xf>
    <xf numFmtId="0" fontId="9" fillId="0" borderId="1" xfId="3" applyBorder="1">
      <alignment vertical="center"/>
    </xf>
    <xf numFmtId="0" fontId="9" fillId="0" borderId="1" xfId="3" applyBorder="1" applyAlignment="1">
      <alignment horizontal="center" vertical="center" shrinkToFit="1"/>
    </xf>
    <xf numFmtId="176" fontId="9" fillId="0" borderId="1" xfId="3" applyNumberFormat="1" applyBorder="1" applyAlignment="1"/>
    <xf numFmtId="176" fontId="9" fillId="0" borderId="1" xfId="3" applyNumberFormat="1" applyBorder="1" applyAlignment="1">
      <alignment horizontal="center" vertical="center"/>
    </xf>
    <xf numFmtId="0" fontId="9" fillId="0" borderId="1" xfId="3" applyBorder="1" applyAlignment="1">
      <alignment vertical="center" shrinkToFit="1"/>
    </xf>
    <xf numFmtId="179" fontId="9" fillId="0" borderId="1" xfId="3" applyNumberFormat="1" applyBorder="1" applyAlignment="1">
      <alignment horizontal="center" vertical="center"/>
    </xf>
    <xf numFmtId="0" fontId="5" fillId="0" borderId="1" xfId="3" applyFont="1" applyBorder="1" applyAlignment="1">
      <alignment horizontal="left" vertical="center"/>
    </xf>
    <xf numFmtId="0" fontId="9" fillId="0" borderId="6" xfId="3" applyBorder="1" applyAlignment="1">
      <alignment horizontal="center" vertical="center"/>
    </xf>
    <xf numFmtId="0" fontId="2" fillId="6" borderId="8" xfId="3" applyFont="1" applyFill="1" applyBorder="1" applyAlignment="1">
      <alignment horizontal="center" vertical="center"/>
    </xf>
    <xf numFmtId="178" fontId="9" fillId="0" borderId="1" xfId="3" applyNumberFormat="1" applyBorder="1" applyAlignment="1">
      <alignment horizontal="center" vertical="center"/>
    </xf>
    <xf numFmtId="0" fontId="9" fillId="0" borderId="2" xfId="3" applyBorder="1" applyAlignment="1">
      <alignment horizontal="center" vertical="center"/>
    </xf>
    <xf numFmtId="176" fontId="9" fillId="0" borderId="3" xfId="3" applyNumberFormat="1" applyBorder="1" applyAlignment="1">
      <alignment horizontal="center" vertical="center"/>
    </xf>
    <xf numFmtId="178" fontId="9" fillId="0" borderId="8" xfId="3" applyNumberFormat="1" applyBorder="1" applyAlignment="1">
      <alignment horizontal="center" vertical="center"/>
    </xf>
    <xf numFmtId="56" fontId="9" fillId="0" borderId="8" xfId="3" applyNumberFormat="1" applyBorder="1" applyAlignment="1">
      <alignment horizontal="center" vertical="center"/>
    </xf>
    <xf numFmtId="0" fontId="13" fillId="0" borderId="8" xfId="3" applyFont="1" applyBorder="1">
      <alignment vertical="center"/>
    </xf>
    <xf numFmtId="0" fontId="2" fillId="0" borderId="8" xfId="3" applyFont="1" applyBorder="1" applyAlignment="1">
      <alignment horizontal="center" vertical="center"/>
    </xf>
    <xf numFmtId="38" fontId="9" fillId="9" borderId="8" xfId="3" applyNumberFormat="1" applyFill="1" applyBorder="1" applyAlignment="1">
      <alignment horizontal="center" vertical="center"/>
    </xf>
    <xf numFmtId="0" fontId="13" fillId="0" borderId="10" xfId="3" applyFont="1" applyBorder="1" applyAlignment="1">
      <alignment horizontal="center" vertical="center"/>
    </xf>
    <xf numFmtId="3" fontId="13" fillId="7" borderId="8" xfId="3" applyNumberFormat="1" applyFont="1" applyFill="1" applyBorder="1" applyAlignment="1">
      <alignment horizontal="center" vertical="center"/>
    </xf>
    <xf numFmtId="0" fontId="9" fillId="0" borderId="8" xfId="3" applyBorder="1" applyAlignment="1">
      <alignment horizontal="left" vertical="center" shrinkToFit="1"/>
    </xf>
    <xf numFmtId="176" fontId="9" fillId="0" borderId="8" xfId="3" applyNumberFormat="1" applyBorder="1" applyAlignment="1"/>
    <xf numFmtId="0" fontId="9" fillId="0" borderId="6" xfId="3" applyBorder="1" applyAlignment="1">
      <alignment vertical="center" shrinkToFit="1"/>
    </xf>
    <xf numFmtId="0" fontId="9" fillId="0" borderId="12" xfId="3" applyBorder="1" applyAlignment="1">
      <alignment horizontal="center" vertical="center"/>
    </xf>
    <xf numFmtId="180" fontId="13" fillId="0" borderId="12" xfId="3" applyNumberFormat="1" applyFont="1" applyBorder="1" applyAlignment="1">
      <alignment horizontal="center" vertical="center"/>
    </xf>
    <xf numFmtId="176" fontId="14" fillId="0" borderId="12" xfId="3" applyNumberFormat="1" applyFont="1" applyBorder="1" applyAlignment="1">
      <alignment horizontal="center" vertical="center"/>
    </xf>
    <xf numFmtId="0" fontId="13" fillId="0" borderId="8" xfId="3" applyFont="1" applyBorder="1" applyAlignment="1">
      <alignment horizontal="left" vertical="center"/>
    </xf>
    <xf numFmtId="176" fontId="7" fillId="0" borderId="8" xfId="3" applyNumberFormat="1" applyFont="1" applyBorder="1" applyAlignment="1">
      <alignment horizontal="center" vertical="center"/>
    </xf>
    <xf numFmtId="3" fontId="9" fillId="0" borderId="14" xfId="3" applyNumberForma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9" fillId="0" borderId="9" xfId="3" applyBorder="1" applyAlignment="1">
      <alignment horizontal="left" vertical="center"/>
    </xf>
    <xf numFmtId="176" fontId="9" fillId="0" borderId="13" xfId="3" applyNumberFormat="1" applyBorder="1" applyAlignment="1"/>
    <xf numFmtId="176" fontId="7" fillId="0" borderId="12" xfId="3" applyNumberFormat="1" applyFont="1" applyBorder="1" applyAlignment="1">
      <alignment horizontal="center" vertical="center"/>
    </xf>
    <xf numFmtId="176" fontId="9" fillId="0" borderId="7" xfId="3" applyNumberFormat="1" applyBorder="1">
      <alignment vertical="center"/>
    </xf>
    <xf numFmtId="3" fontId="9" fillId="0" borderId="9" xfId="3" applyNumberFormat="1" applyBorder="1" applyAlignment="1">
      <alignment horizontal="center" vertical="center"/>
    </xf>
    <xf numFmtId="0" fontId="9" fillId="0" borderId="3" xfId="3" applyBorder="1" applyAlignment="1">
      <alignment horizontal="center" vertical="center" shrinkToFit="1"/>
    </xf>
    <xf numFmtId="0" fontId="5" fillId="5" borderId="2" xfId="3" applyFont="1" applyFill="1" applyBorder="1" applyAlignment="1">
      <alignment horizontal="center" vertical="center"/>
    </xf>
    <xf numFmtId="0" fontId="9" fillId="7" borderId="11" xfId="3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9" fillId="0" borderId="1" xfId="3" applyBorder="1" applyAlignment="1">
      <alignment horizontal="left" vertical="center" shrinkToFit="1"/>
    </xf>
    <xf numFmtId="3" fontId="9" fillId="0" borderId="5" xfId="3" applyNumberFormat="1" applyBorder="1" applyAlignment="1">
      <alignment horizontal="center" vertical="center"/>
    </xf>
    <xf numFmtId="3" fontId="9" fillId="0" borderId="2" xfId="3" applyNumberFormat="1" applyBorder="1" applyAlignment="1">
      <alignment horizontal="center" vertical="center"/>
    </xf>
    <xf numFmtId="3" fontId="9" fillId="0" borderId="6" xfId="3" applyNumberFormat="1" applyBorder="1" applyAlignment="1">
      <alignment horizontal="center" vertical="center"/>
    </xf>
    <xf numFmtId="177" fontId="3" fillId="0" borderId="1" xfId="3" applyNumberFormat="1" applyFont="1" applyBorder="1" applyAlignment="1">
      <alignment horizontal="center" vertical="center"/>
    </xf>
    <xf numFmtId="0" fontId="9" fillId="0" borderId="0" xfId="3" applyAlignment="1">
      <alignment vertical="center" wrapText="1"/>
    </xf>
    <xf numFmtId="0" fontId="3" fillId="0" borderId="1" xfId="3" applyFont="1" applyBorder="1" applyAlignment="1">
      <alignment horizontal="center" vertical="center"/>
    </xf>
    <xf numFmtId="176" fontId="4" fillId="0" borderId="1" xfId="3" applyNumberFormat="1" applyFont="1" applyBorder="1">
      <alignment vertical="center"/>
    </xf>
    <xf numFmtId="0" fontId="8" fillId="0" borderId="1" xfId="3" applyFont="1" applyBorder="1" applyAlignment="1">
      <alignment horizontal="center" vertical="center"/>
    </xf>
    <xf numFmtId="179" fontId="9" fillId="0" borderId="6" xfId="3" applyNumberFormat="1" applyBorder="1" applyAlignment="1">
      <alignment horizontal="center" vertical="center"/>
    </xf>
    <xf numFmtId="0" fontId="9" fillId="0" borderId="8" xfId="3" applyBorder="1" applyAlignment="1">
      <alignment horizontal="center" vertical="center" shrinkToFit="1"/>
    </xf>
    <xf numFmtId="0" fontId="9" fillId="0" borderId="2" xfId="3" applyBorder="1" applyAlignment="1">
      <alignment vertical="center" shrinkToFit="1"/>
    </xf>
    <xf numFmtId="56" fontId="9" fillId="0" borderId="11" xfId="3" applyNumberFormat="1" applyBorder="1" applyAlignment="1">
      <alignment horizontal="center" vertical="center"/>
    </xf>
    <xf numFmtId="0" fontId="18" fillId="0" borderId="8" xfId="3" applyFont="1" applyBorder="1">
      <alignment vertical="center"/>
    </xf>
    <xf numFmtId="0" fontId="16" fillId="0" borderId="10" xfId="2" applyFont="1" applyBorder="1">
      <alignment vertical="center"/>
    </xf>
    <xf numFmtId="0" fontId="9" fillId="0" borderId="5" xfId="3" applyBorder="1" applyAlignment="1">
      <alignment vertical="center" shrinkToFit="1"/>
    </xf>
    <xf numFmtId="0" fontId="9" fillId="0" borderId="10" xfId="3" applyBorder="1" applyAlignment="1">
      <alignment vertical="center" shrinkToFit="1"/>
    </xf>
    <xf numFmtId="0" fontId="13" fillId="9" borderId="10" xfId="3" applyFont="1" applyFill="1" applyBorder="1" applyAlignment="1">
      <alignment horizontal="center" vertical="center"/>
    </xf>
    <xf numFmtId="0" fontId="9" fillId="0" borderId="9" xfId="3" applyBorder="1" applyAlignment="1">
      <alignment horizontal="center" vertical="center"/>
    </xf>
    <xf numFmtId="0" fontId="13" fillId="8" borderId="8" xfId="3" applyFont="1" applyFill="1" applyBorder="1" applyAlignment="1">
      <alignment horizontal="center" vertical="center"/>
    </xf>
    <xf numFmtId="0" fontId="9" fillId="8" borderId="8" xfId="3" applyFill="1" applyBorder="1" applyAlignment="1">
      <alignment horizontal="center" vertical="center"/>
    </xf>
    <xf numFmtId="38" fontId="9" fillId="8" borderId="8" xfId="3" applyNumberFormat="1" applyFill="1" applyBorder="1" applyAlignment="1">
      <alignment horizontal="center" vertical="center"/>
    </xf>
    <xf numFmtId="49" fontId="9" fillId="8" borderId="8" xfId="3" applyNumberFormat="1" applyFill="1" applyBorder="1" applyAlignment="1">
      <alignment horizontal="left" vertical="center"/>
    </xf>
    <xf numFmtId="176" fontId="9" fillId="8" borderId="8" xfId="3" applyNumberFormat="1" applyFill="1" applyBorder="1" applyAlignment="1">
      <alignment horizontal="center" vertical="center"/>
    </xf>
    <xf numFmtId="49" fontId="13" fillId="8" borderId="8" xfId="3" applyNumberFormat="1" applyFont="1" applyFill="1" applyBorder="1" applyAlignment="1">
      <alignment horizontal="left" vertical="center"/>
    </xf>
    <xf numFmtId="0" fontId="13" fillId="8" borderId="8" xfId="3" applyFont="1" applyFill="1" applyBorder="1" applyAlignment="1">
      <alignment horizontal="left" vertical="center"/>
    </xf>
    <xf numFmtId="176" fontId="14" fillId="0" borderId="15" xfId="3" applyNumberFormat="1" applyFont="1" applyBorder="1" applyAlignment="1">
      <alignment horizontal="center" vertical="center"/>
    </xf>
    <xf numFmtId="0" fontId="5" fillId="0" borderId="2" xfId="3" applyFont="1" applyBorder="1" applyAlignment="1">
      <alignment horizontal="left" vertical="center"/>
    </xf>
    <xf numFmtId="176" fontId="9" fillId="0" borderId="11" xfId="3" applyNumberFormat="1" applyBorder="1" applyAlignment="1">
      <alignment horizontal="center" vertical="center"/>
    </xf>
    <xf numFmtId="176" fontId="9" fillId="0" borderId="16" xfId="3" applyNumberFormat="1" applyBorder="1" applyAlignment="1">
      <alignment horizontal="center" vertical="center"/>
    </xf>
    <xf numFmtId="180" fontId="13" fillId="0" borderId="8" xfId="3" applyNumberFormat="1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176" fontId="7" fillId="0" borderId="2" xfId="3" applyNumberFormat="1" applyFont="1" applyBorder="1" applyAlignment="1">
      <alignment horizontal="center" vertical="center"/>
    </xf>
    <xf numFmtId="176" fontId="7" fillId="0" borderId="5" xfId="3" applyNumberFormat="1" applyFont="1" applyBorder="1" applyAlignment="1">
      <alignment horizontal="center" vertical="center"/>
    </xf>
    <xf numFmtId="176" fontId="7" fillId="0" borderId="6" xfId="3" applyNumberFormat="1" applyFont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3" fillId="2" borderId="5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4" fillId="3" borderId="2" xfId="3" applyFont="1" applyFill="1" applyBorder="1" applyAlignment="1">
      <alignment horizontal="center" vertical="center"/>
    </xf>
    <xf numFmtId="0" fontId="4" fillId="3" borderId="5" xfId="3" applyFont="1" applyFill="1" applyBorder="1" applyAlignment="1">
      <alignment horizontal="center" vertical="center"/>
    </xf>
    <xf numFmtId="0" fontId="4" fillId="3" borderId="6" xfId="3" applyFont="1" applyFill="1" applyBorder="1" applyAlignment="1">
      <alignment horizontal="center" vertical="center"/>
    </xf>
    <xf numFmtId="0" fontId="9" fillId="0" borderId="0" xfId="3" applyAlignment="1">
      <alignment horizontal="center" vertical="center" wrapText="1"/>
    </xf>
    <xf numFmtId="0" fontId="17" fillId="0" borderId="8" xfId="3" applyFont="1" applyBorder="1" applyAlignment="1">
      <alignment horizontal="center" vertical="center" wrapText="1"/>
    </xf>
    <xf numFmtId="178" fontId="9" fillId="0" borderId="0" xfId="3" applyNumberFormat="1" applyBorder="1" applyAlignment="1">
      <alignment horizontal="center" vertical="center"/>
    </xf>
    <xf numFmtId="176" fontId="9" fillId="0" borderId="17" xfId="3" applyNumberFormat="1" applyBorder="1" applyAlignment="1"/>
    <xf numFmtId="0" fontId="9" fillId="0" borderId="12" xfId="3" applyBorder="1" applyAlignment="1">
      <alignment horizontal="left" vertical="center" shrinkToFit="1"/>
    </xf>
    <xf numFmtId="0" fontId="9" fillId="0" borderId="15" xfId="3" applyBorder="1" applyAlignment="1">
      <alignment vertical="center" shrinkToFit="1"/>
    </xf>
    <xf numFmtId="0" fontId="9" fillId="0" borderId="18" xfId="3" applyBorder="1" applyAlignment="1">
      <alignment horizontal="center" vertical="center"/>
    </xf>
    <xf numFmtId="0" fontId="2" fillId="0" borderId="18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3" fontId="9" fillId="0" borderId="3" xfId="3" applyNumberFormat="1" applyBorder="1" applyAlignment="1">
      <alignment horizontal="center" vertical="center"/>
    </xf>
    <xf numFmtId="176" fontId="9" fillId="0" borderId="3" xfId="3" applyNumberFormat="1" applyBorder="1">
      <alignment vertical="center"/>
    </xf>
    <xf numFmtId="176" fontId="14" fillId="4" borderId="19" xfId="3" applyNumberFormat="1" applyFont="1" applyFill="1" applyBorder="1" applyAlignment="1">
      <alignment horizontal="center" vertical="center"/>
    </xf>
    <xf numFmtId="176" fontId="7" fillId="0" borderId="18" xfId="3" applyNumberFormat="1" applyFont="1" applyBorder="1">
      <alignment vertical="center"/>
    </xf>
    <xf numFmtId="176" fontId="9" fillId="0" borderId="20" xfId="3" applyNumberFormat="1" applyBorder="1" applyAlignment="1"/>
    <xf numFmtId="0" fontId="9" fillId="0" borderId="3" xfId="3" applyBorder="1" applyAlignment="1">
      <alignment horizontal="left" vertical="center"/>
    </xf>
    <xf numFmtId="0" fontId="9" fillId="0" borderId="4" xfId="3" applyBorder="1" applyAlignment="1">
      <alignment vertical="center" shrinkToFit="1"/>
    </xf>
    <xf numFmtId="0" fontId="9" fillId="0" borderId="8" xfId="3" applyBorder="1" applyAlignment="1">
      <alignment vertical="center" shrinkToFit="1"/>
    </xf>
    <xf numFmtId="49" fontId="9" fillId="10" borderId="12" xfId="3" applyNumberFormat="1" applyFill="1" applyBorder="1" applyAlignment="1">
      <alignment horizontal="left" vertical="center"/>
    </xf>
    <xf numFmtId="0" fontId="9" fillId="10" borderId="12" xfId="3" applyFill="1" applyBorder="1" applyAlignment="1">
      <alignment horizontal="center" vertical="center"/>
    </xf>
    <xf numFmtId="38" fontId="9" fillId="10" borderId="12" xfId="3" applyNumberFormat="1" applyFill="1" applyBorder="1" applyAlignment="1">
      <alignment horizontal="center" vertical="center"/>
    </xf>
    <xf numFmtId="176" fontId="9" fillId="10" borderId="12" xfId="3" applyNumberFormat="1" applyFill="1" applyBorder="1" applyAlignment="1">
      <alignment horizontal="center" vertical="center"/>
    </xf>
    <xf numFmtId="56" fontId="9" fillId="0" borderId="21" xfId="3" applyNumberFormat="1" applyBorder="1" applyAlignment="1">
      <alignment horizontal="center" vertical="center"/>
    </xf>
    <xf numFmtId="177" fontId="9" fillId="0" borderId="19" xfId="3" applyNumberFormat="1" applyBorder="1" applyAlignment="1">
      <alignment horizontal="center" vertical="center"/>
    </xf>
    <xf numFmtId="56" fontId="9" fillId="0" borderId="12" xfId="3" applyNumberFormat="1" applyBorder="1" applyAlignment="1">
      <alignment horizontal="center" vertical="center"/>
    </xf>
    <xf numFmtId="179" fontId="9" fillId="0" borderId="9" xfId="3" applyNumberFormat="1" applyBorder="1" applyAlignment="1">
      <alignment horizontal="center" vertical="center"/>
    </xf>
    <xf numFmtId="179" fontId="9" fillId="0" borderId="16" xfId="3" applyNumberFormat="1" applyBorder="1" applyAlignment="1">
      <alignment horizontal="center" vertical="center"/>
    </xf>
    <xf numFmtId="177" fontId="9" fillId="0" borderId="3" xfId="3" applyNumberFormat="1" applyBorder="1" applyAlignment="1">
      <alignment horizontal="center" vertical="center"/>
    </xf>
    <xf numFmtId="179" fontId="9" fillId="0" borderId="3" xfId="3" applyNumberFormat="1" applyBorder="1" applyAlignment="1">
      <alignment horizontal="center" vertical="center"/>
    </xf>
    <xf numFmtId="177" fontId="9" fillId="0" borderId="8" xfId="3" applyNumberFormat="1" applyBorder="1" applyAlignment="1">
      <alignment horizontal="center" vertical="center"/>
    </xf>
    <xf numFmtId="0" fontId="19" fillId="0" borderId="8" xfId="3" applyFont="1" applyBorder="1" applyAlignment="1">
      <alignment horizontal="left" vertical="center" shrinkToFit="1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7B947-1DB5-4D20-B835-196F6A51DD36}">
  <sheetPr>
    <tabColor theme="7" tint="0.39997558519241921"/>
  </sheetPr>
  <dimension ref="A2:R33"/>
  <sheetViews>
    <sheetView tabSelected="1" zoomScale="85" zoomScaleNormal="85" workbookViewId="0">
      <pane xSplit="11" ySplit="8" topLeftCell="L9" activePane="bottomRight" state="frozen"/>
      <selection pane="topRight" activeCell="L1" sqref="L1"/>
      <selection pane="bottomLeft" activeCell="A9" sqref="A9"/>
      <selection pane="bottomRight" activeCell="M19" sqref="M19"/>
    </sheetView>
  </sheetViews>
  <sheetFormatPr defaultColWidth="11.77734375" defaultRowHeight="13.5" customHeight="1" x14ac:dyDescent="0.2"/>
  <cols>
    <col min="1" max="1" width="18.6640625" style="17" customWidth="1"/>
    <col min="2" max="2" width="17" style="17" customWidth="1"/>
    <col min="3" max="3" width="6.21875" style="19" customWidth="1"/>
    <col min="4" max="4" width="15.21875" style="17" customWidth="1"/>
    <col min="5" max="5" width="15.44140625" style="17" customWidth="1"/>
    <col min="6" max="6" width="71.44140625" style="17" customWidth="1"/>
    <col min="7" max="7" width="10.77734375" style="19" customWidth="1"/>
    <col min="8" max="9" width="12.109375" style="19" customWidth="1"/>
    <col min="10" max="10" width="7.109375" style="20" customWidth="1"/>
    <col min="11" max="11" width="43.88671875" style="17" customWidth="1"/>
    <col min="12" max="12" width="21" style="17" customWidth="1"/>
    <col min="13" max="13" width="20.77734375" style="19" customWidth="1"/>
    <col min="14" max="14" width="12" style="19" customWidth="1"/>
    <col min="15" max="15" width="11.5546875" style="17" customWidth="1"/>
    <col min="16" max="16" width="16.33203125" style="19" customWidth="1"/>
    <col min="17" max="17" width="17.88671875" style="18" customWidth="1"/>
    <col min="18" max="18" width="19.33203125" style="18" customWidth="1"/>
    <col min="19" max="16384" width="11.77734375" style="17"/>
  </cols>
  <sheetData>
    <row r="2" spans="1:18" ht="20.100000000000001" customHeight="1" x14ac:dyDescent="0.2">
      <c r="C2" s="99" t="s">
        <v>0</v>
      </c>
      <c r="D2" s="99"/>
      <c r="E2" s="99"/>
      <c r="F2" s="72" t="s">
        <v>35</v>
      </c>
      <c r="H2" s="104" t="s">
        <v>1</v>
      </c>
      <c r="I2" s="105"/>
      <c r="J2" s="106"/>
      <c r="K2" s="71">
        <f>SUM(I:I)</f>
        <v>26917</v>
      </c>
    </row>
    <row r="3" spans="1:18" ht="20.100000000000001" customHeight="1" x14ac:dyDescent="0.2">
      <c r="C3" s="99" t="s">
        <v>2</v>
      </c>
      <c r="D3" s="99"/>
      <c r="E3" s="99"/>
      <c r="F3" s="70" t="s">
        <v>36</v>
      </c>
    </row>
    <row r="4" spans="1:18" ht="20.100000000000001" customHeight="1" x14ac:dyDescent="0.2">
      <c r="C4" s="99" t="s">
        <v>3</v>
      </c>
      <c r="D4" s="99"/>
      <c r="E4" s="99"/>
      <c r="F4" s="70" t="s">
        <v>54</v>
      </c>
      <c r="H4" s="69"/>
      <c r="I4" s="107" t="s">
        <v>38</v>
      </c>
      <c r="J4" s="107"/>
      <c r="K4" s="107"/>
    </row>
    <row r="5" spans="1:18" ht="20.100000000000001" customHeight="1" x14ac:dyDescent="0.2">
      <c r="C5" s="99" t="s">
        <v>4</v>
      </c>
      <c r="D5" s="99"/>
      <c r="E5" s="99"/>
      <c r="F5" s="68">
        <v>46048</v>
      </c>
      <c r="H5" s="108" t="s">
        <v>44</v>
      </c>
      <c r="I5" s="107"/>
      <c r="J5" s="107"/>
      <c r="K5" s="107"/>
    </row>
    <row r="6" spans="1:18" ht="20.100000000000001" customHeight="1" x14ac:dyDescent="0.2">
      <c r="C6" s="99" t="s">
        <v>5</v>
      </c>
      <c r="D6" s="99"/>
      <c r="E6" s="99"/>
      <c r="F6" s="68">
        <v>46049</v>
      </c>
      <c r="H6" s="108"/>
      <c r="I6" s="103" t="s">
        <v>39</v>
      </c>
      <c r="J6" s="103"/>
      <c r="K6" s="103"/>
    </row>
    <row r="8" spans="1:18" s="19" customFormat="1" ht="19.5" customHeight="1" x14ac:dyDescent="0.2">
      <c r="B8" s="41" t="s">
        <v>31</v>
      </c>
      <c r="C8" s="67" t="s">
        <v>6</v>
      </c>
      <c r="D8" s="23" t="s">
        <v>7</v>
      </c>
      <c r="E8" s="23" t="s">
        <v>8</v>
      </c>
      <c r="F8" s="24" t="s">
        <v>9</v>
      </c>
      <c r="G8" s="24" t="s">
        <v>10</v>
      </c>
      <c r="H8" s="24" t="s">
        <v>11</v>
      </c>
      <c r="I8" s="36" t="s">
        <v>12</v>
      </c>
      <c r="J8" s="36" t="s">
        <v>13</v>
      </c>
      <c r="K8" s="24" t="s">
        <v>14</v>
      </c>
      <c r="L8" s="24" t="s">
        <v>15</v>
      </c>
      <c r="M8" s="24" t="s">
        <v>16</v>
      </c>
      <c r="N8" s="31" t="s">
        <v>17</v>
      </c>
      <c r="O8" s="23" t="s">
        <v>18</v>
      </c>
      <c r="P8" s="24" t="s">
        <v>19</v>
      </c>
      <c r="Q8" s="31" t="s">
        <v>20</v>
      </c>
      <c r="R8" s="25" t="s">
        <v>21</v>
      </c>
    </row>
    <row r="9" spans="1:18" s="19" customFormat="1" ht="19.5" customHeight="1" x14ac:dyDescent="0.2">
      <c r="C9" s="66"/>
      <c r="D9" s="65"/>
      <c r="E9" s="65"/>
      <c r="F9" s="47"/>
      <c r="G9" s="29"/>
      <c r="H9" s="29"/>
      <c r="I9" s="29"/>
      <c r="J9" s="28"/>
      <c r="K9" s="64"/>
      <c r="L9" s="24"/>
      <c r="M9" s="82"/>
      <c r="N9" s="31"/>
      <c r="O9" s="23"/>
      <c r="P9" s="24"/>
      <c r="Q9" s="31"/>
      <c r="R9" s="25"/>
    </row>
    <row r="10" spans="1:18" s="19" customFormat="1" ht="19.5" customHeight="1" x14ac:dyDescent="0.2">
      <c r="C10" s="66"/>
      <c r="D10" s="65"/>
      <c r="E10" s="65"/>
      <c r="F10" s="47"/>
      <c r="G10" s="29"/>
      <c r="H10" s="29"/>
      <c r="I10" s="29"/>
      <c r="J10" s="28"/>
      <c r="K10" s="64"/>
      <c r="L10" s="36"/>
      <c r="M10" s="7"/>
      <c r="N10" s="73"/>
      <c r="O10" s="23"/>
      <c r="P10" s="24"/>
      <c r="Q10" s="31"/>
      <c r="R10" s="25"/>
    </row>
    <row r="11" spans="1:18" ht="18" customHeight="1" x14ac:dyDescent="0.2">
      <c r="C11" s="100" t="s">
        <v>22</v>
      </c>
      <c r="D11" s="101"/>
      <c r="E11" s="101"/>
      <c r="F11" s="102"/>
      <c r="G11" s="63"/>
      <c r="H11" s="63"/>
      <c r="I11" s="29"/>
      <c r="J11" s="28"/>
      <c r="K11" s="32"/>
      <c r="L11" s="75"/>
      <c r="M11" s="74"/>
      <c r="N11" s="73"/>
      <c r="O11" s="25"/>
      <c r="P11" s="25"/>
      <c r="Q11" s="31"/>
      <c r="R11" s="35"/>
    </row>
    <row r="12" spans="1:18" ht="18" customHeight="1" x14ac:dyDescent="0.2">
      <c r="A12" s="62" t="s">
        <v>27</v>
      </c>
      <c r="B12" s="41"/>
      <c r="C12" s="61">
        <v>1</v>
      </c>
      <c r="D12" s="44" t="s">
        <v>25</v>
      </c>
      <c r="E12" s="44" t="s">
        <v>25</v>
      </c>
      <c r="F12" s="89" t="s">
        <v>37</v>
      </c>
      <c r="G12" s="83">
        <v>2</v>
      </c>
      <c r="H12" s="83">
        <v>1395</v>
      </c>
      <c r="I12" s="81">
        <f>G12*H12</f>
        <v>2790</v>
      </c>
      <c r="J12" s="43"/>
      <c r="K12" s="51" t="s">
        <v>30</v>
      </c>
      <c r="L12" s="80"/>
      <c r="M12" s="77" t="s">
        <v>55</v>
      </c>
      <c r="N12" s="76">
        <v>46036</v>
      </c>
      <c r="O12" s="10"/>
      <c r="P12" s="39">
        <v>46048</v>
      </c>
      <c r="Q12" s="31">
        <v>46049</v>
      </c>
      <c r="R12" s="38"/>
    </row>
    <row r="13" spans="1:18" ht="18" customHeight="1" x14ac:dyDescent="0.2">
      <c r="A13" s="15" t="s">
        <v>29</v>
      </c>
      <c r="B13" s="41"/>
      <c r="C13" s="61">
        <f>C12+1</f>
        <v>2</v>
      </c>
      <c r="D13" s="16" t="s">
        <v>26</v>
      </c>
      <c r="E13" s="16" t="s">
        <v>25</v>
      </c>
      <c r="F13" s="88" t="s">
        <v>49</v>
      </c>
      <c r="G13" s="87">
        <v>1</v>
      </c>
      <c r="H13" s="87">
        <v>19977</v>
      </c>
      <c r="I13" s="81">
        <f>G13*H13</f>
        <v>19977</v>
      </c>
      <c r="J13" s="46"/>
      <c r="K13" s="45" t="s">
        <v>40</v>
      </c>
      <c r="L13" s="4"/>
      <c r="M13" s="77" t="s">
        <v>55</v>
      </c>
      <c r="N13" s="76">
        <v>46036</v>
      </c>
      <c r="O13" s="10"/>
      <c r="P13" s="39">
        <v>46048</v>
      </c>
      <c r="Q13" s="31">
        <v>46049</v>
      </c>
      <c r="R13" s="38"/>
    </row>
    <row r="14" spans="1:18" ht="18" customHeight="1" x14ac:dyDescent="0.2">
      <c r="A14" s="62" t="s">
        <v>27</v>
      </c>
      <c r="B14" s="41"/>
      <c r="C14" s="61">
        <f>C13+1</f>
        <v>3</v>
      </c>
      <c r="D14" s="44" t="s">
        <v>25</v>
      </c>
      <c r="E14" s="44" t="s">
        <v>25</v>
      </c>
      <c r="F14" s="86" t="s">
        <v>41</v>
      </c>
      <c r="G14" s="84">
        <v>4</v>
      </c>
      <c r="H14" s="85">
        <v>489</v>
      </c>
      <c r="I14" s="81">
        <f t="shared" ref="I14:I19" si="0">G14*H14</f>
        <v>1956</v>
      </c>
      <c r="J14" s="6"/>
      <c r="K14" s="45" t="s">
        <v>47</v>
      </c>
      <c r="L14" s="78"/>
      <c r="M14" s="77" t="s">
        <v>55</v>
      </c>
      <c r="N14" s="76">
        <v>46036</v>
      </c>
      <c r="O14" s="10"/>
      <c r="P14" s="39">
        <v>46048</v>
      </c>
      <c r="Q14" s="31">
        <v>46049</v>
      </c>
      <c r="R14" s="38"/>
    </row>
    <row r="15" spans="1:18" ht="18" customHeight="1" x14ac:dyDescent="0.2">
      <c r="A15" s="15" t="s">
        <v>28</v>
      </c>
      <c r="B15" s="41"/>
      <c r="C15" s="61">
        <f t="shared" ref="C15:C19" si="1">C14+1</f>
        <v>4</v>
      </c>
      <c r="D15" s="44" t="s">
        <v>25</v>
      </c>
      <c r="E15" s="44" t="s">
        <v>25</v>
      </c>
      <c r="F15" s="86" t="s">
        <v>42</v>
      </c>
      <c r="G15" s="84">
        <v>1</v>
      </c>
      <c r="H15" s="85">
        <v>92</v>
      </c>
      <c r="I15" s="81">
        <f t="shared" si="0"/>
        <v>92</v>
      </c>
      <c r="J15" s="6"/>
      <c r="K15" s="45" t="s">
        <v>46</v>
      </c>
      <c r="L15" s="78"/>
      <c r="M15" s="77" t="s">
        <v>55</v>
      </c>
      <c r="N15" s="76">
        <v>46036</v>
      </c>
      <c r="O15" s="10"/>
      <c r="P15" s="39">
        <v>46048</v>
      </c>
      <c r="Q15" s="31">
        <v>46049</v>
      </c>
      <c r="R15" s="38"/>
    </row>
    <row r="16" spans="1:18" ht="18" customHeight="1" x14ac:dyDescent="0.2">
      <c r="A16" s="15" t="s">
        <v>28</v>
      </c>
      <c r="B16" s="41"/>
      <c r="C16" s="61">
        <f t="shared" si="1"/>
        <v>5</v>
      </c>
      <c r="D16" s="44" t="s">
        <v>25</v>
      </c>
      <c r="E16" s="44" t="s">
        <v>25</v>
      </c>
      <c r="F16" s="86" t="s">
        <v>43</v>
      </c>
      <c r="G16" s="84">
        <v>4</v>
      </c>
      <c r="H16" s="85">
        <v>77</v>
      </c>
      <c r="I16" s="81">
        <f t="shared" si="0"/>
        <v>308</v>
      </c>
      <c r="J16" s="6"/>
      <c r="K16" s="45" t="s">
        <v>45</v>
      </c>
      <c r="L16" s="78"/>
      <c r="M16" s="77" t="s">
        <v>55</v>
      </c>
      <c r="N16" s="76">
        <v>46036</v>
      </c>
      <c r="O16" s="10"/>
      <c r="P16" s="39">
        <v>46048</v>
      </c>
      <c r="Q16" s="31">
        <v>46049</v>
      </c>
      <c r="R16" s="38"/>
    </row>
    <row r="17" spans="1:18" ht="18" customHeight="1" x14ac:dyDescent="0.2">
      <c r="A17" s="15" t="s">
        <v>28</v>
      </c>
      <c r="B17" s="41"/>
      <c r="C17" s="61">
        <f t="shared" si="1"/>
        <v>6</v>
      </c>
      <c r="D17" s="44" t="s">
        <v>25</v>
      </c>
      <c r="E17" s="44" t="s">
        <v>25</v>
      </c>
      <c r="F17" s="86" t="s">
        <v>50</v>
      </c>
      <c r="G17" s="84">
        <v>1</v>
      </c>
      <c r="H17" s="85">
        <v>287</v>
      </c>
      <c r="I17" s="42">
        <f t="shared" si="0"/>
        <v>287</v>
      </c>
      <c r="J17" s="6"/>
      <c r="K17" s="45" t="s">
        <v>53</v>
      </c>
      <c r="L17" s="78"/>
      <c r="M17" s="77" t="s">
        <v>55</v>
      </c>
      <c r="N17" s="76">
        <v>46036</v>
      </c>
      <c r="O17" s="10"/>
      <c r="P17" s="39">
        <v>46048</v>
      </c>
      <c r="Q17" s="31">
        <v>46049</v>
      </c>
      <c r="R17" s="38"/>
    </row>
    <row r="18" spans="1:18" ht="18" customHeight="1" x14ac:dyDescent="0.2">
      <c r="A18" s="15" t="s">
        <v>28</v>
      </c>
      <c r="B18" s="41"/>
      <c r="C18" s="61">
        <f t="shared" si="1"/>
        <v>7</v>
      </c>
      <c r="D18" s="44" t="s">
        <v>25</v>
      </c>
      <c r="E18" s="44" t="s">
        <v>25</v>
      </c>
      <c r="F18" s="86" t="s">
        <v>51</v>
      </c>
      <c r="G18" s="84">
        <v>1</v>
      </c>
      <c r="H18" s="85">
        <v>207</v>
      </c>
      <c r="I18" s="42">
        <f t="shared" si="0"/>
        <v>207</v>
      </c>
      <c r="J18" s="6"/>
      <c r="K18" s="45" t="s">
        <v>52</v>
      </c>
      <c r="L18" s="78"/>
      <c r="M18" s="77" t="s">
        <v>55</v>
      </c>
      <c r="N18" s="76">
        <v>46036</v>
      </c>
      <c r="O18" s="10"/>
      <c r="P18" s="39">
        <v>46048</v>
      </c>
      <c r="Q18" s="31">
        <v>46049</v>
      </c>
      <c r="R18" s="38"/>
    </row>
    <row r="19" spans="1:18" ht="17.399999999999999" customHeight="1" x14ac:dyDescent="0.2">
      <c r="A19" s="15" t="s">
        <v>28</v>
      </c>
      <c r="B19" s="41"/>
      <c r="C19" s="61">
        <f t="shared" si="1"/>
        <v>8</v>
      </c>
      <c r="D19" s="44" t="s">
        <v>25</v>
      </c>
      <c r="E19" s="44" t="s">
        <v>25</v>
      </c>
      <c r="F19" s="124" t="s">
        <v>56</v>
      </c>
      <c r="G19" s="125">
        <v>1</v>
      </c>
      <c r="H19" s="126">
        <v>1300</v>
      </c>
      <c r="I19" s="127">
        <f t="shared" si="0"/>
        <v>1300</v>
      </c>
      <c r="J19" s="110"/>
      <c r="K19" s="111" t="s">
        <v>57</v>
      </c>
      <c r="L19" s="112"/>
      <c r="M19" s="136" t="s">
        <v>58</v>
      </c>
      <c r="N19" s="128">
        <v>46041</v>
      </c>
      <c r="O19" s="129"/>
      <c r="P19" s="130">
        <v>46048</v>
      </c>
      <c r="Q19" s="131">
        <v>46049</v>
      </c>
      <c r="R19" s="38"/>
    </row>
    <row r="20" spans="1:18" ht="17.399999999999999" customHeight="1" x14ac:dyDescent="0.2">
      <c r="A20" s="7"/>
      <c r="B20" s="41"/>
      <c r="C20" s="95"/>
      <c r="D20" s="7"/>
      <c r="E20" s="7"/>
      <c r="F20" s="8"/>
      <c r="G20" s="7"/>
      <c r="H20" s="12"/>
      <c r="I20" s="13"/>
      <c r="J20" s="46"/>
      <c r="K20" s="45"/>
      <c r="L20" s="123"/>
      <c r="M20" s="74"/>
      <c r="N20" s="39"/>
      <c r="O20" s="135"/>
      <c r="P20" s="39"/>
      <c r="Q20" s="39"/>
      <c r="R20" s="109"/>
    </row>
    <row r="21" spans="1:18" ht="18" customHeight="1" x14ac:dyDescent="0.2">
      <c r="A21" s="113"/>
      <c r="B21" s="114"/>
      <c r="C21" s="115"/>
      <c r="D21" s="116"/>
      <c r="E21" s="117"/>
      <c r="F21" s="118">
        <f>SUM(I12:I19)</f>
        <v>26917</v>
      </c>
      <c r="G21" s="119"/>
      <c r="H21" s="119"/>
      <c r="I21" s="119"/>
      <c r="J21" s="120"/>
      <c r="K21" s="121"/>
      <c r="L21" s="122"/>
      <c r="M21" s="74"/>
      <c r="N21" s="132"/>
      <c r="O21" s="133"/>
      <c r="P21" s="133"/>
      <c r="Q21" s="134"/>
      <c r="R21" s="35"/>
    </row>
    <row r="22" spans="1:18" ht="18" customHeight="1" x14ac:dyDescent="0.2">
      <c r="A22" s="7"/>
      <c r="B22" s="41"/>
      <c r="C22" s="54"/>
      <c r="D22" s="59"/>
      <c r="E22" s="58"/>
      <c r="F22" s="57"/>
      <c r="G22" s="57"/>
      <c r="H22" s="57"/>
      <c r="I22" s="57"/>
      <c r="J22" s="56"/>
      <c r="K22" s="55"/>
      <c r="L22" s="75"/>
      <c r="M22" s="74"/>
      <c r="N22" s="73"/>
      <c r="O22" s="25"/>
      <c r="P22" s="25"/>
      <c r="Q22" s="31"/>
      <c r="R22" s="35"/>
    </row>
    <row r="23" spans="1:18" ht="18" customHeight="1" x14ac:dyDescent="0.2">
      <c r="A23" s="7"/>
      <c r="B23" s="41"/>
      <c r="C23" s="54"/>
      <c r="D23" s="53"/>
      <c r="E23" s="14"/>
      <c r="F23" s="52"/>
      <c r="G23" s="52"/>
      <c r="H23" s="52"/>
      <c r="I23" s="52"/>
      <c r="J23" s="46"/>
      <c r="K23" s="5"/>
      <c r="L23" s="79"/>
      <c r="M23" s="74"/>
      <c r="N23" s="73"/>
      <c r="O23" s="25"/>
      <c r="P23" s="25"/>
      <c r="Q23" s="31"/>
      <c r="R23" s="35"/>
    </row>
    <row r="24" spans="1:18" ht="18" customHeight="1" x14ac:dyDescent="0.2">
      <c r="A24" s="7"/>
      <c r="B24" s="41"/>
      <c r="C24" s="7"/>
      <c r="D24" s="9"/>
      <c r="E24" s="9"/>
      <c r="F24" s="50"/>
      <c r="G24" s="49"/>
      <c r="H24" s="48"/>
      <c r="I24" s="13"/>
      <c r="J24" s="7"/>
      <c r="K24" s="40"/>
      <c r="L24" s="79"/>
      <c r="M24" s="74"/>
      <c r="N24" s="73"/>
      <c r="O24" s="25"/>
      <c r="P24" s="25"/>
      <c r="Q24" s="31"/>
      <c r="R24" s="35"/>
    </row>
    <row r="25" spans="1:18" ht="18" customHeight="1" x14ac:dyDescent="0.2">
      <c r="A25" s="7"/>
      <c r="B25" s="41"/>
      <c r="C25" s="7"/>
      <c r="D25" s="9"/>
      <c r="E25" s="9"/>
      <c r="F25" s="90"/>
      <c r="G25" s="94"/>
      <c r="H25" s="7"/>
      <c r="I25" s="92"/>
      <c r="J25" s="7"/>
      <c r="K25" s="40"/>
      <c r="L25" s="79"/>
      <c r="M25" s="74"/>
      <c r="N25" s="73"/>
      <c r="O25" s="25"/>
      <c r="P25" s="25"/>
      <c r="Q25" s="31"/>
      <c r="R25" s="35"/>
    </row>
    <row r="26" spans="1:18" ht="18" customHeight="1" x14ac:dyDescent="0.2">
      <c r="C26" s="24"/>
      <c r="D26" s="23"/>
      <c r="E26" s="23"/>
      <c r="F26" s="91"/>
      <c r="G26" s="95"/>
      <c r="H26" s="95"/>
      <c r="I26" s="93"/>
      <c r="J26" s="36"/>
      <c r="K26" s="32"/>
      <c r="L26" s="30"/>
      <c r="M26" s="60"/>
      <c r="N26" s="31"/>
      <c r="O26" s="25"/>
      <c r="P26" s="25"/>
      <c r="Q26" s="31"/>
      <c r="R26" s="35"/>
    </row>
    <row r="27" spans="1:18" ht="18" customHeight="1" x14ac:dyDescent="0.2">
      <c r="C27" s="24"/>
      <c r="D27" s="24"/>
      <c r="E27" s="24"/>
      <c r="F27" s="30" t="s">
        <v>48</v>
      </c>
      <c r="G27" s="37"/>
      <c r="H27" s="37"/>
      <c r="I27" s="29">
        <f>G27*H27</f>
        <v>0</v>
      </c>
      <c r="J27" s="28"/>
      <c r="K27" s="32" t="s">
        <v>23</v>
      </c>
      <c r="L27" s="26"/>
      <c r="M27" s="24"/>
      <c r="N27" s="31"/>
      <c r="O27" s="26"/>
      <c r="P27" s="24"/>
      <c r="Q27" s="31"/>
      <c r="R27" s="35"/>
    </row>
    <row r="28" spans="1:18" ht="18" customHeight="1" x14ac:dyDescent="0.2">
      <c r="B28" s="34">
        <v>4</v>
      </c>
      <c r="C28" s="33"/>
      <c r="D28" s="23"/>
      <c r="E28" s="23"/>
      <c r="F28" s="30" t="s">
        <v>23</v>
      </c>
      <c r="G28" s="29"/>
      <c r="H28" s="29">
        <v>5000</v>
      </c>
      <c r="I28" s="29">
        <f>G28*H28</f>
        <v>0</v>
      </c>
      <c r="J28" s="28"/>
      <c r="K28" s="32" t="s">
        <v>24</v>
      </c>
      <c r="L28" s="26"/>
      <c r="M28" s="24"/>
      <c r="N28" s="31"/>
      <c r="O28" s="26"/>
      <c r="P28" s="24"/>
      <c r="Q28" s="31"/>
      <c r="R28" s="25"/>
    </row>
    <row r="29" spans="1:18" ht="18" customHeight="1" x14ac:dyDescent="0.2">
      <c r="C29" s="24"/>
      <c r="D29" s="23"/>
      <c r="E29" s="23"/>
      <c r="F29" s="30" t="s">
        <v>24</v>
      </c>
      <c r="G29" s="29"/>
      <c r="H29" s="29"/>
      <c r="I29" s="29">
        <f>G29*H29</f>
        <v>0</v>
      </c>
      <c r="J29" s="28"/>
      <c r="K29" s="27"/>
      <c r="L29" s="26"/>
      <c r="M29" s="24"/>
      <c r="N29" s="24"/>
      <c r="O29" s="26"/>
      <c r="P29" s="24"/>
      <c r="Q29" s="25"/>
      <c r="R29" s="25"/>
    </row>
    <row r="30" spans="1:18" ht="18" customHeight="1" x14ac:dyDescent="0.2">
      <c r="C30" s="24"/>
      <c r="D30" s="23"/>
      <c r="E30" s="23"/>
      <c r="F30" s="96"/>
      <c r="G30" s="97"/>
      <c r="H30" s="97"/>
      <c r="I30" s="98"/>
      <c r="J30" s="22"/>
      <c r="K30" s="21"/>
    </row>
    <row r="31" spans="1:18" ht="18" customHeight="1" x14ac:dyDescent="0.2"/>
    <row r="32" spans="1:18" ht="18" customHeight="1" x14ac:dyDescent="0.2"/>
    <row r="33" ht="18" customHeight="1" x14ac:dyDescent="0.2"/>
  </sheetData>
  <autoFilter ref="C8:P33" xr:uid="{00000000-0009-0000-0000-000003000000}"/>
  <mergeCells count="11">
    <mergeCell ref="F30:I30"/>
    <mergeCell ref="C6:E6"/>
    <mergeCell ref="C11:F11"/>
    <mergeCell ref="I6:K6"/>
    <mergeCell ref="C2:E2"/>
    <mergeCell ref="H2:J2"/>
    <mergeCell ref="C3:E3"/>
    <mergeCell ref="C4:E4"/>
    <mergeCell ref="C5:E5"/>
    <mergeCell ref="I4:K5"/>
    <mergeCell ref="H5:H6"/>
  </mergeCells>
  <phoneticPr fontId="10"/>
  <dataValidations count="1">
    <dataValidation allowBlank="1" showInputMessage="1" showErrorMessage="1" sqref="K21:K23" xr:uid="{17F3BA65-4C44-422E-BBF0-5806B49A35B2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140" zoomScaleNormal="100" zoomScaleSheetLayoutView="140" workbookViewId="0">
      <selection activeCell="A3" sqref="A1:XFD1048576"/>
    </sheetView>
  </sheetViews>
  <sheetFormatPr defaultColWidth="11.6640625" defaultRowHeight="13.5" customHeight="1" x14ac:dyDescent="0.2"/>
  <cols>
    <col min="1" max="1" width="12.109375" bestFit="1" customWidth="1"/>
    <col min="2" max="2" width="31.44140625" bestFit="1" customWidth="1"/>
  </cols>
  <sheetData>
    <row r="1" spans="1:2" ht="13.5" customHeight="1" x14ac:dyDescent="0.2">
      <c r="A1" s="11" t="s">
        <v>0</v>
      </c>
      <c r="B1" s="3" t="s">
        <v>34</v>
      </c>
    </row>
    <row r="2" spans="1:2" ht="13.5" customHeight="1" x14ac:dyDescent="0.2">
      <c r="A2" s="11" t="s">
        <v>2</v>
      </c>
      <c r="B2" s="1" t="s">
        <v>32</v>
      </c>
    </row>
    <row r="3" spans="1:2" ht="13.5" customHeight="1" x14ac:dyDescent="0.2">
      <c r="A3" s="11" t="s">
        <v>3</v>
      </c>
      <c r="B3" s="1" t="s">
        <v>33</v>
      </c>
    </row>
    <row r="4" spans="1:2" ht="13.5" customHeight="1" x14ac:dyDescent="0.2">
      <c r="A4" s="11" t="s">
        <v>4</v>
      </c>
      <c r="B4" s="2">
        <v>44972</v>
      </c>
    </row>
    <row r="5" spans="1:2" ht="13.5" customHeight="1" x14ac:dyDescent="0.2">
      <c r="A5" s="11" t="s">
        <v>5</v>
      </c>
      <c r="B5" s="2">
        <v>44975</v>
      </c>
    </row>
  </sheetData>
  <phoneticPr fontId="10"/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287"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7734375" defaultRowHeight="13.5" customHeight="1" x14ac:dyDescent="0.2"/>
  <sheetData/>
  <phoneticPr fontId="10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原価一覧 (20260114) ①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cp:lastPrinted>2023-01-13T04:52:35Z</cp:lastPrinted>
  <dcterms:created xsi:type="dcterms:W3CDTF">2016-05-16T08:05:24Z</dcterms:created>
  <dcterms:modified xsi:type="dcterms:W3CDTF">2026-01-19T02:00:06Z</dcterms:modified>
</cp:coreProperties>
</file>