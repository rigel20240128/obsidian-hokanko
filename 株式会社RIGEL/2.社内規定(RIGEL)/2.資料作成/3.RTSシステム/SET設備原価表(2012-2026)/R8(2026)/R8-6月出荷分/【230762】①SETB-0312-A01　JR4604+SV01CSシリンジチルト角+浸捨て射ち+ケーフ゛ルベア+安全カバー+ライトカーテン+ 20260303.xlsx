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SV-AP\data\製品管理部(機材)出荷管理課・資材調達課\機材・資材調達課(ﾛﾎﾞｯﾄ部品手配)\"/>
    </mc:Choice>
  </mc:AlternateContent>
  <xr:revisionPtr revIDLastSave="0" documentId="13_ncr:1_{27B4AC5A-D373-40C7-A72E-C68B16CBE03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ETB0312-A01①　JR4604 20260304" sheetId="15" r:id="rId1"/>
  </sheets>
  <definedNames>
    <definedName name="_xlnm._FilterDatabase" localSheetId="0" hidden="1">'SETB0312-A01①　JR4604 20260304'!$F$9:$S$24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8" i="15" l="1"/>
  <c r="L17" i="15"/>
  <c r="L16" i="15"/>
  <c r="L15" i="15"/>
  <c r="L14" i="15"/>
  <c r="L13" i="15"/>
  <c r="F13" i="15"/>
  <c r="F14" i="15" s="1"/>
  <c r="F15" i="15" s="1"/>
  <c r="F16" i="15" s="1"/>
  <c r="F17" i="15" s="1"/>
  <c r="F18" i="15" s="1"/>
  <c r="L12" i="15"/>
  <c r="I20" i="15" s="1"/>
  <c r="C23" i="15"/>
  <c r="N2" i="15" l="1"/>
  <c r="C30" i="15"/>
</calcChain>
</file>

<file path=xl/sharedStrings.xml><?xml version="1.0" encoding="utf-8"?>
<sst xmlns="http://schemas.openxmlformats.org/spreadsheetml/2006/main" count="76" uniqueCount="48">
  <si>
    <t>数量</t>
  </si>
  <si>
    <t>単価</t>
  </si>
  <si>
    <t>金額</t>
  </si>
  <si>
    <t>詳細</t>
    <rPh sb="0" eb="2">
      <t>ショウサイ</t>
    </rPh>
    <phoneticPr fontId="2"/>
  </si>
  <si>
    <t>見積り分類</t>
    <rPh sb="0" eb="2">
      <t>ミツモ</t>
    </rPh>
    <rPh sb="3" eb="5">
      <t>ブンルイ</t>
    </rPh>
    <phoneticPr fontId="1"/>
  </si>
  <si>
    <t>仕入先</t>
    <rPh sb="0" eb="2">
      <t>シイレ</t>
    </rPh>
    <rPh sb="2" eb="3">
      <t>サキ</t>
    </rPh>
    <phoneticPr fontId="1"/>
  </si>
  <si>
    <t>発注日</t>
    <rPh sb="0" eb="2">
      <t>ハッチュウ</t>
    </rPh>
    <rPh sb="2" eb="3">
      <t>ヒ</t>
    </rPh>
    <phoneticPr fontId="1"/>
  </si>
  <si>
    <t>納期</t>
    <rPh sb="0" eb="2">
      <t>ノウ</t>
    </rPh>
    <phoneticPr fontId="1"/>
  </si>
  <si>
    <t>品名 / 型式</t>
    <rPh sb="0" eb="2">
      <t>ヒンメイ</t>
    </rPh>
    <rPh sb="5" eb="7">
      <t>カタシキ</t>
    </rPh>
    <phoneticPr fontId="2"/>
  </si>
  <si>
    <t>メーカー</t>
    <phoneticPr fontId="1"/>
  </si>
  <si>
    <t>担当営業</t>
    <rPh sb="0" eb="2">
      <t>タントウ</t>
    </rPh>
    <rPh sb="2" eb="4">
      <t>エイギョウ</t>
    </rPh>
    <phoneticPr fontId="1"/>
  </si>
  <si>
    <t>お客先名</t>
    <rPh sb="1" eb="3">
      <t>キャクサキ</t>
    </rPh>
    <rPh sb="3" eb="4">
      <t>メイ</t>
    </rPh>
    <phoneticPr fontId="1"/>
  </si>
  <si>
    <t>受注番号</t>
    <rPh sb="0" eb="2">
      <t>ジュチュウ</t>
    </rPh>
    <rPh sb="2" eb="4">
      <t>バンゴウ</t>
    </rPh>
    <phoneticPr fontId="1"/>
  </si>
  <si>
    <t>希望納期</t>
    <rPh sb="0" eb="2">
      <t>キボウ</t>
    </rPh>
    <rPh sb="2" eb="4">
      <t>ノウ</t>
    </rPh>
    <phoneticPr fontId="1"/>
  </si>
  <si>
    <t>最終納品</t>
    <rPh sb="0" eb="2">
      <t>サイシュウ</t>
    </rPh>
    <rPh sb="2" eb="4">
      <t>ノウヒン</t>
    </rPh>
    <phoneticPr fontId="1"/>
  </si>
  <si>
    <t>合計金額</t>
    <rPh sb="0" eb="2">
      <t>ゴウケイ</t>
    </rPh>
    <rPh sb="2" eb="4">
      <t>キンガク</t>
    </rPh>
    <phoneticPr fontId="1"/>
  </si>
  <si>
    <t>技術分類</t>
    <rPh sb="0" eb="2">
      <t>ギジュツ</t>
    </rPh>
    <rPh sb="2" eb="4">
      <t>ブンルイ</t>
    </rPh>
    <phoneticPr fontId="1"/>
  </si>
  <si>
    <t>備考</t>
    <rPh sb="0" eb="2">
      <t>ビコウ</t>
    </rPh>
    <phoneticPr fontId="1"/>
  </si>
  <si>
    <t>分類合計</t>
    <rPh sb="0" eb="2">
      <t>ブンルイ</t>
    </rPh>
    <rPh sb="2" eb="4">
      <t>ゴウケイ</t>
    </rPh>
    <phoneticPr fontId="1"/>
  </si>
  <si>
    <t>発注</t>
    <rPh sb="0" eb="2">
      <t>ハッチュウ</t>
    </rPh>
    <phoneticPr fontId="1"/>
  </si>
  <si>
    <t>入荷予定日</t>
    <rPh sb="0" eb="2">
      <t>ニュウカ</t>
    </rPh>
    <rPh sb="2" eb="4">
      <t>ヨテイ</t>
    </rPh>
    <rPh sb="4" eb="5">
      <t>ヒ</t>
    </rPh>
    <phoneticPr fontId="1"/>
  </si>
  <si>
    <t>入荷日</t>
    <rPh sb="0" eb="2">
      <t>ニュウカ</t>
    </rPh>
    <rPh sb="2" eb="3">
      <t>ビ</t>
    </rPh>
    <phoneticPr fontId="1"/>
  </si>
  <si>
    <t>出荷依頼項目NO.</t>
    <rPh sb="0" eb="2">
      <t>シュッカ</t>
    </rPh>
    <rPh sb="2" eb="4">
      <t>イライ</t>
    </rPh>
    <rPh sb="4" eb="6">
      <t>コウモク</t>
    </rPh>
    <phoneticPr fontId="6"/>
  </si>
  <si>
    <t>①②③</t>
    <phoneticPr fontId="6"/>
  </si>
  <si>
    <t>部材重さkg</t>
    <rPh sb="0" eb="2">
      <t>ブザイ</t>
    </rPh>
    <rPh sb="2" eb="3">
      <t>オモ</t>
    </rPh>
    <phoneticPr fontId="1"/>
  </si>
  <si>
    <t>上下架台以外の重量</t>
    <rPh sb="0" eb="2">
      <t>ジョウゲ</t>
    </rPh>
    <rPh sb="2" eb="4">
      <t>カダイ</t>
    </rPh>
    <rPh sb="4" eb="6">
      <t>イガイ</t>
    </rPh>
    <rPh sb="7" eb="9">
      <t>ジュウリョウ</t>
    </rPh>
    <phoneticPr fontId="1"/>
  </si>
  <si>
    <t>kg</t>
    <phoneticPr fontId="1"/>
  </si>
  <si>
    <t>TOTAL重量</t>
    <rPh sb="5" eb="7">
      <t>ジュウリョウ</t>
    </rPh>
    <phoneticPr fontId="1"/>
  </si>
  <si>
    <t>卓上ﾛﾎﾞｯﾄ</t>
    <rPh sb="0" eb="2">
      <t>タクジョウ</t>
    </rPh>
    <phoneticPr fontId="14"/>
  </si>
  <si>
    <t>蛇の目</t>
    <rPh sb="0" eb="1">
      <t>ジャ</t>
    </rPh>
    <rPh sb="2" eb="3">
      <t>メ</t>
    </rPh>
    <phoneticPr fontId="1"/>
  </si>
  <si>
    <t>I/O-ST内部品　追加</t>
    <rPh sb="6" eb="8">
      <t>ナイブ</t>
    </rPh>
    <rPh sb="10" eb="12">
      <t>ツイカ</t>
    </rPh>
    <phoneticPr fontId="1"/>
  </si>
  <si>
    <t>JR C-Point2 Ver8</t>
    <phoneticPr fontId="1"/>
  </si>
  <si>
    <t>JR4000用C-Points3 塗布編集ｿﾌ</t>
    <phoneticPr fontId="14"/>
  </si>
  <si>
    <r>
      <t>JR4604　　　SRS-S604　</t>
    </r>
    <r>
      <rPr>
        <b/>
        <sz val="11"/>
        <color indexed="10"/>
        <rFont val="ＭＳ Ｐゴシック"/>
        <family val="3"/>
        <charset val="128"/>
      </rPr>
      <t>　外部スイッチBOXﾀｲﾌﾟ</t>
    </r>
    <rPh sb="19" eb="21">
      <t>ガイブ</t>
    </rPh>
    <phoneticPr fontId="1"/>
  </si>
  <si>
    <t>エクセル株式会社様</t>
    <rPh sb="8" eb="9">
      <t>サマ</t>
    </rPh>
    <phoneticPr fontId="1"/>
  </si>
  <si>
    <t>I/O－MT増設</t>
    <rPh sb="6" eb="8">
      <t>ゾウセツ</t>
    </rPh>
    <phoneticPr fontId="1"/>
  </si>
  <si>
    <t>I/O-MT内部品　追加</t>
    <rPh sb="6" eb="8">
      <t>ナイブ</t>
    </rPh>
    <rPh sb="10" eb="12">
      <t>ツイカ</t>
    </rPh>
    <phoneticPr fontId="1"/>
  </si>
  <si>
    <t>I/O－S1増設</t>
    <rPh sb="6" eb="8">
      <t>ゾウセツ</t>
    </rPh>
    <phoneticPr fontId="1"/>
  </si>
  <si>
    <t>見積書番号:
TQ25-1054</t>
    <phoneticPr fontId="14"/>
  </si>
  <si>
    <t>230762</t>
    <phoneticPr fontId="1"/>
  </si>
  <si>
    <t>南(齋藤）</t>
    <rPh sb="0" eb="1">
      <t>ミナミ</t>
    </rPh>
    <rPh sb="2" eb="4">
      <t>サイトウ</t>
    </rPh>
    <phoneticPr fontId="1"/>
  </si>
  <si>
    <r>
      <rPr>
        <b/>
        <sz val="11"/>
        <color indexed="8"/>
        <rFont val="ＭＳ Ｐゴシック"/>
        <family val="3"/>
        <charset val="128"/>
      </rPr>
      <t>JR4604N-BOA　　</t>
    </r>
    <r>
      <rPr>
        <sz val="11"/>
        <color theme="1"/>
        <rFont val="ＭＳ Ｐゴシック"/>
        <family val="3"/>
        <charset val="128"/>
        <scheme val="minor"/>
      </rPr>
      <t>　 4軸ﾛﾎﾞｯﾄ (外部ｽｲｯﾁ仕様)　</t>
    </r>
    <phoneticPr fontId="1"/>
  </si>
  <si>
    <t>送料　荷造り運賃</t>
    <phoneticPr fontId="14"/>
  </si>
  <si>
    <t>ﾃｨｰﾁﾝｸﾞﾍﾟﾝﾀﾞﾝﾄⅢ(2m)非常停止SW無</t>
    <phoneticPr fontId="1"/>
  </si>
  <si>
    <t>JR4000用ﾃｨｰﾁﾝｸﾞﾎﾞｯｸｽ   JR4-TB3　ﾃｨｰﾁﾝｸﾞﾍﾟﾝﾀﾞﾝﾄⅢ(2m)非常停止SW無</t>
    <phoneticPr fontId="1"/>
  </si>
  <si>
    <t>スイッチボックス2（オプションSW付）2M</t>
    <phoneticPr fontId="1"/>
  </si>
  <si>
    <t>3.0カ月</t>
    <rPh sb="4" eb="5">
      <t>ゲツ</t>
    </rPh>
    <phoneticPr fontId="14"/>
  </si>
  <si>
    <t>SETB-0312-A01　JR4604+SV01CSｼﾘﾝｼﾞﾁﾙﾄ角+浸捨て射ち+ｹｰﾌﾞﾙﾍﾞｱ+安全ｶﾊﾞｰ+ﾗｲﾄｶｰﾃﾝ+ 20260130</t>
    <rPh sb="35" eb="36">
      <t>カク</t>
    </rPh>
    <phoneticPr fontId="1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</si>
</sst>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5" formatCode="&quot;¥&quot;#,##0;&quot;¥&quot;\-#,##0"/>
    <numFmt numFmtId="176" formatCode="#,##0_);[Red]\(#,##0\)"/>
    <numFmt numFmtId="177" formatCode="yyyy&quot;年&quot;m&quot;月&quot;d&quot;日&quot;;@"/>
    <numFmt numFmtId="178" formatCode="m/d;@"/>
    <numFmt numFmtId="179" formatCode="m&quot;月&quot;d&quot;日&quot;;@"/>
    <numFmt numFmtId="180" formatCode="0_ ;[Red]\-0\ "/>
    <numFmt numFmtId="181" formatCode="#,##0_ "/>
    <numFmt numFmtId="182" formatCode="0_ "/>
  </numFmts>
  <fonts count="22" x14ac:knownFonts="1">
    <font>
      <sz val="11"/>
      <color theme="1"/>
      <name val="ＭＳ Ｐゴシック"/>
      <family val="3"/>
      <charset val="128"/>
      <scheme val="minor"/>
    </font>
    <font>
      <sz val="6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4"/>
      <color indexed="8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1"/>
      <color theme="1"/>
      <name val="ＭＳ Ｐゴシック"/>
      <family val="3"/>
      <charset val="128"/>
      <scheme val="minor"/>
    </font>
    <font>
      <sz val="11"/>
      <color theme="1"/>
      <name val="ＭＳ Ｐゴシック"/>
      <family val="3"/>
      <charset val="128"/>
    </font>
    <font>
      <b/>
      <sz val="14"/>
      <color theme="1"/>
      <name val="ＭＳ Ｐゴシック"/>
      <family val="3"/>
      <charset val="128"/>
      <scheme val="minor"/>
    </font>
    <font>
      <sz val="11"/>
      <color rgb="FF000000"/>
      <name val="ＭＳ Ｐゴシック"/>
      <family val="3"/>
      <charset val="128"/>
    </font>
    <font>
      <b/>
      <sz val="16"/>
      <color theme="1"/>
      <name val="ＭＳ Ｐゴシック"/>
      <family val="3"/>
      <charset val="128"/>
      <scheme val="minor"/>
    </font>
    <font>
      <sz val="22"/>
      <color theme="1"/>
      <name val="ＭＳ Ｐゴシック"/>
      <family val="3"/>
      <charset val="128"/>
      <scheme val="minor"/>
    </font>
    <font>
      <sz val="11"/>
      <color theme="1"/>
      <name val="ＭＳ Ｐゴシック"/>
      <family val="3"/>
      <charset val="128"/>
      <scheme val="minor"/>
    </font>
    <font>
      <sz val="6"/>
      <name val="ＭＳ Ｐゴシック"/>
      <family val="3"/>
      <charset val="128"/>
      <scheme val="minor"/>
    </font>
    <font>
      <b/>
      <sz val="13.95"/>
      <color rgb="FF000000"/>
      <name val="ＭＳ Ｐゴシック"/>
      <family val="3"/>
      <charset val="128"/>
    </font>
    <font>
      <sz val="11"/>
      <name val="ＭＳ Ｐゴシック"/>
      <family val="3"/>
      <charset val="128"/>
      <scheme val="minor"/>
    </font>
    <font>
      <sz val="10"/>
      <color indexed="8"/>
      <name val="ＭＳ Ｐゴシック"/>
      <family val="3"/>
      <charset val="128"/>
    </font>
    <font>
      <b/>
      <sz val="11"/>
      <name val="ＭＳ Ｐゴシック"/>
      <family val="3"/>
      <charset val="128"/>
    </font>
    <font>
      <strike/>
      <sz val="11"/>
      <color theme="1"/>
      <name val="ＭＳ Ｐゴシック"/>
      <family val="3"/>
      <charset val="128"/>
    </font>
    <font>
      <u/>
      <sz val="11"/>
      <name val="ＭＳ Ｐゴシック"/>
      <family val="3"/>
      <charset val="128"/>
      <scheme val="minor"/>
    </font>
    <font>
      <b/>
      <sz val="11"/>
      <color indexed="10"/>
      <name val="ＭＳ Ｐゴシック"/>
      <family val="3"/>
      <charset val="128"/>
    </font>
  </fonts>
  <fills count="12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3" tint="0.79998168889431442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</borders>
  <cellStyleXfs count="4">
    <xf numFmtId="0" fontId="0" fillId="0" borderId="0">
      <alignment vertical="center"/>
    </xf>
    <xf numFmtId="0" fontId="5" fillId="0" borderId="0"/>
    <xf numFmtId="0" fontId="13" fillId="0" borderId="0">
      <alignment vertical="center"/>
    </xf>
    <xf numFmtId="0" fontId="20" fillId="0" borderId="0">
      <alignment vertical="center"/>
    </xf>
  </cellStyleXfs>
  <cellXfs count="103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77" fontId="4" fillId="0" borderId="1" xfId="0" applyNumberFormat="1" applyFont="1" applyBorder="1" applyAlignment="1">
      <alignment horizontal="center" vertical="center"/>
    </xf>
    <xf numFmtId="176" fontId="3" fillId="0" borderId="1" xfId="0" applyNumberFormat="1" applyFont="1" applyBorder="1">
      <alignment vertical="center"/>
    </xf>
    <xf numFmtId="0" fontId="0" fillId="0" borderId="0" xfId="0" applyAlignment="1">
      <alignment horizontal="right" vertical="center"/>
    </xf>
    <xf numFmtId="0" fontId="4" fillId="0" borderId="1" xfId="0" applyFont="1" applyBorder="1" applyAlignment="1">
      <alignment horizontal="center" vertical="center" shrinkToFit="1"/>
    </xf>
    <xf numFmtId="179" fontId="0" fillId="0" borderId="0" xfId="0" applyNumberFormat="1" applyAlignment="1">
      <alignment horizontal="center" vertical="center"/>
    </xf>
    <xf numFmtId="179" fontId="0" fillId="0" borderId="1" xfId="0" applyNumberFormat="1" applyBorder="1" applyAlignment="1">
      <alignment horizontal="center" vertical="center"/>
    </xf>
    <xf numFmtId="179" fontId="0" fillId="0" borderId="0" xfId="0" applyNumberFormat="1">
      <alignment vertical="center"/>
    </xf>
    <xf numFmtId="178" fontId="0" fillId="0" borderId="0" xfId="0" applyNumberFormat="1">
      <alignment vertical="center"/>
    </xf>
    <xf numFmtId="178" fontId="0" fillId="0" borderId="1" xfId="0" applyNumberFormat="1" applyBorder="1" applyAlignment="1">
      <alignment horizontal="center" vertical="center"/>
    </xf>
    <xf numFmtId="38" fontId="0" fillId="0" borderId="0" xfId="0" applyNumberFormat="1">
      <alignment vertical="center"/>
    </xf>
    <xf numFmtId="177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80" fontId="0" fillId="0" borderId="0" xfId="0" applyNumberFormat="1" applyAlignment="1">
      <alignment horizontal="center" vertical="center"/>
    </xf>
    <xf numFmtId="56" fontId="0" fillId="0" borderId="1" xfId="0" applyNumberFormat="1" applyBorder="1" applyAlignment="1">
      <alignment horizontal="center" vertical="center"/>
    </xf>
    <xf numFmtId="3" fontId="0" fillId="0" borderId="0" xfId="0" applyNumberFormat="1">
      <alignment vertical="center"/>
    </xf>
    <xf numFmtId="38" fontId="0" fillId="0" borderId="1" xfId="0" applyNumberFormat="1" applyBorder="1" applyAlignment="1">
      <alignment horizontal="right" vertical="center"/>
    </xf>
    <xf numFmtId="38" fontId="0" fillId="0" borderId="1" xfId="0" applyNumberFormat="1" applyBorder="1">
      <alignment vertical="center"/>
    </xf>
    <xf numFmtId="0" fontId="0" fillId="0" borderId="1" xfId="0" applyBorder="1" applyAlignment="1">
      <alignment horizontal="left" vertical="center"/>
    </xf>
    <xf numFmtId="0" fontId="0" fillId="0" borderId="1" xfId="0" applyBorder="1">
      <alignment vertical="center"/>
    </xf>
    <xf numFmtId="49" fontId="0" fillId="0" borderId="1" xfId="0" applyNumberFormat="1" applyBorder="1" applyAlignment="1">
      <alignment horizontal="left" vertical="center"/>
    </xf>
    <xf numFmtId="0" fontId="0" fillId="0" borderId="1" xfId="0" applyBorder="1" applyAlignment="1">
      <alignment horizontal="right" vertical="center"/>
    </xf>
    <xf numFmtId="0" fontId="0" fillId="0" borderId="4" xfId="0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56" fontId="0" fillId="0" borderId="0" xfId="0" applyNumberFormat="1" applyAlignment="1">
      <alignment horizontal="right" vertical="center"/>
    </xf>
    <xf numFmtId="0" fontId="0" fillId="0" borderId="2" xfId="0" applyBorder="1" applyAlignment="1">
      <alignment horizontal="right" vertical="center"/>
    </xf>
    <xf numFmtId="181" fontId="0" fillId="0" borderId="1" xfId="0" applyNumberFormat="1" applyBorder="1" applyAlignment="1">
      <alignment horizontal="right" vertical="center"/>
    </xf>
    <xf numFmtId="176" fontId="0" fillId="0" borderId="10" xfId="0" applyNumberFormat="1" applyBorder="1" applyAlignment="1">
      <alignment horizontal="center" vertical="center"/>
    </xf>
    <xf numFmtId="176" fontId="0" fillId="0" borderId="10" xfId="0" applyNumberFormat="1" applyBorder="1" applyAlignment="1"/>
    <xf numFmtId="0" fontId="0" fillId="0" borderId="10" xfId="0" applyBorder="1" applyAlignment="1">
      <alignment horizontal="left" vertical="center" shrinkToFit="1"/>
    </xf>
    <xf numFmtId="0" fontId="0" fillId="0" borderId="10" xfId="0" applyBorder="1" applyAlignment="1">
      <alignment horizontal="center" vertical="center"/>
    </xf>
    <xf numFmtId="179" fontId="0" fillId="0" borderId="10" xfId="0" applyNumberFormat="1" applyBorder="1" applyAlignment="1">
      <alignment horizontal="center" vertical="center"/>
    </xf>
    <xf numFmtId="3" fontId="0" fillId="0" borderId="10" xfId="0" applyNumberFormat="1" applyBorder="1" applyAlignment="1">
      <alignment horizontal="center" vertical="center"/>
    </xf>
    <xf numFmtId="177" fontId="0" fillId="0" borderId="10" xfId="0" applyNumberFormat="1" applyBorder="1" applyAlignment="1">
      <alignment horizontal="center" vertical="center"/>
    </xf>
    <xf numFmtId="3" fontId="13" fillId="0" borderId="1" xfId="2" applyNumberFormat="1" applyBorder="1" applyAlignment="1">
      <alignment horizontal="center" vertical="center"/>
    </xf>
    <xf numFmtId="0" fontId="13" fillId="0" borderId="2" xfId="2" applyBorder="1" applyAlignment="1">
      <alignment horizontal="center" vertical="center"/>
    </xf>
    <xf numFmtId="0" fontId="13" fillId="0" borderId="1" xfId="2" applyBorder="1" applyAlignment="1">
      <alignment horizontal="center" vertical="center"/>
    </xf>
    <xf numFmtId="178" fontId="0" fillId="0" borderId="10" xfId="0" applyNumberFormat="1" applyBorder="1" applyAlignment="1">
      <alignment horizontal="center" vertical="center"/>
    </xf>
    <xf numFmtId="49" fontId="13" fillId="0" borderId="1" xfId="2" applyNumberFormat="1" applyBorder="1" applyAlignment="1">
      <alignment horizontal="left" vertical="center"/>
    </xf>
    <xf numFmtId="0" fontId="13" fillId="0" borderId="1" xfId="2" applyBorder="1">
      <alignment vertical="center"/>
    </xf>
    <xf numFmtId="0" fontId="5" fillId="0" borderId="1" xfId="1" applyBorder="1" applyAlignment="1">
      <alignment vertical="center"/>
    </xf>
    <xf numFmtId="0" fontId="7" fillId="0" borderId="0" xfId="0" applyFont="1" applyAlignment="1">
      <alignment horizontal="center" vertical="center"/>
    </xf>
    <xf numFmtId="0" fontId="0" fillId="7" borderId="2" xfId="0" applyFill="1" applyBorder="1" applyAlignment="1">
      <alignment horizontal="center" vertical="center"/>
    </xf>
    <xf numFmtId="0" fontId="16" fillId="7" borderId="1" xfId="0" applyFont="1" applyFill="1" applyBorder="1">
      <alignment vertical="center"/>
    </xf>
    <xf numFmtId="3" fontId="0" fillId="0" borderId="12" xfId="0" applyNumberFormat="1" applyBorder="1" applyAlignment="1">
      <alignment horizontal="center" vertical="center"/>
    </xf>
    <xf numFmtId="38" fontId="13" fillId="0" borderId="1" xfId="2" applyNumberFormat="1" applyBorder="1" applyAlignment="1">
      <alignment horizontal="center" vertical="center"/>
    </xf>
    <xf numFmtId="3" fontId="10" fillId="0" borderId="1" xfId="0" applyNumberFormat="1" applyFont="1" applyBorder="1" applyAlignment="1">
      <alignment horizontal="center" vertical="center"/>
    </xf>
    <xf numFmtId="0" fontId="0" fillId="7" borderId="1" xfId="0" applyFill="1" applyBorder="1" applyAlignment="1">
      <alignment horizontal="left" vertical="center"/>
    </xf>
    <xf numFmtId="3" fontId="0" fillId="7" borderId="1" xfId="0" applyNumberFormat="1" applyFill="1" applyBorder="1" applyAlignment="1">
      <alignment horizontal="center" vertical="center"/>
    </xf>
    <xf numFmtId="176" fontId="0" fillId="0" borderId="1" xfId="0" applyNumberFormat="1" applyBorder="1">
      <alignment vertical="center"/>
    </xf>
    <xf numFmtId="0" fontId="5" fillId="0" borderId="1" xfId="1" applyBorder="1" applyAlignment="1">
      <alignment horizontal="center" vertical="center"/>
    </xf>
    <xf numFmtId="3" fontId="0" fillId="4" borderId="11" xfId="0" applyNumberFormat="1" applyFill="1" applyBorder="1" applyAlignment="1">
      <alignment horizontal="center" vertical="center"/>
    </xf>
    <xf numFmtId="3" fontId="10" fillId="4" borderId="13" xfId="0" applyNumberFormat="1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182" fontId="16" fillId="7" borderId="1" xfId="0" applyNumberFormat="1" applyFont="1" applyFill="1" applyBorder="1" applyAlignment="1">
      <alignment horizontal="right" vertical="center"/>
    </xf>
    <xf numFmtId="0" fontId="7" fillId="8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right" vertical="center"/>
    </xf>
    <xf numFmtId="3" fontId="0" fillId="7" borderId="6" xfId="0" applyNumberForma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left" vertical="center"/>
    </xf>
    <xf numFmtId="0" fontId="7" fillId="9" borderId="14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16" fillId="6" borderId="1" xfId="0" applyFont="1" applyFill="1" applyBorder="1" applyAlignment="1">
      <alignment horizontal="center" vertical="center"/>
    </xf>
    <xf numFmtId="0" fontId="5" fillId="6" borderId="1" xfId="1" applyFill="1" applyBorder="1" applyAlignment="1">
      <alignment vertical="center"/>
    </xf>
    <xf numFmtId="0" fontId="0" fillId="6" borderId="1" xfId="0" applyFill="1" applyBorder="1" applyAlignment="1">
      <alignment horizontal="left" vertical="center"/>
    </xf>
    <xf numFmtId="0" fontId="18" fillId="0" borderId="1" xfId="1" applyFont="1" applyBorder="1" applyAlignment="1">
      <alignment vertical="center"/>
    </xf>
    <xf numFmtId="3" fontId="0" fillId="0" borderId="2" xfId="0" applyNumberFormat="1" applyBorder="1" applyAlignment="1">
      <alignment horizontal="center" vertical="center"/>
    </xf>
    <xf numFmtId="0" fontId="5" fillId="0" borderId="6" xfId="1" applyBorder="1" applyAlignment="1">
      <alignment horizontal="left" vertical="center"/>
    </xf>
    <xf numFmtId="3" fontId="17" fillId="0" borderId="1" xfId="2" applyNumberFormat="1" applyFont="1" applyBorder="1" applyAlignment="1">
      <alignment horizontal="center" vertical="center"/>
    </xf>
    <xf numFmtId="5" fontId="8" fillId="0" borderId="2" xfId="2" applyNumberFormat="1" applyFont="1" applyBorder="1" applyAlignment="1">
      <alignment horizontal="center" vertical="center"/>
    </xf>
    <xf numFmtId="0" fontId="19" fillId="0" borderId="1" xfId="2" applyFont="1" applyBorder="1" applyAlignment="1">
      <alignment horizontal="left" vertical="center" shrinkToFit="1"/>
    </xf>
    <xf numFmtId="3" fontId="7" fillId="0" borderId="1" xfId="2" applyNumberFormat="1" applyFont="1" applyBorder="1" applyAlignment="1">
      <alignment horizontal="center" vertical="center"/>
    </xf>
    <xf numFmtId="5" fontId="11" fillId="10" borderId="1" xfId="2" applyNumberFormat="1" applyFont="1" applyFill="1" applyBorder="1">
      <alignment vertical="center"/>
    </xf>
    <xf numFmtId="38" fontId="13" fillId="0" borderId="1" xfId="2" applyNumberFormat="1" applyBorder="1" applyAlignment="1">
      <alignment horizontal="right" vertical="center"/>
    </xf>
    <xf numFmtId="181" fontId="13" fillId="0" borderId="1" xfId="2" applyNumberFormat="1" applyBorder="1">
      <alignment vertical="center"/>
    </xf>
    <xf numFmtId="0" fontId="13" fillId="6" borderId="1" xfId="0" applyFont="1" applyFill="1" applyBorder="1" applyAlignment="1">
      <alignment horizontal="left" vertical="center"/>
    </xf>
    <xf numFmtId="0" fontId="0" fillId="6" borderId="1" xfId="0" applyFill="1" applyBorder="1" applyAlignment="1">
      <alignment horizontal="left" vertical="center" wrapText="1"/>
    </xf>
    <xf numFmtId="0" fontId="5" fillId="6" borderId="1" xfId="1" applyFill="1" applyBorder="1" applyAlignment="1">
      <alignment horizontal="center" vertical="center"/>
    </xf>
    <xf numFmtId="176" fontId="8" fillId="0" borderId="2" xfId="2" applyNumberFormat="1" applyFont="1" applyBorder="1" applyAlignment="1"/>
    <xf numFmtId="0" fontId="7" fillId="0" borderId="1" xfId="0" applyFont="1" applyBorder="1" applyAlignment="1">
      <alignment horizontal="center" vertical="center"/>
    </xf>
    <xf numFmtId="3" fontId="17" fillId="0" borderId="1" xfId="0" applyNumberFormat="1" applyFont="1" applyBorder="1" applyAlignment="1">
      <alignment horizontal="center" vertical="center"/>
    </xf>
    <xf numFmtId="0" fontId="13" fillId="0" borderId="1" xfId="0" applyFont="1" applyBorder="1" applyAlignment="1">
      <alignment horizontal="left" vertical="center"/>
    </xf>
    <xf numFmtId="3" fontId="17" fillId="11" borderId="1" xfId="0" applyNumberFormat="1" applyFont="1" applyFill="1" applyBorder="1" applyAlignment="1">
      <alignment horizontal="center" vertical="center"/>
    </xf>
    <xf numFmtId="0" fontId="5" fillId="11" borderId="6" xfId="1" applyFill="1" applyBorder="1" applyAlignment="1">
      <alignment horizontal="left" vertical="center"/>
    </xf>
    <xf numFmtId="0" fontId="5" fillId="11" borderId="1" xfId="1" applyFill="1" applyBorder="1" applyAlignment="1">
      <alignment horizontal="center" vertical="center"/>
    </xf>
    <xf numFmtId="3" fontId="0" fillId="6" borderId="1" xfId="0" applyNumberFormat="1" applyFill="1" applyBorder="1" applyAlignment="1">
      <alignment horizontal="center" vertical="center"/>
    </xf>
    <xf numFmtId="56" fontId="0" fillId="0" borderId="10" xfId="0" applyNumberForma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15" fillId="3" borderId="15" xfId="0" applyFont="1" applyFill="1" applyBorder="1" applyAlignment="1">
      <alignment horizontal="center" vertical="center"/>
    </xf>
    <xf numFmtId="0" fontId="15" fillId="3" borderId="16" xfId="0" applyFont="1" applyFill="1" applyBorder="1" applyAlignment="1">
      <alignment horizontal="center" vertical="center"/>
    </xf>
    <xf numFmtId="0" fontId="15" fillId="3" borderId="17" xfId="0" applyFont="1" applyFill="1" applyBorder="1" applyAlignment="1">
      <alignment horizontal="center" vertical="center"/>
    </xf>
    <xf numFmtId="38" fontId="9" fillId="5" borderId="7" xfId="0" applyNumberFormat="1" applyFont="1" applyFill="1" applyBorder="1" applyAlignment="1">
      <alignment horizontal="left" vertical="center" shrinkToFit="1"/>
    </xf>
    <xf numFmtId="38" fontId="9" fillId="5" borderId="8" xfId="0" applyNumberFormat="1" applyFont="1" applyFill="1" applyBorder="1" applyAlignment="1">
      <alignment horizontal="left" vertical="center" shrinkToFit="1"/>
    </xf>
    <xf numFmtId="38" fontId="9" fillId="5" borderId="3" xfId="0" applyNumberFormat="1" applyFont="1" applyFill="1" applyBorder="1" applyAlignment="1">
      <alignment horizontal="left" vertical="center" shrinkToFit="1"/>
    </xf>
    <xf numFmtId="38" fontId="9" fillId="5" borderId="9" xfId="0" applyNumberFormat="1" applyFont="1" applyFill="1" applyBorder="1" applyAlignment="1">
      <alignment horizontal="left" vertical="center" shrinkToFit="1"/>
    </xf>
    <xf numFmtId="0" fontId="12" fillId="4" borderId="1" xfId="0" applyFont="1" applyFill="1" applyBorder="1" applyAlignment="1">
      <alignment horizontal="center" vertical="center"/>
    </xf>
  </cellXfs>
  <cellStyles count="4">
    <cellStyle name="ハイパーリンク" xfId="3" xr:uid="{68E0A9C6-052B-48AB-B7C4-03C0C4F4A198}"/>
    <cellStyle name="標準" xfId="0" builtinId="0"/>
    <cellStyle name="標準 3" xfId="2" xr:uid="{DC7DCAA0-6465-40DD-8C0A-A3E444632F39}"/>
    <cellStyle name="標準_発注管理表" xfId="1" xr:uid="{00000000-0005-0000-0000-000002000000}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FE375-DF76-418D-AAEF-3B002349D92D}">
  <sheetPr>
    <tabColor theme="7" tint="0.79998168889431442"/>
  </sheetPr>
  <dimension ref="A2:U33"/>
  <sheetViews>
    <sheetView tabSelected="1" zoomScale="85" zoomScaleNormal="85" workbookViewId="0">
      <pane xSplit="14" ySplit="9" topLeftCell="Q10" activePane="bottomRight" state="frozen"/>
      <selection pane="topRight" activeCell="K1" sqref="K1"/>
      <selection pane="bottomLeft" activeCell="A9" sqref="A9"/>
      <selection pane="bottomRight" activeCell="U13" sqref="U13:U18"/>
    </sheetView>
  </sheetViews>
  <sheetFormatPr defaultRowHeight="13.5" x14ac:dyDescent="0.15"/>
  <cols>
    <col min="2" max="2" width="5.875" customWidth="1"/>
    <col min="3" max="3" width="7.875" customWidth="1"/>
    <col min="4" max="4" width="4.5" customWidth="1"/>
    <col min="5" max="5" width="9" customWidth="1"/>
    <col min="6" max="6" width="13.25" style="3" customWidth="1"/>
    <col min="7" max="7" width="14.375" bestFit="1" customWidth="1"/>
    <col min="8" max="8" width="13.125" bestFit="1" customWidth="1"/>
    <col min="9" max="9" width="71.125" customWidth="1"/>
    <col min="10" max="10" width="6.25" style="3" customWidth="1"/>
    <col min="11" max="12" width="9.875" style="8" bestFit="1" customWidth="1"/>
    <col min="13" max="13" width="5.75" style="8" customWidth="1"/>
    <col min="14" max="14" width="36.5" customWidth="1"/>
    <col min="15" max="15" width="23.875" customWidth="1"/>
    <col min="16" max="16" width="20.375" style="3" customWidth="1"/>
    <col min="17" max="17" width="13.75" style="10" customWidth="1"/>
    <col min="18" max="18" width="6.375" customWidth="1"/>
    <col min="19" max="19" width="13.25" style="8" customWidth="1"/>
    <col min="20" max="20" width="14.5" style="12" customWidth="1"/>
    <col min="21" max="21" width="15.625" style="13" customWidth="1"/>
  </cols>
  <sheetData>
    <row r="2" spans="1:21" ht="20.100000000000001" customHeight="1" x14ac:dyDescent="0.15">
      <c r="F2" s="91" t="s">
        <v>11</v>
      </c>
      <c r="G2" s="91"/>
      <c r="H2" s="91"/>
      <c r="I2" s="9" t="s">
        <v>34</v>
      </c>
      <c r="K2" s="92" t="s">
        <v>15</v>
      </c>
      <c r="L2" s="93"/>
      <c r="M2" s="94"/>
      <c r="N2" s="7">
        <f>SUM(L:L)</f>
        <v>1332000</v>
      </c>
    </row>
    <row r="3" spans="1:21" ht="20.100000000000001" customHeight="1" x14ac:dyDescent="0.15">
      <c r="F3" s="91" t="s">
        <v>10</v>
      </c>
      <c r="G3" s="91"/>
      <c r="H3" s="91"/>
      <c r="I3" s="5" t="s">
        <v>40</v>
      </c>
    </row>
    <row r="4" spans="1:21" ht="20.100000000000001" customHeight="1" x14ac:dyDescent="0.15">
      <c r="F4" s="91" t="s">
        <v>12</v>
      </c>
      <c r="G4" s="91"/>
      <c r="H4" s="91"/>
      <c r="I4" s="28" t="s">
        <v>39</v>
      </c>
      <c r="L4" s="29"/>
      <c r="N4" s="98" t="s">
        <v>47</v>
      </c>
      <c r="O4" s="99"/>
    </row>
    <row r="5" spans="1:21" ht="20.100000000000001" customHeight="1" x14ac:dyDescent="0.15">
      <c r="F5" s="91" t="s">
        <v>13</v>
      </c>
      <c r="G5" s="91"/>
      <c r="H5" s="91"/>
      <c r="I5" s="6">
        <v>46157</v>
      </c>
      <c r="K5" s="102" t="s">
        <v>23</v>
      </c>
      <c r="L5" s="102"/>
      <c r="N5" s="100"/>
      <c r="O5" s="101"/>
    </row>
    <row r="6" spans="1:21" ht="20.100000000000001" customHeight="1" x14ac:dyDescent="0.15">
      <c r="F6" s="91" t="s">
        <v>14</v>
      </c>
      <c r="G6" s="91"/>
      <c r="H6" s="91"/>
      <c r="I6" s="6">
        <v>46160</v>
      </c>
      <c r="K6" s="102"/>
      <c r="L6" s="102"/>
      <c r="N6" s="15"/>
      <c r="O6" s="20"/>
    </row>
    <row r="7" spans="1:21" ht="20.100000000000001" customHeight="1" x14ac:dyDescent="0.15">
      <c r="F7" s="17"/>
      <c r="G7" s="17"/>
      <c r="H7" s="17"/>
      <c r="I7" s="16"/>
      <c r="N7" s="15"/>
      <c r="O7" s="20"/>
      <c r="P7" s="18"/>
    </row>
    <row r="9" spans="1:21" s="3" customFormat="1" ht="19.7" customHeight="1" x14ac:dyDescent="0.15">
      <c r="B9" s="1"/>
      <c r="C9" s="58" t="s">
        <v>24</v>
      </c>
      <c r="E9" s="1" t="s">
        <v>22</v>
      </c>
      <c r="F9" s="4" t="s">
        <v>4</v>
      </c>
      <c r="G9" s="4" t="s">
        <v>9</v>
      </c>
      <c r="H9" s="4" t="s">
        <v>5</v>
      </c>
      <c r="I9" s="1" t="s">
        <v>8</v>
      </c>
      <c r="J9" s="1" t="s">
        <v>0</v>
      </c>
      <c r="K9" s="26" t="s">
        <v>1</v>
      </c>
      <c r="L9" s="30" t="s">
        <v>2</v>
      </c>
      <c r="M9" s="2" t="s">
        <v>18</v>
      </c>
      <c r="N9" s="1" t="s">
        <v>3</v>
      </c>
      <c r="O9" s="1" t="s">
        <v>17</v>
      </c>
      <c r="P9" s="1" t="s">
        <v>16</v>
      </c>
      <c r="Q9" s="11" t="s">
        <v>6</v>
      </c>
      <c r="R9" s="4" t="s">
        <v>19</v>
      </c>
      <c r="S9" s="1" t="s">
        <v>7</v>
      </c>
      <c r="T9" s="11" t="s">
        <v>20</v>
      </c>
      <c r="U9" s="14" t="s">
        <v>21</v>
      </c>
    </row>
    <row r="10" spans="1:21" s="3" customFormat="1" ht="19.7" customHeight="1" x14ac:dyDescent="0.15">
      <c r="D10" s="27"/>
      <c r="E10" s="1"/>
      <c r="F10" s="4"/>
      <c r="G10" s="4"/>
      <c r="H10" s="4"/>
      <c r="I10" s="25"/>
      <c r="J10" s="1"/>
      <c r="K10" s="21"/>
      <c r="L10" s="31"/>
      <c r="M10" s="2"/>
      <c r="N10" s="24"/>
      <c r="O10" s="22"/>
      <c r="P10" s="4"/>
      <c r="Q10" s="11"/>
      <c r="R10" s="4"/>
      <c r="S10" s="19"/>
      <c r="T10" s="19"/>
      <c r="U10" s="14"/>
    </row>
    <row r="11" spans="1:21" s="3" customFormat="1" ht="19.5" customHeight="1" x14ac:dyDescent="0.15">
      <c r="F11" s="95" t="s">
        <v>28</v>
      </c>
      <c r="G11" s="96"/>
      <c r="H11" s="96"/>
      <c r="I11" s="97"/>
      <c r="J11" s="32"/>
      <c r="K11" s="32"/>
      <c r="L11" s="32"/>
      <c r="M11" s="33"/>
      <c r="N11" s="34"/>
      <c r="O11" s="35"/>
      <c r="P11" s="35"/>
      <c r="Q11" s="36"/>
      <c r="R11" s="37"/>
      <c r="S11" s="35"/>
      <c r="T11" s="36"/>
      <c r="U11" s="38"/>
    </row>
    <row r="12" spans="1:21" s="3" customFormat="1" ht="19.5" customHeight="1" x14ac:dyDescent="0.15">
      <c r="A12" s="3" t="s">
        <v>46</v>
      </c>
      <c r="C12" s="1">
        <v>48</v>
      </c>
      <c r="D12" s="1"/>
      <c r="E12" s="83">
        <v>2</v>
      </c>
      <c r="F12" s="56">
        <v>1</v>
      </c>
      <c r="G12" s="4" t="s">
        <v>29</v>
      </c>
      <c r="H12" s="4" t="s">
        <v>29</v>
      </c>
      <c r="I12" s="68" t="s">
        <v>41</v>
      </c>
      <c r="J12" s="65">
        <v>1</v>
      </c>
      <c r="K12" s="89">
        <v>1110000</v>
      </c>
      <c r="L12" s="70">
        <f t="shared" ref="L12:L18" si="0">J12*K12</f>
        <v>1110000</v>
      </c>
      <c r="M12" s="2"/>
      <c r="N12" s="23" t="s">
        <v>33</v>
      </c>
      <c r="O12" s="41" t="s">
        <v>38</v>
      </c>
      <c r="P12" s="41"/>
      <c r="Q12" s="36">
        <v>46086</v>
      </c>
      <c r="R12" s="37"/>
      <c r="S12" s="90">
        <v>46157</v>
      </c>
      <c r="T12" s="36"/>
      <c r="U12" s="42">
        <v>46167</v>
      </c>
    </row>
    <row r="13" spans="1:21" s="3" customFormat="1" ht="19.5" customHeight="1" x14ac:dyDescent="0.15">
      <c r="A13" s="3" t="s">
        <v>46</v>
      </c>
      <c r="C13" s="1"/>
      <c r="D13" s="1"/>
      <c r="E13" s="83">
        <v>2</v>
      </c>
      <c r="F13" s="57">
        <f t="shared" ref="F13:F18" si="1">F12+1</f>
        <v>2</v>
      </c>
      <c r="G13" s="86" t="s">
        <v>29</v>
      </c>
      <c r="H13" s="86" t="s">
        <v>29</v>
      </c>
      <c r="I13" s="87" t="s">
        <v>42</v>
      </c>
      <c r="J13" s="88">
        <v>1</v>
      </c>
      <c r="K13" s="88">
        <v>12000</v>
      </c>
      <c r="L13" s="70">
        <f t="shared" si="0"/>
        <v>12000</v>
      </c>
      <c r="M13" s="2"/>
      <c r="N13" s="23"/>
      <c r="O13" s="41" t="s">
        <v>38</v>
      </c>
      <c r="P13" s="41"/>
      <c r="Q13" s="36">
        <v>46086</v>
      </c>
      <c r="R13" s="49"/>
      <c r="S13" s="90">
        <v>46157</v>
      </c>
      <c r="T13" s="36"/>
      <c r="U13" s="42">
        <v>46167</v>
      </c>
    </row>
    <row r="14" spans="1:21" s="3" customFormat="1" ht="19.5" customHeight="1" x14ac:dyDescent="0.15">
      <c r="A14" s="3" t="s">
        <v>46</v>
      </c>
      <c r="C14" s="1"/>
      <c r="D14" s="1"/>
      <c r="E14" s="83">
        <v>4</v>
      </c>
      <c r="F14" s="57">
        <f t="shared" si="1"/>
        <v>3</v>
      </c>
      <c r="G14" s="4" t="s">
        <v>29</v>
      </c>
      <c r="H14" s="4" t="s">
        <v>29</v>
      </c>
      <c r="I14" s="79" t="s">
        <v>37</v>
      </c>
      <c r="J14" s="65">
        <v>1</v>
      </c>
      <c r="K14" s="66">
        <v>20000</v>
      </c>
      <c r="L14" s="70">
        <f t="shared" si="0"/>
        <v>20000</v>
      </c>
      <c r="M14" s="2"/>
      <c r="N14" s="85" t="s">
        <v>30</v>
      </c>
      <c r="O14" s="41" t="s">
        <v>38</v>
      </c>
      <c r="P14" s="41"/>
      <c r="Q14" s="36">
        <v>46086</v>
      </c>
      <c r="R14" s="49"/>
      <c r="S14" s="90">
        <v>46157</v>
      </c>
      <c r="T14" s="36"/>
      <c r="U14" s="42">
        <v>46167</v>
      </c>
    </row>
    <row r="15" spans="1:21" s="3" customFormat="1" ht="19.5" customHeight="1" x14ac:dyDescent="0.15">
      <c r="A15" s="3" t="s">
        <v>46</v>
      </c>
      <c r="C15" s="1"/>
      <c r="D15" s="1"/>
      <c r="E15" s="83">
        <v>5</v>
      </c>
      <c r="F15" s="57">
        <f t="shared" si="1"/>
        <v>4</v>
      </c>
      <c r="G15" s="4" t="s">
        <v>29</v>
      </c>
      <c r="H15" s="4" t="s">
        <v>29</v>
      </c>
      <c r="I15" s="79" t="s">
        <v>35</v>
      </c>
      <c r="J15" s="65">
        <v>1</v>
      </c>
      <c r="K15" s="66">
        <v>30000</v>
      </c>
      <c r="L15" s="70">
        <f t="shared" si="0"/>
        <v>30000</v>
      </c>
      <c r="M15" s="2"/>
      <c r="N15" s="23" t="s">
        <v>36</v>
      </c>
      <c r="O15" s="41" t="s">
        <v>38</v>
      </c>
      <c r="P15" s="41"/>
      <c r="Q15" s="36">
        <v>46086</v>
      </c>
      <c r="R15" s="49"/>
      <c r="S15" s="90">
        <v>46157</v>
      </c>
      <c r="T15" s="36"/>
      <c r="U15" s="42">
        <v>46167</v>
      </c>
    </row>
    <row r="16" spans="1:21" s="3" customFormat="1" ht="19.5" customHeight="1" x14ac:dyDescent="0.15">
      <c r="A16" s="3" t="s">
        <v>46</v>
      </c>
      <c r="C16" s="1"/>
      <c r="D16" s="1"/>
      <c r="E16" s="83">
        <v>6</v>
      </c>
      <c r="F16" s="57">
        <f t="shared" si="1"/>
        <v>5</v>
      </c>
      <c r="G16" s="4" t="s">
        <v>29</v>
      </c>
      <c r="H16" s="4" t="s">
        <v>29</v>
      </c>
      <c r="I16" s="80" t="s">
        <v>44</v>
      </c>
      <c r="J16" s="65">
        <v>1</v>
      </c>
      <c r="K16" s="89">
        <v>55000</v>
      </c>
      <c r="L16" s="70">
        <f t="shared" si="0"/>
        <v>55000</v>
      </c>
      <c r="M16" s="2"/>
      <c r="N16" s="23" t="s">
        <v>43</v>
      </c>
      <c r="O16" s="41" t="s">
        <v>38</v>
      </c>
      <c r="P16" s="41"/>
      <c r="Q16" s="36">
        <v>46086</v>
      </c>
      <c r="R16" s="49"/>
      <c r="S16" s="90">
        <v>46157</v>
      </c>
      <c r="T16" s="36"/>
      <c r="U16" s="42">
        <v>46167</v>
      </c>
    </row>
    <row r="17" spans="1:21" s="3" customFormat="1" ht="19.5" customHeight="1" x14ac:dyDescent="0.15">
      <c r="A17" s="3" t="s">
        <v>46</v>
      </c>
      <c r="C17" s="1">
        <v>10.5</v>
      </c>
      <c r="D17" s="1"/>
      <c r="E17" s="83">
        <v>3</v>
      </c>
      <c r="F17" s="57">
        <f t="shared" si="1"/>
        <v>6</v>
      </c>
      <c r="G17" s="84" t="s">
        <v>29</v>
      </c>
      <c r="H17" s="84" t="s">
        <v>29</v>
      </c>
      <c r="I17" s="67" t="s">
        <v>45</v>
      </c>
      <c r="J17" s="81">
        <v>1</v>
      </c>
      <c r="K17" s="81">
        <v>45000</v>
      </c>
      <c r="L17" s="70">
        <f t="shared" si="0"/>
        <v>45000</v>
      </c>
      <c r="M17" s="69"/>
      <c r="N17" s="45" t="s">
        <v>45</v>
      </c>
      <c r="O17" s="41" t="s">
        <v>38</v>
      </c>
      <c r="P17" s="41"/>
      <c r="Q17" s="36">
        <v>46086</v>
      </c>
      <c r="R17" s="37"/>
      <c r="S17" s="90">
        <v>46157</v>
      </c>
      <c r="T17" s="36"/>
      <c r="U17" s="42">
        <v>46167</v>
      </c>
    </row>
    <row r="18" spans="1:21" s="3" customFormat="1" ht="19.5" customHeight="1" x14ac:dyDescent="0.15">
      <c r="A18" s="3" t="s">
        <v>46</v>
      </c>
      <c r="C18" s="1"/>
      <c r="D18" s="1"/>
      <c r="E18" s="83">
        <v>7</v>
      </c>
      <c r="F18" s="57">
        <f t="shared" si="1"/>
        <v>7</v>
      </c>
      <c r="G18" s="4" t="s">
        <v>29</v>
      </c>
      <c r="H18" s="4" t="s">
        <v>29</v>
      </c>
      <c r="I18" s="68" t="s">
        <v>32</v>
      </c>
      <c r="J18" s="65">
        <v>1</v>
      </c>
      <c r="K18" s="89">
        <v>60000</v>
      </c>
      <c r="L18" s="70">
        <f t="shared" si="0"/>
        <v>60000</v>
      </c>
      <c r="M18" s="2"/>
      <c r="N18" s="23" t="s">
        <v>31</v>
      </c>
      <c r="O18" s="41" t="s">
        <v>38</v>
      </c>
      <c r="P18" s="41"/>
      <c r="Q18" s="36">
        <v>46086</v>
      </c>
      <c r="R18" s="49"/>
      <c r="S18" s="90">
        <v>46157</v>
      </c>
      <c r="T18" s="36"/>
      <c r="U18" s="42">
        <v>46167</v>
      </c>
    </row>
    <row r="19" spans="1:21" s="3" customFormat="1" ht="19.5" customHeight="1" x14ac:dyDescent="0.15">
      <c r="C19" s="1"/>
      <c r="E19" s="83"/>
      <c r="F19" s="51"/>
      <c r="G19" s="72"/>
      <c r="H19" s="72"/>
      <c r="I19" s="71"/>
      <c r="J19" s="55"/>
      <c r="K19" s="55"/>
      <c r="L19" s="73"/>
      <c r="M19" s="82"/>
      <c r="N19" s="74"/>
      <c r="O19" s="41"/>
      <c r="P19" s="41"/>
      <c r="Q19" s="11"/>
      <c r="R19" s="49"/>
      <c r="S19" s="35"/>
      <c r="T19" s="36"/>
      <c r="U19" s="38"/>
    </row>
    <row r="20" spans="1:21" s="3" customFormat="1" ht="19.5" customHeight="1" x14ac:dyDescent="0.15">
      <c r="C20" s="1"/>
      <c r="E20" s="83"/>
      <c r="F20" s="51"/>
      <c r="G20" s="39"/>
      <c r="H20" s="75"/>
      <c r="I20" s="76">
        <f>SUM(L12:L18)</f>
        <v>1332000</v>
      </c>
      <c r="J20" s="41"/>
      <c r="K20" s="77"/>
      <c r="L20" s="78"/>
      <c r="M20" s="40"/>
      <c r="N20" s="44"/>
      <c r="O20" s="41"/>
      <c r="P20" s="41"/>
      <c r="Q20" s="11"/>
      <c r="R20" s="49"/>
      <c r="S20" s="35"/>
      <c r="T20" s="36"/>
      <c r="U20" s="38"/>
    </row>
    <row r="21" spans="1:21" s="3" customFormat="1" ht="19.5" customHeight="1" x14ac:dyDescent="0.15">
      <c r="C21" s="1"/>
      <c r="E21" s="83"/>
      <c r="F21" s="51"/>
      <c r="G21" s="53"/>
      <c r="H21" s="53"/>
      <c r="I21" s="23"/>
      <c r="J21" s="59"/>
      <c r="K21" s="50"/>
      <c r="L21" s="39"/>
      <c r="M21" s="41"/>
      <c r="N21" s="44"/>
      <c r="O21" s="41"/>
      <c r="P21" s="41"/>
      <c r="Q21" s="11"/>
      <c r="R21" s="49"/>
      <c r="S21" s="35"/>
      <c r="T21" s="36"/>
      <c r="U21" s="38"/>
    </row>
    <row r="22" spans="1:21" s="3" customFormat="1" ht="19.5" customHeight="1" x14ac:dyDescent="0.15">
      <c r="C22" s="3" t="s">
        <v>25</v>
      </c>
      <c r="E22" s="83"/>
      <c r="F22" s="51"/>
      <c r="G22" s="39"/>
      <c r="H22" s="39"/>
      <c r="I22" s="43"/>
      <c r="J22" s="41"/>
      <c r="K22" s="50"/>
      <c r="L22" s="39"/>
      <c r="M22" s="41"/>
      <c r="N22" s="44"/>
      <c r="O22" s="41"/>
      <c r="P22" s="41"/>
      <c r="Q22" s="11"/>
      <c r="R22" s="49"/>
      <c r="S22" s="35"/>
      <c r="T22" s="36"/>
      <c r="U22" s="38"/>
    </row>
    <row r="23" spans="1:21" s="3" customFormat="1" ht="19.5" customHeight="1" x14ac:dyDescent="0.15">
      <c r="C23" s="60">
        <f>SUM(C11:C21)</f>
        <v>58.5</v>
      </c>
      <c r="E23" s="83"/>
      <c r="F23" s="51"/>
      <c r="G23" s="39"/>
      <c r="H23" s="39"/>
      <c r="I23" s="43"/>
      <c r="J23" s="41"/>
      <c r="K23" s="50"/>
      <c r="L23" s="39"/>
      <c r="M23" s="41"/>
      <c r="N23" s="44"/>
      <c r="O23" s="41"/>
      <c r="P23" s="41"/>
      <c r="Q23" s="11"/>
      <c r="R23" s="49"/>
      <c r="S23" s="35"/>
      <c r="T23" s="36"/>
      <c r="U23" s="38"/>
    </row>
    <row r="24" spans="1:21" s="3" customFormat="1" ht="19.5" customHeight="1" x14ac:dyDescent="0.15">
      <c r="C24" s="46" t="s">
        <v>26</v>
      </c>
      <c r="E24" s="83"/>
      <c r="F24" s="51"/>
      <c r="G24" s="39"/>
      <c r="H24" s="39"/>
      <c r="I24" s="43"/>
      <c r="J24" s="41"/>
      <c r="K24" s="50"/>
      <c r="L24" s="39"/>
      <c r="M24" s="41"/>
      <c r="N24" s="44"/>
      <c r="O24" s="41"/>
      <c r="P24" s="41"/>
      <c r="Q24" s="11"/>
      <c r="R24" s="49"/>
      <c r="S24" s="35"/>
      <c r="T24" s="36"/>
      <c r="U24" s="38"/>
    </row>
    <row r="25" spans="1:21" s="3" customFormat="1" x14ac:dyDescent="0.15">
      <c r="A25"/>
      <c r="B25"/>
      <c r="C25" s="46" t="s">
        <v>26</v>
      </c>
      <c r="D25"/>
      <c r="E25"/>
      <c r="F25" s="53"/>
      <c r="G25" s="53"/>
      <c r="H25" s="53"/>
      <c r="I25" s="63"/>
      <c r="J25" s="59"/>
      <c r="K25" s="61"/>
      <c r="L25" s="54"/>
      <c r="M25" s="47"/>
      <c r="N25" s="48"/>
      <c r="O25" s="52"/>
      <c r="Q25" s="10"/>
      <c r="R25"/>
      <c r="S25" s="8"/>
      <c r="T25" s="12"/>
      <c r="U25" s="13"/>
    </row>
    <row r="26" spans="1:21" s="3" customFormat="1" x14ac:dyDescent="0.15">
      <c r="A26"/>
      <c r="B26"/>
      <c r="D26"/>
      <c r="E26"/>
      <c r="F26" s="53"/>
      <c r="G26" s="53"/>
      <c r="H26" s="53"/>
      <c r="I26" s="63"/>
      <c r="J26" s="59"/>
      <c r="K26" s="61"/>
      <c r="L26" s="54"/>
      <c r="M26" s="47"/>
      <c r="N26" s="48"/>
      <c r="O26" s="52"/>
      <c r="Q26" s="10"/>
      <c r="R26"/>
      <c r="S26" s="8"/>
      <c r="T26" s="12"/>
      <c r="U26" s="13"/>
    </row>
    <row r="27" spans="1:21" s="3" customFormat="1" x14ac:dyDescent="0.15">
      <c r="A27"/>
      <c r="B27"/>
      <c r="D27"/>
      <c r="E27"/>
      <c r="F27" s="53"/>
      <c r="G27" s="53"/>
      <c r="H27" s="53"/>
      <c r="I27" s="63"/>
      <c r="J27" s="59"/>
      <c r="K27" s="61"/>
      <c r="L27" s="54"/>
      <c r="M27" s="47"/>
      <c r="N27" s="48"/>
      <c r="O27" s="52"/>
      <c r="Q27" s="10"/>
      <c r="R27"/>
      <c r="S27" s="8"/>
      <c r="T27" s="12"/>
      <c r="U27" s="13"/>
    </row>
    <row r="28" spans="1:21" s="3" customFormat="1" x14ac:dyDescent="0.15">
      <c r="A28"/>
      <c r="B28"/>
      <c r="D28"/>
      <c r="E28"/>
      <c r="F28" s="53"/>
      <c r="G28" s="53"/>
      <c r="H28" s="53"/>
      <c r="I28" s="63"/>
      <c r="J28" s="59"/>
      <c r="K28" s="61"/>
      <c r="L28" s="54"/>
      <c r="M28" s="47"/>
      <c r="N28" s="48"/>
      <c r="O28" s="52"/>
      <c r="Q28" s="10"/>
      <c r="R28"/>
      <c r="S28" s="8"/>
      <c r="T28" s="12"/>
      <c r="U28" s="13"/>
    </row>
    <row r="29" spans="1:21" s="3" customFormat="1" ht="14.25" thickBot="1" x14ac:dyDescent="0.2">
      <c r="A29"/>
      <c r="B29"/>
      <c r="C29" s="3" t="s">
        <v>27</v>
      </c>
      <c r="D29"/>
      <c r="E29"/>
      <c r="F29" s="53"/>
      <c r="G29" s="53"/>
      <c r="H29" s="53"/>
      <c r="I29" s="63"/>
      <c r="J29" s="59"/>
      <c r="K29" s="61"/>
      <c r="L29" s="54"/>
      <c r="M29" s="47"/>
      <c r="N29" s="48"/>
      <c r="O29" s="52"/>
      <c r="Q29" s="10"/>
      <c r="R29"/>
      <c r="S29" s="8"/>
      <c r="T29" s="12"/>
      <c r="U29" s="13"/>
    </row>
    <row r="30" spans="1:21" s="3" customFormat="1" ht="14.25" thickBot="1" x14ac:dyDescent="0.2">
      <c r="A30"/>
      <c r="B30"/>
      <c r="C30" s="64" t="e">
        <f>+#REF!+#REF!+C23</f>
        <v>#REF!</v>
      </c>
      <c r="D30"/>
      <c r="E30"/>
      <c r="F30" s="62"/>
      <c r="G30" s="53"/>
      <c r="H30" s="53"/>
      <c r="I30" s="63"/>
      <c r="J30" s="59"/>
      <c r="K30" s="61"/>
      <c r="L30" s="54"/>
      <c r="M30" s="47"/>
      <c r="N30" s="48"/>
      <c r="O30" s="52"/>
      <c r="Q30" s="10"/>
      <c r="R30"/>
      <c r="S30" s="8"/>
      <c r="T30" s="12"/>
      <c r="U30" s="13"/>
    </row>
    <row r="31" spans="1:21" s="3" customFormat="1" x14ac:dyDescent="0.15">
      <c r="A31"/>
      <c r="B31"/>
      <c r="C31" s="46" t="s">
        <v>26</v>
      </c>
      <c r="D31"/>
      <c r="E31"/>
      <c r="F31" s="53"/>
      <c r="G31" s="53"/>
      <c r="H31" s="53"/>
      <c r="I31" s="63"/>
      <c r="J31" s="59"/>
      <c r="K31" s="61"/>
      <c r="L31" s="54"/>
      <c r="M31" s="47"/>
      <c r="N31" s="48"/>
      <c r="O31" s="52"/>
      <c r="Q31" s="10"/>
      <c r="R31"/>
      <c r="S31" s="8"/>
      <c r="T31" s="12"/>
      <c r="U31" s="13"/>
    </row>
    <row r="32" spans="1:21" s="3" customFormat="1" x14ac:dyDescent="0.15">
      <c r="A32"/>
      <c r="B32"/>
      <c r="D32"/>
      <c r="E32"/>
      <c r="F32" s="53"/>
      <c r="G32" s="53"/>
      <c r="H32" s="53"/>
      <c r="I32" s="63"/>
      <c r="J32" s="59"/>
      <c r="K32" s="61"/>
      <c r="L32" s="54"/>
      <c r="M32" s="47"/>
      <c r="N32" s="48"/>
      <c r="O32" s="52"/>
      <c r="Q32" s="10"/>
      <c r="R32"/>
      <c r="S32" s="8"/>
      <c r="T32" s="12"/>
      <c r="U32" s="13"/>
    </row>
    <row r="33" spans="1:21" s="3" customFormat="1" x14ac:dyDescent="0.15">
      <c r="A33"/>
      <c r="B33"/>
      <c r="D33"/>
      <c r="E33"/>
      <c r="F33" s="53"/>
      <c r="G33" s="53"/>
      <c r="H33" s="53"/>
      <c r="I33" s="63"/>
      <c r="J33" s="59"/>
      <c r="K33" s="61"/>
      <c r="L33" s="54"/>
      <c r="M33" s="47"/>
      <c r="N33" s="48"/>
      <c r="O33" s="52"/>
      <c r="Q33" s="10"/>
      <c r="R33"/>
      <c r="S33" s="8"/>
      <c r="T33" s="12"/>
      <c r="U33" s="13"/>
    </row>
  </sheetData>
  <autoFilter ref="F9:S24" xr:uid="{00000000-0009-0000-0000-000000000000}"/>
  <mergeCells count="9">
    <mergeCell ref="N4:O5"/>
    <mergeCell ref="F5:H5"/>
    <mergeCell ref="K5:L6"/>
    <mergeCell ref="F6:H6"/>
    <mergeCell ref="F2:H2"/>
    <mergeCell ref="K2:M2"/>
    <mergeCell ref="F3:H3"/>
    <mergeCell ref="F4:H4"/>
    <mergeCell ref="F11:I11"/>
  </mergeCells>
  <phoneticPr fontId="14"/>
  <pageMargins left="0.2" right="0.2" top="0.36" bottom="0.41" header="0.3" footer="0.3"/>
  <pageSetup paperSize="9" scale="7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SETB0312-A01①　JR4604 20260304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齋藤 秀昭</dc:creator>
  <cp:lastModifiedBy>shinohara</cp:lastModifiedBy>
  <cp:lastPrinted>2018-06-15T01:25:43Z</cp:lastPrinted>
  <dcterms:created xsi:type="dcterms:W3CDTF">2011-12-13T06:48:43Z</dcterms:created>
  <dcterms:modified xsi:type="dcterms:W3CDTF">2026-05-25T04:11:08Z</dcterms:modified>
</cp:coreProperties>
</file>