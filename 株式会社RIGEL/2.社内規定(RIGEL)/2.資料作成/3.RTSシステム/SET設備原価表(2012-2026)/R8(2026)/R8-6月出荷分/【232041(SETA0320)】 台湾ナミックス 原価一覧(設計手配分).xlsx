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21AC7657-EEF7-4154-B51B-368A6E079D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Sheet1!$B$8:$O$20</definedName>
  </definedNames>
  <calcPr calcId="181029"/>
</workbook>
</file>

<file path=xl/calcChain.xml><?xml version="1.0" encoding="utf-8"?>
<calcChain xmlns="http://schemas.openxmlformats.org/spreadsheetml/2006/main">
  <c r="H16" i="1" l="1"/>
  <c r="H11" i="1"/>
  <c r="H10" i="1"/>
  <c r="H17" i="1"/>
  <c r="H12" i="1"/>
  <c r="H13" i="1"/>
  <c r="H14" i="1"/>
  <c r="H15" i="1"/>
  <c r="H18" i="1" l="1"/>
  <c r="H19" i="1"/>
  <c r="H9" i="1" l="1"/>
  <c r="J2" i="1" l="1"/>
</calcChain>
</file>

<file path=xl/sharedStrings.xml><?xml version="1.0" encoding="utf-8"?>
<sst xmlns="http://schemas.openxmlformats.org/spreadsheetml/2006/main" count="74" uniqueCount="46">
  <si>
    <t>数量</t>
  </si>
  <si>
    <t>単価</t>
  </si>
  <si>
    <t>金額</t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</si>
  <si>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</si>
  <si>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</si>
  <si>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</si>
  <si>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</si>
  <si>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</si>
  <si>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</si>
  <si>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</si>
  <si>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</si>
  <si>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</si>
  <si>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</si>
  <si>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</si>
  <si>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</si>
  <si>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</si>
  <si>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</si>
  <si>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</si>
  <si>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</si>
  <si>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</si>
  <si>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</si>
  <si>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中村</t>
    <rPh sb="0" eb="2">
      <t>ナカムラ</t>
    </rPh>
    <phoneticPr fontId="1"/>
  </si>
  <si>
    <t>■SETA0320-Y01-A(ﾂｰﾙﾌﾟﾚｰﾄ)</t>
  </si>
  <si>
    <t>■SETA0320-Y02-A(AC475変換ﾌﾟﾚｰﾄ)</t>
  </si>
  <si>
    <t>MVBLK-AMW-4HM-EUBCU</t>
  </si>
  <si>
    <t>MVBLK-AMW-4HM-ZF3CY</t>
  </si>
  <si>
    <t>■SETA0320-X01-A(SUSﾍﾞｰｽﾌﾟﾚｰﾄ)</t>
  </si>
  <si>
    <t>MVBLK-SUB-4HM-TWYET</t>
  </si>
  <si>
    <t>MISUMI</t>
    <phoneticPr fontId="1"/>
  </si>
  <si>
    <t>SET</t>
    <phoneticPr fontId="1"/>
  </si>
  <si>
    <t>設計費</t>
    <rPh sb="0" eb="3">
      <t>セッケイヒ</t>
    </rPh>
    <phoneticPr fontId="1"/>
  </si>
  <si>
    <t>組立費</t>
    <rPh sb="0" eb="3">
      <t>クミタテヒ</t>
    </rPh>
    <phoneticPr fontId="1"/>
  </si>
  <si>
    <t>台湾ナミックス</t>
    <rPh sb="0" eb="2">
      <t>タイワン</t>
    </rPh>
    <phoneticPr fontId="1"/>
  </si>
  <si>
    <t>DB-37SP</t>
  </si>
  <si>
    <t>ｺﾈｸﾀ</t>
  </si>
  <si>
    <t>DSUBﾌｰﾄﾞ</t>
  </si>
  <si>
    <t>NEDUL-PT-SB-H15-2</t>
  </si>
  <si>
    <t>DSUBﾊｰﾈｽ</t>
  </si>
  <si>
    <t>DC-C8-J13-B51R</t>
  </si>
  <si>
    <t>MY2N-D2 DC24</t>
  </si>
  <si>
    <t>PYFZ-08</t>
  </si>
  <si>
    <t>RELAY SOCKET</t>
  </si>
  <si>
    <t>RELAY</t>
  </si>
  <si>
    <t>232041-TWN(SATOH)</t>
  </si>
  <si>
    <t>BSDCV15BK</t>
    <phoneticPr fontId="1"/>
  </si>
  <si>
    <t>ﾃﾞｨｽﾌﾟﾚｲｹｰﾌﾞﾙ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</si>
</sst>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</numFmts>
  <fonts count="9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020024"/>
      <name val="Hiragino Sans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80" fontId="0" fillId="0" borderId="0" xfId="0" applyNumberFormat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38" fontId="5" fillId="0" borderId="1" xfId="0" applyNumberFormat="1" applyFont="1" applyBorder="1" applyAlignment="1">
      <alignment horizontal="right" vertical="center"/>
    </xf>
    <xf numFmtId="179" fontId="0" fillId="0" borderId="1" xfId="0" applyNumberForma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6" fontId="5" fillId="0" borderId="0" xfId="0" applyNumberFormat="1" applyFont="1">
      <alignment vertical="center"/>
    </xf>
    <xf numFmtId="176" fontId="5" fillId="0" borderId="1" xfId="0" applyNumberFormat="1" applyFont="1" applyBorder="1">
      <alignment vertical="center"/>
    </xf>
    <xf numFmtId="3" fontId="0" fillId="0" borderId="6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7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>
      <alignment vertical="center"/>
    </xf>
    <xf numFmtId="38" fontId="5" fillId="0" borderId="1" xfId="0" applyNumberFormat="1" applyFont="1" applyFill="1" applyBorder="1" applyAlignment="1">
      <alignment horizontal="right" vertical="center"/>
    </xf>
    <xf numFmtId="0" fontId="8" fillId="0" borderId="0" xfId="0" applyFont="1" applyFill="1">
      <alignment vertical="center"/>
    </xf>
    <xf numFmtId="0" fontId="7" fillId="0" borderId="1" xfId="0" applyFon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56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50"/>
  <sheetViews>
    <sheetView tabSelected="1" zoomScale="70" zoomScaleNormal="70" workbookViewId="0">
      <pane ySplit="8" topLeftCell="A9" activePane="bottomLeft" state="frozen"/>
      <selection pane="bottomLeft"/>
    </sheetView>
  </sheetViews>
  <sheetFormatPr defaultRowHeight="13.5"/>
  <cols>
    <col min="1" max="1" width="2.625" customWidth="1"/>
    <col min="2" max="2" width="16.375" style="4" bestFit="1" customWidth="1"/>
    <col min="3" max="3" width="20.625" customWidth="1"/>
    <col min="4" max="4" width="20.75" customWidth="1"/>
    <col min="5" max="5" width="75.75" customWidth="1"/>
    <col min="6" max="6" width="6.25" style="2" customWidth="1"/>
    <col min="7" max="7" width="11.625" style="21" customWidth="1"/>
    <col min="8" max="8" width="11.625" customWidth="1"/>
    <col min="9" max="9" width="15" style="5" bestFit="1" customWidth="1"/>
    <col min="10" max="10" width="45.75" customWidth="1"/>
    <col min="11" max="11" width="35.75" customWidth="1"/>
    <col min="12" max="12" width="55.75" style="4" customWidth="1"/>
    <col min="13" max="13" width="13.75" style="4" customWidth="1"/>
    <col min="14" max="14" width="6.375" customWidth="1"/>
    <col min="15" max="15" width="13.25" style="5" customWidth="1"/>
    <col min="16" max="16" width="14.5" style="6" customWidth="1"/>
    <col min="17" max="17" width="15.625" style="7" customWidth="1"/>
  </cols>
  <sheetData>
    <row r="2" spans="2:17" ht="20.100000000000001" customHeight="1">
      <c r="B2" s="32" t="s">
        <v>10</v>
      </c>
      <c r="C2" s="32"/>
      <c r="D2" s="32"/>
      <c r="E2" s="1" t="s">
        <v>32</v>
      </c>
      <c r="G2" s="33" t="s">
        <v>14</v>
      </c>
      <c r="H2" s="34"/>
      <c r="I2" s="35"/>
      <c r="J2" s="3">
        <f>SUM(H:H)</f>
        <v>171393</v>
      </c>
    </row>
    <row r="3" spans="2:17" ht="20.100000000000001" customHeight="1">
      <c r="B3" s="32" t="s">
        <v>9</v>
      </c>
      <c r="C3" s="32"/>
      <c r="D3" s="32"/>
      <c r="E3" s="8" t="s">
        <v>21</v>
      </c>
    </row>
    <row r="4" spans="2:17" ht="20.100000000000001" customHeight="1">
      <c r="B4" s="32" t="s">
        <v>11</v>
      </c>
      <c r="C4" s="32"/>
      <c r="D4" s="32"/>
      <c r="E4" s="1">
        <v>232041</v>
      </c>
    </row>
    <row r="5" spans="2:17" ht="20.100000000000001" customHeight="1">
      <c r="B5" s="32" t="s">
        <v>12</v>
      </c>
      <c r="C5" s="32"/>
      <c r="D5" s="32"/>
      <c r="E5" s="9">
        <v>46178</v>
      </c>
    </row>
    <row r="6" spans="2:17" ht="20.100000000000001" customHeight="1">
      <c r="B6" s="32" t="s">
        <v>13</v>
      </c>
      <c r="C6" s="32"/>
      <c r="D6" s="32"/>
      <c r="E6" s="9">
        <v>46199</v>
      </c>
    </row>
    <row r="8" spans="2:17" s="4" customFormat="1" ht="19.7" customHeight="1">
      <c r="B8" s="10" t="s">
        <v>3</v>
      </c>
      <c r="C8" s="10" t="s">
        <v>8</v>
      </c>
      <c r="D8" s="10" t="s">
        <v>4</v>
      </c>
      <c r="E8" s="11" t="s">
        <v>7</v>
      </c>
      <c r="F8" s="12" t="s">
        <v>0</v>
      </c>
      <c r="G8" s="28" t="s">
        <v>1</v>
      </c>
      <c r="H8" s="13" t="s">
        <v>2</v>
      </c>
      <c r="I8" s="13" t="s">
        <v>17</v>
      </c>
      <c r="J8" s="11"/>
      <c r="K8" s="11" t="s">
        <v>16</v>
      </c>
      <c r="L8" s="11" t="s">
        <v>15</v>
      </c>
      <c r="M8" s="10" t="s">
        <v>5</v>
      </c>
      <c r="N8" s="10" t="s">
        <v>18</v>
      </c>
      <c r="O8" s="11" t="s">
        <v>6</v>
      </c>
      <c r="P8" s="14" t="s">
        <v>19</v>
      </c>
      <c r="Q8" s="15" t="s">
        <v>20</v>
      </c>
    </row>
    <row r="9" spans="2:17" s="4" customFormat="1" ht="19.7" customHeight="1">
      <c r="B9" s="30">
        <v>7</v>
      </c>
      <c r="C9" s="10" t="s">
        <v>28</v>
      </c>
      <c r="D9" s="10" t="s">
        <v>28</v>
      </c>
      <c r="E9" s="16" t="s">
        <v>24</v>
      </c>
      <c r="F9" s="11">
        <v>1</v>
      </c>
      <c r="G9" s="26">
        <v>5980</v>
      </c>
      <c r="H9" s="17">
        <f t="shared" ref="H9:H19" si="0">F9*G9</f>
        <v>5980</v>
      </c>
      <c r="I9" s="11"/>
      <c r="J9" s="16" t="s">
        <v>22</v>
      </c>
      <c r="K9" s="27" t="s">
        <v>43</v>
      </c>
      <c r="L9" s="11"/>
      <c r="M9" s="18">
        <v>46155</v>
      </c>
      <c r="N9" s="10"/>
      <c r="O9" s="11"/>
      <c r="P9" s="19">
        <v>46167</v>
      </c>
      <c r="Q9" s="15"/>
    </row>
    <row r="10" spans="2:17" s="4" customFormat="1" ht="19.7" customHeight="1">
      <c r="B10" s="36"/>
      <c r="C10" s="10" t="s">
        <v>28</v>
      </c>
      <c r="D10" s="10" t="s">
        <v>28</v>
      </c>
      <c r="E10" s="16" t="s">
        <v>25</v>
      </c>
      <c r="F10" s="11">
        <v>1</v>
      </c>
      <c r="G10" s="26">
        <v>7024</v>
      </c>
      <c r="H10" s="17">
        <f t="shared" si="0"/>
        <v>7024</v>
      </c>
      <c r="I10" s="11"/>
      <c r="J10" s="16" t="s">
        <v>23</v>
      </c>
      <c r="K10" s="27" t="s">
        <v>43</v>
      </c>
      <c r="L10" s="11"/>
      <c r="M10" s="18">
        <v>46155</v>
      </c>
      <c r="N10" s="10"/>
      <c r="O10" s="11"/>
      <c r="P10" s="19">
        <v>46167</v>
      </c>
      <c r="Q10" s="15"/>
    </row>
    <row r="11" spans="2:17" s="4" customFormat="1" ht="19.7" customHeight="1">
      <c r="B11" s="36"/>
      <c r="C11" s="10" t="s">
        <v>28</v>
      </c>
      <c r="D11" s="10" t="s">
        <v>28</v>
      </c>
      <c r="E11" s="16" t="s">
        <v>33</v>
      </c>
      <c r="F11" s="11">
        <v>1</v>
      </c>
      <c r="G11" s="26">
        <v>451</v>
      </c>
      <c r="H11" s="17">
        <f t="shared" si="0"/>
        <v>451</v>
      </c>
      <c r="I11" s="11"/>
      <c r="J11" s="16" t="s">
        <v>34</v>
      </c>
      <c r="K11" s="27" t="s">
        <v>43</v>
      </c>
      <c r="L11" s="11"/>
      <c r="M11" s="18">
        <v>46155</v>
      </c>
      <c r="N11" s="10"/>
      <c r="O11" s="11"/>
      <c r="P11" s="19">
        <v>46167</v>
      </c>
      <c r="Q11" s="15"/>
    </row>
    <row r="12" spans="2:17" s="4" customFormat="1" ht="19.7" customHeight="1">
      <c r="B12" s="36"/>
      <c r="C12" s="10" t="s">
        <v>28</v>
      </c>
      <c r="D12" s="10" t="s">
        <v>28</v>
      </c>
      <c r="E12" s="16" t="s">
        <v>38</v>
      </c>
      <c r="F12" s="11">
        <v>1</v>
      </c>
      <c r="G12" s="26">
        <v>723</v>
      </c>
      <c r="H12" s="17">
        <f t="shared" si="0"/>
        <v>723</v>
      </c>
      <c r="I12" s="27"/>
      <c r="J12" s="16" t="s">
        <v>35</v>
      </c>
      <c r="K12" s="27" t="s">
        <v>43</v>
      </c>
      <c r="L12" s="11"/>
      <c r="M12" s="18">
        <v>46155</v>
      </c>
      <c r="N12" s="10"/>
      <c r="O12" s="11"/>
      <c r="P12" s="19">
        <v>46167</v>
      </c>
      <c r="Q12" s="15"/>
    </row>
    <row r="13" spans="2:17" s="4" customFormat="1" ht="19.7" customHeight="1">
      <c r="B13" s="36"/>
      <c r="C13" s="10" t="s">
        <v>28</v>
      </c>
      <c r="D13" s="10" t="s">
        <v>28</v>
      </c>
      <c r="E13" s="16" t="s">
        <v>36</v>
      </c>
      <c r="F13" s="11">
        <v>1</v>
      </c>
      <c r="G13" s="26">
        <v>3882</v>
      </c>
      <c r="H13" s="17">
        <f t="shared" si="0"/>
        <v>3882</v>
      </c>
      <c r="I13" s="11"/>
      <c r="J13" s="16" t="s">
        <v>37</v>
      </c>
      <c r="K13" s="27" t="s">
        <v>43</v>
      </c>
      <c r="L13" s="11"/>
      <c r="M13" s="18">
        <v>46155</v>
      </c>
      <c r="N13" s="10"/>
      <c r="O13" s="11"/>
      <c r="P13" s="19">
        <v>46167</v>
      </c>
      <c r="Q13" s="15"/>
    </row>
    <row r="14" spans="2:17" s="4" customFormat="1" ht="19.7" customHeight="1">
      <c r="B14" s="36"/>
      <c r="C14" s="10" t="s">
        <v>28</v>
      </c>
      <c r="D14" s="10" t="s">
        <v>28</v>
      </c>
      <c r="E14" s="16" t="s">
        <v>39</v>
      </c>
      <c r="F14" s="11">
        <v>1</v>
      </c>
      <c r="G14" s="26">
        <v>1450</v>
      </c>
      <c r="H14" s="17">
        <f t="shared" si="0"/>
        <v>1450</v>
      </c>
      <c r="I14" s="11"/>
      <c r="J14" s="16" t="s">
        <v>42</v>
      </c>
      <c r="K14" s="27" t="s">
        <v>43</v>
      </c>
      <c r="L14" s="11"/>
      <c r="M14" s="18">
        <v>46155</v>
      </c>
      <c r="N14" s="10"/>
      <c r="O14" s="11"/>
      <c r="P14" s="19">
        <v>46167</v>
      </c>
      <c r="Q14" s="15"/>
    </row>
    <row r="15" spans="2:17" s="4" customFormat="1" ht="19.7" customHeight="1">
      <c r="B15" s="36"/>
      <c r="C15" s="10" t="s">
        <v>28</v>
      </c>
      <c r="D15" s="10" t="s">
        <v>28</v>
      </c>
      <c r="E15" s="16" t="s">
        <v>40</v>
      </c>
      <c r="F15" s="11">
        <v>1</v>
      </c>
      <c r="G15" s="26">
        <v>409</v>
      </c>
      <c r="H15" s="17">
        <f t="shared" si="0"/>
        <v>409</v>
      </c>
      <c r="I15" s="11"/>
      <c r="J15" s="16" t="s">
        <v>41</v>
      </c>
      <c r="K15" s="27" t="s">
        <v>43</v>
      </c>
      <c r="L15" s="11"/>
      <c r="M15" s="18">
        <v>46155</v>
      </c>
      <c r="N15" s="10"/>
      <c r="O15" s="11"/>
      <c r="P15" s="19">
        <v>46167</v>
      </c>
      <c r="Q15" s="15"/>
    </row>
    <row r="16" spans="2:17" s="47" customFormat="1" ht="19.7" customHeight="1">
      <c r="B16" s="31"/>
      <c r="C16" s="37" t="s">
        <v>28</v>
      </c>
      <c r="D16" s="37" t="s">
        <v>28</v>
      </c>
      <c r="E16" s="38" t="s">
        <v>44</v>
      </c>
      <c r="F16" s="39">
        <v>1</v>
      </c>
      <c r="G16" s="40">
        <v>2868</v>
      </c>
      <c r="H16" s="41">
        <f t="shared" si="0"/>
        <v>2868</v>
      </c>
      <c r="I16" s="39"/>
      <c r="J16" s="42" t="s">
        <v>45</v>
      </c>
      <c r="K16" s="43" t="s">
        <v>43</v>
      </c>
      <c r="L16" s="39"/>
      <c r="M16" s="44">
        <v>46195</v>
      </c>
      <c r="N16" s="37"/>
      <c r="O16" s="39"/>
      <c r="P16" s="45">
        <v>46205</v>
      </c>
      <c r="Q16" s="46"/>
    </row>
    <row r="17" spans="2:17" s="4" customFormat="1" ht="19.7" customHeight="1">
      <c r="B17" s="10">
        <v>8</v>
      </c>
      <c r="C17" s="10" t="s">
        <v>28</v>
      </c>
      <c r="D17" s="10" t="s">
        <v>28</v>
      </c>
      <c r="E17" s="16" t="s">
        <v>27</v>
      </c>
      <c r="F17" s="11">
        <v>1</v>
      </c>
      <c r="G17" s="26">
        <v>18606</v>
      </c>
      <c r="H17" s="17">
        <f>F17*G17</f>
        <v>18606</v>
      </c>
      <c r="I17" s="11"/>
      <c r="J17" s="16" t="s">
        <v>26</v>
      </c>
      <c r="K17" s="27" t="s">
        <v>43</v>
      </c>
      <c r="L17" s="11"/>
      <c r="M17" s="18">
        <v>46155</v>
      </c>
      <c r="N17" s="10"/>
      <c r="O17" s="11"/>
      <c r="P17" s="19">
        <v>46167</v>
      </c>
      <c r="Q17" s="15"/>
    </row>
    <row r="18" spans="2:17" s="4" customFormat="1" ht="19.7" customHeight="1">
      <c r="B18" s="30">
        <v>9</v>
      </c>
      <c r="C18" s="10" t="s">
        <v>29</v>
      </c>
      <c r="D18" s="10" t="s">
        <v>29</v>
      </c>
      <c r="E18" s="16" t="s">
        <v>30</v>
      </c>
      <c r="F18" s="11">
        <v>10</v>
      </c>
      <c r="G18" s="26">
        <v>5000</v>
      </c>
      <c r="H18" s="17">
        <f t="shared" si="0"/>
        <v>50000</v>
      </c>
      <c r="I18" s="11"/>
      <c r="J18" s="16"/>
      <c r="K18" s="25"/>
      <c r="L18" s="11"/>
      <c r="M18" s="18"/>
      <c r="N18" s="10"/>
      <c r="O18" s="11"/>
      <c r="P18" s="19"/>
      <c r="Q18" s="15"/>
    </row>
    <row r="19" spans="2:17" s="4" customFormat="1" ht="19.7" customHeight="1">
      <c r="B19" s="31"/>
      <c r="C19" s="10" t="s">
        <v>29</v>
      </c>
      <c r="D19" s="10" t="s">
        <v>29</v>
      </c>
      <c r="E19" s="16" t="s">
        <v>31</v>
      </c>
      <c r="F19" s="11">
        <v>16</v>
      </c>
      <c r="G19" s="26">
        <v>5000</v>
      </c>
      <c r="H19" s="17">
        <f t="shared" si="0"/>
        <v>80000</v>
      </c>
      <c r="I19" s="11"/>
      <c r="J19" s="16"/>
      <c r="K19" s="25"/>
      <c r="L19" s="11"/>
      <c r="M19" s="18"/>
      <c r="N19" s="10"/>
      <c r="O19" s="11"/>
      <c r="P19" s="19"/>
      <c r="Q19" s="15"/>
    </row>
    <row r="20" spans="2:17" s="4" customFormat="1" ht="19.7" customHeight="1">
      <c r="B20" s="24"/>
      <c r="C20" s="10"/>
      <c r="D20" s="10"/>
      <c r="E20" s="16"/>
      <c r="F20" s="11"/>
      <c r="G20" s="29"/>
      <c r="H20" s="17"/>
      <c r="I20" s="23"/>
      <c r="J20" s="16"/>
      <c r="K20" s="11"/>
      <c r="L20" s="11"/>
      <c r="M20" s="10"/>
      <c r="N20" s="10"/>
      <c r="O20" s="11"/>
      <c r="P20" s="14"/>
      <c r="Q20" s="15"/>
    </row>
    <row r="24" spans="2:17">
      <c r="M24" s="20"/>
    </row>
    <row r="26" spans="2:17">
      <c r="M26" s="20"/>
    </row>
    <row r="28" spans="2:17">
      <c r="H28" s="21"/>
    </row>
    <row r="29" spans="2:17">
      <c r="H29" s="21"/>
    </row>
    <row r="30" spans="2:17">
      <c r="H30" s="21"/>
    </row>
    <row r="31" spans="2:17">
      <c r="H31" s="21"/>
    </row>
    <row r="32" spans="2:17">
      <c r="H32" s="21"/>
    </row>
    <row r="33" spans="8:8">
      <c r="H33" s="21"/>
    </row>
    <row r="34" spans="8:8">
      <c r="H34" s="21"/>
    </row>
    <row r="35" spans="8:8">
      <c r="H35" s="21"/>
    </row>
    <row r="36" spans="8:8">
      <c r="H36" s="21"/>
    </row>
    <row r="37" spans="8:8">
      <c r="H37" s="21"/>
    </row>
    <row r="38" spans="8:8">
      <c r="H38" s="21"/>
    </row>
    <row r="39" spans="8:8">
      <c r="H39" s="22"/>
    </row>
    <row r="40" spans="8:8">
      <c r="H40" s="21"/>
    </row>
    <row r="41" spans="8:8">
      <c r="H41" s="21"/>
    </row>
    <row r="42" spans="8:8">
      <c r="H42" s="21"/>
    </row>
    <row r="43" spans="8:8">
      <c r="H43" s="21"/>
    </row>
    <row r="44" spans="8:8">
      <c r="H44" s="21"/>
    </row>
    <row r="45" spans="8:8">
      <c r="H45" s="21"/>
    </row>
    <row r="46" spans="8:8">
      <c r="H46" s="21"/>
    </row>
    <row r="47" spans="8:8">
      <c r="H47" s="21"/>
    </row>
    <row r="48" spans="8:8">
      <c r="H48" s="21"/>
    </row>
    <row r="50" spans="8:8">
      <c r="H50" s="21"/>
    </row>
  </sheetData>
  <autoFilter ref="B8:O20" xr:uid="{00000000-0009-0000-0000-000000000000}"/>
  <mergeCells count="8">
    <mergeCell ref="B18:B19"/>
    <mergeCell ref="B6:D6"/>
    <mergeCell ref="G2:I2"/>
    <mergeCell ref="B2:D2"/>
    <mergeCell ref="B3:D3"/>
    <mergeCell ref="B4:D4"/>
    <mergeCell ref="B5:D5"/>
    <mergeCell ref="B9:B16"/>
  </mergeCells>
  <phoneticPr fontId="1"/>
  <pageMargins left="0.2" right="0.2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D7" sqref="D7:D57"/>
    </sheetView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佐藤マネジャー</cp:lastModifiedBy>
  <cp:lastPrinted>2013-11-12T01:42:54Z</cp:lastPrinted>
  <dcterms:created xsi:type="dcterms:W3CDTF">2011-12-13T06:48:43Z</dcterms:created>
  <dcterms:modified xsi:type="dcterms:W3CDTF">2026-07-15T08:16:13Z</dcterms:modified>
</cp:coreProperties>
</file>