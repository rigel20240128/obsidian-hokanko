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F68019C-B30B-4B1C-86DE-32CE093C9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306-A01 (20251225)　②" sheetId="20" r:id="rId1"/>
    <sheet name="Sheet1" sheetId="13" r:id="rId2"/>
    <sheet name="Sheet2" sheetId="2" r:id="rId3"/>
    <sheet name="Sheet3" sheetId="3" r:id="rId4"/>
  </sheets>
  <definedNames>
    <definedName name="_xlnm._FilterDatabase" localSheetId="0" hidden="1">'SETB0306-A01 (20251225)　②'!$A$10:$S$35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0" l="1"/>
  <c r="J26" i="20"/>
  <c r="J25" i="20"/>
  <c r="D27" i="20"/>
  <c r="D26" i="20"/>
  <c r="G35" i="20"/>
  <c r="D19" i="20"/>
  <c r="J42" i="20"/>
  <c r="J41" i="20"/>
  <c r="J40" i="20"/>
  <c r="J31" i="20"/>
  <c r="J30" i="20"/>
  <c r="J22" i="20"/>
  <c r="J21" i="20"/>
  <c r="J20" i="20"/>
  <c r="J19" i="20"/>
  <c r="J13" i="20"/>
  <c r="G15" i="20" s="1"/>
  <c r="L2" i="20" l="1"/>
  <c r="D20" i="20"/>
  <c r="D21" i="20" s="1"/>
  <c r="D22" i="20" l="1"/>
  <c r="D25" i="20" l="1"/>
  <c r="D30" i="20" l="1"/>
  <c r="D31" i="20" s="1"/>
</calcChain>
</file>

<file path=xl/sharedStrings.xml><?xml version="1.0" encoding="utf-8"?>
<sst xmlns="http://schemas.openxmlformats.org/spreadsheetml/2006/main" count="93" uniqueCount="69">
  <si>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</si>
  <si>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</si>
  <si>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</si>
  <si>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</si>
  <si>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</si>
  <si>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</si>
  <si>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</si>
  <si>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</si>
  <si>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</si>
  <si>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</si>
  <si>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</si>
  <si>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</si>
  <si>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</si>
  <si>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</si>
  <si>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</si>
  <si>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</si>
  <si>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</si>
  <si>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</si>
  <si>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</si>
  <si>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</si>
  <si>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</si>
  <si>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</si>
  <si>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</si>
  <si>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</si>
  <si>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</si>
  <si>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9"/>
  </si>
  <si>
    <t>10日目</t>
    <rPh sb="2" eb="3">
      <t>ヒ</t>
    </rPh>
    <rPh sb="3" eb="4">
      <t>メ</t>
    </rPh>
    <phoneticPr fontId="10"/>
  </si>
  <si>
    <t>配電BOX　関連</t>
    <rPh sb="0" eb="2">
      <t>ハイデン</t>
    </rPh>
    <rPh sb="6" eb="8">
      <t>カンレン</t>
    </rPh>
    <phoneticPr fontId="10"/>
  </si>
  <si>
    <t>1日目</t>
    <rPh sb="1" eb="2">
      <t>ヒ</t>
    </rPh>
    <rPh sb="2" eb="3">
      <t>メ</t>
    </rPh>
    <phoneticPr fontId="10"/>
  </si>
  <si>
    <t>5日目</t>
    <rPh sb="1" eb="3">
      <t>ヒメ</t>
    </rPh>
    <phoneticPr fontId="10"/>
  </si>
  <si>
    <t>SMC</t>
    <phoneticPr fontId="10"/>
  </si>
  <si>
    <t>制御機材</t>
    <rPh sb="0" eb="1">
      <t>セイ</t>
    </rPh>
    <rPh sb="1" eb="2">
      <t>オ</t>
    </rPh>
    <rPh sb="2" eb="4">
      <t>キザイ</t>
    </rPh>
    <phoneticPr fontId="10"/>
  </si>
  <si>
    <t>富士電機</t>
    <rPh sb="0" eb="2">
      <t>フジ</t>
    </rPh>
    <rPh sb="2" eb="4">
      <t>デンキ</t>
    </rPh>
    <phoneticPr fontId="10"/>
  </si>
  <si>
    <t>制御機材</t>
    <rPh sb="0" eb="4">
      <t>セイギョキザイ</t>
    </rPh>
    <phoneticPr fontId="10"/>
  </si>
  <si>
    <t>CP30FM-2P005 5A</t>
    <phoneticPr fontId="10"/>
  </si>
  <si>
    <t>サーキットプロテクター</t>
    <phoneticPr fontId="10"/>
  </si>
  <si>
    <t>CP30FM-2P007 7A</t>
    <phoneticPr fontId="10"/>
  </si>
  <si>
    <t xml:space="preserve">DR30D0L-H9W </t>
    <phoneticPr fontId="10"/>
  </si>
  <si>
    <t>φ30 コマンドスイッチ DR30 表示灯</t>
    <phoneticPr fontId="10"/>
  </si>
  <si>
    <t>オムロン</t>
    <phoneticPr fontId="10"/>
  </si>
  <si>
    <t>制御機材</t>
    <rPh sb="0" eb="2">
      <t>セイギョ</t>
    </rPh>
    <rPh sb="2" eb="4">
      <t>キザイ</t>
    </rPh>
    <phoneticPr fontId="10"/>
  </si>
  <si>
    <t>S8VS-12024</t>
    <phoneticPr fontId="10"/>
  </si>
  <si>
    <t>パワーサプライ   5A</t>
    <phoneticPr fontId="10"/>
  </si>
  <si>
    <t>6日目</t>
    <rPh sb="1" eb="3">
      <t>ヒメ</t>
    </rPh>
    <phoneticPr fontId="10"/>
  </si>
  <si>
    <t>見積もり、発注お願い致します。</t>
    <rPh sb="0" eb="2">
      <t>ミツ</t>
    </rPh>
    <rPh sb="5" eb="7">
      <t>ハッチュウ</t>
    </rPh>
    <rPh sb="8" eb="9">
      <t>ネガ</t>
    </rPh>
    <rPh sb="10" eb="11">
      <t>イタ</t>
    </rPh>
    <phoneticPr fontId="9"/>
  </si>
  <si>
    <t>送料</t>
    <rPh sb="0" eb="2">
      <t>ソウリョウ</t>
    </rPh>
    <phoneticPr fontId="10"/>
  </si>
  <si>
    <t>モノタロウ</t>
    <phoneticPr fontId="10"/>
  </si>
  <si>
    <t>https://www.monotaro.com/g/04256341/</t>
    <phoneticPr fontId="9"/>
  </si>
  <si>
    <t>炭素皮膜抵抗器　抵抗 = 2.2kΩ</t>
    <phoneticPr fontId="10"/>
  </si>
  <si>
    <r>
      <t>707-8255　</t>
    </r>
    <r>
      <rPr>
        <sz val="11"/>
        <color indexed="10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10"/>
  </si>
  <si>
    <t>モータ</t>
    <phoneticPr fontId="10"/>
  </si>
  <si>
    <t>AZM46AK-FC20DA</t>
    <phoneticPr fontId="10"/>
  </si>
  <si>
    <t>オリムベクスタ</t>
    <phoneticPr fontId="10"/>
  </si>
  <si>
    <t>オリエンタルモータ</t>
    <phoneticPr fontId="10"/>
  </si>
  <si>
    <t>10日目</t>
    <rPh sb="2" eb="4">
      <t>ヒメ</t>
    </rPh>
    <phoneticPr fontId="10"/>
  </si>
  <si>
    <t>回路</t>
    <phoneticPr fontId="10"/>
  </si>
  <si>
    <t>AZD-K</t>
    <phoneticPr fontId="10"/>
  </si>
  <si>
    <t>岸</t>
    <rPh sb="0" eb="1">
      <t>キシ</t>
    </rPh>
    <phoneticPr fontId="9"/>
  </si>
  <si>
    <t>IR1020-01BEA-A  0.01-0.80Mp</t>
    <phoneticPr fontId="10"/>
  </si>
  <si>
    <t>精密レギュレータ IR1000-A  0.01～0.8MPa</t>
    <phoneticPr fontId="10"/>
  </si>
  <si>
    <t>元厚ｼﾘﾝｼﾞレギュレーター</t>
    <rPh sb="0" eb="2">
      <t>モトアツ</t>
    </rPh>
    <phoneticPr fontId="10"/>
  </si>
  <si>
    <t>ワイ・デー・ケー様株式会社</t>
    <rPh sb="9" eb="13">
      <t>カブシキガイシャ</t>
    </rPh>
    <phoneticPr fontId="10"/>
  </si>
  <si>
    <t>SETB-0306-A01 JR3404+SV70チルドモーター+捨て射ち+配電BOX+圧送タンク  20251205</t>
    <phoneticPr fontId="9"/>
  </si>
  <si>
    <t>NO.228905</t>
    <phoneticPr fontId="10"/>
  </si>
  <si>
    <r>
      <t>可動モーターケーブル　</t>
    </r>
    <r>
      <rPr>
        <b/>
        <sz val="11"/>
        <color rgb="FFFF0000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3"/>
        <charset val="128"/>
        <scheme val="minor"/>
      </rPr>
      <t>m</t>
    </r>
    <phoneticPr fontId="10"/>
  </si>
  <si>
    <r>
      <t>CC0</t>
    </r>
    <r>
      <rPr>
        <b/>
        <sz val="11"/>
        <rFont val="ＭＳ Ｐゴシック"/>
        <family val="3"/>
        <charset val="128"/>
        <scheme val="minor"/>
      </rPr>
      <t>5</t>
    </r>
    <r>
      <rPr>
        <sz val="11"/>
        <rFont val="ＭＳ Ｐゴシック"/>
        <family val="3"/>
        <charset val="128"/>
        <scheme val="minor"/>
      </rPr>
      <t>0VZR2</t>
    </r>
    <phoneticPr fontId="10"/>
  </si>
  <si>
    <t>②</t>
    <phoneticPr fontId="9"/>
  </si>
  <si>
    <t>見積もりNo.　22-25-01578A</t>
    <rPh sb="0" eb="2">
      <t>ミツ</t>
    </rPh>
    <phoneticPr fontId="10"/>
  </si>
  <si>
    <t>見積番号：2184523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</si>
</sst>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</numFmts>
  <fonts count="2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theme="9" tint="-0.249977111117893"/>
      <name val="ＭＳ Ｐゴシック"/>
      <family val="3"/>
      <charset val="128"/>
      <scheme val="minor"/>
    </font>
    <font>
      <b/>
      <sz val="11"/>
      <color theme="10"/>
      <name val="ＭＳ Ｐゴシック"/>
      <family val="3"/>
      <charset val="128"/>
      <scheme val="minor"/>
    </font>
    <font>
      <b/>
      <sz val="12"/>
      <color theme="9" tint="-0.249977111117893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>
      <alignment vertical="center"/>
    </xf>
  </cellStyleXfs>
  <cellXfs count="1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2" fillId="0" borderId="5" xfId="3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38" fontId="0" fillId="0" borderId="5" xfId="0" applyNumberForma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80" fontId="15" fillId="0" borderId="5" xfId="0" applyNumberFormat="1" applyFont="1" applyBorder="1" applyAlignment="1">
      <alignment horizontal="center" vertical="center"/>
    </xf>
    <xf numFmtId="38" fontId="15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3" fontId="0" fillId="6" borderId="5" xfId="0" applyNumberFormat="1" applyFill="1" applyBorder="1" applyAlignment="1">
      <alignment horizontal="center" vertical="center"/>
    </xf>
    <xf numFmtId="0" fontId="12" fillId="0" borderId="5" xfId="3" applyBorder="1" applyAlignment="1">
      <alignment horizontal="left" vertical="center"/>
    </xf>
    <xf numFmtId="176" fontId="0" fillId="0" borderId="5" xfId="0" applyNumberFormat="1" applyBorder="1">
      <alignment vertical="center"/>
    </xf>
    <xf numFmtId="0" fontId="15" fillId="0" borderId="6" xfId="0" applyFont="1" applyBorder="1">
      <alignment vertical="center"/>
    </xf>
    <xf numFmtId="176" fontId="14" fillId="7" borderId="6" xfId="0" applyNumberFormat="1" applyFont="1" applyFill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81" fontId="15" fillId="0" borderId="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5" xfId="0" applyFont="1" applyBorder="1">
      <alignment vertical="center"/>
    </xf>
    <xf numFmtId="0" fontId="18" fillId="0" borderId="5" xfId="0" applyFont="1" applyBorder="1">
      <alignment vertical="center"/>
    </xf>
    <xf numFmtId="176" fontId="18" fillId="0" borderId="6" xfId="0" applyNumberFormat="1" applyFont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3" fontId="15" fillId="0" borderId="5" xfId="0" applyNumberFormat="1" applyFont="1" applyBorder="1" applyAlignment="1">
      <alignment horizontal="center" vertical="center"/>
    </xf>
    <xf numFmtId="176" fontId="14" fillId="7" borderId="5" xfId="0" applyNumberFormat="1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left" vertical="center"/>
    </xf>
    <xf numFmtId="0" fontId="18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9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0" fillId="0" borderId="5" xfId="2" applyFont="1" applyBorder="1">
      <alignment vertical="center"/>
    </xf>
    <xf numFmtId="0" fontId="11" fillId="8" borderId="5" xfId="0" applyFont="1" applyFill="1" applyBorder="1" applyAlignment="1">
      <alignment horizontal="center" vertical="center"/>
    </xf>
    <xf numFmtId="0" fontId="18" fillId="8" borderId="5" xfId="0" applyFont="1" applyFill="1" applyBorder="1">
      <alignment vertical="center"/>
    </xf>
    <xf numFmtId="176" fontId="11" fillId="8" borderId="5" xfId="0" applyNumberFormat="1" applyFont="1" applyFill="1" applyBorder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3" fontId="0" fillId="8" borderId="5" xfId="0" applyNumberFormat="1" applyFill="1" applyBorder="1" applyAlignment="1">
      <alignment horizontal="center" vertical="center"/>
    </xf>
    <xf numFmtId="49" fontId="0" fillId="8" borderId="5" xfId="0" applyNumberFormat="1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38" fontId="0" fillId="8" borderId="5" xfId="0" applyNumberFormat="1" applyFill="1" applyBorder="1" applyAlignment="1">
      <alignment horizontal="center" vertical="center"/>
    </xf>
    <xf numFmtId="0" fontId="0" fillId="8" borderId="5" xfId="0" applyFill="1" applyBorder="1">
      <alignment vertical="center"/>
    </xf>
    <xf numFmtId="176" fontId="0" fillId="8" borderId="1" xfId="0" applyNumberForma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8" fillId="0" borderId="0" xfId="4" applyAlignment="1">
      <alignment horizontal="center" vertical="center"/>
    </xf>
    <xf numFmtId="177" fontId="8" fillId="0" borderId="5" xfId="4" applyNumberFormat="1" applyBorder="1" applyAlignment="1">
      <alignment horizontal="center" vertical="center"/>
    </xf>
    <xf numFmtId="0" fontId="8" fillId="0" borderId="2" xfId="4" applyBorder="1" applyAlignment="1">
      <alignment horizontal="center" vertical="center"/>
    </xf>
    <xf numFmtId="0" fontId="8" fillId="0" borderId="1" xfId="4" applyBorder="1" applyAlignment="1">
      <alignment horizontal="center" vertical="center"/>
    </xf>
    <xf numFmtId="3" fontId="8" fillId="0" borderId="1" xfId="4" applyNumberFormat="1" applyBorder="1" applyAlignment="1">
      <alignment horizontal="center" vertical="center"/>
    </xf>
    <xf numFmtId="0" fontId="8" fillId="0" borderId="5" xfId="4" applyBorder="1" applyAlignment="1">
      <alignment horizontal="center" vertical="center"/>
    </xf>
    <xf numFmtId="179" fontId="8" fillId="0" borderId="5" xfId="4" applyNumberFormat="1" applyBorder="1" applyAlignment="1">
      <alignment horizontal="center" vertical="center"/>
    </xf>
    <xf numFmtId="179" fontId="8" fillId="0" borderId="1" xfId="4" applyNumberFormat="1" applyBorder="1" applyAlignment="1">
      <alignment horizontal="center" vertical="center"/>
    </xf>
    <xf numFmtId="3" fontId="8" fillId="0" borderId="5" xfId="4" applyNumberFormat="1" applyBorder="1" applyAlignment="1">
      <alignment horizontal="center" vertical="center"/>
    </xf>
    <xf numFmtId="0" fontId="8" fillId="0" borderId="5" xfId="4" applyBorder="1">
      <alignment vertical="center"/>
    </xf>
    <xf numFmtId="176" fontId="8" fillId="0" borderId="5" xfId="4" applyNumberFormat="1" applyBorder="1" applyAlignment="1">
      <alignment horizontal="center" vertical="center"/>
    </xf>
    <xf numFmtId="0" fontId="8" fillId="0" borderId="6" xfId="4" applyBorder="1" applyAlignment="1">
      <alignment horizontal="center" vertical="center"/>
    </xf>
    <xf numFmtId="38" fontId="8" fillId="0" borderId="5" xfId="4" applyNumberFormat="1" applyBorder="1" applyAlignment="1">
      <alignment horizontal="center" vertical="center"/>
    </xf>
    <xf numFmtId="0" fontId="8" fillId="0" borderId="6" xfId="4" applyBorder="1" applyAlignment="1">
      <alignment horizontal="left" vertical="center"/>
    </xf>
    <xf numFmtId="0" fontId="8" fillId="5" borderId="5" xfId="4" applyFill="1" applyBorder="1" applyAlignment="1">
      <alignment horizontal="center" vertical="center"/>
    </xf>
    <xf numFmtId="0" fontId="1" fillId="0" borderId="0" xfId="2">
      <alignment vertical="center"/>
    </xf>
    <xf numFmtId="38" fontId="8" fillId="5" borderId="5" xfId="4" applyNumberFormat="1" applyFill="1" applyBorder="1" applyAlignment="1">
      <alignment horizontal="center" vertical="center"/>
    </xf>
    <xf numFmtId="0" fontId="8" fillId="0" borderId="10" xfId="4" applyBorder="1" applyAlignment="1">
      <alignment horizontal="center" vertical="center"/>
    </xf>
    <xf numFmtId="0" fontId="23" fillId="0" borderId="5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/>
    </xf>
    <xf numFmtId="177" fontId="23" fillId="0" borderId="5" xfId="0" applyNumberFormat="1" applyFont="1" applyBorder="1" applyAlignment="1">
      <alignment horizontal="center" vertical="center"/>
    </xf>
    <xf numFmtId="3" fontId="8" fillId="13" borderId="5" xfId="4" applyNumberFormat="1" applyFill="1" applyBorder="1" applyAlignment="1">
      <alignment horizontal="center" vertical="center"/>
    </xf>
    <xf numFmtId="49" fontId="8" fillId="13" borderId="5" xfId="4" applyNumberForma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38" fontId="0" fillId="12" borderId="5" xfId="0" applyNumberForma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8" fillId="9" borderId="5" xfId="4" applyFill="1" applyBorder="1" applyAlignment="1">
      <alignment horizontal="center" vertical="center"/>
    </xf>
    <xf numFmtId="180" fontId="15" fillId="0" borderId="5" xfId="0" applyNumberFormat="1" applyFont="1" applyBorder="1" applyAlignment="1">
      <alignment horizontal="right" vertical="center"/>
    </xf>
    <xf numFmtId="0" fontId="0" fillId="6" borderId="6" xfId="0" applyFill="1" applyBorder="1" applyAlignment="1">
      <alignment horizontal="center" vertical="center"/>
    </xf>
    <xf numFmtId="3" fontId="8" fillId="14" borderId="5" xfId="4" applyNumberFormat="1" applyFill="1" applyBorder="1" applyAlignment="1">
      <alignment horizontal="center" vertical="center"/>
    </xf>
    <xf numFmtId="49" fontId="8" fillId="14" borderId="5" xfId="4" applyNumberFormat="1" applyFill="1" applyBorder="1" applyAlignment="1">
      <alignment horizontal="left" vertical="center"/>
    </xf>
    <xf numFmtId="0" fontId="8" fillId="14" borderId="5" xfId="4" applyFill="1" applyBorder="1" applyAlignment="1">
      <alignment horizontal="left" vertical="center"/>
    </xf>
    <xf numFmtId="0" fontId="0" fillId="13" borderId="0" xfId="0" applyFill="1" applyAlignment="1">
      <alignment horizontal="center" vertical="center"/>
    </xf>
    <xf numFmtId="49" fontId="15" fillId="13" borderId="5" xfId="4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9" fillId="0" borderId="0" xfId="0" applyFont="1">
      <alignment vertical="center"/>
    </xf>
    <xf numFmtId="3" fontId="8" fillId="10" borderId="5" xfId="4" applyNumberForma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56" fontId="8" fillId="0" borderId="2" xfId="4" applyNumberFormat="1" applyBorder="1" applyAlignment="1">
      <alignment horizontal="center" vertical="center"/>
    </xf>
    <xf numFmtId="178" fontId="8" fillId="0" borderId="5" xfId="4" applyNumberFormat="1" applyBorder="1" applyAlignment="1">
      <alignment horizontal="center" vertical="center"/>
    </xf>
    <xf numFmtId="176" fontId="18" fillId="12" borderId="5" xfId="0" applyNumberFormat="1" applyFont="1" applyFill="1" applyBorder="1" applyAlignment="1">
      <alignment horizontal="center" vertical="center"/>
    </xf>
    <xf numFmtId="38" fontId="8" fillId="12" borderId="5" xfId="4" applyNumberFormat="1" applyFill="1" applyBorder="1" applyAlignment="1">
      <alignment horizontal="center" vertical="center"/>
    </xf>
    <xf numFmtId="3" fontId="14" fillId="3" borderId="6" xfId="0" applyNumberFormat="1" applyFont="1" applyFill="1" applyBorder="1" applyAlignment="1">
      <alignment horizontal="center" vertical="center"/>
    </xf>
    <xf numFmtId="3" fontId="14" fillId="3" borderId="8" xfId="0" applyNumberFormat="1" applyFont="1" applyFill="1" applyBorder="1" applyAlignment="1">
      <alignment horizontal="center" vertical="center"/>
    </xf>
    <xf numFmtId="3" fontId="14" fillId="3" borderId="7" xfId="0" applyNumberFormat="1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17" fillId="14" borderId="9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notaro.com/g/04256341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1537-36BE-497B-9F70-214787C5570B}">
  <sheetPr>
    <tabColor rgb="FF00B0F0"/>
  </sheetPr>
  <dimension ref="A2:S45"/>
  <sheetViews>
    <sheetView tabSelected="1" topLeftCell="H1" zoomScale="85" zoomScaleNormal="85" workbookViewId="0">
      <pane ySplit="10" topLeftCell="A11" activePane="bottomLeft" state="frozen"/>
      <selection pane="bottomLeft" activeCell="S28" sqref="S28"/>
    </sheetView>
  </sheetViews>
  <sheetFormatPr defaultColWidth="11.875" defaultRowHeight="13.5" customHeight="1" x14ac:dyDescent="0.15"/>
  <cols>
    <col min="1" max="2" width="8.5" customWidth="1"/>
    <col min="3" max="3" width="9.375" customWidth="1"/>
    <col min="4" max="4" width="6.125" style="3" customWidth="1"/>
    <col min="5" max="5" width="15.125" customWidth="1"/>
    <col min="6" max="6" width="15.5" customWidth="1"/>
    <col min="7" max="7" width="59.875" customWidth="1"/>
    <col min="8" max="8" width="14.5" style="3" customWidth="1"/>
    <col min="9" max="10" width="12.125" style="3" customWidth="1"/>
    <col min="11" max="11" width="7.125" style="10" customWidth="1"/>
    <col min="12" max="12" width="48.5" customWidth="1"/>
    <col min="13" max="13" width="28.375" customWidth="1"/>
    <col min="14" max="14" width="22.5" style="3" customWidth="1"/>
    <col min="15" max="15" width="17" style="3" customWidth="1"/>
    <col min="16" max="16" width="7.875" customWidth="1"/>
    <col min="17" max="17" width="16.375" style="3" customWidth="1"/>
    <col min="18" max="18" width="17.875" style="25" customWidth="1"/>
    <col min="19" max="19" width="19.375" style="25" customWidth="1"/>
  </cols>
  <sheetData>
    <row r="2" spans="1:19" ht="20.100000000000001" customHeight="1" x14ac:dyDescent="0.15">
      <c r="D2" s="132" t="s">
        <v>0</v>
      </c>
      <c r="E2" s="132"/>
      <c r="F2" s="132"/>
      <c r="G2" s="97" t="s">
        <v>61</v>
      </c>
      <c r="I2" s="133" t="s">
        <v>1</v>
      </c>
      <c r="J2" s="134"/>
      <c r="K2" s="135"/>
      <c r="L2" s="9">
        <f>SUM(J:J)</f>
        <v>121367</v>
      </c>
    </row>
    <row r="3" spans="1:19" ht="20.100000000000001" customHeight="1" x14ac:dyDescent="0.15">
      <c r="D3" s="132" t="s">
        <v>2</v>
      </c>
      <c r="E3" s="132"/>
      <c r="F3" s="132"/>
      <c r="G3" s="98" t="s">
        <v>57</v>
      </c>
    </row>
    <row r="4" spans="1:19" ht="20.100000000000001" customHeight="1" x14ac:dyDescent="0.15">
      <c r="D4" s="132" t="s">
        <v>3</v>
      </c>
      <c r="E4" s="132"/>
      <c r="F4" s="132"/>
      <c r="G4" s="98" t="s">
        <v>63</v>
      </c>
      <c r="I4" s="136" t="s">
        <v>62</v>
      </c>
      <c r="J4" s="136"/>
      <c r="K4" s="136"/>
      <c r="L4" s="136"/>
      <c r="M4" s="27"/>
    </row>
    <row r="5" spans="1:19" ht="20.100000000000001" customHeight="1" x14ac:dyDescent="0.15">
      <c r="D5" s="132" t="s">
        <v>4</v>
      </c>
      <c r="E5" s="132"/>
      <c r="F5" s="132"/>
      <c r="G5" s="99">
        <v>46042</v>
      </c>
      <c r="H5" s="137" t="s">
        <v>66</v>
      </c>
      <c r="I5" s="136"/>
      <c r="J5" s="136"/>
      <c r="K5" s="136"/>
      <c r="L5" s="136"/>
    </row>
    <row r="6" spans="1:19" ht="20.100000000000001" customHeight="1" x14ac:dyDescent="0.15">
      <c r="D6" s="132" t="s">
        <v>5</v>
      </c>
      <c r="E6" s="132"/>
      <c r="F6" s="132"/>
      <c r="G6" s="99">
        <v>46043</v>
      </c>
      <c r="H6" s="137"/>
      <c r="J6" s="28"/>
    </row>
    <row r="7" spans="1:19" ht="19.7" customHeight="1" x14ac:dyDescent="0.15">
      <c r="L7" s="131"/>
      <c r="M7" s="131"/>
    </row>
    <row r="8" spans="1:19" ht="16.7" customHeight="1" x14ac:dyDescent="0.15">
      <c r="I8" s="116"/>
      <c r="J8" s="113"/>
      <c r="K8" s="78"/>
      <c r="L8" s="117" t="s">
        <v>44</v>
      </c>
    </row>
    <row r="10" spans="1:19" s="3" customFormat="1" ht="19.5" customHeight="1" x14ac:dyDescent="0.15">
      <c r="C10" s="32" t="s">
        <v>25</v>
      </c>
      <c r="D10" s="31" t="s">
        <v>6</v>
      </c>
      <c r="E10" s="4" t="s">
        <v>7</v>
      </c>
      <c r="F10" s="4" t="s">
        <v>8</v>
      </c>
      <c r="G10" s="1" t="s">
        <v>9</v>
      </c>
      <c r="H10" s="1" t="s">
        <v>10</v>
      </c>
      <c r="I10" s="1" t="s">
        <v>11</v>
      </c>
      <c r="J10" s="2" t="s">
        <v>12</v>
      </c>
      <c r="K10" s="2" t="s">
        <v>13</v>
      </c>
      <c r="L10" s="1" t="s">
        <v>14</v>
      </c>
      <c r="M10" s="1" t="s">
        <v>15</v>
      </c>
      <c r="N10" s="1" t="s">
        <v>16</v>
      </c>
      <c r="O10" s="12" t="s">
        <v>17</v>
      </c>
      <c r="P10" s="4" t="s">
        <v>18</v>
      </c>
      <c r="Q10" s="1" t="s">
        <v>19</v>
      </c>
      <c r="R10" s="12" t="s">
        <v>20</v>
      </c>
      <c r="S10" s="8" t="s">
        <v>21</v>
      </c>
    </row>
    <row r="11" spans="1:19" s="3" customFormat="1" ht="19.5" customHeight="1" x14ac:dyDescent="0.15">
      <c r="C11" s="20"/>
      <c r="D11" s="22"/>
      <c r="E11" s="22"/>
      <c r="F11" s="22"/>
      <c r="G11" s="30"/>
      <c r="H11" s="29"/>
      <c r="I11" s="16"/>
      <c r="J11" s="16"/>
      <c r="K11" s="11"/>
      <c r="L11" s="17"/>
      <c r="M11" s="1"/>
      <c r="N11" s="1"/>
      <c r="O11" s="12"/>
      <c r="P11" s="4"/>
      <c r="Q11" s="2"/>
      <c r="R11" s="33"/>
      <c r="S11" s="34"/>
    </row>
    <row r="12" spans="1:19" s="3" customFormat="1" ht="19.5" customHeight="1" x14ac:dyDescent="0.15">
      <c r="C12" s="20"/>
      <c r="D12" s="22"/>
      <c r="E12" s="125" t="s">
        <v>60</v>
      </c>
      <c r="F12" s="126"/>
      <c r="G12" s="127"/>
      <c r="H12" s="50"/>
      <c r="I12" s="42"/>
      <c r="J12" s="46"/>
      <c r="K12" s="51"/>
      <c r="L12" s="52"/>
      <c r="M12" s="115"/>
      <c r="N12" s="1"/>
      <c r="O12" s="12"/>
      <c r="P12" s="4"/>
      <c r="Q12" s="2"/>
      <c r="R12" s="33"/>
      <c r="S12" s="122"/>
    </row>
    <row r="13" spans="1:19" s="3" customFormat="1" ht="19.5" customHeight="1" x14ac:dyDescent="0.15">
      <c r="A13" s="20" t="s">
        <v>26</v>
      </c>
      <c r="B13" s="20"/>
      <c r="C13" s="61">
        <v>12</v>
      </c>
      <c r="D13" s="68">
        <v>1</v>
      </c>
      <c r="E13" s="59" t="s">
        <v>30</v>
      </c>
      <c r="F13" s="65" t="s">
        <v>31</v>
      </c>
      <c r="G13" s="66" t="s">
        <v>58</v>
      </c>
      <c r="H13" s="59">
        <v>1</v>
      </c>
      <c r="I13" s="123">
        <v>11680</v>
      </c>
      <c r="J13" s="67">
        <f>H13*I13</f>
        <v>11680</v>
      </c>
      <c r="K13" s="54"/>
      <c r="L13" s="53" t="s">
        <v>59</v>
      </c>
      <c r="M13" s="64" t="s">
        <v>67</v>
      </c>
      <c r="N13" s="1"/>
      <c r="O13" s="12">
        <v>46027</v>
      </c>
      <c r="P13" s="4"/>
      <c r="Q13" s="119">
        <v>46042</v>
      </c>
      <c r="R13" s="33">
        <v>46038</v>
      </c>
      <c r="S13" s="122"/>
    </row>
    <row r="14" spans="1:19" s="3" customFormat="1" ht="19.5" customHeight="1" x14ac:dyDescent="0.15">
      <c r="C14" s="20"/>
      <c r="D14" s="22"/>
      <c r="E14" s="56"/>
      <c r="F14" s="56"/>
      <c r="G14" s="37"/>
      <c r="H14" s="41"/>
      <c r="I14" s="20"/>
      <c r="J14" s="36"/>
      <c r="K14" s="43"/>
      <c r="L14" s="52"/>
      <c r="M14" s="1"/>
      <c r="N14" s="1"/>
      <c r="O14" s="12"/>
      <c r="P14" s="4"/>
      <c r="Q14" s="2"/>
      <c r="R14" s="33"/>
      <c r="S14" s="122"/>
    </row>
    <row r="15" spans="1:19" s="3" customFormat="1" ht="19.5" customHeight="1" x14ac:dyDescent="0.15">
      <c r="C15" s="20"/>
      <c r="D15" s="22"/>
      <c r="E15" s="22"/>
      <c r="F15" s="22"/>
      <c r="G15" s="57">
        <f>SUM(J13:J13)</f>
        <v>11680</v>
      </c>
      <c r="H15" s="49"/>
      <c r="I15" s="49"/>
      <c r="J15" s="49"/>
      <c r="K15" s="58"/>
      <c r="L15" s="19"/>
      <c r="M15" s="1"/>
      <c r="N15" s="1"/>
      <c r="O15" s="12"/>
      <c r="P15" s="4"/>
      <c r="Q15" s="2"/>
      <c r="R15" s="33"/>
      <c r="S15" s="122"/>
    </row>
    <row r="16" spans="1:19" s="3" customFormat="1" ht="19.5" customHeight="1" x14ac:dyDescent="0.15">
      <c r="C16" s="20"/>
      <c r="D16" s="22"/>
      <c r="E16" s="22"/>
      <c r="F16" s="22"/>
      <c r="G16" s="30"/>
      <c r="H16" s="29"/>
      <c r="I16" s="16"/>
      <c r="J16" s="16"/>
      <c r="K16" s="11"/>
      <c r="L16" s="17"/>
      <c r="M16" s="1"/>
      <c r="N16" s="1"/>
      <c r="O16" s="12"/>
      <c r="P16" s="4"/>
      <c r="Q16" s="2"/>
      <c r="R16" s="33"/>
      <c r="S16" s="122"/>
    </row>
    <row r="17" spans="1:19" s="3" customFormat="1" ht="19.5" customHeight="1" x14ac:dyDescent="0.15">
      <c r="C17" s="20"/>
      <c r="D17" s="22"/>
      <c r="E17" s="22"/>
      <c r="F17" s="22"/>
      <c r="G17" s="30"/>
      <c r="H17" s="29"/>
      <c r="I17" s="16"/>
      <c r="J17" s="16"/>
      <c r="K17" s="11"/>
      <c r="L17" s="17"/>
      <c r="M17" s="1"/>
      <c r="N17" s="1"/>
      <c r="O17" s="12"/>
      <c r="P17" s="4"/>
      <c r="Q17" s="2"/>
      <c r="R17" s="33"/>
      <c r="S17" s="122"/>
    </row>
    <row r="18" spans="1:19" s="3" customFormat="1" ht="19.5" customHeight="1" x14ac:dyDescent="0.15">
      <c r="C18" s="20"/>
      <c r="D18" s="44"/>
      <c r="E18" s="125" t="s">
        <v>27</v>
      </c>
      <c r="F18" s="126"/>
      <c r="G18" s="127"/>
      <c r="H18" s="26"/>
      <c r="I18" s="26"/>
      <c r="J18" s="36"/>
      <c r="K18" s="21"/>
      <c r="L18" s="45"/>
      <c r="M18" s="115"/>
      <c r="N18" s="1"/>
      <c r="O18" s="12"/>
      <c r="P18" s="4"/>
      <c r="Q18" s="2"/>
      <c r="R18" s="33"/>
      <c r="S18" s="122"/>
    </row>
    <row r="19" spans="1:19" s="3" customFormat="1" ht="19.5" customHeight="1" x14ac:dyDescent="0.15">
      <c r="A19" s="20" t="s">
        <v>43</v>
      </c>
      <c r="B19" s="20"/>
      <c r="C19" s="75">
        <v>14</v>
      </c>
      <c r="D19" s="68">
        <f>+D13+1</f>
        <v>2</v>
      </c>
      <c r="E19" s="69" t="s">
        <v>32</v>
      </c>
      <c r="F19" s="69" t="s">
        <v>33</v>
      </c>
      <c r="G19" s="70" t="s">
        <v>34</v>
      </c>
      <c r="H19" s="71">
        <v>1</v>
      </c>
      <c r="I19" s="105">
        <v>2100</v>
      </c>
      <c r="J19" s="72">
        <f t="shared" ref="J19:J22" si="0">H19*I19</f>
        <v>2100</v>
      </c>
      <c r="K19" s="21"/>
      <c r="L19" s="19" t="s">
        <v>35</v>
      </c>
      <c r="M19" s="64" t="s">
        <v>67</v>
      </c>
      <c r="N19" s="1"/>
      <c r="O19" s="12">
        <v>46027</v>
      </c>
      <c r="P19" s="4"/>
      <c r="Q19" s="120">
        <v>46042</v>
      </c>
      <c r="R19" s="33">
        <v>46038</v>
      </c>
      <c r="S19" s="122"/>
    </row>
    <row r="20" spans="1:19" s="3" customFormat="1" ht="19.5" customHeight="1" x14ac:dyDescent="0.15">
      <c r="A20" s="20" t="s">
        <v>43</v>
      </c>
      <c r="B20" s="20"/>
      <c r="C20" s="75">
        <v>14</v>
      </c>
      <c r="D20" s="68">
        <f t="shared" ref="D20:D21" si="1">+D19+1</f>
        <v>3</v>
      </c>
      <c r="E20" s="69" t="s">
        <v>32</v>
      </c>
      <c r="F20" s="69" t="s">
        <v>33</v>
      </c>
      <c r="G20" s="70" t="s">
        <v>36</v>
      </c>
      <c r="H20" s="71">
        <v>1</v>
      </c>
      <c r="I20" s="105">
        <v>2100</v>
      </c>
      <c r="J20" s="72">
        <f t="shared" si="0"/>
        <v>2100</v>
      </c>
      <c r="K20" s="21"/>
      <c r="L20" s="19" t="s">
        <v>35</v>
      </c>
      <c r="M20" s="64" t="s">
        <v>67</v>
      </c>
      <c r="N20" s="1"/>
      <c r="O20" s="12">
        <v>46027</v>
      </c>
      <c r="P20" s="4"/>
      <c r="Q20" s="120">
        <v>46042</v>
      </c>
      <c r="R20" s="33">
        <v>46038</v>
      </c>
      <c r="S20" s="122"/>
    </row>
    <row r="21" spans="1:19" s="3" customFormat="1" ht="19.5" customHeight="1" x14ac:dyDescent="0.15">
      <c r="A21" s="20" t="s">
        <v>29</v>
      </c>
      <c r="B21" s="20"/>
      <c r="C21" s="75">
        <v>14</v>
      </c>
      <c r="D21" s="68">
        <f t="shared" si="1"/>
        <v>4</v>
      </c>
      <c r="E21" s="59" t="s">
        <v>32</v>
      </c>
      <c r="F21" s="69" t="s">
        <v>33</v>
      </c>
      <c r="G21" s="73" t="s">
        <v>37</v>
      </c>
      <c r="H21" s="71">
        <v>1</v>
      </c>
      <c r="I21" s="106">
        <v>980</v>
      </c>
      <c r="J21" s="74">
        <f t="shared" si="0"/>
        <v>980</v>
      </c>
      <c r="K21" s="60"/>
      <c r="L21" s="19" t="s">
        <v>38</v>
      </c>
      <c r="M21" s="64" t="s">
        <v>67</v>
      </c>
      <c r="N21" s="1"/>
      <c r="O21" s="12">
        <v>46027</v>
      </c>
      <c r="P21" s="4"/>
      <c r="Q21" s="120">
        <v>46042</v>
      </c>
      <c r="R21" s="33">
        <v>46038</v>
      </c>
      <c r="S21" s="122"/>
    </row>
    <row r="22" spans="1:19" s="3" customFormat="1" ht="19.5" customHeight="1" x14ac:dyDescent="0.15">
      <c r="A22" s="20" t="s">
        <v>43</v>
      </c>
      <c r="B22" s="20"/>
      <c r="C22" s="75">
        <v>14</v>
      </c>
      <c r="D22" s="68">
        <f>+D21+1</f>
        <v>5</v>
      </c>
      <c r="E22" s="69" t="s">
        <v>39</v>
      </c>
      <c r="F22" s="69" t="s">
        <v>40</v>
      </c>
      <c r="G22" s="70" t="s">
        <v>41</v>
      </c>
      <c r="H22" s="71">
        <v>1</v>
      </c>
      <c r="I22" s="72">
        <v>9580</v>
      </c>
      <c r="J22" s="72">
        <f t="shared" si="0"/>
        <v>9580</v>
      </c>
      <c r="K22" s="21"/>
      <c r="L22" s="19" t="s">
        <v>42</v>
      </c>
      <c r="M22" s="64" t="s">
        <v>67</v>
      </c>
      <c r="N22" s="1"/>
      <c r="O22" s="12">
        <v>46027</v>
      </c>
      <c r="P22" s="4"/>
      <c r="Q22" s="120">
        <v>46042</v>
      </c>
      <c r="R22" s="33">
        <v>46038</v>
      </c>
      <c r="S22" s="122"/>
    </row>
    <row r="23" spans="1:19" s="3" customFormat="1" ht="19.5" customHeight="1" x14ac:dyDescent="0.15">
      <c r="A23" s="20"/>
      <c r="B23" s="20"/>
      <c r="C23" s="20"/>
      <c r="D23" s="22"/>
      <c r="E23" s="22"/>
      <c r="F23" s="22"/>
      <c r="G23" s="52"/>
      <c r="H23" s="20"/>
      <c r="I23" s="36"/>
      <c r="J23" s="36"/>
      <c r="K23" s="21"/>
      <c r="L23" s="37"/>
      <c r="M23" s="1"/>
      <c r="N23" s="77"/>
      <c r="O23" s="76"/>
      <c r="P23" s="22"/>
      <c r="Q23" s="24"/>
      <c r="R23" s="33"/>
      <c r="S23" s="122"/>
    </row>
    <row r="24" spans="1:19" s="3" customFormat="1" ht="19.5" customHeight="1" x14ac:dyDescent="0.15">
      <c r="A24" s="20"/>
      <c r="B24" s="20"/>
      <c r="C24" s="20"/>
      <c r="D24" s="22"/>
      <c r="E24" s="22"/>
      <c r="F24" s="22"/>
      <c r="G24" s="40"/>
      <c r="H24" s="20"/>
      <c r="I24" s="20"/>
      <c r="J24" s="39"/>
      <c r="K24" s="21"/>
      <c r="L24" s="37"/>
      <c r="M24" s="1"/>
      <c r="N24" s="102"/>
      <c r="O24" s="103"/>
      <c r="P24" s="63"/>
      <c r="Q24" s="104"/>
      <c r="R24" s="33"/>
      <c r="S24" s="122"/>
    </row>
    <row r="25" spans="1:19" s="3" customFormat="1" ht="19.5" customHeight="1" x14ac:dyDescent="0.15">
      <c r="A25" s="84" t="s">
        <v>29</v>
      </c>
      <c r="B25" s="84"/>
      <c r="C25" s="75">
        <v>14</v>
      </c>
      <c r="D25" s="68">
        <f>+D22+1</f>
        <v>6</v>
      </c>
      <c r="E25" s="100" t="s">
        <v>53</v>
      </c>
      <c r="F25" s="100" t="s">
        <v>52</v>
      </c>
      <c r="G25" s="101" t="s">
        <v>56</v>
      </c>
      <c r="H25" s="107">
        <v>1</v>
      </c>
      <c r="I25" s="124">
        <v>32960</v>
      </c>
      <c r="J25" s="91">
        <f>H25*I25</f>
        <v>32960</v>
      </c>
      <c r="K25" s="90"/>
      <c r="L25" s="88" t="s">
        <v>55</v>
      </c>
      <c r="M25" s="82" t="s">
        <v>68</v>
      </c>
      <c r="N25" s="82"/>
      <c r="O25" s="86">
        <v>46382</v>
      </c>
      <c r="P25" s="83"/>
      <c r="Q25" s="121">
        <v>46043</v>
      </c>
      <c r="R25" s="85"/>
      <c r="S25" s="122">
        <v>46043</v>
      </c>
    </row>
    <row r="26" spans="1:19" s="3" customFormat="1" ht="19.5" customHeight="1" x14ac:dyDescent="0.15">
      <c r="A26" s="84" t="s">
        <v>29</v>
      </c>
      <c r="B26" s="84"/>
      <c r="C26" s="75">
        <v>14</v>
      </c>
      <c r="D26" s="68">
        <f>+D25+1</f>
        <v>7</v>
      </c>
      <c r="E26" s="100" t="s">
        <v>53</v>
      </c>
      <c r="F26" s="100" t="s">
        <v>52</v>
      </c>
      <c r="G26" s="114" t="s">
        <v>65</v>
      </c>
      <c r="H26" s="107">
        <v>1</v>
      </c>
      <c r="I26" s="124">
        <v>11440</v>
      </c>
      <c r="J26" s="91">
        <f>H26*I26</f>
        <v>11440</v>
      </c>
      <c r="K26" s="90"/>
      <c r="L26" s="88" t="s">
        <v>64</v>
      </c>
      <c r="M26" s="82" t="s">
        <v>68</v>
      </c>
      <c r="N26" s="82"/>
      <c r="O26" s="86">
        <v>46382</v>
      </c>
      <c r="P26" s="83"/>
      <c r="Q26" s="121">
        <v>46043</v>
      </c>
      <c r="R26" s="85"/>
      <c r="S26" s="122">
        <v>46043</v>
      </c>
    </row>
    <row r="27" spans="1:19" s="3" customFormat="1" ht="19.5" customHeight="1" x14ac:dyDescent="0.15">
      <c r="A27" s="84" t="s">
        <v>54</v>
      </c>
      <c r="B27" s="84"/>
      <c r="C27" s="75">
        <v>14</v>
      </c>
      <c r="D27" s="68">
        <f>+D26+1</f>
        <v>8</v>
      </c>
      <c r="E27" s="100" t="s">
        <v>53</v>
      </c>
      <c r="F27" s="100" t="s">
        <v>52</v>
      </c>
      <c r="G27" s="101" t="s">
        <v>51</v>
      </c>
      <c r="H27" s="107">
        <v>1</v>
      </c>
      <c r="I27" s="124">
        <v>50000</v>
      </c>
      <c r="J27" s="91">
        <f>H27*I27</f>
        <v>50000</v>
      </c>
      <c r="K27" s="90"/>
      <c r="L27" s="88" t="s">
        <v>50</v>
      </c>
      <c r="M27" s="82" t="s">
        <v>68</v>
      </c>
      <c r="N27" s="82"/>
      <c r="O27" s="86">
        <v>46382</v>
      </c>
      <c r="P27" s="83"/>
      <c r="Q27" s="121">
        <v>46043</v>
      </c>
      <c r="R27" s="85"/>
      <c r="S27" s="122">
        <v>46043</v>
      </c>
    </row>
    <row r="28" spans="1:19" s="3" customFormat="1" ht="19.5" customHeight="1" x14ac:dyDescent="0.15">
      <c r="A28" s="79"/>
      <c r="B28" s="79"/>
      <c r="C28" s="84"/>
      <c r="D28" s="87"/>
      <c r="E28" s="87"/>
      <c r="F28" s="87"/>
      <c r="G28" s="87"/>
      <c r="H28" s="26"/>
      <c r="I28" s="26"/>
      <c r="J28" s="89"/>
      <c r="K28" s="90"/>
      <c r="L28" s="45"/>
      <c r="M28" s="82"/>
      <c r="N28" s="82"/>
      <c r="O28" s="86"/>
      <c r="P28" s="83"/>
      <c r="Q28" s="81"/>
      <c r="R28" s="85"/>
      <c r="S28" s="122"/>
    </row>
    <row r="29" spans="1:19" s="3" customFormat="1" ht="19.5" customHeight="1" x14ac:dyDescent="0.15">
      <c r="A29" s="79"/>
      <c r="B29" s="79"/>
      <c r="C29" s="84"/>
      <c r="D29" s="87"/>
      <c r="E29" s="22"/>
      <c r="F29" s="22"/>
      <c r="G29" s="35"/>
      <c r="H29" s="41"/>
      <c r="I29" s="20"/>
      <c r="J29" s="39"/>
      <c r="K29" s="43"/>
      <c r="L29" s="52"/>
      <c r="M29" s="96"/>
      <c r="N29" s="82"/>
      <c r="O29" s="86"/>
      <c r="P29" s="83"/>
      <c r="Q29" s="81"/>
      <c r="R29" s="85"/>
      <c r="S29" s="122"/>
    </row>
    <row r="30" spans="1:19" s="3" customFormat="1" ht="19.5" customHeight="1" x14ac:dyDescent="0.15">
      <c r="A30" s="84" t="s">
        <v>28</v>
      </c>
      <c r="B30" s="84"/>
      <c r="C30" s="75">
        <v>14</v>
      </c>
      <c r="D30" s="118">
        <f>+D27+1</f>
        <v>9</v>
      </c>
      <c r="E30" s="110" t="s">
        <v>46</v>
      </c>
      <c r="F30" s="110" t="s">
        <v>46</v>
      </c>
      <c r="G30" s="111" t="s">
        <v>49</v>
      </c>
      <c r="H30" s="107">
        <v>1</v>
      </c>
      <c r="I30" s="95">
        <v>27</v>
      </c>
      <c r="J30" s="91">
        <f>H30*I30</f>
        <v>27</v>
      </c>
      <c r="K30" s="90"/>
      <c r="L30" s="88" t="s">
        <v>48</v>
      </c>
      <c r="M30" s="94" t="s">
        <v>47</v>
      </c>
      <c r="N30" s="82"/>
      <c r="O30" s="86">
        <v>46027</v>
      </c>
      <c r="P30" s="83"/>
      <c r="Q30" s="121">
        <v>46028</v>
      </c>
      <c r="R30" s="85"/>
      <c r="S30" s="122">
        <v>46028</v>
      </c>
    </row>
    <row r="31" spans="1:19" s="3" customFormat="1" ht="19.5" customHeight="1" x14ac:dyDescent="0.15">
      <c r="A31" s="84"/>
      <c r="B31" s="84"/>
      <c r="C31" s="75">
        <v>14</v>
      </c>
      <c r="D31" s="118">
        <f>+D30+1</f>
        <v>10</v>
      </c>
      <c r="E31" s="110" t="s">
        <v>46</v>
      </c>
      <c r="F31" s="110" t="s">
        <v>46</v>
      </c>
      <c r="G31" s="112" t="s">
        <v>45</v>
      </c>
      <c r="H31" s="107">
        <v>1</v>
      </c>
      <c r="I31" s="93">
        <v>500</v>
      </c>
      <c r="J31" s="90">
        <f>H31*I31</f>
        <v>500</v>
      </c>
      <c r="K31" s="92"/>
      <c r="L31" s="84"/>
      <c r="M31" s="82"/>
      <c r="N31" s="82"/>
      <c r="O31" s="86">
        <v>46027</v>
      </c>
      <c r="P31" s="83"/>
      <c r="Q31" s="121">
        <v>46028</v>
      </c>
      <c r="R31" s="85"/>
      <c r="S31" s="80"/>
    </row>
    <row r="32" spans="1:19" s="3" customFormat="1" ht="19.5" customHeight="1" x14ac:dyDescent="0.15">
      <c r="C32" s="20"/>
      <c r="D32" s="44"/>
      <c r="E32" s="22"/>
      <c r="F32" s="22"/>
      <c r="G32" s="47"/>
      <c r="H32" s="38"/>
      <c r="I32" s="42"/>
      <c r="J32" s="39"/>
      <c r="K32" s="21"/>
      <c r="L32" s="19"/>
      <c r="M32" s="1"/>
      <c r="N32" s="1"/>
      <c r="O32" s="12"/>
      <c r="P32" s="4"/>
      <c r="Q32" s="2"/>
      <c r="R32" s="33"/>
      <c r="S32" s="34"/>
    </row>
    <row r="33" spans="1:19" s="3" customFormat="1" ht="19.5" customHeight="1" x14ac:dyDescent="0.15">
      <c r="C33" s="20"/>
      <c r="D33" s="44"/>
      <c r="E33" s="22"/>
      <c r="F33" s="22"/>
      <c r="G33" s="47"/>
      <c r="H33" s="38"/>
      <c r="I33" s="42"/>
      <c r="J33" s="39"/>
      <c r="K33" s="21"/>
      <c r="L33" s="19"/>
      <c r="M33" s="1"/>
      <c r="N33" s="1"/>
      <c r="O33" s="12"/>
      <c r="P33" s="4"/>
      <c r="Q33" s="2"/>
      <c r="R33" s="33"/>
      <c r="S33" s="34"/>
    </row>
    <row r="34" spans="1:19" s="3" customFormat="1" ht="19.5" customHeight="1" x14ac:dyDescent="0.15">
      <c r="C34" s="20"/>
      <c r="D34" s="44"/>
      <c r="E34" s="22"/>
      <c r="F34" s="22"/>
      <c r="G34" s="47"/>
      <c r="H34" s="38"/>
      <c r="I34" s="42"/>
      <c r="J34" s="39"/>
      <c r="K34" s="21"/>
      <c r="L34" s="19"/>
      <c r="M34" s="1"/>
      <c r="N34" s="1"/>
      <c r="O34" s="12"/>
      <c r="P34" s="4"/>
      <c r="Q34" s="2"/>
      <c r="R34" s="33"/>
      <c r="S34" s="34"/>
    </row>
    <row r="35" spans="1:19" s="3" customFormat="1" ht="19.5" customHeight="1" x14ac:dyDescent="0.15">
      <c r="D35" s="20"/>
      <c r="E35" s="22"/>
      <c r="F35" s="22"/>
      <c r="G35" s="48">
        <f>SUM(J19:J34)</f>
        <v>109687</v>
      </c>
      <c r="H35" s="49"/>
      <c r="I35" s="49"/>
      <c r="J35" s="49"/>
      <c r="K35" s="36"/>
      <c r="L35" s="19"/>
      <c r="M35" s="1"/>
      <c r="N35" s="1"/>
      <c r="O35" s="12"/>
      <c r="P35" s="4"/>
      <c r="Q35" s="2"/>
      <c r="R35" s="33"/>
      <c r="S35" s="34"/>
    </row>
    <row r="36" spans="1:19" s="3" customFormat="1" ht="19.5" customHeight="1" x14ac:dyDescent="0.15">
      <c r="C36" s="20"/>
      <c r="D36" s="22"/>
      <c r="E36" s="22"/>
      <c r="F36" s="22"/>
      <c r="G36" s="30"/>
      <c r="H36" s="29"/>
      <c r="I36" s="16"/>
      <c r="J36" s="16"/>
      <c r="K36" s="11"/>
      <c r="L36" s="17"/>
      <c r="M36" s="1"/>
      <c r="N36" s="1"/>
      <c r="O36" s="12"/>
      <c r="P36" s="4"/>
      <c r="Q36" s="2"/>
      <c r="R36" s="33"/>
      <c r="S36" s="34"/>
    </row>
    <row r="37" spans="1:19" s="3" customFormat="1" ht="19.7" customHeight="1" x14ac:dyDescent="0.15">
      <c r="A37" s="20"/>
      <c r="B37" s="20"/>
      <c r="C37" s="20"/>
      <c r="D37" s="22"/>
      <c r="E37" s="56"/>
      <c r="F37" s="56"/>
      <c r="G37" s="37"/>
      <c r="H37" s="108"/>
      <c r="I37" s="60"/>
      <c r="J37" s="46"/>
      <c r="K37" s="109"/>
      <c r="L37" s="52"/>
      <c r="M37" s="55"/>
      <c r="N37" s="55"/>
      <c r="O37" s="33"/>
      <c r="P37" s="44"/>
      <c r="Q37" s="62"/>
      <c r="R37" s="33"/>
      <c r="S37" s="23"/>
    </row>
    <row r="38" spans="1:19" s="3" customFormat="1" ht="19.5" customHeight="1" x14ac:dyDescent="0.15">
      <c r="A38" s="20"/>
      <c r="B38" s="20"/>
      <c r="C38" s="20"/>
      <c r="D38" s="22"/>
      <c r="E38" s="22"/>
      <c r="F38" s="22"/>
      <c r="G38" s="30"/>
      <c r="H38" s="29"/>
      <c r="I38" s="16"/>
      <c r="J38" s="16"/>
      <c r="K38" s="11"/>
      <c r="L38" s="17"/>
      <c r="M38" s="1"/>
      <c r="N38" s="1"/>
      <c r="O38" s="12"/>
      <c r="P38" s="4"/>
      <c r="Q38" s="2"/>
      <c r="R38" s="33"/>
      <c r="S38" s="34"/>
    </row>
    <row r="39" spans="1:19" ht="18" customHeight="1" x14ac:dyDescent="0.15">
      <c r="A39" s="20"/>
      <c r="B39" s="20"/>
      <c r="C39" s="20"/>
      <c r="D39" s="1"/>
      <c r="E39" s="4"/>
      <c r="F39" s="4"/>
      <c r="G39" s="13"/>
      <c r="H39" s="14"/>
      <c r="I39" s="14"/>
      <c r="J39" s="16"/>
      <c r="K39" s="2"/>
      <c r="L39" s="13"/>
      <c r="M39" s="6"/>
      <c r="N39" s="1"/>
      <c r="O39" s="12"/>
      <c r="P39" s="18"/>
      <c r="Q39" s="2"/>
      <c r="R39" s="33"/>
      <c r="S39" s="23"/>
    </row>
    <row r="40" spans="1:19" ht="18" customHeight="1" x14ac:dyDescent="0.15">
      <c r="A40" s="20"/>
      <c r="B40" s="20"/>
      <c r="C40" s="20"/>
      <c r="D40" s="1"/>
      <c r="E40" s="1"/>
      <c r="F40" s="1"/>
      <c r="G40" s="6" t="s">
        <v>22</v>
      </c>
      <c r="H40" s="16"/>
      <c r="I40" s="16"/>
      <c r="J40" s="16">
        <f>H40*I40</f>
        <v>0</v>
      </c>
      <c r="K40" s="11"/>
      <c r="L40" s="13" t="s">
        <v>23</v>
      </c>
      <c r="M40" s="18"/>
      <c r="N40" s="1"/>
      <c r="O40" s="12"/>
      <c r="P40" s="18"/>
      <c r="Q40" s="2"/>
      <c r="R40" s="33"/>
      <c r="S40" s="34"/>
    </row>
    <row r="41" spans="1:19" ht="18" customHeight="1" x14ac:dyDescent="0.15">
      <c r="A41" s="20"/>
      <c r="B41" s="20"/>
      <c r="C41" s="20"/>
      <c r="D41" s="1"/>
      <c r="E41" s="4"/>
      <c r="F41" s="4"/>
      <c r="G41" s="6" t="s">
        <v>23</v>
      </c>
      <c r="H41" s="16"/>
      <c r="I41" s="16">
        <v>5000</v>
      </c>
      <c r="J41" s="16">
        <f>H41*I41</f>
        <v>0</v>
      </c>
      <c r="K41" s="11"/>
      <c r="L41" s="13" t="s">
        <v>24</v>
      </c>
      <c r="M41" s="18"/>
      <c r="N41" s="1"/>
      <c r="O41" s="1"/>
      <c r="P41" s="18"/>
      <c r="Q41" s="2"/>
      <c r="R41" s="34"/>
      <c r="S41" s="34"/>
    </row>
    <row r="42" spans="1:19" ht="18" customHeight="1" x14ac:dyDescent="0.15">
      <c r="A42" s="20"/>
      <c r="B42" s="20"/>
      <c r="C42" s="20"/>
      <c r="D42" s="1"/>
      <c r="E42" s="4"/>
      <c r="F42" s="4"/>
      <c r="G42" s="6" t="s">
        <v>24</v>
      </c>
      <c r="H42" s="16"/>
      <c r="I42" s="16"/>
      <c r="J42" s="16">
        <f>H42*I42</f>
        <v>0</v>
      </c>
      <c r="K42" s="11"/>
      <c r="L42" s="5"/>
      <c r="M42" s="18"/>
      <c r="N42" s="1"/>
      <c r="O42" s="1"/>
      <c r="P42" s="18"/>
      <c r="Q42" s="2"/>
      <c r="R42" s="34"/>
      <c r="S42" s="34"/>
    </row>
    <row r="43" spans="1:19" ht="18" customHeight="1" x14ac:dyDescent="0.15">
      <c r="A43" s="20"/>
      <c r="B43" s="20"/>
      <c r="C43" s="20"/>
      <c r="D43" s="1"/>
      <c r="E43" s="4"/>
      <c r="F43" s="4"/>
      <c r="G43" s="128"/>
      <c r="H43" s="129"/>
      <c r="I43" s="129"/>
      <c r="J43" s="130"/>
      <c r="K43" s="7"/>
      <c r="L43" s="15"/>
      <c r="M43" s="18"/>
      <c r="N43" s="1"/>
      <c r="O43" s="1"/>
      <c r="P43" s="18"/>
      <c r="Q43" s="2"/>
      <c r="R43" s="34"/>
      <c r="S43" s="34"/>
    </row>
    <row r="44" spans="1:19" ht="18" customHeight="1" x14ac:dyDescent="0.15"/>
    <row r="45" spans="1:19" ht="18" customHeight="1" x14ac:dyDescent="0.15"/>
  </sheetData>
  <autoFilter ref="A10:S35" xr:uid="{45795B11-EA03-4D9F-B7D5-933EB783FCD2}"/>
  <mergeCells count="12">
    <mergeCell ref="E18:G18"/>
    <mergeCell ref="G43:J43"/>
    <mergeCell ref="L7:M7"/>
    <mergeCell ref="E12:G12"/>
    <mergeCell ref="D2:F2"/>
    <mergeCell ref="I2:K2"/>
    <mergeCell ref="D3:F3"/>
    <mergeCell ref="D4:F4"/>
    <mergeCell ref="I4:L5"/>
    <mergeCell ref="D5:F5"/>
    <mergeCell ref="H5:H6"/>
    <mergeCell ref="D6:F6"/>
  </mergeCells>
  <phoneticPr fontId="9"/>
  <hyperlinks>
    <hyperlink ref="M30" r:id="rId1" xr:uid="{5911DD16-D509-43CF-8C4E-1510F840120A}"/>
  </hyperlinks>
  <printOptions gridLines="1"/>
  <pageMargins left="0.2" right="0.2" top="0.75" bottom="0.75" header="0.3" footer="0.3"/>
  <pageSetup orientation="landscape" r:id="rId2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G26" sqref="G26"/>
    </sheetView>
  </sheetViews>
  <sheetFormatPr defaultRowHeight="13.5" x14ac:dyDescent="0.15"/>
  <sheetData/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SETB0306-A01 (20251225)　②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2026-01-21T04:39:29Z</dcterms:modified>
</cp:coreProperties>
</file>