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A86490F-0C26-452A-8E6D-B122195C400B}" xr6:coauthVersionLast="47" xr6:coauthVersionMax="47" xr10:uidLastSave="{00000000-0000-0000-0000-000000000000}"/>
  <bookViews>
    <workbookView xWindow="-120" yWindow="-120" windowWidth="29040" windowHeight="15720" xr2:uid="{8BB87D5E-A9B8-4A3F-9997-B4B972EF253B}"/>
  </bookViews>
  <sheets>
    <sheet name="Sheet1" sheetId="1" r:id="rId1"/>
  </sheets>
  <definedNames>
    <definedName name="_xlnm._FilterDatabase" localSheetId="0" hidden="1">Sheet1!$B$8:$O$9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3" i="1"/>
  <c r="H10" i="1"/>
  <c r="H17" i="1"/>
  <c r="H14" i="1"/>
  <c r="H9" i="1"/>
  <c r="J2" i="1" l="1"/>
</calcChain>
</file>

<file path=xl/sharedStrings.xml><?xml version="1.0" encoding="utf-8"?>
<sst xmlns="http://schemas.openxmlformats.org/spreadsheetml/2006/main" count="74" uniqueCount="40">
  <si>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</si>
  <si>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</si>
  <si>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</si>
  <si>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</si>
  <si>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</si>
  <si>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</si>
  <si>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</si>
  <si>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</si>
  <si>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</si>
  <si>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</si>
  <si>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</si>
  <si>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</si>
  <si>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</si>
  <si>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</si>
  <si>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</si>
  <si>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</si>
  <si>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</si>
  <si>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</si>
  <si>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</si>
  <si>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</si>
  <si>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</si>
  <si>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</si>
  <si>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発注願います</t>
    <rPh sb="0" eb="3">
      <t>ハッチュウネガ</t>
    </rPh>
    <phoneticPr fontId="1"/>
  </si>
  <si>
    <t>JANOME</t>
    <phoneticPr fontId="1"/>
  </si>
  <si>
    <t>JR3303N-AJ</t>
    <phoneticPr fontId="1"/>
  </si>
  <si>
    <t>荷造り運賃</t>
    <rPh sb="0" eb="2">
      <t>ニヅク</t>
    </rPh>
    <rPh sb="3" eb="5">
      <t>ウンチン</t>
    </rPh>
    <phoneticPr fontId="1"/>
  </si>
  <si>
    <t>IO-MT増設</t>
    <rPh sb="5" eb="7">
      <t>ゾウセツ</t>
    </rPh>
    <phoneticPr fontId="1"/>
  </si>
  <si>
    <t>ティーチングペンダントⅡ(2m)非常停止SW無</t>
    <phoneticPr fontId="1"/>
  </si>
  <si>
    <t>PCソフト　JR C-pointsⅡ</t>
  </si>
  <si>
    <t>MISUMI</t>
    <phoneticPr fontId="1"/>
  </si>
  <si>
    <t>TQ25-0609</t>
    <phoneticPr fontId="1"/>
  </si>
  <si>
    <t>NWGMC6-STN-SUMB-GY-3</t>
    <phoneticPr fontId="1"/>
  </si>
  <si>
    <t>Web発注済</t>
    <rPh sb="0" eb="6">
      <t>ウェbハッチュウスミ</t>
    </rPh>
    <phoneticPr fontId="1"/>
  </si>
  <si>
    <t>LAN ｱｯｾﾝﾌﾞﾙ ｹ-ﾌﾞﾙ</t>
  </si>
  <si>
    <t>強化ﾊﾞﾈ</t>
    <rPh sb="0" eb="2">
      <t>キョウカ</t>
    </rPh>
    <phoneticPr fontId="1"/>
  </si>
  <si>
    <t>JR3300以上用I/O-S増設用部品*在庫</t>
    <rPh sb="20" eb="22">
      <t>ザイコ</t>
    </rPh>
    <phoneticPr fontId="1"/>
  </si>
  <si>
    <t>JR3300以上用I/O-1増設用部品*在庫</t>
    <rPh sb="20" eb="22">
      <t>ザイコ</t>
    </rPh>
    <phoneticPr fontId="1"/>
  </si>
  <si>
    <t>在庫</t>
    <rPh sb="0" eb="2">
      <t>ザイコ</t>
    </rPh>
    <phoneticPr fontId="1"/>
  </si>
  <si>
    <t>田中</t>
    <rPh sb="0" eb="2">
      <t>タナカ</t>
    </rPh>
    <phoneticPr fontId="1"/>
  </si>
  <si>
    <t>イノアックコーポレーション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</si>
</sst>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5" fillId="0" borderId="1" xfId="0" applyFont="1" applyBorder="1" applyAlignment="1">
      <alignment horizontal="left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19"/>
  <sheetViews>
    <sheetView tabSelected="1" zoomScale="85" zoomScaleNormal="85" workbookViewId="0">
      <pane xSplit="10" ySplit="8" topLeftCell="L9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RowHeight="13.5" x14ac:dyDescent="0.15"/>
  <cols>
    <col min="1" max="1" width="2.625" customWidth="1"/>
    <col min="2" max="2" width="22" style="3" customWidth="1"/>
    <col min="3" max="4" width="20.625" customWidth="1"/>
    <col min="5" max="5" width="40.625" customWidth="1"/>
    <col min="6" max="6" width="6.25" style="3" customWidth="1"/>
    <col min="7" max="8" width="9.875" bestFit="1" customWidth="1"/>
    <col min="9" max="9" width="13.5" style="8" bestFit="1" customWidth="1"/>
    <col min="10" max="10" width="39.375" bestFit="1" customWidth="1"/>
    <col min="11" max="11" width="27.5" customWidth="1"/>
    <col min="12" max="12" width="20.625" style="3" customWidth="1"/>
    <col min="13" max="13" width="13.75" style="11" customWidth="1"/>
    <col min="14" max="14" width="6.375" customWidth="1"/>
    <col min="15" max="15" width="13.25" style="8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27" t="s">
        <v>11</v>
      </c>
      <c r="C2" s="27"/>
      <c r="D2" s="27"/>
      <c r="E2" s="9" t="s">
        <v>39</v>
      </c>
      <c r="G2" s="28" t="s">
        <v>15</v>
      </c>
      <c r="H2" s="29"/>
      <c r="I2" s="30"/>
      <c r="J2" s="7">
        <f>SUM(H:H)</f>
        <v>769979</v>
      </c>
    </row>
    <row r="3" spans="2:17" ht="20.100000000000001" customHeight="1" x14ac:dyDescent="0.15">
      <c r="B3" s="27" t="s">
        <v>10</v>
      </c>
      <c r="C3" s="27"/>
      <c r="D3" s="27"/>
      <c r="E3" s="5" t="s">
        <v>38</v>
      </c>
    </row>
    <row r="4" spans="2:17" ht="20.100000000000001" customHeight="1" x14ac:dyDescent="0.15">
      <c r="B4" s="27" t="s">
        <v>12</v>
      </c>
      <c r="C4" s="27"/>
      <c r="D4" s="27"/>
      <c r="E4" s="5">
        <v>229156</v>
      </c>
    </row>
    <row r="5" spans="2:17" ht="20.100000000000001" customHeight="1" x14ac:dyDescent="0.15">
      <c r="B5" s="27" t="s">
        <v>13</v>
      </c>
      <c r="C5" s="27"/>
      <c r="D5" s="27"/>
      <c r="E5" s="6">
        <v>46104</v>
      </c>
    </row>
    <row r="6" spans="2:17" ht="20.100000000000001" customHeight="1" x14ac:dyDescent="0.15">
      <c r="B6" s="27" t="s">
        <v>14</v>
      </c>
      <c r="C6" s="27"/>
      <c r="D6" s="27"/>
      <c r="E6" s="6">
        <v>46118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5" customHeight="1" x14ac:dyDescent="0.15">
      <c r="B9" s="24">
        <v>1</v>
      </c>
      <c r="C9" s="4" t="s">
        <v>23</v>
      </c>
      <c r="D9" s="4" t="s">
        <v>23</v>
      </c>
      <c r="E9" s="10" t="s">
        <v>24</v>
      </c>
      <c r="F9" s="1">
        <v>1</v>
      </c>
      <c r="G9" s="17">
        <v>643000</v>
      </c>
      <c r="H9" s="18">
        <f t="shared" ref="H9:H17" si="0">F9*G9</f>
        <v>643000</v>
      </c>
      <c r="I9" s="2"/>
      <c r="J9" s="10" t="s">
        <v>24</v>
      </c>
      <c r="K9" s="21" t="s">
        <v>30</v>
      </c>
      <c r="L9" s="22" t="s">
        <v>22</v>
      </c>
      <c r="M9" s="12">
        <v>46010</v>
      </c>
      <c r="N9" s="4"/>
      <c r="O9" s="23">
        <v>46104</v>
      </c>
      <c r="P9" s="12"/>
      <c r="Q9" s="15">
        <v>46104</v>
      </c>
    </row>
    <row r="10" spans="2:17" s="3" customFormat="1" ht="19.5" customHeight="1" x14ac:dyDescent="0.15">
      <c r="B10" s="25"/>
      <c r="C10" s="4" t="s">
        <v>23</v>
      </c>
      <c r="D10" s="4" t="s">
        <v>23</v>
      </c>
      <c r="E10" s="10" t="s">
        <v>25</v>
      </c>
      <c r="F10" s="1">
        <v>1</v>
      </c>
      <c r="G10" s="17">
        <v>12000</v>
      </c>
      <c r="H10" s="18">
        <f t="shared" si="0"/>
        <v>12000</v>
      </c>
      <c r="I10" s="2"/>
      <c r="J10" s="10" t="s">
        <v>25</v>
      </c>
      <c r="K10" s="21" t="s">
        <v>30</v>
      </c>
      <c r="L10" s="22" t="s">
        <v>22</v>
      </c>
      <c r="M10" s="12">
        <v>46010</v>
      </c>
      <c r="N10" s="4"/>
      <c r="O10" s="23">
        <v>46104</v>
      </c>
      <c r="P10" s="12"/>
      <c r="Q10" s="15">
        <v>46104</v>
      </c>
    </row>
    <row r="11" spans="2:17" s="3" customFormat="1" ht="19.5" customHeight="1" x14ac:dyDescent="0.15">
      <c r="B11" s="25"/>
      <c r="C11" s="4" t="s">
        <v>23</v>
      </c>
      <c r="D11" s="4" t="s">
        <v>23</v>
      </c>
      <c r="E11" s="10" t="s">
        <v>28</v>
      </c>
      <c r="F11" s="1">
        <v>1</v>
      </c>
      <c r="G11" s="17">
        <v>38000</v>
      </c>
      <c r="H11" s="18">
        <f t="shared" ref="H11:H12" si="1">F11*G11</f>
        <v>38000</v>
      </c>
      <c r="I11" s="2"/>
      <c r="J11" s="10" t="s">
        <v>28</v>
      </c>
      <c r="K11" s="21" t="s">
        <v>30</v>
      </c>
      <c r="L11" s="22" t="s">
        <v>22</v>
      </c>
      <c r="M11" s="12">
        <v>46010</v>
      </c>
      <c r="N11" s="4"/>
      <c r="O11" s="23">
        <v>46104</v>
      </c>
      <c r="P11" s="12"/>
      <c r="Q11" s="15">
        <v>46104</v>
      </c>
    </row>
    <row r="12" spans="2:17" s="3" customFormat="1" ht="19.5" customHeight="1" x14ac:dyDescent="0.15">
      <c r="B12" s="26"/>
      <c r="C12" s="4" t="s">
        <v>29</v>
      </c>
      <c r="D12" s="4" t="s">
        <v>29</v>
      </c>
      <c r="E12" s="10" t="s">
        <v>31</v>
      </c>
      <c r="F12" s="1">
        <v>1</v>
      </c>
      <c r="G12" s="17">
        <v>579</v>
      </c>
      <c r="H12" s="18">
        <f t="shared" si="1"/>
        <v>579</v>
      </c>
      <c r="I12" s="2"/>
      <c r="J12" s="10" t="s">
        <v>33</v>
      </c>
      <c r="K12" s="19"/>
      <c r="L12" s="1" t="s">
        <v>32</v>
      </c>
      <c r="M12" s="12">
        <v>46009</v>
      </c>
      <c r="N12" s="4"/>
      <c r="O12" s="23"/>
      <c r="P12" s="12">
        <v>46084</v>
      </c>
      <c r="Q12" s="15"/>
    </row>
    <row r="13" spans="2:17" s="3" customFormat="1" ht="19.5" customHeight="1" x14ac:dyDescent="0.15">
      <c r="B13" s="20">
        <v>2</v>
      </c>
      <c r="C13" s="4" t="s">
        <v>23</v>
      </c>
      <c r="D13" s="4" t="s">
        <v>23</v>
      </c>
      <c r="E13" s="10" t="s">
        <v>34</v>
      </c>
      <c r="F13" s="1">
        <v>2</v>
      </c>
      <c r="G13" s="17">
        <v>700</v>
      </c>
      <c r="H13" s="18">
        <f t="shared" si="0"/>
        <v>1400</v>
      </c>
      <c r="I13" s="2"/>
      <c r="J13" s="10" t="s">
        <v>34</v>
      </c>
      <c r="K13" s="21"/>
      <c r="L13" s="22" t="s">
        <v>22</v>
      </c>
      <c r="M13" s="12">
        <v>46009</v>
      </c>
      <c r="N13" s="4"/>
      <c r="O13" s="23">
        <v>46104</v>
      </c>
      <c r="P13" s="12"/>
      <c r="Q13" s="15">
        <v>46104</v>
      </c>
    </row>
    <row r="14" spans="2:17" s="3" customFormat="1" ht="19.5" customHeight="1" x14ac:dyDescent="0.15">
      <c r="B14" s="20">
        <v>3</v>
      </c>
      <c r="C14" s="4" t="s">
        <v>23</v>
      </c>
      <c r="D14" s="4" t="s">
        <v>23</v>
      </c>
      <c r="E14" s="10" t="s">
        <v>27</v>
      </c>
      <c r="F14" s="1">
        <v>1</v>
      </c>
      <c r="G14" s="17">
        <v>50000</v>
      </c>
      <c r="H14" s="18">
        <f>F14*G14</f>
        <v>50000</v>
      </c>
      <c r="I14" s="2"/>
      <c r="J14" s="10" t="s">
        <v>27</v>
      </c>
      <c r="K14" s="21" t="s">
        <v>30</v>
      </c>
      <c r="L14" s="22" t="s">
        <v>22</v>
      </c>
      <c r="M14" s="12">
        <v>46009</v>
      </c>
      <c r="N14" s="4"/>
      <c r="O14" s="23">
        <v>46104</v>
      </c>
      <c r="P14" s="12"/>
      <c r="Q14" s="15">
        <v>46104</v>
      </c>
    </row>
    <row r="15" spans="2:17" s="3" customFormat="1" ht="19.5" customHeight="1" x14ac:dyDescent="0.15">
      <c r="B15" s="20">
        <v>4</v>
      </c>
      <c r="C15" s="4" t="s">
        <v>23</v>
      </c>
      <c r="D15" s="4" t="s">
        <v>23</v>
      </c>
      <c r="E15" s="10" t="s">
        <v>35</v>
      </c>
      <c r="F15" s="1">
        <v>1</v>
      </c>
      <c r="G15" s="17"/>
      <c r="H15" s="18"/>
      <c r="I15" s="2"/>
      <c r="J15" s="10" t="s">
        <v>35</v>
      </c>
      <c r="K15" s="21"/>
      <c r="L15" s="1" t="s">
        <v>37</v>
      </c>
      <c r="M15" s="12"/>
      <c r="N15" s="4"/>
      <c r="O15" s="23"/>
      <c r="P15" s="12"/>
      <c r="Q15" s="15"/>
    </row>
    <row r="16" spans="2:17" s="3" customFormat="1" ht="19.5" customHeight="1" x14ac:dyDescent="0.15">
      <c r="B16" s="20">
        <v>5</v>
      </c>
      <c r="C16" s="4" t="s">
        <v>23</v>
      </c>
      <c r="D16" s="4" t="s">
        <v>23</v>
      </c>
      <c r="E16" s="10" t="s">
        <v>36</v>
      </c>
      <c r="F16" s="1">
        <v>1</v>
      </c>
      <c r="G16" s="17"/>
      <c r="H16" s="18"/>
      <c r="I16" s="2"/>
      <c r="J16" s="10" t="s">
        <v>36</v>
      </c>
      <c r="K16" s="19"/>
      <c r="L16" s="1" t="s">
        <v>37</v>
      </c>
      <c r="M16" s="12"/>
      <c r="N16" s="4"/>
      <c r="O16" s="23"/>
      <c r="P16" s="12"/>
      <c r="Q16" s="15"/>
    </row>
    <row r="17" spans="2:17" s="3" customFormat="1" ht="19.5" customHeight="1" x14ac:dyDescent="0.15">
      <c r="B17" s="20">
        <v>6</v>
      </c>
      <c r="C17" s="4" t="s">
        <v>23</v>
      </c>
      <c r="D17" s="4" t="s">
        <v>23</v>
      </c>
      <c r="E17" s="10" t="s">
        <v>26</v>
      </c>
      <c r="F17" s="1">
        <v>1</v>
      </c>
      <c r="G17" s="17">
        <v>25000</v>
      </c>
      <c r="H17" s="18">
        <f t="shared" si="0"/>
        <v>25000</v>
      </c>
      <c r="I17" s="2"/>
      <c r="J17" s="10" t="s">
        <v>26</v>
      </c>
      <c r="K17" s="21" t="s">
        <v>30</v>
      </c>
      <c r="L17" s="22" t="s">
        <v>22</v>
      </c>
      <c r="M17" s="12">
        <v>46009</v>
      </c>
      <c r="N17" s="4"/>
      <c r="O17" s="23">
        <v>46104</v>
      </c>
      <c r="P17" s="12"/>
      <c r="Q17" s="15">
        <v>46104</v>
      </c>
    </row>
    <row r="18" spans="2:17" s="3" customFormat="1" ht="19.5" customHeight="1" x14ac:dyDescent="0.15">
      <c r="B18" s="20"/>
      <c r="C18" s="4"/>
      <c r="D18" s="4"/>
      <c r="E18" s="4"/>
      <c r="F18" s="1"/>
      <c r="G18" s="16"/>
      <c r="H18" s="18"/>
      <c r="I18" s="2"/>
      <c r="J18" s="10"/>
      <c r="K18" s="1"/>
      <c r="L18" s="1"/>
      <c r="M18" s="12"/>
      <c r="N18" s="4"/>
      <c r="O18" s="1"/>
      <c r="P18" s="12"/>
      <c r="Q18" s="15"/>
    </row>
    <row r="19" spans="2:17" ht="19.5" customHeight="1" x14ac:dyDescent="0.15"/>
  </sheetData>
  <autoFilter ref="B8:O9" xr:uid="{5445119D-ED0C-46E2-9EF8-E1C0F6663E51}"/>
  <mergeCells count="7">
    <mergeCell ref="B9:B12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2026-03-23T04:22:12Z</dcterms:modified>
</cp:coreProperties>
</file>