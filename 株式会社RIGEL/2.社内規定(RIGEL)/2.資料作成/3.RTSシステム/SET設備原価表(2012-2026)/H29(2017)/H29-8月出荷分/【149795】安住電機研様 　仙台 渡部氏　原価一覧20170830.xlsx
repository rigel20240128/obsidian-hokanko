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-30" windowWidth="15960" windowHeight="8100" activeTab="1"/>
  </bookViews>
  <sheets>
    <sheet name="Z軸調整ﾀｲﾌﾟ、浸け置きｶｯﾌﾟ、捨て打ち有り" sheetId="10" r:id="rId1"/>
    <sheet name="Z軸調整ﾀｲﾌﾟ、浸け置きｶｯﾌﾟ、捨て打ち有り (new)" sheetId="11" r:id="rId2"/>
    <sheet name="Sheet2" sheetId="2" r:id="rId3"/>
    <sheet name="Sheet3" sheetId="3" r:id="rId4"/>
  </sheets>
  <definedNames>
    <definedName name="_xlnm._FilterDatabase" localSheetId="0" hidden="1">'Z軸調整ﾀｲﾌﾟ、浸け置きｶｯﾌﾟ、捨て打ち有り'!$B$8:$O$88</definedName>
    <definedName name="_xlnm._FilterDatabase" localSheetId="1" hidden="1">'Z軸調整ﾀｲﾌﾟ、浸け置きｶｯﾌﾟ、捨て打ち有り (new)'!$B$8:$O$86</definedName>
  </definedNames>
  <calcPr calcId="145621"/>
</workbook>
</file>

<file path=xl/calcChain.xml><?xml version="1.0" encoding="utf-8"?>
<calcChain xmlns="http://schemas.openxmlformats.org/spreadsheetml/2006/main">
  <c r="F58" i="11" l="1"/>
  <c r="H57" i="11"/>
  <c r="B57" i="11"/>
  <c r="H32" i="11" l="1"/>
  <c r="H43" i="11" l="1"/>
  <c r="H31" i="11" l="1"/>
  <c r="H62" i="11"/>
  <c r="H56" i="11"/>
  <c r="H55" i="11"/>
  <c r="H54" i="11"/>
  <c r="H53" i="11"/>
  <c r="H52" i="11"/>
  <c r="H51" i="11"/>
  <c r="H50" i="11"/>
  <c r="H49" i="11"/>
  <c r="H45" i="11"/>
  <c r="H44" i="11"/>
  <c r="H42" i="11"/>
  <c r="H41" i="11"/>
  <c r="H40" i="11"/>
  <c r="H39" i="11"/>
  <c r="H38" i="11"/>
  <c r="H37" i="11"/>
  <c r="H33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H11" i="11"/>
  <c r="H10" i="11"/>
  <c r="F46" i="11" l="1"/>
  <c r="B24" i="11"/>
  <c r="B25" i="11" s="1"/>
  <c r="B26" i="11" s="1"/>
  <c r="B27" i="11" s="1"/>
  <c r="B28" i="11" s="1"/>
  <c r="B29" i="11" s="1"/>
  <c r="B30" i="11" s="1"/>
  <c r="F34" i="11"/>
  <c r="J2" i="11"/>
  <c r="B35" i="10"/>
  <c r="B31" i="10"/>
  <c r="F32" i="10"/>
  <c r="H31" i="10"/>
  <c r="B31" i="11" l="1"/>
  <c r="B32" i="11" s="1"/>
  <c r="B33" i="11" s="1"/>
  <c r="B37" i="11" s="1"/>
  <c r="F60" i="10"/>
  <c r="F49" i="10"/>
  <c r="F38" i="10"/>
  <c r="H48" i="10"/>
  <c r="H59" i="10"/>
  <c r="H47" i="10"/>
  <c r="H46" i="10"/>
  <c r="H45" i="10"/>
  <c r="H44" i="10"/>
  <c r="H52" i="10"/>
  <c r="H23" i="10"/>
  <c r="B38" i="11" l="1"/>
  <c r="B39" i="11" s="1"/>
  <c r="B40" i="11" s="1"/>
  <c r="B41" i="11" s="1"/>
  <c r="B42" i="11" s="1"/>
  <c r="B43" i="11" s="1"/>
  <c r="B44" i="11" s="1"/>
  <c r="B45" i="11" s="1"/>
  <c r="B49" i="11" s="1"/>
  <c r="B50" i="11" s="1"/>
  <c r="B51" i="11" s="1"/>
  <c r="B52" i="11" s="1"/>
  <c r="B53" i="11" s="1"/>
  <c r="B54" i="11" s="1"/>
  <c r="B55" i="11" s="1"/>
  <c r="B56" i="11" s="1"/>
  <c r="H30" i="10"/>
  <c r="H29" i="10"/>
  <c r="H28" i="10"/>
  <c r="H27" i="10"/>
  <c r="H26" i="10"/>
  <c r="H25" i="10"/>
  <c r="H24" i="10"/>
  <c r="H22" i="10"/>
  <c r="B12" i="10"/>
  <c r="B13" i="10" s="1"/>
  <c r="B14" i="10" s="1"/>
  <c r="H13" i="10"/>
  <c r="H58" i="10" l="1"/>
  <c r="H57" i="10"/>
  <c r="H56" i="10"/>
  <c r="H55" i="10"/>
  <c r="H54" i="10"/>
  <c r="H53" i="10"/>
  <c r="H43" i="10" l="1"/>
  <c r="H42" i="10"/>
  <c r="H41" i="10"/>
  <c r="H37" i="10"/>
  <c r="H36" i="10"/>
  <c r="H35" i="10"/>
  <c r="H21" i="10"/>
  <c r="H20" i="10"/>
  <c r="H18" i="10" l="1"/>
  <c r="H19" i="10"/>
  <c r="H12" i="10" l="1"/>
  <c r="H64" i="10" l="1"/>
  <c r="H17" i="10"/>
  <c r="H16" i="10"/>
  <c r="H15" i="10"/>
  <c r="B15" i="10"/>
  <c r="B16" i="10" s="1"/>
  <c r="B17" i="10" s="1"/>
  <c r="B18" i="10" s="1"/>
  <c r="B19" i="10" s="1"/>
  <c r="B20" i="10" s="1"/>
  <c r="B21" i="10" s="1"/>
  <c r="H14" i="10"/>
  <c r="H11" i="10"/>
  <c r="H10" i="10"/>
  <c r="B22" i="10" l="1"/>
  <c r="B23" i="10" s="1"/>
  <c r="B24" i="10" s="1"/>
  <c r="B25" i="10" s="1"/>
  <c r="B26" i="10" s="1"/>
  <c r="B27" i="10" s="1"/>
  <c r="B28" i="10" s="1"/>
  <c r="B29" i="10" s="1"/>
  <c r="B30" i="10" s="1"/>
  <c r="B36" i="10" s="1"/>
  <c r="B37" i="10" s="1"/>
  <c r="B41" i="10" s="1"/>
  <c r="J2" i="10"/>
  <c r="B42" i="10" l="1"/>
  <c r="B43" i="10" s="1"/>
  <c r="B44" i="10" l="1"/>
  <c r="B45" i="10" s="1"/>
  <c r="B46" i="10" s="1"/>
  <c r="B47" i="10" s="1"/>
  <c r="B48" i="10" s="1"/>
  <c r="B52" i="10" s="1"/>
  <c r="B53" i="10" s="1"/>
  <c r="B54" i="10" s="1"/>
  <c r="B55" i="10" s="1"/>
  <c r="B56" i="10" s="1"/>
  <c r="B57" i="10" s="1"/>
  <c r="B58" i="10" s="1"/>
  <c r="B59" i="10" s="1"/>
</calcChain>
</file>

<file path=xl/sharedStrings.xml><?xml version="1.0" encoding="utf-8"?>
<sst xmlns="http://schemas.openxmlformats.org/spreadsheetml/2006/main" count="415" uniqueCount="150">
  <si>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</si>
  <si>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</si>
  <si>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</si>
  <si>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</si>
  <si>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</si>
  <si>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</si>
  <si>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</si>
  <si>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</si>
  <si>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</si>
  <si>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</si>
  <si>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</si>
  <si>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</si>
  <si>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</si>
  <si>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</si>
  <si>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</si>
  <si>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</si>
  <si>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</si>
  <si>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</si>
  <si>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</si>
  <si>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</si>
  <si>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</si>
  <si>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r>
      <t>SV51用バルブホルダ（P=25）</t>
    </r>
    <r>
      <rPr>
        <sz val="11"/>
        <color indexed="8"/>
        <rFont val="ＭＳ Ｐゴシック"/>
        <family val="3"/>
        <charset val="128"/>
      </rPr>
      <t/>
    </r>
    <rPh sb="4" eb="5">
      <t>ヨウ</t>
    </rPh>
    <phoneticPr fontId="2"/>
  </si>
  <si>
    <t>六角穴付きﾎﾞﾙﾄ　 (M5×10)</t>
    <phoneticPr fontId="2"/>
  </si>
  <si>
    <t>六角穴付きﾎﾞﾙﾄ　 (M4×35)</t>
    <phoneticPr fontId="2"/>
  </si>
  <si>
    <t>東北ﾏﾃﾘｱﾙ</t>
    <rPh sb="0" eb="2">
      <t>トウホク</t>
    </rPh>
    <phoneticPr fontId="2"/>
  </si>
  <si>
    <t>SCB4-10</t>
    <phoneticPr fontId="2"/>
  </si>
  <si>
    <t>六角穴付きﾎﾞﾙﾄ　 (M4×10)</t>
    <phoneticPr fontId="2"/>
  </si>
  <si>
    <t>SCB5-10</t>
    <phoneticPr fontId="2"/>
  </si>
  <si>
    <t>SCB4-35</t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</si>
  <si>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ホルダー先端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</si>
  <si>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ホルダー上部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3,450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</si>
  <si>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3,980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</si>
  <si>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20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</si>
  <si>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18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</si>
  <si>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15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</si>
  <si>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14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</si>
  <si>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用カップバルブホルダツールベース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22,670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45,340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</si>
  <si>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18,570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37,140</t>
    </r>
    <r>
      <rPr>
        <sz val="10"/>
        <color indexed="56"/>
        <rFont val="ＭＳ ゴシック"/>
        <family val="3"/>
        <charset val="128"/>
      </rPr>
      <t>円</t>
    </r>
    <phoneticPr fontId="2"/>
  </si>
  <si>
    <t>荷造り運賃保険料</t>
    <rPh sb="0" eb="2">
      <t>ニヅク</t>
    </rPh>
    <rPh sb="3" eb="5">
      <t>ウンチン</t>
    </rPh>
    <rPh sb="5" eb="7">
      <t>ホケン</t>
    </rPh>
    <rPh sb="7" eb="8">
      <t>リョウ</t>
    </rPh>
    <phoneticPr fontId="2"/>
  </si>
  <si>
    <t>設計、加工費</t>
    <rPh sb="0" eb="2">
      <t>セッケイ</t>
    </rPh>
    <rPh sb="3" eb="5">
      <t>カコウ</t>
    </rPh>
    <rPh sb="5" eb="6">
      <t>ヒ</t>
    </rPh>
    <phoneticPr fontId="2"/>
  </si>
  <si>
    <t>リニアボールX軸ステージ</t>
  </si>
  <si>
    <t>XSG40-CＲ</t>
    <phoneticPr fontId="2"/>
  </si>
  <si>
    <t>六角穴付きﾎﾞﾙﾄ　 (M4×12)</t>
    <phoneticPr fontId="2"/>
  </si>
  <si>
    <t>SCB4-12</t>
    <phoneticPr fontId="2"/>
  </si>
  <si>
    <t>詳細</t>
    <rPh sb="0" eb="2">
      <t>ショウサイ</t>
    </rPh>
    <phoneticPr fontId="2"/>
  </si>
  <si>
    <t>品名 / 型式</t>
    <rPh sb="0" eb="2">
      <t>ヒンメイ</t>
    </rPh>
    <rPh sb="5" eb="7">
      <t>カタシキ</t>
    </rPh>
    <phoneticPr fontId="2"/>
  </si>
  <si>
    <t>割り冶具　ﾊﾞﾙﾌﾞﾎﾙﾀﾞ（P=25）</t>
    <rPh sb="0" eb="1">
      <t>ワリ</t>
    </rPh>
    <rPh sb="2" eb="3">
      <t>ジ</t>
    </rPh>
    <rPh sb="3" eb="4">
      <t>グ</t>
    </rPh>
    <phoneticPr fontId="9"/>
  </si>
  <si>
    <t>ﾉｯｸﾋﾟﾝ　φ3mm</t>
    <phoneticPr fontId="2"/>
  </si>
  <si>
    <t>ﾉｯｸﾋﾟﾝ　φ2mm</t>
    <phoneticPr fontId="2"/>
  </si>
  <si>
    <t>ﾂｰﾙ冶具　Z軸調整付</t>
    <rPh sb="3" eb="4">
      <t>ジ</t>
    </rPh>
    <rPh sb="4" eb="5">
      <t>グ</t>
    </rPh>
    <rPh sb="7" eb="8">
      <t>ジク</t>
    </rPh>
    <rPh sb="8" eb="10">
      <t>チョウセイ</t>
    </rPh>
    <rPh sb="10" eb="11">
      <t>ツキ</t>
    </rPh>
    <phoneticPr fontId="9"/>
  </si>
  <si>
    <t>DBS4-10-8</t>
    <phoneticPr fontId="2"/>
  </si>
  <si>
    <t>段付ﾎﾞﾙﾄ</t>
    <phoneticPr fontId="2"/>
  </si>
  <si>
    <t xml:space="preserve">六角支柱 </t>
    <phoneticPr fontId="2"/>
  </si>
  <si>
    <t>M4ﾈｼﾞ×8</t>
    <phoneticPr fontId="2"/>
  </si>
  <si>
    <t>位置決めPIN</t>
    <rPh sb="0" eb="2">
      <t>イチ</t>
    </rPh>
    <rPh sb="2" eb="3">
      <t>ギ</t>
    </rPh>
    <phoneticPr fontId="9"/>
  </si>
  <si>
    <t>I/Oｹｰﾌﾞﾙ</t>
    <phoneticPr fontId="9"/>
  </si>
  <si>
    <t>@ECHN-20061106-00010</t>
    <phoneticPr fontId="2"/>
  </si>
  <si>
    <t>SCB4-8</t>
    <phoneticPr fontId="2"/>
  </si>
  <si>
    <t>SCB3-8</t>
    <phoneticPr fontId="2"/>
  </si>
  <si>
    <t>六角穴付きﾎﾞﾙﾄ　 (M3×8)</t>
    <phoneticPr fontId="2"/>
  </si>
  <si>
    <t>六角穴付きﾎﾞﾙﾄ　 (M3×10)</t>
    <phoneticPr fontId="9"/>
  </si>
  <si>
    <t>SCB3-10</t>
    <phoneticPr fontId="9"/>
  </si>
  <si>
    <t>MSC2-10</t>
    <phoneticPr fontId="2"/>
  </si>
  <si>
    <t>MS3-10</t>
    <phoneticPr fontId="2"/>
  </si>
  <si>
    <t>安住電機</t>
    <phoneticPr fontId="2"/>
  </si>
  <si>
    <t>SLSBWRK7-35</t>
    <phoneticPr fontId="2"/>
  </si>
  <si>
    <t>SLSBWRK7-80</t>
    <phoneticPr fontId="2"/>
  </si>
  <si>
    <t>129800-Z005</t>
    <phoneticPr fontId="2"/>
  </si>
  <si>
    <t>配電用背板</t>
    <rPh sb="0" eb="2">
      <t>ハイデン</t>
    </rPh>
    <phoneticPr fontId="2"/>
  </si>
  <si>
    <t>ミスミ</t>
    <phoneticPr fontId="2"/>
  </si>
  <si>
    <t>MWS-DS37A-HT37</t>
    <phoneticPr fontId="2"/>
  </si>
  <si>
    <t>37pin I/O端子台</t>
    <rPh sb="9" eb="12">
      <t>タンシダイ</t>
    </rPh>
    <phoneticPr fontId="2"/>
  </si>
  <si>
    <t>NEDJL-PS-SB-37-1.0</t>
    <phoneticPr fontId="2"/>
  </si>
  <si>
    <t>37pin オスメスケーブル</t>
    <phoneticPr fontId="2"/>
  </si>
  <si>
    <t>MRB-200</t>
    <phoneticPr fontId="2"/>
  </si>
  <si>
    <t>DINレール</t>
    <phoneticPr fontId="2"/>
  </si>
  <si>
    <t>MRB-290</t>
    <phoneticPr fontId="2"/>
  </si>
  <si>
    <t>MWI-COM-P10N10</t>
    <phoneticPr fontId="2"/>
  </si>
  <si>
    <t>コモン端子台</t>
    <rPh sb="3" eb="5">
      <t>タンシ</t>
    </rPh>
    <rPh sb="5" eb="6">
      <t>ダイ</t>
    </rPh>
    <phoneticPr fontId="2"/>
  </si>
  <si>
    <t>ﾉｽﾞﾙ位置合わせ浸け置き捨て打ち冶具　</t>
    <rPh sb="4" eb="6">
      <t>イチ</t>
    </rPh>
    <rPh sb="6" eb="7">
      <t>ア</t>
    </rPh>
    <rPh sb="9" eb="10">
      <t>ツ</t>
    </rPh>
    <rPh sb="11" eb="12">
      <t>オ</t>
    </rPh>
    <rPh sb="13" eb="14">
      <t>ス</t>
    </rPh>
    <rPh sb="15" eb="16">
      <t>ウ</t>
    </rPh>
    <rPh sb="17" eb="18">
      <t>ジ</t>
    </rPh>
    <rPh sb="18" eb="19">
      <t>グ</t>
    </rPh>
    <phoneticPr fontId="9"/>
  </si>
  <si>
    <t>ﾂｰﾙ取りけﾌﾞﾗｹｯﾄ(Ｚ軸調整）</t>
    <phoneticPr fontId="2"/>
  </si>
  <si>
    <t>変換ﾌﾞﾗｹｯﾄ(Ｚ軸調整）</t>
    <rPh sb="0" eb="2">
      <t>ヘンカン</t>
    </rPh>
    <phoneticPr fontId="9"/>
  </si>
  <si>
    <t>ﾂｰﾙﾌﾟﾚｰﾄ平行ガイド</t>
    <phoneticPr fontId="2"/>
  </si>
  <si>
    <t>浸け置き位置決めﾌﾞﾗｹｯﾄ</t>
    <phoneticPr fontId="2"/>
  </si>
  <si>
    <t>浸け置き位置決めﾍﾞｰｽﾌﾞﾗｹｯﾄ</t>
    <phoneticPr fontId="2"/>
  </si>
  <si>
    <t>131629-Z001</t>
    <phoneticPr fontId="9"/>
  </si>
  <si>
    <t>131629-Z002</t>
    <phoneticPr fontId="9"/>
  </si>
  <si>
    <t>131629-Z003</t>
    <phoneticPr fontId="9"/>
  </si>
  <si>
    <t>112945-Y005</t>
    <phoneticPr fontId="9"/>
  </si>
  <si>
    <t>131629-Y001　　</t>
    <phoneticPr fontId="2"/>
  </si>
  <si>
    <t>131629-Y002　　</t>
    <phoneticPr fontId="9"/>
  </si>
  <si>
    <t>131629-Y003　　</t>
    <phoneticPr fontId="9"/>
  </si>
  <si>
    <t>渡部　氏(齋藤 秀昭）</t>
    <rPh sb="0" eb="2">
      <t>ワタナベ</t>
    </rPh>
    <rPh sb="3" eb="4">
      <t>シ</t>
    </rPh>
    <rPh sb="5" eb="7">
      <t>サイトウ</t>
    </rPh>
    <rPh sb="8" eb="10">
      <t>ヒデアキ</t>
    </rPh>
    <phoneticPr fontId="2"/>
  </si>
  <si>
    <t>遠藤製作所</t>
    <rPh sb="0" eb="2">
      <t>エンドウ</t>
    </rPh>
    <rPh sb="2" eb="5">
      <t>セイサクショ</t>
    </rPh>
    <phoneticPr fontId="2"/>
  </si>
  <si>
    <t>129761-Y01</t>
    <phoneticPr fontId="2"/>
  </si>
  <si>
    <t>温調ブロック</t>
    <rPh sb="0" eb="2">
      <t>オンチョウ</t>
    </rPh>
    <phoneticPr fontId="2"/>
  </si>
  <si>
    <t>ミスミ</t>
    <phoneticPr fontId="2"/>
  </si>
  <si>
    <t>SLSBWRK7-20</t>
    <phoneticPr fontId="2"/>
  </si>
  <si>
    <t>六角支柱</t>
    <phoneticPr fontId="2"/>
  </si>
  <si>
    <t>MCHK3.1-31.8-V120-W25</t>
    <phoneticPr fontId="2"/>
  </si>
  <si>
    <t>ヒータ</t>
    <phoneticPr fontId="2"/>
  </si>
  <si>
    <t>ロボットケーブル</t>
    <phoneticPr fontId="2"/>
  </si>
  <si>
    <t>MFNC6</t>
    <phoneticPr fontId="2"/>
  </si>
  <si>
    <t>センサ</t>
    <phoneticPr fontId="2"/>
  </si>
  <si>
    <t>MTCS</t>
    <phoneticPr fontId="2"/>
  </si>
  <si>
    <t>温度調節コントローラ</t>
    <phoneticPr fontId="2"/>
  </si>
  <si>
    <t>3M-2</t>
    <phoneticPr fontId="2"/>
  </si>
  <si>
    <t>ACコード</t>
    <phoneticPr fontId="2"/>
  </si>
  <si>
    <t>MSSFS3-4</t>
    <phoneticPr fontId="2"/>
  </si>
  <si>
    <t>六角穴付止めねじ平先</t>
    <phoneticPr fontId="2"/>
  </si>
  <si>
    <t>MSSFS3-10</t>
    <phoneticPr fontId="2"/>
  </si>
  <si>
    <t>NA3UCRSB-20-2-3</t>
    <phoneticPr fontId="2"/>
  </si>
  <si>
    <t>ミスミ</t>
  </si>
  <si>
    <t>DJW10-5-5</t>
  </si>
  <si>
    <t>断熱ﾜｯｼｬｰ　耐熱用</t>
  </si>
  <si>
    <t>M4ﾈｼﾞ×10</t>
    <phoneticPr fontId="9"/>
  </si>
  <si>
    <t>SCB4-10</t>
    <phoneticPr fontId="2"/>
  </si>
  <si>
    <t>配電部分</t>
    <rPh sb="1" eb="2">
      <t>ハイデン</t>
    </rPh>
    <rPh sb="2" eb="4">
      <t>ブブン</t>
    </rPh>
    <phoneticPr fontId="9"/>
  </si>
  <si>
    <t>MDLN6M-2SS</t>
    <phoneticPr fontId="9"/>
  </si>
  <si>
    <t>ダブルフェルールタイプチューブ継手 おすエルボ MDLN</t>
    <phoneticPr fontId="9"/>
  </si>
  <si>
    <t>NO.149795</t>
    <phoneticPr fontId="9"/>
  </si>
  <si>
    <t>ﾜｯｼｬｰ　温調ｶｯﾌﾟ固定部分用</t>
    <rPh sb="6" eb="8">
      <t>オンチョウ</t>
    </rPh>
    <rPh sb="12" eb="14">
      <t>コテイ</t>
    </rPh>
    <rPh sb="14" eb="16">
      <t>ブブン</t>
    </rPh>
    <phoneticPr fontId="9"/>
  </si>
  <si>
    <t>SPWF4</t>
    <phoneticPr fontId="9"/>
  </si>
  <si>
    <t xml:space="preserve">SETG6-17-M4-N4 </t>
    <phoneticPr fontId="2"/>
  </si>
  <si>
    <t>変換ﾌﾞﾗｹｯﾄ(Ｚ軸調整）　改</t>
    <rPh sb="0" eb="2">
      <t>ヘンカン</t>
    </rPh>
    <rPh sb="15" eb="16">
      <t>カイ</t>
    </rPh>
    <phoneticPr fontId="9"/>
  </si>
  <si>
    <t>MCHK3.1-31.8-V120-W25</t>
    <phoneticPr fontId="2"/>
  </si>
  <si>
    <t>MFNC6</t>
    <phoneticPr fontId="2"/>
  </si>
  <si>
    <t>MTCS</t>
    <phoneticPr fontId="2"/>
  </si>
  <si>
    <t>3M-2</t>
    <phoneticPr fontId="2"/>
  </si>
  <si>
    <t>MSSFS4-10</t>
    <phoneticPr fontId="9"/>
  </si>
  <si>
    <t>MSSFS3-10</t>
    <phoneticPr fontId="2"/>
  </si>
  <si>
    <t>SPNFL-BRN-M4-12</t>
    <phoneticPr fontId="9"/>
  </si>
  <si>
    <t>ECO-BS 平頭ローレットビス</t>
    <phoneticPr fontId="9"/>
  </si>
  <si>
    <t>149795-Y002　　</t>
    <phoneticPr fontId="9"/>
  </si>
  <si>
    <t>149795-Y004</t>
    <phoneticPr fontId="2"/>
  </si>
  <si>
    <t>見積価格確認中</t>
    <rPh sb="0" eb="2">
      <t>ミツモリ</t>
    </rPh>
    <rPh sb="2" eb="4">
      <t>カカク</t>
    </rPh>
    <rPh sb="4" eb="6">
      <t>カクニン</t>
    </rPh>
    <rPh sb="6" eb="7">
      <t>チュウ</t>
    </rPh>
    <phoneticPr fontId="9"/>
  </si>
  <si>
    <t>149795-Z002</t>
    <phoneticPr fontId="9"/>
  </si>
  <si>
    <t>ｱｽﾞﾜﾝ</t>
    <phoneticPr fontId="2"/>
  </si>
  <si>
    <t>都機工</t>
    <rPh sb="0" eb="1">
      <t>ミヤコ</t>
    </rPh>
    <rPh sb="1" eb="3">
      <t>キコウ</t>
    </rPh>
    <phoneticPr fontId="2"/>
  </si>
  <si>
    <t>ミニカップ（アズワン）　No.60</t>
    <phoneticPr fontId="2"/>
  </si>
  <si>
    <r>
      <t>5-079-06　　No.60　　</t>
    </r>
    <r>
      <rPr>
        <b/>
        <sz val="11"/>
        <color rgb="FFFF0000"/>
        <rFont val="ＭＳ Ｐゴシック"/>
        <family val="3"/>
        <charset val="128"/>
      </rPr>
      <t>　在庫品使用</t>
    </r>
    <rPh sb="18" eb="20">
      <t>ザイコ</t>
    </rPh>
    <rPh sb="20" eb="21">
      <t>ヒン</t>
    </rPh>
    <rPh sb="21" eb="23">
      <t>シヨウ</t>
    </rPh>
    <phoneticPr fontId="2"/>
  </si>
  <si>
    <t>149795-Z003</t>
    <phoneticPr fontId="9"/>
  </si>
  <si>
    <t>安住電機㈱</t>
    <phoneticPr fontId="2"/>
  </si>
  <si>
    <t>渡部　氏　(齋藤 秀昭）</t>
    <rPh sb="0" eb="2">
      <t>ワタナベ</t>
    </rPh>
    <rPh sb="3" eb="4">
      <t>シ</t>
    </rPh>
    <rPh sb="6" eb="8">
      <t>サイトウ</t>
    </rPh>
    <rPh sb="9" eb="11">
      <t>ヒデアキ</t>
    </rPh>
    <phoneticPr fontId="2"/>
  </si>
  <si>
    <t>蛇の目</t>
    <rPh sb="0" eb="1">
      <t>ジャ</t>
    </rPh>
    <rPh sb="2" eb="3">
      <t>メ</t>
    </rPh>
    <phoneticPr fontId="9"/>
  </si>
  <si>
    <t>I/O-Sコネクタ</t>
    <phoneticPr fontId="9"/>
  </si>
  <si>
    <t>追加</t>
    <rPh sb="0" eb="2">
      <t>ツイカ</t>
    </rPh>
    <phoneticPr fontId="9"/>
  </si>
  <si>
    <t>8/30のﾁｬｰﾀｰ便と同梱</t>
    <rPh sb="10" eb="11">
      <t>ビン</t>
    </rPh>
    <rPh sb="12" eb="14">
      <t>ドウコン</t>
    </rPh>
    <phoneticPr fontId="9"/>
  </si>
  <si>
    <t>8/28⇒9/1</t>
    <phoneticPr fontId="9"/>
  </si>
  <si>
    <t>9・1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</si>
</sst>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  <numFmt numFmtId="181" formatCode="0_);[Red]\(0\)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3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/>
    </xf>
    <xf numFmtId="0" fontId="5" fillId="0" borderId="1" xfId="2" applyFill="1" applyBorder="1" applyAlignment="1">
      <alignment horizontal="center" vertical="center"/>
    </xf>
    <xf numFmtId="176" fontId="0" fillId="0" borderId="2" xfId="0" applyNumberFormat="1" applyFill="1" applyBorder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1" fillId="0" borderId="0" xfId="0" applyFont="1">
      <alignment vertical="center"/>
    </xf>
    <xf numFmtId="0" fontId="5" fillId="0" borderId="1" xfId="2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Fill="1" applyBorder="1" applyAlignment="1"/>
    <xf numFmtId="176" fontId="0" fillId="0" borderId="1" xfId="0" applyNumberFormat="1" applyFon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/>
    <xf numFmtId="0" fontId="12" fillId="0" borderId="1" xfId="0" applyFont="1" applyFill="1" applyBorder="1" applyAlignment="1">
      <alignment horizontal="left" vertical="center" shrinkToFit="1"/>
    </xf>
    <xf numFmtId="176" fontId="0" fillId="0" borderId="1" xfId="0" applyNumberForma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 shrinkToFit="1"/>
    </xf>
    <xf numFmtId="49" fontId="0" fillId="0" borderId="1" xfId="0" applyNumberFormat="1" applyFill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176" fontId="0" fillId="0" borderId="5" xfId="0" applyNumberFormat="1" applyFont="1" applyFill="1" applyBorder="1" applyAlignment="1"/>
    <xf numFmtId="0" fontId="17" fillId="0" borderId="5" xfId="0" applyFont="1" applyFill="1" applyBorder="1" applyAlignment="1">
      <alignment horizontal="left" vertical="center"/>
    </xf>
    <xf numFmtId="0" fontId="18" fillId="0" borderId="5" xfId="0" applyFont="1" applyFill="1" applyBorder="1">
      <alignment vertical="center"/>
    </xf>
    <xf numFmtId="49" fontId="1" fillId="0" borderId="1" xfId="0" applyNumberFormat="1" applyFont="1" applyBorder="1">
      <alignment vertical="center"/>
    </xf>
    <xf numFmtId="181" fontId="5" fillId="0" borderId="1" xfId="2" applyNumberForma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38" fontId="1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56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>
      <alignment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21" fillId="6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center"/>
    </xf>
    <xf numFmtId="0" fontId="5" fillId="7" borderId="1" xfId="2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56" fontId="22" fillId="0" borderId="0" xfId="0" applyNumberFormat="1" applyFont="1" applyFill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19" fillId="0" borderId="2" xfId="0" applyNumberFormat="1" applyFont="1" applyFill="1" applyBorder="1" applyAlignment="1">
      <alignment horizontal="center" vertical="center"/>
    </xf>
    <xf numFmtId="176" fontId="19" fillId="0" borderId="3" xfId="0" applyNumberFormat="1" applyFont="1" applyFill="1" applyBorder="1" applyAlignment="1">
      <alignment horizontal="center" vertical="center"/>
    </xf>
    <xf numFmtId="176" fontId="19" fillId="0" borderId="4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134"/>
  <sheetViews>
    <sheetView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F23" sqref="F23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</cols>
  <sheetData>
    <row r="2" spans="2:17" ht="20.100000000000001" customHeight="1" x14ac:dyDescent="0.15">
      <c r="B2" s="131" t="s">
        <v>9</v>
      </c>
      <c r="C2" s="131"/>
      <c r="D2" s="131"/>
      <c r="E2" s="25" t="s">
        <v>64</v>
      </c>
      <c r="G2" s="132" t="s">
        <v>13</v>
      </c>
      <c r="H2" s="133"/>
      <c r="I2" s="134"/>
      <c r="J2" s="14">
        <f>SUM(H$1:H$65573)</f>
        <v>162329</v>
      </c>
      <c r="K2" s="6"/>
      <c r="L2" s="10"/>
    </row>
    <row r="3" spans="2:17" ht="20.100000000000001" customHeight="1" x14ac:dyDescent="0.15">
      <c r="B3" s="131" t="s">
        <v>8</v>
      </c>
      <c r="C3" s="131"/>
      <c r="D3" s="131"/>
      <c r="E3" s="12" t="s">
        <v>92</v>
      </c>
    </row>
    <row r="4" spans="2:17" ht="20.100000000000001" customHeight="1" x14ac:dyDescent="0.15">
      <c r="B4" s="131" t="s">
        <v>10</v>
      </c>
      <c r="C4" s="131"/>
      <c r="D4" s="131"/>
      <c r="E4" s="12" t="s">
        <v>120</v>
      </c>
    </row>
    <row r="5" spans="2:17" ht="20.100000000000001" customHeight="1" x14ac:dyDescent="0.15">
      <c r="B5" s="131" t="s">
        <v>11</v>
      </c>
      <c r="C5" s="131"/>
      <c r="D5" s="131"/>
      <c r="E5" s="13">
        <v>42975</v>
      </c>
    </row>
    <row r="6" spans="2:17" ht="20.100000000000001" customHeight="1" x14ac:dyDescent="0.15">
      <c r="B6" s="131" t="s">
        <v>12</v>
      </c>
      <c r="C6" s="131"/>
      <c r="D6" s="131"/>
      <c r="E6" s="13">
        <v>42977</v>
      </c>
    </row>
    <row r="8" spans="2:17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45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44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7" s="3" customFormat="1" ht="19.5" customHeight="1" x14ac:dyDescent="0.15">
      <c r="B9" s="4"/>
      <c r="C9" s="128" t="s">
        <v>49</v>
      </c>
      <c r="D9" s="129"/>
      <c r="E9" s="130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7" s="3" customFormat="1" ht="19.5" customHeight="1" x14ac:dyDescent="0.15">
      <c r="B10" s="4">
        <v>1</v>
      </c>
      <c r="C10" s="56" t="s">
        <v>24</v>
      </c>
      <c r="D10" s="56" t="s">
        <v>24</v>
      </c>
      <c r="E10" s="72" t="s">
        <v>89</v>
      </c>
      <c r="F10" s="1">
        <v>1</v>
      </c>
      <c r="G10" s="47">
        <v>9000</v>
      </c>
      <c r="H10" s="47">
        <f t="shared" ref="H10:H17" si="0">F10*G10</f>
        <v>9000</v>
      </c>
      <c r="I10" s="70"/>
      <c r="J10" s="32" t="s">
        <v>80</v>
      </c>
      <c r="K10" s="1"/>
      <c r="L10" s="1"/>
      <c r="M10" s="30"/>
      <c r="N10" s="4"/>
      <c r="O10" s="35"/>
      <c r="P10" s="30"/>
      <c r="Q10" s="21"/>
    </row>
    <row r="11" spans="2:17" s="3" customFormat="1" ht="19.5" customHeight="1" x14ac:dyDescent="0.15">
      <c r="B11" s="4">
        <v>2</v>
      </c>
      <c r="C11" s="56" t="s">
        <v>24</v>
      </c>
      <c r="D11" s="56" t="s">
        <v>24</v>
      </c>
      <c r="E11" s="72" t="s">
        <v>90</v>
      </c>
      <c r="F11" s="1">
        <v>1</v>
      </c>
      <c r="G11" s="47">
        <v>6600</v>
      </c>
      <c r="H11" s="47">
        <f t="shared" si="0"/>
        <v>6600</v>
      </c>
      <c r="I11" s="73"/>
      <c r="J11" s="32" t="s">
        <v>81</v>
      </c>
      <c r="K11" s="1"/>
      <c r="L11" s="1"/>
      <c r="M11" s="30"/>
      <c r="N11" s="4"/>
      <c r="O11" s="35"/>
      <c r="P11" s="30"/>
      <c r="Q11" s="21"/>
    </row>
    <row r="12" spans="2:17" s="3" customFormat="1" ht="19.5" customHeight="1" x14ac:dyDescent="0.15">
      <c r="B12" s="4">
        <f>+B11+1</f>
        <v>3</v>
      </c>
      <c r="C12" s="64" t="s">
        <v>24</v>
      </c>
      <c r="D12" s="64" t="s">
        <v>24</v>
      </c>
      <c r="E12" s="72" t="s">
        <v>91</v>
      </c>
      <c r="F12" s="49">
        <v>1</v>
      </c>
      <c r="G12" s="101">
        <v>3000</v>
      </c>
      <c r="H12" s="47">
        <f t="shared" si="0"/>
        <v>3000</v>
      </c>
      <c r="I12" s="73"/>
      <c r="J12" s="75" t="s">
        <v>82</v>
      </c>
      <c r="K12" s="1"/>
      <c r="L12" s="1"/>
      <c r="M12" s="30"/>
      <c r="N12" s="4"/>
      <c r="O12" s="35"/>
      <c r="P12" s="30"/>
      <c r="Q12" s="21"/>
    </row>
    <row r="13" spans="2:17" s="3" customFormat="1" ht="19.5" customHeight="1" x14ac:dyDescent="0.15">
      <c r="B13" s="4">
        <f>+B12+1</f>
        <v>4</v>
      </c>
      <c r="C13" s="4" t="s">
        <v>93</v>
      </c>
      <c r="D13" s="4" t="s">
        <v>93</v>
      </c>
      <c r="E13" s="90" t="s">
        <v>94</v>
      </c>
      <c r="F13" s="1">
        <v>1</v>
      </c>
      <c r="G13" s="104">
        <v>19800</v>
      </c>
      <c r="H13" s="104">
        <f t="shared" si="0"/>
        <v>19800</v>
      </c>
      <c r="I13" s="2"/>
      <c r="J13" s="24" t="s">
        <v>95</v>
      </c>
      <c r="K13" s="1"/>
      <c r="L13" s="1"/>
      <c r="M13" s="30"/>
      <c r="N13" s="4"/>
      <c r="O13" s="35"/>
      <c r="P13" s="30"/>
      <c r="Q13" s="21"/>
    </row>
    <row r="14" spans="2:17" s="3" customFormat="1" ht="19.5" customHeight="1" x14ac:dyDescent="0.15">
      <c r="B14" s="4">
        <f>+B13+1</f>
        <v>5</v>
      </c>
      <c r="C14" s="4" t="s">
        <v>20</v>
      </c>
      <c r="D14" s="4" t="s">
        <v>20</v>
      </c>
      <c r="E14" s="54" t="s">
        <v>62</v>
      </c>
      <c r="F14" s="1">
        <v>5</v>
      </c>
      <c r="G14" s="47">
        <v>120</v>
      </c>
      <c r="H14" s="47">
        <f t="shared" si="0"/>
        <v>600</v>
      </c>
      <c r="I14" s="9"/>
      <c r="J14" s="54" t="s">
        <v>48</v>
      </c>
      <c r="K14" s="1"/>
      <c r="L14" s="1"/>
      <c r="M14" s="30"/>
      <c r="N14" s="4"/>
      <c r="O14" s="35"/>
      <c r="P14" s="30"/>
      <c r="Q14" s="21"/>
    </row>
    <row r="15" spans="2:17" s="3" customFormat="1" ht="19.5" customHeight="1" x14ac:dyDescent="0.15">
      <c r="B15" s="4">
        <f t="shared" ref="B15:B48" si="1">+B14+1</f>
        <v>6</v>
      </c>
      <c r="C15" s="4" t="s">
        <v>20</v>
      </c>
      <c r="D15" s="4" t="s">
        <v>20</v>
      </c>
      <c r="E15" s="54" t="s">
        <v>63</v>
      </c>
      <c r="F15" s="1">
        <v>34</v>
      </c>
      <c r="G15" s="47">
        <v>19</v>
      </c>
      <c r="H15" s="47">
        <f t="shared" si="0"/>
        <v>646</v>
      </c>
      <c r="I15" s="9"/>
      <c r="J15" s="54" t="s">
        <v>47</v>
      </c>
      <c r="K15" s="1"/>
      <c r="L15" s="1"/>
      <c r="M15" s="30"/>
      <c r="N15" s="4"/>
      <c r="O15" s="35"/>
      <c r="P15" s="30"/>
      <c r="Q15" s="21"/>
    </row>
    <row r="16" spans="2:17" s="3" customFormat="1" ht="19.5" customHeight="1" x14ac:dyDescent="0.15">
      <c r="B16" s="4">
        <f t="shared" si="1"/>
        <v>7</v>
      </c>
      <c r="C16" s="4" t="s">
        <v>20</v>
      </c>
      <c r="D16" s="4" t="s">
        <v>20</v>
      </c>
      <c r="E16" s="33" t="s">
        <v>58</v>
      </c>
      <c r="F16" s="38">
        <v>10</v>
      </c>
      <c r="G16" s="47">
        <v>25</v>
      </c>
      <c r="H16" s="47">
        <f t="shared" si="0"/>
        <v>250</v>
      </c>
      <c r="I16" s="9"/>
      <c r="J16" s="54" t="s">
        <v>59</v>
      </c>
      <c r="K16" s="1"/>
      <c r="L16" s="1"/>
      <c r="M16" s="30"/>
      <c r="N16" s="4"/>
      <c r="O16" s="35"/>
      <c r="P16" s="30"/>
      <c r="Q16" s="21"/>
    </row>
    <row r="17" spans="2:17" s="3" customFormat="1" ht="19.5" customHeight="1" x14ac:dyDescent="0.15">
      <c r="B17" s="4">
        <f t="shared" si="1"/>
        <v>8</v>
      </c>
      <c r="C17" s="4" t="s">
        <v>20</v>
      </c>
      <c r="D17" s="4" t="s">
        <v>20</v>
      </c>
      <c r="E17" s="33" t="s">
        <v>61</v>
      </c>
      <c r="F17" s="38">
        <v>10</v>
      </c>
      <c r="G17" s="47">
        <v>25</v>
      </c>
      <c r="H17" s="47">
        <f t="shared" si="0"/>
        <v>250</v>
      </c>
      <c r="I17" s="9"/>
      <c r="J17" s="54" t="s">
        <v>60</v>
      </c>
      <c r="K17" s="1"/>
      <c r="L17" s="1"/>
      <c r="M17" s="30"/>
      <c r="N17" s="4"/>
      <c r="O17" s="35"/>
      <c r="P17" s="30"/>
      <c r="Q17" s="21"/>
    </row>
    <row r="18" spans="2:17" s="3" customFormat="1" ht="19.5" customHeight="1" x14ac:dyDescent="0.15">
      <c r="B18" s="4">
        <f t="shared" si="1"/>
        <v>9</v>
      </c>
      <c r="C18" s="4" t="s">
        <v>20</v>
      </c>
      <c r="D18" s="4" t="s">
        <v>20</v>
      </c>
      <c r="E18" s="33" t="s">
        <v>25</v>
      </c>
      <c r="F18" s="38">
        <v>10</v>
      </c>
      <c r="G18" s="47">
        <v>25</v>
      </c>
      <c r="H18" s="47">
        <f t="shared" ref="H18:H19" si="2">F18*G18</f>
        <v>250</v>
      </c>
      <c r="I18" s="9"/>
      <c r="J18" s="54" t="s">
        <v>26</v>
      </c>
      <c r="K18" s="1"/>
      <c r="L18" s="1"/>
      <c r="M18" s="30"/>
      <c r="N18" s="4"/>
      <c r="O18" s="35"/>
      <c r="P18" s="30"/>
      <c r="Q18" s="21"/>
    </row>
    <row r="19" spans="2:17" s="3" customFormat="1" ht="19.5" customHeight="1" x14ac:dyDescent="0.15">
      <c r="B19" s="4">
        <f t="shared" si="1"/>
        <v>10</v>
      </c>
      <c r="C19" s="4" t="s">
        <v>20</v>
      </c>
      <c r="D19" s="4" t="s">
        <v>20</v>
      </c>
      <c r="E19" s="33" t="s">
        <v>43</v>
      </c>
      <c r="F19" s="38">
        <v>2</v>
      </c>
      <c r="G19" s="47">
        <v>80</v>
      </c>
      <c r="H19" s="47">
        <f t="shared" si="2"/>
        <v>160</v>
      </c>
      <c r="I19" s="9"/>
      <c r="J19" s="54" t="s">
        <v>42</v>
      </c>
      <c r="K19" s="1"/>
      <c r="L19" s="1"/>
      <c r="M19" s="30"/>
      <c r="N19" s="4"/>
      <c r="O19" s="35"/>
      <c r="P19" s="30"/>
      <c r="Q19" s="21"/>
    </row>
    <row r="20" spans="2:17" s="3" customFormat="1" ht="19.5" customHeight="1" x14ac:dyDescent="0.15">
      <c r="B20" s="4">
        <f t="shared" si="1"/>
        <v>11</v>
      </c>
      <c r="C20" s="4" t="s">
        <v>20</v>
      </c>
      <c r="D20" s="4" t="s">
        <v>20</v>
      </c>
      <c r="E20" s="51" t="s">
        <v>27</v>
      </c>
      <c r="F20" s="52">
        <v>2</v>
      </c>
      <c r="G20" s="47">
        <v>75</v>
      </c>
      <c r="H20" s="47">
        <f t="shared" ref="H20" si="3">F20*G20</f>
        <v>150</v>
      </c>
      <c r="I20" s="9"/>
      <c r="J20" s="54" t="s">
        <v>22</v>
      </c>
      <c r="K20" s="1"/>
      <c r="L20" s="1"/>
      <c r="M20" s="30"/>
      <c r="N20" s="4"/>
      <c r="O20" s="35"/>
      <c r="P20" s="30"/>
      <c r="Q20" s="21"/>
    </row>
    <row r="21" spans="2:17" s="3" customFormat="1" ht="19.5" customHeight="1" x14ac:dyDescent="0.15">
      <c r="B21" s="4">
        <f t="shared" si="1"/>
        <v>12</v>
      </c>
      <c r="C21" s="4" t="s">
        <v>20</v>
      </c>
      <c r="D21" s="4" t="s">
        <v>20</v>
      </c>
      <c r="E21" s="53" t="s">
        <v>41</v>
      </c>
      <c r="F21" s="1">
        <v>1</v>
      </c>
      <c r="G21" s="47">
        <v>16000</v>
      </c>
      <c r="H21" s="47">
        <f>F21*G21</f>
        <v>16000</v>
      </c>
      <c r="I21" s="9"/>
      <c r="J21" s="24" t="s">
        <v>40</v>
      </c>
      <c r="K21" s="1"/>
      <c r="L21" s="1"/>
      <c r="M21" s="30"/>
      <c r="N21" s="4"/>
      <c r="O21" s="35"/>
      <c r="P21" s="30"/>
      <c r="Q21" s="21"/>
    </row>
    <row r="22" spans="2:17" s="3" customFormat="1" ht="19.5" customHeight="1" x14ac:dyDescent="0.15">
      <c r="B22" s="4">
        <f t="shared" si="1"/>
        <v>13</v>
      </c>
      <c r="C22" s="4" t="s">
        <v>96</v>
      </c>
      <c r="D22" s="4" t="s">
        <v>96</v>
      </c>
      <c r="E22" s="100" t="s">
        <v>97</v>
      </c>
      <c r="F22" s="1">
        <v>4</v>
      </c>
      <c r="G22" s="103">
        <v>229</v>
      </c>
      <c r="H22" s="104">
        <f t="shared" ref="H22:H28" si="4">F22*G22</f>
        <v>916</v>
      </c>
      <c r="I22" s="2"/>
      <c r="J22" s="92" t="s">
        <v>98</v>
      </c>
      <c r="K22" s="1"/>
      <c r="L22" s="1"/>
      <c r="M22" s="30"/>
      <c r="N22" s="4"/>
      <c r="O22" s="35"/>
      <c r="P22" s="30"/>
      <c r="Q22" s="21"/>
    </row>
    <row r="23" spans="2:17" s="3" customFormat="1" ht="19.5" customHeight="1" x14ac:dyDescent="0.15">
      <c r="B23" s="4">
        <f t="shared" si="1"/>
        <v>14</v>
      </c>
      <c r="C23" s="94" t="s">
        <v>112</v>
      </c>
      <c r="D23" s="94" t="s">
        <v>112</v>
      </c>
      <c r="E23" s="99" t="s">
        <v>113</v>
      </c>
      <c r="F23" s="95">
        <v>4</v>
      </c>
      <c r="G23" s="95">
        <v>490</v>
      </c>
      <c r="H23" s="96">
        <f t="shared" si="4"/>
        <v>1960</v>
      </c>
      <c r="I23" s="97"/>
      <c r="J23" s="98" t="s">
        <v>114</v>
      </c>
      <c r="K23" s="1"/>
      <c r="L23" s="1"/>
      <c r="M23" s="30"/>
      <c r="N23" s="4"/>
      <c r="O23" s="35"/>
      <c r="P23" s="30"/>
      <c r="Q23" s="21"/>
    </row>
    <row r="24" spans="2:17" s="3" customFormat="1" ht="19.5" customHeight="1" x14ac:dyDescent="0.15">
      <c r="B24" s="4">
        <f t="shared" si="1"/>
        <v>15</v>
      </c>
      <c r="C24" s="4" t="s">
        <v>96</v>
      </c>
      <c r="D24" s="4" t="s">
        <v>96</v>
      </c>
      <c r="E24" s="100" t="s">
        <v>99</v>
      </c>
      <c r="F24" s="1">
        <v>1</v>
      </c>
      <c r="G24" s="103">
        <v>5909</v>
      </c>
      <c r="H24" s="104">
        <f t="shared" si="4"/>
        <v>5909</v>
      </c>
      <c r="I24" s="2"/>
      <c r="J24" s="92" t="s">
        <v>100</v>
      </c>
      <c r="K24" s="1"/>
      <c r="L24" s="1"/>
      <c r="M24" s="30"/>
      <c r="N24" s="4"/>
      <c r="O24" s="35"/>
      <c r="P24" s="30"/>
      <c r="Q24" s="21"/>
    </row>
    <row r="25" spans="2:17" s="3" customFormat="1" ht="19.5" customHeight="1" x14ac:dyDescent="0.15">
      <c r="B25" s="4">
        <f t="shared" si="1"/>
        <v>16</v>
      </c>
      <c r="C25" s="4" t="s">
        <v>96</v>
      </c>
      <c r="D25" s="4" t="s">
        <v>96</v>
      </c>
      <c r="E25" s="90" t="s">
        <v>111</v>
      </c>
      <c r="F25" s="1">
        <v>1</v>
      </c>
      <c r="G25" s="104">
        <v>1725</v>
      </c>
      <c r="H25" s="104">
        <f>F25*G25</f>
        <v>1725</v>
      </c>
      <c r="I25" s="2"/>
      <c r="J25" s="92" t="s">
        <v>101</v>
      </c>
      <c r="K25" s="1"/>
      <c r="L25" s="1"/>
      <c r="M25" s="30"/>
      <c r="N25" s="4"/>
      <c r="O25" s="35"/>
      <c r="P25" s="30"/>
      <c r="Q25" s="21"/>
    </row>
    <row r="26" spans="2:17" s="3" customFormat="1" ht="19.5" customHeight="1" x14ac:dyDescent="0.15">
      <c r="B26" s="4">
        <f t="shared" si="1"/>
        <v>17</v>
      </c>
      <c r="C26" s="4" t="s">
        <v>96</v>
      </c>
      <c r="D26" s="4" t="s">
        <v>96</v>
      </c>
      <c r="E26" s="91" t="s">
        <v>102</v>
      </c>
      <c r="F26" s="1">
        <v>1</v>
      </c>
      <c r="G26" s="103">
        <v>3610</v>
      </c>
      <c r="H26" s="104">
        <f t="shared" si="4"/>
        <v>3610</v>
      </c>
      <c r="I26" s="2"/>
      <c r="J26" s="92" t="s">
        <v>103</v>
      </c>
      <c r="K26" s="1"/>
      <c r="L26" s="1"/>
      <c r="M26" s="30"/>
      <c r="N26" s="4"/>
      <c r="O26" s="35"/>
      <c r="P26" s="30"/>
      <c r="Q26" s="21"/>
    </row>
    <row r="27" spans="2:17" s="3" customFormat="1" ht="19.5" customHeight="1" x14ac:dyDescent="0.15">
      <c r="B27" s="4">
        <f t="shared" si="1"/>
        <v>18</v>
      </c>
      <c r="C27" s="4" t="s">
        <v>96</v>
      </c>
      <c r="D27" s="4" t="s">
        <v>96</v>
      </c>
      <c r="E27" s="91" t="s">
        <v>104</v>
      </c>
      <c r="F27" s="1">
        <v>1</v>
      </c>
      <c r="G27" s="103">
        <v>32000</v>
      </c>
      <c r="H27" s="104">
        <f t="shared" si="4"/>
        <v>32000</v>
      </c>
      <c r="I27" s="2"/>
      <c r="J27" s="92" t="s">
        <v>105</v>
      </c>
      <c r="K27" s="1"/>
      <c r="L27" s="1"/>
      <c r="M27" s="30"/>
      <c r="N27" s="4"/>
      <c r="O27" s="35"/>
      <c r="P27" s="30"/>
      <c r="Q27" s="21"/>
    </row>
    <row r="28" spans="2:17" s="3" customFormat="1" ht="19.5" customHeight="1" x14ac:dyDescent="0.15">
      <c r="B28" s="4">
        <f t="shared" si="1"/>
        <v>19</v>
      </c>
      <c r="C28" s="4" t="s">
        <v>96</v>
      </c>
      <c r="D28" s="4" t="s">
        <v>96</v>
      </c>
      <c r="E28" s="91" t="s">
        <v>106</v>
      </c>
      <c r="F28" s="1">
        <v>1</v>
      </c>
      <c r="G28" s="103">
        <v>333</v>
      </c>
      <c r="H28" s="104">
        <f t="shared" si="4"/>
        <v>333</v>
      </c>
      <c r="I28" s="2"/>
      <c r="J28" s="92" t="s">
        <v>107</v>
      </c>
      <c r="K28" s="1"/>
      <c r="L28" s="1"/>
      <c r="M28" s="30"/>
      <c r="N28" s="4"/>
      <c r="O28" s="35"/>
      <c r="P28" s="30"/>
      <c r="Q28" s="21"/>
    </row>
    <row r="29" spans="2:17" s="3" customFormat="1" ht="19.5" customHeight="1" x14ac:dyDescent="0.15">
      <c r="B29" s="4">
        <f t="shared" si="1"/>
        <v>20</v>
      </c>
      <c r="C29" s="4" t="s">
        <v>96</v>
      </c>
      <c r="D29" s="4" t="s">
        <v>96</v>
      </c>
      <c r="E29" s="90" t="s">
        <v>108</v>
      </c>
      <c r="F29" s="1">
        <v>1</v>
      </c>
      <c r="G29" s="104">
        <v>26</v>
      </c>
      <c r="H29" s="104">
        <f>F29*G29</f>
        <v>26</v>
      </c>
      <c r="I29" s="2"/>
      <c r="J29" s="93" t="s">
        <v>109</v>
      </c>
      <c r="K29" s="1"/>
      <c r="L29" s="1"/>
      <c r="M29" s="30"/>
      <c r="N29" s="4"/>
      <c r="O29" s="35"/>
      <c r="P29" s="30"/>
      <c r="Q29" s="21"/>
    </row>
    <row r="30" spans="2:17" s="3" customFormat="1" ht="19.5" customHeight="1" x14ac:dyDescent="0.15">
      <c r="B30" s="4">
        <f t="shared" si="1"/>
        <v>21</v>
      </c>
      <c r="C30" s="4" t="s">
        <v>96</v>
      </c>
      <c r="D30" s="4" t="s">
        <v>96</v>
      </c>
      <c r="E30" s="90" t="s">
        <v>110</v>
      </c>
      <c r="F30" s="1">
        <v>2</v>
      </c>
      <c r="G30" s="104">
        <v>26</v>
      </c>
      <c r="H30" s="104">
        <f>F30*G30</f>
        <v>52</v>
      </c>
      <c r="I30" s="2"/>
      <c r="J30" s="93" t="s">
        <v>109</v>
      </c>
      <c r="K30" s="1"/>
      <c r="L30" s="1"/>
      <c r="M30" s="30"/>
      <c r="N30" s="4"/>
      <c r="O30" s="35"/>
      <c r="P30" s="30"/>
      <c r="Q30" s="21"/>
    </row>
    <row r="31" spans="2:17" s="113" customFormat="1" ht="19.5" customHeight="1" x14ac:dyDescent="0.15">
      <c r="B31" s="4">
        <f t="shared" si="1"/>
        <v>22</v>
      </c>
      <c r="C31" s="4" t="s">
        <v>20</v>
      </c>
      <c r="D31" s="4" t="s">
        <v>20</v>
      </c>
      <c r="E31" s="106" t="s">
        <v>118</v>
      </c>
      <c r="F31" s="107">
        <v>1</v>
      </c>
      <c r="G31" s="114">
        <v>1789</v>
      </c>
      <c r="H31" s="114">
        <f>F31*G31</f>
        <v>1789</v>
      </c>
      <c r="I31" s="107"/>
      <c r="J31" s="108" t="s">
        <v>119</v>
      </c>
      <c r="K31" s="109"/>
      <c r="L31" s="109"/>
      <c r="M31" s="110"/>
      <c r="N31" s="105"/>
      <c r="O31" s="111"/>
      <c r="P31" s="110"/>
      <c r="Q31" s="112"/>
    </row>
    <row r="32" spans="2:17" s="3" customFormat="1" ht="19.5" customHeight="1" x14ac:dyDescent="0.15">
      <c r="B32" s="4"/>
      <c r="C32" s="4"/>
      <c r="D32" s="4"/>
      <c r="E32" s="51"/>
      <c r="F32" s="135">
        <f>SUM(H10:H30)</f>
        <v>103237</v>
      </c>
      <c r="G32" s="136"/>
      <c r="H32" s="137"/>
      <c r="I32" s="9"/>
      <c r="J32" s="54"/>
      <c r="K32" s="1"/>
      <c r="L32" s="1"/>
      <c r="M32" s="30"/>
      <c r="N32" s="4"/>
      <c r="O32" s="35"/>
      <c r="P32" s="30"/>
      <c r="Q32" s="21"/>
    </row>
    <row r="33" spans="2:17" s="3" customFormat="1" ht="19.5" customHeight="1" x14ac:dyDescent="0.15">
      <c r="B33" s="4"/>
      <c r="C33" s="4"/>
      <c r="D33" s="4"/>
      <c r="E33" s="51"/>
      <c r="F33" s="102"/>
      <c r="G33" s="102"/>
      <c r="H33" s="102"/>
      <c r="I33" s="9"/>
      <c r="J33" s="54"/>
      <c r="K33" s="1"/>
      <c r="L33" s="1"/>
      <c r="M33" s="30"/>
      <c r="N33" s="4"/>
      <c r="O33" s="35"/>
      <c r="P33" s="30"/>
      <c r="Q33" s="21"/>
    </row>
    <row r="34" spans="2:17" s="3" customFormat="1" ht="19.5" customHeight="1" x14ac:dyDescent="0.15">
      <c r="B34" s="4"/>
      <c r="C34" s="128" t="s">
        <v>46</v>
      </c>
      <c r="D34" s="129"/>
      <c r="E34" s="130"/>
      <c r="F34" s="38"/>
      <c r="G34" s="47"/>
      <c r="H34" s="47"/>
      <c r="I34" s="9"/>
      <c r="J34" s="54"/>
      <c r="K34" s="1"/>
      <c r="L34" s="1"/>
      <c r="M34" s="30"/>
      <c r="N34" s="4"/>
      <c r="O34" s="35"/>
      <c r="P34" s="30"/>
      <c r="Q34" s="21"/>
    </row>
    <row r="35" spans="2:17" s="3" customFormat="1" ht="19.5" customHeight="1" x14ac:dyDescent="0.15">
      <c r="B35" s="4">
        <f>+B31+1</f>
        <v>23</v>
      </c>
      <c r="C35" s="56" t="s">
        <v>24</v>
      </c>
      <c r="D35" s="56" t="s">
        <v>24</v>
      </c>
      <c r="E35" s="48" t="s">
        <v>88</v>
      </c>
      <c r="F35" s="59">
        <v>1</v>
      </c>
      <c r="G35" s="64">
        <v>8400</v>
      </c>
      <c r="H35" s="59">
        <f t="shared" ref="H35" si="5">F35*G35</f>
        <v>8400</v>
      </c>
      <c r="I35" s="74"/>
      <c r="J35" s="48" t="s">
        <v>21</v>
      </c>
      <c r="K35" s="1"/>
      <c r="L35" s="1"/>
      <c r="M35" s="30"/>
      <c r="N35" s="4"/>
      <c r="O35" s="1"/>
      <c r="P35" s="30"/>
      <c r="Q35" s="21"/>
    </row>
    <row r="36" spans="2:17" s="3" customFormat="1" ht="19.5" customHeight="1" x14ac:dyDescent="0.15">
      <c r="B36" s="4">
        <f t="shared" si="1"/>
        <v>24</v>
      </c>
      <c r="C36" s="4" t="s">
        <v>20</v>
      </c>
      <c r="D36" s="4" t="s">
        <v>20</v>
      </c>
      <c r="E36" s="51" t="s">
        <v>25</v>
      </c>
      <c r="F36" s="52">
        <v>2</v>
      </c>
      <c r="G36" s="47">
        <v>75</v>
      </c>
      <c r="H36" s="47">
        <f>F36*G36</f>
        <v>150</v>
      </c>
      <c r="I36" s="9"/>
      <c r="J36" s="54" t="s">
        <v>26</v>
      </c>
      <c r="K36" s="1"/>
      <c r="L36" s="1"/>
      <c r="M36" s="30"/>
      <c r="N36" s="4"/>
      <c r="O36" s="1"/>
      <c r="P36" s="30"/>
      <c r="Q36" s="21"/>
    </row>
    <row r="37" spans="2:17" s="3" customFormat="1" ht="19.5" customHeight="1" x14ac:dyDescent="0.15">
      <c r="B37" s="4">
        <f t="shared" si="1"/>
        <v>25</v>
      </c>
      <c r="C37" s="4" t="s">
        <v>20</v>
      </c>
      <c r="D37" s="4" t="s">
        <v>20</v>
      </c>
      <c r="E37" s="51" t="s">
        <v>28</v>
      </c>
      <c r="F37" s="52">
        <v>4</v>
      </c>
      <c r="G37" s="47">
        <v>88</v>
      </c>
      <c r="H37" s="47">
        <f t="shared" ref="H37" si="6">F37*G37</f>
        <v>352</v>
      </c>
      <c r="I37" s="9"/>
      <c r="J37" s="54" t="s">
        <v>23</v>
      </c>
      <c r="K37" s="1"/>
      <c r="L37" s="1"/>
      <c r="M37" s="30"/>
      <c r="N37" s="4"/>
      <c r="O37" s="1"/>
      <c r="P37" s="30"/>
      <c r="Q37" s="21"/>
    </row>
    <row r="38" spans="2:17" s="3" customFormat="1" ht="19.5" customHeight="1" x14ac:dyDescent="0.15">
      <c r="B38" s="4"/>
      <c r="C38" s="4"/>
      <c r="D38" s="4"/>
      <c r="E38" s="33"/>
      <c r="F38" s="135">
        <f>SUM(H35:H37)</f>
        <v>8902</v>
      </c>
      <c r="G38" s="136"/>
      <c r="H38" s="137"/>
      <c r="I38" s="9"/>
      <c r="J38" s="54"/>
      <c r="K38" s="1"/>
      <c r="L38" s="1"/>
      <c r="M38" s="30"/>
      <c r="N38" s="4"/>
      <c r="O38" s="1"/>
      <c r="P38" s="30"/>
      <c r="Q38" s="21"/>
    </row>
    <row r="39" spans="2:17" s="3" customFormat="1" ht="19.5" customHeight="1" x14ac:dyDescent="0.15">
      <c r="B39" s="4"/>
      <c r="C39" s="4"/>
      <c r="D39" s="4"/>
      <c r="E39" s="33"/>
      <c r="F39" s="38"/>
      <c r="G39" s="47"/>
      <c r="H39" s="47"/>
      <c r="I39" s="9"/>
      <c r="J39" s="54"/>
      <c r="K39" s="1"/>
      <c r="L39" s="1"/>
      <c r="M39" s="30"/>
      <c r="N39" s="4"/>
      <c r="O39" s="1"/>
      <c r="P39" s="30"/>
      <c r="Q39" s="21"/>
    </row>
    <row r="40" spans="2:17" s="3" customFormat="1" ht="19.5" customHeight="1" x14ac:dyDescent="0.15">
      <c r="B40" s="4"/>
      <c r="C40" s="128" t="s">
        <v>79</v>
      </c>
      <c r="D40" s="129"/>
      <c r="E40" s="130"/>
      <c r="F40" s="38"/>
      <c r="G40" s="47"/>
      <c r="H40" s="47"/>
      <c r="I40" s="9"/>
      <c r="J40" s="54"/>
      <c r="K40" s="1"/>
      <c r="L40" s="1"/>
      <c r="M40" s="30"/>
      <c r="N40" s="4"/>
      <c r="O40" s="1"/>
      <c r="P40" s="30"/>
      <c r="Q40" s="21"/>
    </row>
    <row r="41" spans="2:17" s="3" customFormat="1" ht="19.5" customHeight="1" x14ac:dyDescent="0.15">
      <c r="B41" s="4">
        <f>+B37+1</f>
        <v>26</v>
      </c>
      <c r="C41" s="56" t="s">
        <v>24</v>
      </c>
      <c r="D41" s="56" t="s">
        <v>24</v>
      </c>
      <c r="E41" s="72" t="s">
        <v>85</v>
      </c>
      <c r="F41" s="49">
        <v>1</v>
      </c>
      <c r="G41" s="49">
        <v>8500</v>
      </c>
      <c r="H41" s="47">
        <f t="shared" ref="H41:H47" si="7">F41*G41</f>
        <v>8500</v>
      </c>
      <c r="I41" s="34"/>
      <c r="J41" s="32" t="s">
        <v>83</v>
      </c>
      <c r="K41" s="1"/>
      <c r="L41" s="1"/>
      <c r="M41" s="30"/>
      <c r="N41" s="4"/>
      <c r="O41" s="1"/>
      <c r="P41" s="30"/>
      <c r="Q41" s="21"/>
    </row>
    <row r="42" spans="2:17" s="3" customFormat="1" ht="19.5" customHeight="1" x14ac:dyDescent="0.15">
      <c r="B42" s="4">
        <f t="shared" si="1"/>
        <v>27</v>
      </c>
      <c r="C42" s="56" t="s">
        <v>24</v>
      </c>
      <c r="D42" s="56" t="s">
        <v>24</v>
      </c>
      <c r="E42" s="72" t="s">
        <v>86</v>
      </c>
      <c r="F42" s="49">
        <v>1</v>
      </c>
      <c r="G42" s="49">
        <v>5000</v>
      </c>
      <c r="H42" s="47">
        <f t="shared" si="7"/>
        <v>5000</v>
      </c>
      <c r="I42" s="34"/>
      <c r="J42" s="32" t="s">
        <v>84</v>
      </c>
      <c r="K42" s="1"/>
      <c r="L42" s="1"/>
      <c r="M42" s="30"/>
      <c r="N42" s="4"/>
      <c r="O42" s="1"/>
      <c r="P42" s="30"/>
      <c r="Q42" s="21"/>
    </row>
    <row r="43" spans="2:17" s="3" customFormat="1" ht="19.5" customHeight="1" x14ac:dyDescent="0.15">
      <c r="B43" s="4">
        <f t="shared" si="1"/>
        <v>28</v>
      </c>
      <c r="C43" s="56" t="s">
        <v>24</v>
      </c>
      <c r="D43" s="56" t="s">
        <v>24</v>
      </c>
      <c r="E43" s="72" t="s">
        <v>87</v>
      </c>
      <c r="F43" s="49">
        <v>1</v>
      </c>
      <c r="G43" s="49">
        <v>2200</v>
      </c>
      <c r="H43" s="47">
        <f t="shared" si="7"/>
        <v>2200</v>
      </c>
      <c r="I43" s="34"/>
      <c r="J43" s="32" t="s">
        <v>54</v>
      </c>
      <c r="K43" s="1"/>
      <c r="L43" s="1"/>
      <c r="M43" s="30"/>
      <c r="N43" s="4"/>
      <c r="O43" s="1"/>
      <c r="P43" s="30"/>
      <c r="Q43" s="21"/>
    </row>
    <row r="44" spans="2:17" s="3" customFormat="1" ht="19.5" customHeight="1" x14ac:dyDescent="0.15">
      <c r="B44" s="4">
        <f t="shared" si="1"/>
        <v>29</v>
      </c>
      <c r="C44" s="4" t="s">
        <v>20</v>
      </c>
      <c r="D44" s="4" t="s">
        <v>20</v>
      </c>
      <c r="E44" s="58" t="s">
        <v>50</v>
      </c>
      <c r="F44" s="47">
        <v>2</v>
      </c>
      <c r="G44" s="47">
        <v>460</v>
      </c>
      <c r="H44" s="47">
        <f t="shared" si="7"/>
        <v>920</v>
      </c>
      <c r="I44" s="50"/>
      <c r="J44" s="32" t="s">
        <v>51</v>
      </c>
      <c r="K44" s="1"/>
      <c r="L44" s="1"/>
      <c r="M44" s="30"/>
      <c r="N44" s="4"/>
      <c r="O44" s="1"/>
      <c r="P44" s="30"/>
      <c r="Q44" s="21"/>
    </row>
    <row r="45" spans="2:17" s="3" customFormat="1" ht="19.5" customHeight="1" x14ac:dyDescent="0.15">
      <c r="B45" s="4">
        <f t="shared" si="1"/>
        <v>30</v>
      </c>
      <c r="C45" s="4" t="s">
        <v>20</v>
      </c>
      <c r="D45" s="4" t="s">
        <v>20</v>
      </c>
      <c r="E45" s="58" t="s">
        <v>65</v>
      </c>
      <c r="F45" s="47">
        <v>2</v>
      </c>
      <c r="G45" s="47">
        <v>300</v>
      </c>
      <c r="H45" s="47">
        <f t="shared" si="7"/>
        <v>600</v>
      </c>
      <c r="I45" s="50"/>
      <c r="J45" s="32" t="s">
        <v>52</v>
      </c>
      <c r="K45" s="1"/>
      <c r="L45" s="1"/>
      <c r="M45" s="30"/>
      <c r="N45" s="4"/>
      <c r="O45" s="1"/>
      <c r="P45" s="30"/>
      <c r="Q45" s="21"/>
    </row>
    <row r="46" spans="2:17" s="3" customFormat="1" ht="19.5" customHeight="1" x14ac:dyDescent="0.15">
      <c r="B46" s="4">
        <f t="shared" si="1"/>
        <v>31</v>
      </c>
      <c r="C46" s="4" t="s">
        <v>20</v>
      </c>
      <c r="D46" s="4" t="s">
        <v>20</v>
      </c>
      <c r="E46" s="58" t="s">
        <v>66</v>
      </c>
      <c r="F46" s="47">
        <v>4</v>
      </c>
      <c r="G46" s="47">
        <v>280</v>
      </c>
      <c r="H46" s="47">
        <f t="shared" si="7"/>
        <v>1120</v>
      </c>
      <c r="I46" s="50"/>
      <c r="J46" s="32" t="s">
        <v>52</v>
      </c>
      <c r="K46" s="1"/>
      <c r="L46" s="1"/>
      <c r="M46" s="30"/>
      <c r="N46" s="4"/>
      <c r="O46" s="1"/>
      <c r="P46" s="30"/>
      <c r="Q46" s="21"/>
    </row>
    <row r="47" spans="2:17" s="3" customFormat="1" ht="19.5" customHeight="1" x14ac:dyDescent="0.15">
      <c r="B47" s="4">
        <f t="shared" si="1"/>
        <v>32</v>
      </c>
      <c r="C47" s="4" t="s">
        <v>20</v>
      </c>
      <c r="D47" s="4" t="s">
        <v>20</v>
      </c>
      <c r="E47" s="36" t="s">
        <v>57</v>
      </c>
      <c r="F47" s="49">
        <v>10</v>
      </c>
      <c r="G47" s="49">
        <v>25</v>
      </c>
      <c r="H47" s="47">
        <f t="shared" si="7"/>
        <v>250</v>
      </c>
      <c r="I47" s="2"/>
      <c r="J47" s="36" t="s">
        <v>53</v>
      </c>
      <c r="K47" s="1"/>
      <c r="L47" s="1"/>
      <c r="M47" s="30"/>
      <c r="N47" s="4"/>
      <c r="O47" s="1"/>
      <c r="P47" s="30"/>
      <c r="Q47" s="21"/>
    </row>
    <row r="48" spans="2:17" s="3" customFormat="1" ht="19.5" customHeight="1" x14ac:dyDescent="0.15">
      <c r="B48" s="4">
        <f t="shared" si="1"/>
        <v>33</v>
      </c>
      <c r="C48" s="4" t="s">
        <v>20</v>
      </c>
      <c r="D48" s="4" t="s">
        <v>20</v>
      </c>
      <c r="E48" s="36" t="s">
        <v>116</v>
      </c>
      <c r="F48" s="49">
        <v>10</v>
      </c>
      <c r="G48" s="49">
        <v>25</v>
      </c>
      <c r="H48" s="47">
        <f t="shared" ref="H48" si="8">F48*G48</f>
        <v>250</v>
      </c>
      <c r="I48" s="2"/>
      <c r="J48" s="36" t="s">
        <v>115</v>
      </c>
      <c r="K48" s="1"/>
      <c r="L48" s="1"/>
      <c r="M48" s="30"/>
      <c r="N48" s="4"/>
      <c r="O48" s="1"/>
      <c r="P48" s="30"/>
      <c r="Q48" s="21"/>
    </row>
    <row r="49" spans="2:17" s="3" customFormat="1" ht="19.5" customHeight="1" x14ac:dyDescent="0.15">
      <c r="B49" s="4"/>
      <c r="C49" s="4"/>
      <c r="D49" s="4"/>
      <c r="E49" s="58"/>
      <c r="F49" s="135">
        <f>SUM(H41:H48)</f>
        <v>18840</v>
      </c>
      <c r="G49" s="136"/>
      <c r="H49" s="137"/>
      <c r="I49" s="50"/>
      <c r="J49" s="32"/>
      <c r="K49" s="1"/>
      <c r="L49" s="1"/>
      <c r="M49" s="30"/>
      <c r="N49" s="4"/>
      <c r="O49" s="1"/>
      <c r="P49" s="30"/>
      <c r="Q49" s="21"/>
    </row>
    <row r="50" spans="2:17" s="3" customFormat="1" ht="19.5" customHeight="1" x14ac:dyDescent="0.15">
      <c r="B50" s="4"/>
      <c r="C50" s="4"/>
      <c r="D50" s="4"/>
      <c r="E50" s="58"/>
      <c r="F50" s="47"/>
      <c r="G50" s="47"/>
      <c r="H50" s="47"/>
      <c r="I50" s="50"/>
      <c r="J50" s="32"/>
      <c r="K50" s="1"/>
      <c r="L50" s="1"/>
      <c r="M50" s="30"/>
      <c r="N50" s="4"/>
      <c r="O50" s="1"/>
      <c r="P50" s="30"/>
      <c r="Q50" s="21"/>
    </row>
    <row r="51" spans="2:17" s="3" customFormat="1" ht="19.5" customHeight="1" x14ac:dyDescent="0.15">
      <c r="B51" s="4"/>
      <c r="C51" s="128" t="s">
        <v>117</v>
      </c>
      <c r="D51" s="129"/>
      <c r="E51" s="130"/>
      <c r="F51" s="47"/>
      <c r="G51" s="47"/>
      <c r="H51" s="47"/>
      <c r="I51" s="50"/>
      <c r="J51" s="32"/>
      <c r="K51" s="1"/>
      <c r="L51" s="1"/>
      <c r="M51" s="30"/>
      <c r="N51" s="4"/>
      <c r="O51" s="1"/>
      <c r="P51" s="30"/>
      <c r="Q51" s="21"/>
    </row>
    <row r="52" spans="2:17" s="3" customFormat="1" ht="19.5" customHeight="1" x14ac:dyDescent="0.15">
      <c r="B52" s="4">
        <f>+B48+1</f>
        <v>34</v>
      </c>
      <c r="C52" s="56" t="s">
        <v>24</v>
      </c>
      <c r="D52" s="56" t="s">
        <v>24</v>
      </c>
      <c r="E52" s="77" t="s">
        <v>67</v>
      </c>
      <c r="F52" s="78">
        <v>1</v>
      </c>
      <c r="G52" s="59">
        <v>13500</v>
      </c>
      <c r="H52" s="88">
        <f t="shared" ref="H52" si="9">F52*G52</f>
        <v>13500</v>
      </c>
      <c r="I52" s="79"/>
      <c r="J52" s="77" t="s">
        <v>68</v>
      </c>
      <c r="K52" s="1"/>
      <c r="L52" s="1"/>
      <c r="M52" s="30"/>
      <c r="N52" s="4"/>
      <c r="O52" s="1"/>
      <c r="P52" s="30"/>
      <c r="Q52" s="21"/>
    </row>
    <row r="53" spans="2:17" s="3" customFormat="1" ht="19.5" customHeight="1" x14ac:dyDescent="0.15">
      <c r="B53" s="4">
        <f t="shared" ref="B53:B59" si="10">+B52+1</f>
        <v>35</v>
      </c>
      <c r="C53" s="56" t="s">
        <v>69</v>
      </c>
      <c r="D53" s="56" t="s">
        <v>69</v>
      </c>
      <c r="E53" s="77" t="s">
        <v>70</v>
      </c>
      <c r="F53" s="78">
        <v>1</v>
      </c>
      <c r="G53" s="59">
        <v>3350</v>
      </c>
      <c r="H53" s="88">
        <f t="shared" ref="H53:H55" si="11">F53*G53</f>
        <v>3350</v>
      </c>
      <c r="I53" s="79"/>
      <c r="J53" s="77" t="s">
        <v>71</v>
      </c>
      <c r="K53" s="1"/>
      <c r="L53" s="1"/>
      <c r="M53" s="30"/>
      <c r="N53" s="4"/>
      <c r="O53" s="1"/>
      <c r="P53" s="30"/>
      <c r="Q53" s="21"/>
    </row>
    <row r="54" spans="2:17" s="3" customFormat="1" ht="19.5" customHeight="1" x14ac:dyDescent="0.15">
      <c r="B54" s="4">
        <f t="shared" si="10"/>
        <v>36</v>
      </c>
      <c r="C54" s="80" t="s">
        <v>69</v>
      </c>
      <c r="D54" s="81" t="s">
        <v>69</v>
      </c>
      <c r="E54" s="82" t="s">
        <v>72</v>
      </c>
      <c r="F54" s="83">
        <v>1</v>
      </c>
      <c r="G54" s="88">
        <v>5569</v>
      </c>
      <c r="H54" s="88">
        <f t="shared" si="11"/>
        <v>5569</v>
      </c>
      <c r="I54" s="84"/>
      <c r="J54" s="85" t="s">
        <v>73</v>
      </c>
      <c r="K54" s="1"/>
      <c r="L54" s="1"/>
      <c r="M54" s="30"/>
      <c r="N54" s="4"/>
      <c r="O54" s="1"/>
      <c r="P54" s="30"/>
      <c r="Q54" s="21"/>
    </row>
    <row r="55" spans="2:17" s="3" customFormat="1" ht="19.5" customHeight="1" x14ac:dyDescent="0.15">
      <c r="B55" s="4">
        <f t="shared" si="10"/>
        <v>37</v>
      </c>
      <c r="C55" s="56" t="s">
        <v>69</v>
      </c>
      <c r="D55" s="56" t="s">
        <v>69</v>
      </c>
      <c r="E55" s="77" t="s">
        <v>74</v>
      </c>
      <c r="F55" s="78">
        <v>1</v>
      </c>
      <c r="G55" s="59">
        <v>930</v>
      </c>
      <c r="H55" s="88">
        <f t="shared" si="11"/>
        <v>930</v>
      </c>
      <c r="I55" s="79"/>
      <c r="J55" s="77" t="s">
        <v>75</v>
      </c>
      <c r="K55" s="1"/>
      <c r="L55" s="1"/>
      <c r="M55" s="30"/>
      <c r="N55" s="4"/>
      <c r="O55" s="1"/>
      <c r="P55" s="30"/>
      <c r="Q55" s="21"/>
    </row>
    <row r="56" spans="2:17" s="3" customFormat="1" ht="19.5" customHeight="1" x14ac:dyDescent="0.15">
      <c r="B56" s="4">
        <f t="shared" si="10"/>
        <v>38</v>
      </c>
      <c r="C56" s="56" t="s">
        <v>69</v>
      </c>
      <c r="D56" s="56" t="s">
        <v>69</v>
      </c>
      <c r="E56" s="77" t="s">
        <v>76</v>
      </c>
      <c r="F56" s="78">
        <v>1</v>
      </c>
      <c r="G56" s="59">
        <v>930</v>
      </c>
      <c r="H56" s="88">
        <f>F56*G56</f>
        <v>930</v>
      </c>
      <c r="I56" s="79"/>
      <c r="J56" s="77" t="s">
        <v>75</v>
      </c>
      <c r="K56" s="1"/>
      <c r="L56" s="1"/>
      <c r="M56" s="30"/>
      <c r="N56" s="4"/>
      <c r="O56" s="1"/>
      <c r="P56" s="30"/>
      <c r="Q56" s="21"/>
    </row>
    <row r="57" spans="2:17" s="3" customFormat="1" ht="19.5" customHeight="1" x14ac:dyDescent="0.15">
      <c r="B57" s="4">
        <f t="shared" si="10"/>
        <v>39</v>
      </c>
      <c r="C57" s="4" t="s">
        <v>69</v>
      </c>
      <c r="D57" s="4" t="s">
        <v>69</v>
      </c>
      <c r="E57" s="54" t="s">
        <v>77</v>
      </c>
      <c r="F57" s="1">
        <v>1</v>
      </c>
      <c r="G57" s="47">
        <v>2218</v>
      </c>
      <c r="H57" s="47">
        <f t="shared" ref="H57" si="12">F57*G57</f>
        <v>2218</v>
      </c>
      <c r="I57" s="86"/>
      <c r="J57" s="24" t="s">
        <v>78</v>
      </c>
      <c r="K57" s="1"/>
      <c r="L57" s="1"/>
      <c r="M57" s="30"/>
      <c r="N57" s="4"/>
      <c r="O57" s="1"/>
      <c r="P57" s="30"/>
      <c r="Q57" s="21"/>
    </row>
    <row r="58" spans="2:17" s="3" customFormat="1" ht="19.5" customHeight="1" x14ac:dyDescent="0.15">
      <c r="B58" s="4">
        <f t="shared" si="10"/>
        <v>40</v>
      </c>
      <c r="C58" s="4" t="s">
        <v>20</v>
      </c>
      <c r="D58" s="4" t="s">
        <v>20</v>
      </c>
      <c r="E58" s="76" t="s">
        <v>56</v>
      </c>
      <c r="F58" s="1">
        <v>1</v>
      </c>
      <c r="G58" s="47">
        <v>2814</v>
      </c>
      <c r="H58" s="47">
        <f t="shared" ref="H58:H59" si="13">F58*G58</f>
        <v>2814</v>
      </c>
      <c r="I58" s="9"/>
      <c r="J58" s="24" t="s">
        <v>55</v>
      </c>
      <c r="K58" s="1"/>
      <c r="L58" s="1"/>
      <c r="M58" s="30"/>
      <c r="N58" s="4"/>
      <c r="O58" s="1"/>
      <c r="P58" s="30"/>
      <c r="Q58" s="21"/>
    </row>
    <row r="59" spans="2:17" s="3" customFormat="1" ht="19.5" customHeight="1" x14ac:dyDescent="0.15">
      <c r="B59" s="4">
        <f t="shared" si="10"/>
        <v>41</v>
      </c>
      <c r="C59" s="4" t="s">
        <v>20</v>
      </c>
      <c r="D59" s="4" t="s">
        <v>20</v>
      </c>
      <c r="E59" s="36" t="s">
        <v>57</v>
      </c>
      <c r="F59" s="49">
        <v>10</v>
      </c>
      <c r="G59" s="49">
        <v>25</v>
      </c>
      <c r="H59" s="47">
        <f t="shared" si="13"/>
        <v>250</v>
      </c>
      <c r="I59" s="2"/>
      <c r="J59" s="36" t="s">
        <v>53</v>
      </c>
      <c r="K59" s="1"/>
      <c r="L59" s="1"/>
      <c r="M59" s="30"/>
      <c r="N59" s="4"/>
      <c r="O59" s="1"/>
      <c r="P59" s="30"/>
      <c r="Q59" s="21"/>
    </row>
    <row r="60" spans="2:17" s="3" customFormat="1" ht="19.5" customHeight="1" x14ac:dyDescent="0.15">
      <c r="B60" s="4"/>
      <c r="C60" s="87"/>
      <c r="D60" s="87"/>
      <c r="E60" s="36"/>
      <c r="F60" s="135">
        <f>SUM(H52:H59)</f>
        <v>29561</v>
      </c>
      <c r="G60" s="136"/>
      <c r="H60" s="137"/>
      <c r="I60" s="73"/>
      <c r="J60" s="75"/>
      <c r="K60" s="1"/>
      <c r="L60" s="1"/>
      <c r="M60" s="30"/>
      <c r="N60" s="4"/>
      <c r="O60" s="1"/>
      <c r="P60" s="30"/>
      <c r="Q60" s="21"/>
    </row>
    <row r="61" spans="2:17" s="3" customFormat="1" ht="19.5" customHeight="1" x14ac:dyDescent="0.15">
      <c r="B61" s="4"/>
      <c r="C61" s="4"/>
      <c r="D61" s="4"/>
      <c r="E61" s="76"/>
      <c r="F61" s="1"/>
      <c r="G61" s="47"/>
      <c r="H61" s="47"/>
      <c r="I61" s="9"/>
      <c r="J61" s="24"/>
      <c r="K61" s="1"/>
      <c r="L61" s="1"/>
      <c r="M61" s="30"/>
      <c r="N61" s="4"/>
      <c r="O61" s="1"/>
      <c r="P61" s="30"/>
      <c r="Q61" s="21"/>
    </row>
    <row r="62" spans="2:17" s="3" customFormat="1" ht="19.5" customHeight="1" x14ac:dyDescent="0.15">
      <c r="B62" s="4"/>
      <c r="C62" s="4"/>
      <c r="D62" s="4"/>
      <c r="E62" s="53"/>
      <c r="F62" s="1"/>
      <c r="G62" s="47"/>
      <c r="H62" s="47"/>
      <c r="I62" s="47"/>
      <c r="J62" s="24"/>
      <c r="K62" s="1"/>
      <c r="L62" s="1"/>
      <c r="M62" s="30"/>
      <c r="N62" s="4"/>
      <c r="O62" s="1"/>
      <c r="P62" s="30"/>
      <c r="Q62" s="21"/>
    </row>
    <row r="63" spans="2:17" s="3" customFormat="1" ht="19.5" customHeight="1" x14ac:dyDescent="0.15">
      <c r="B63" s="4"/>
      <c r="C63" s="4"/>
      <c r="D63" s="4"/>
      <c r="E63" s="51"/>
      <c r="F63" s="52"/>
      <c r="G63" s="47"/>
      <c r="H63" s="47"/>
      <c r="I63" s="9"/>
      <c r="J63" s="54"/>
      <c r="K63" s="1"/>
      <c r="L63" s="1"/>
      <c r="M63" s="30"/>
      <c r="N63" s="4"/>
      <c r="O63" s="1"/>
      <c r="P63" s="30"/>
      <c r="Q63" s="21"/>
    </row>
    <row r="64" spans="2:17" s="3" customFormat="1" ht="19.5" customHeight="1" x14ac:dyDescent="0.15">
      <c r="B64" s="4"/>
      <c r="C64" s="4"/>
      <c r="D64" s="4"/>
      <c r="E64" s="33" t="s">
        <v>39</v>
      </c>
      <c r="F64" s="38"/>
      <c r="G64" s="47">
        <v>5000</v>
      </c>
      <c r="H64" s="47">
        <f>F64*G64</f>
        <v>0</v>
      </c>
      <c r="I64" s="9"/>
      <c r="J64" s="54"/>
      <c r="K64" s="7"/>
      <c r="L64" s="1"/>
      <c r="M64" s="30"/>
      <c r="N64" s="4"/>
      <c r="O64" s="1"/>
      <c r="P64" s="30"/>
      <c r="Q64" s="21"/>
    </row>
    <row r="65" spans="2:18" s="3" customFormat="1" ht="19.5" customHeight="1" x14ac:dyDescent="0.15">
      <c r="B65" s="4"/>
      <c r="C65" s="4"/>
      <c r="D65" s="4"/>
      <c r="E65" s="33" t="s">
        <v>38</v>
      </c>
      <c r="F65" s="38">
        <v>1</v>
      </c>
      <c r="G65" s="47"/>
      <c r="H65" s="47"/>
      <c r="I65" s="9"/>
      <c r="J65" s="54"/>
      <c r="K65" s="7"/>
      <c r="L65" s="1"/>
      <c r="M65" s="30"/>
      <c r="N65" s="4"/>
      <c r="O65" s="1"/>
      <c r="P65" s="30"/>
      <c r="Q65" s="21"/>
    </row>
    <row r="66" spans="2:18" s="3" customFormat="1" ht="19.5" customHeight="1" x14ac:dyDescent="0.15">
      <c r="B66" s="4"/>
      <c r="C66" s="4"/>
      <c r="D66" s="4"/>
      <c r="E66" s="57"/>
      <c r="F66" s="55"/>
      <c r="G66" s="47"/>
      <c r="H66" s="47"/>
      <c r="I66" s="9"/>
      <c r="J66" s="36"/>
      <c r="K66" s="7"/>
      <c r="L66" s="1"/>
      <c r="M66" s="30"/>
      <c r="N66" s="4"/>
      <c r="O66" s="1"/>
      <c r="P66" s="30"/>
      <c r="Q66" s="21"/>
    </row>
    <row r="67" spans="2:18" s="3" customFormat="1" ht="18" customHeight="1" x14ac:dyDescent="0.15">
      <c r="B67" s="4"/>
      <c r="C67" s="37"/>
      <c r="D67" s="37"/>
      <c r="E67" s="33"/>
      <c r="F67" s="38"/>
      <c r="G67" s="47"/>
      <c r="H67" s="47"/>
      <c r="I67" s="70"/>
      <c r="J67" s="65"/>
      <c r="K67" s="7"/>
      <c r="L67" s="7"/>
      <c r="M67" s="30"/>
      <c r="N67" s="11"/>
      <c r="O67" s="16"/>
      <c r="P67" s="30"/>
      <c r="Q67" s="21"/>
    </row>
    <row r="68" spans="2:18" s="3" customFormat="1" ht="18" customHeight="1" x14ac:dyDescent="0.15">
      <c r="B68" s="4"/>
      <c r="C68" s="37"/>
      <c r="D68" s="37"/>
      <c r="E68" s="33"/>
      <c r="F68" s="38"/>
      <c r="G68" s="47"/>
      <c r="H68" s="47"/>
      <c r="I68" s="34"/>
      <c r="J68" s="65"/>
      <c r="K68" s="7"/>
      <c r="L68" s="7"/>
      <c r="M68" s="30"/>
      <c r="N68" s="11"/>
      <c r="O68" s="16"/>
      <c r="P68" s="30"/>
      <c r="Q68" s="21"/>
    </row>
    <row r="69" spans="2:18" s="3" customFormat="1" ht="18" customHeight="1" x14ac:dyDescent="0.15">
      <c r="B69" s="4"/>
      <c r="C69" s="37"/>
      <c r="D69" s="37"/>
      <c r="E69" s="33"/>
      <c r="F69" s="38"/>
      <c r="G69" s="47"/>
      <c r="H69" s="47"/>
      <c r="I69" s="70"/>
      <c r="J69" s="54"/>
      <c r="K69" s="7"/>
      <c r="L69" s="7"/>
      <c r="M69" s="30"/>
      <c r="N69" s="11"/>
      <c r="O69" s="16"/>
      <c r="P69" s="30"/>
      <c r="Q69" s="21"/>
    </row>
    <row r="70" spans="2:18" s="3" customFormat="1" ht="18" customHeight="1" x14ac:dyDescent="0.15">
      <c r="B70" s="4"/>
      <c r="C70" s="4"/>
      <c r="D70" s="4"/>
      <c r="E70" s="1"/>
      <c r="F70" s="62"/>
      <c r="G70" s="47"/>
      <c r="H70" s="47"/>
      <c r="I70" s="9"/>
      <c r="J70" s="54"/>
      <c r="K70" s="7"/>
      <c r="L70" s="7"/>
      <c r="M70" s="30"/>
      <c r="N70" s="11"/>
      <c r="O70" s="16"/>
      <c r="P70" s="30"/>
      <c r="Q70" s="21"/>
    </row>
    <row r="71" spans="2:18" s="3" customFormat="1" ht="18" customHeight="1" x14ac:dyDescent="0.15">
      <c r="B71" s="4"/>
      <c r="C71" s="4"/>
      <c r="D71" s="4"/>
      <c r="E71" s="71"/>
      <c r="F71" s="62"/>
      <c r="G71" s="47"/>
      <c r="H71" s="47"/>
      <c r="I71" s="9"/>
      <c r="J71" s="36"/>
      <c r="K71" s="7"/>
      <c r="L71" s="7"/>
      <c r="M71" s="30"/>
      <c r="N71" s="11"/>
      <c r="O71" s="16"/>
      <c r="P71" s="30"/>
      <c r="Q71" s="21"/>
    </row>
    <row r="72" spans="2:18" s="3" customFormat="1" ht="18" customHeight="1" x14ac:dyDescent="0.15">
      <c r="B72" s="4"/>
      <c r="C72" s="4"/>
      <c r="D72" s="4"/>
      <c r="E72" s="55"/>
      <c r="F72" s="55"/>
      <c r="G72" s="47"/>
      <c r="H72" s="47"/>
      <c r="I72" s="70"/>
      <c r="J72" s="65"/>
      <c r="K72" s="7"/>
      <c r="L72" s="7"/>
      <c r="M72" s="30"/>
      <c r="N72" s="11"/>
      <c r="O72" s="16"/>
      <c r="P72" s="30"/>
      <c r="Q72" s="21"/>
    </row>
    <row r="73" spans="2:18" s="3" customFormat="1" ht="18" customHeight="1" x14ac:dyDescent="0.15">
      <c r="B73" s="4"/>
      <c r="C73" s="4"/>
      <c r="D73" s="4"/>
      <c r="E73" s="55"/>
      <c r="F73" s="55"/>
      <c r="G73" s="47"/>
      <c r="H73" s="47"/>
      <c r="I73" s="34"/>
      <c r="J73" s="65"/>
      <c r="K73" s="7"/>
      <c r="L73" s="7"/>
      <c r="M73" s="30"/>
      <c r="N73" s="11"/>
      <c r="O73" s="16"/>
      <c r="P73" s="30"/>
      <c r="Q73" s="21"/>
      <c r="R73" s="69"/>
    </row>
    <row r="74" spans="2:18" s="3" customFormat="1" ht="18" customHeight="1" x14ac:dyDescent="0.15">
      <c r="B74" s="4"/>
      <c r="C74" s="4"/>
      <c r="D74" s="4"/>
      <c r="E74" s="1"/>
      <c r="F74" s="1"/>
      <c r="G74" s="1"/>
      <c r="H74" s="47"/>
      <c r="I74" s="70"/>
      <c r="J74" s="54"/>
      <c r="K74" s="7"/>
      <c r="L74" s="7"/>
      <c r="M74" s="30"/>
      <c r="N74" s="11"/>
      <c r="O74" s="16"/>
      <c r="P74" s="30"/>
      <c r="Q74" s="21"/>
      <c r="R74" s="69"/>
    </row>
    <row r="75" spans="2:18" s="3" customFormat="1" ht="18" customHeight="1" x14ac:dyDescent="0.15">
      <c r="B75" s="4"/>
      <c r="C75" s="4"/>
      <c r="D75" s="4"/>
      <c r="E75" s="1"/>
      <c r="F75" s="1"/>
      <c r="G75" s="1"/>
      <c r="H75" s="47"/>
      <c r="I75" s="70"/>
      <c r="J75" s="54"/>
      <c r="K75" s="7"/>
      <c r="L75" s="7"/>
      <c r="M75" s="30"/>
      <c r="N75" s="11"/>
      <c r="O75" s="16"/>
      <c r="P75" s="30"/>
      <c r="Q75" s="21"/>
      <c r="R75" s="69"/>
    </row>
    <row r="76" spans="2:18" s="3" customFormat="1" ht="18" customHeight="1" x14ac:dyDescent="0.15">
      <c r="B76" s="4"/>
      <c r="C76" s="37"/>
      <c r="D76" s="37"/>
      <c r="E76" s="57"/>
      <c r="F76" s="55"/>
      <c r="G76" s="47"/>
      <c r="H76" s="47"/>
      <c r="I76" s="34"/>
      <c r="J76" s="65"/>
      <c r="K76" s="7"/>
      <c r="L76" s="7"/>
      <c r="M76" s="30"/>
      <c r="N76" s="11"/>
      <c r="O76" s="16"/>
      <c r="P76" s="30"/>
      <c r="Q76" s="21"/>
      <c r="R76" s="69"/>
    </row>
    <row r="77" spans="2:18" s="3" customFormat="1" ht="18" customHeight="1" x14ac:dyDescent="0.15">
      <c r="B77" s="4"/>
      <c r="C77" s="37"/>
      <c r="D77" s="37"/>
      <c r="E77" s="57"/>
      <c r="F77" s="55"/>
      <c r="G77" s="47"/>
      <c r="H77" s="47"/>
      <c r="I77" s="34"/>
      <c r="J77" s="65"/>
      <c r="K77" s="7"/>
      <c r="L77" s="7"/>
      <c r="M77" s="30"/>
      <c r="N77" s="11"/>
      <c r="O77" s="16"/>
      <c r="P77" s="30"/>
      <c r="Q77" s="21"/>
    </row>
    <row r="78" spans="2:18" s="3" customFormat="1" ht="18" customHeight="1" x14ac:dyDescent="0.15">
      <c r="B78" s="4"/>
      <c r="C78" s="37"/>
      <c r="D78" s="37"/>
      <c r="E78" s="57"/>
      <c r="F78" s="55"/>
      <c r="G78" s="47"/>
      <c r="H78" s="47"/>
      <c r="I78" s="34"/>
      <c r="J78" s="65"/>
      <c r="K78" s="7"/>
      <c r="L78" s="7"/>
      <c r="M78" s="30"/>
      <c r="N78" s="11"/>
      <c r="O78" s="16"/>
      <c r="P78" s="30"/>
      <c r="Q78" s="21"/>
    </row>
    <row r="79" spans="2:18" s="3" customFormat="1" ht="18" customHeight="1" x14ac:dyDescent="0.15">
      <c r="B79" s="4"/>
      <c r="C79" s="37"/>
      <c r="D79" s="37"/>
      <c r="E79" s="57"/>
      <c r="F79" s="55"/>
      <c r="G79" s="47"/>
      <c r="H79" s="47"/>
      <c r="I79" s="34"/>
      <c r="J79" s="65"/>
      <c r="K79" s="8"/>
      <c r="L79" s="7"/>
      <c r="M79" s="30"/>
      <c r="N79" s="11"/>
      <c r="O79" s="16"/>
      <c r="P79" s="30"/>
      <c r="Q79" s="21"/>
    </row>
    <row r="80" spans="2:18" s="3" customFormat="1" ht="18" customHeight="1" x14ac:dyDescent="0.15">
      <c r="B80" s="4"/>
      <c r="C80" s="37"/>
      <c r="D80" s="37"/>
      <c r="E80" s="33"/>
      <c r="F80" s="38"/>
      <c r="G80" s="47"/>
      <c r="H80" s="47"/>
      <c r="I80" s="34"/>
      <c r="J80" s="68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4"/>
      <c r="C81" s="37"/>
      <c r="D81" s="37"/>
      <c r="E81" s="33"/>
      <c r="F81" s="38"/>
      <c r="G81" s="47"/>
      <c r="H81" s="47"/>
      <c r="I81" s="34"/>
      <c r="J81" s="68"/>
      <c r="K81" s="8"/>
      <c r="L81" s="7"/>
      <c r="M81" s="30"/>
      <c r="N81" s="11"/>
      <c r="O81" s="16"/>
      <c r="P81" s="30"/>
      <c r="Q81" s="21"/>
    </row>
    <row r="82" spans="2:17" s="3" customFormat="1" ht="18" customHeight="1" x14ac:dyDescent="0.15">
      <c r="B82" s="4"/>
      <c r="C82" s="37"/>
      <c r="D82" s="37"/>
      <c r="E82" s="33"/>
      <c r="F82" s="38"/>
      <c r="G82" s="47"/>
      <c r="H82" s="47"/>
      <c r="I82" s="34"/>
      <c r="J82" s="68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4"/>
      <c r="C83" s="4"/>
      <c r="D83" s="4"/>
      <c r="E83" s="33"/>
      <c r="F83" s="38"/>
      <c r="G83" s="47"/>
      <c r="H83" s="47"/>
      <c r="I83" s="34"/>
      <c r="J83" s="68"/>
      <c r="K83" s="8"/>
      <c r="L83" s="7"/>
      <c r="M83" s="30"/>
      <c r="N83" s="11"/>
      <c r="O83" s="30"/>
      <c r="P83" s="30"/>
      <c r="Q83" s="21"/>
    </row>
    <row r="84" spans="2:17" s="3" customFormat="1" ht="18" customHeight="1" x14ac:dyDescent="0.15">
      <c r="B84" s="4"/>
      <c r="C84" s="4"/>
      <c r="D84" s="4"/>
      <c r="E84" s="67"/>
      <c r="F84" s="62"/>
      <c r="G84" s="47"/>
      <c r="H84" s="47"/>
      <c r="I84" s="9"/>
      <c r="J84" s="36"/>
      <c r="K84" s="8"/>
      <c r="L84" s="7"/>
      <c r="M84" s="30"/>
      <c r="N84" s="11"/>
      <c r="O84" s="16"/>
      <c r="P84" s="30"/>
      <c r="Q84" s="21"/>
    </row>
    <row r="85" spans="2:17" s="3" customFormat="1" ht="18" customHeight="1" x14ac:dyDescent="0.15">
      <c r="B85" s="4"/>
      <c r="C85" s="4"/>
      <c r="D85" s="4"/>
      <c r="E85" s="66"/>
      <c r="F85" s="55"/>
      <c r="G85" s="47"/>
      <c r="H85" s="47"/>
      <c r="I85" s="9"/>
      <c r="J85" s="65"/>
      <c r="K85" s="8"/>
      <c r="L85" s="7"/>
      <c r="M85" s="30"/>
      <c r="N85" s="11"/>
      <c r="O85" s="16"/>
      <c r="P85" s="30"/>
      <c r="Q85" s="21"/>
    </row>
    <row r="86" spans="2:17" s="3" customFormat="1" ht="18" customHeight="1" x14ac:dyDescent="0.15">
      <c r="B86" s="4"/>
      <c r="C86" s="4"/>
      <c r="D86" s="4"/>
      <c r="E86" s="27"/>
      <c r="F86" s="55"/>
      <c r="G86" s="47"/>
      <c r="H86" s="47"/>
      <c r="I86" s="9"/>
      <c r="J86" s="27"/>
      <c r="K86" s="8"/>
      <c r="L86" s="7"/>
      <c r="M86" s="39"/>
      <c r="N86" s="11"/>
      <c r="O86" s="16"/>
      <c r="P86" s="30"/>
      <c r="Q86" s="21"/>
    </row>
    <row r="87" spans="2:17" s="3" customFormat="1" ht="18" customHeight="1" x14ac:dyDescent="0.15">
      <c r="B87" s="4"/>
      <c r="C87" s="4"/>
      <c r="D87" s="4"/>
      <c r="E87" s="60"/>
      <c r="F87" s="62"/>
      <c r="G87" s="47"/>
      <c r="H87" s="47"/>
      <c r="I87" s="9"/>
      <c r="J87" s="64"/>
      <c r="K87" s="8"/>
      <c r="L87" s="7"/>
      <c r="M87" s="30"/>
      <c r="N87" s="11"/>
      <c r="O87" s="30"/>
      <c r="P87" s="30"/>
      <c r="Q87" s="21"/>
    </row>
    <row r="88" spans="2:17" s="3" customFormat="1" ht="18" customHeight="1" x14ac:dyDescent="0.15">
      <c r="B88" s="4"/>
      <c r="C88" s="4"/>
      <c r="D88" s="4"/>
      <c r="E88" s="63"/>
      <c r="F88" s="62"/>
      <c r="G88" s="47"/>
      <c r="H88" s="47"/>
      <c r="I88" s="9"/>
      <c r="J88" s="36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4"/>
      <c r="C89" s="37"/>
      <c r="D89" s="37"/>
      <c r="E89" s="26"/>
      <c r="F89" s="55"/>
      <c r="G89" s="47"/>
      <c r="H89" s="47"/>
      <c r="I89" s="9"/>
      <c r="J89" s="27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4"/>
      <c r="C90" s="4"/>
      <c r="D90" s="4"/>
      <c r="E90" s="26"/>
      <c r="F90" s="55"/>
      <c r="G90" s="47"/>
      <c r="H90" s="47"/>
      <c r="I90" s="9"/>
      <c r="J90" s="27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6"/>
      <c r="F91" s="27"/>
      <c r="G91" s="47"/>
      <c r="H91" s="47"/>
      <c r="I91" s="9"/>
      <c r="J91" s="27"/>
      <c r="K91" s="8"/>
      <c r="L91" s="7"/>
      <c r="M91" s="30"/>
      <c r="N91" s="11"/>
      <c r="O91" s="16"/>
      <c r="P91" s="30"/>
      <c r="Q91" s="21"/>
    </row>
    <row r="92" spans="2:17" s="3" customFormat="1" ht="18" customHeight="1" x14ac:dyDescent="0.15">
      <c r="B92" s="20"/>
      <c r="C92" s="4"/>
      <c r="D92" s="4"/>
      <c r="E92" s="26"/>
      <c r="F92" s="27"/>
      <c r="G92" s="47"/>
      <c r="H92" s="47"/>
      <c r="I92" s="9"/>
      <c r="J92" s="27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6"/>
      <c r="F93" s="27"/>
      <c r="G93" s="47"/>
      <c r="H93" s="47"/>
      <c r="I93" s="9"/>
      <c r="J93" s="27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61"/>
      <c r="F94" s="27"/>
      <c r="G94" s="47"/>
      <c r="H94" s="47"/>
      <c r="I94" s="9"/>
      <c r="J94" s="27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4"/>
      <c r="D95" s="4"/>
      <c r="E95" s="26"/>
      <c r="F95" s="27"/>
      <c r="G95" s="47"/>
      <c r="H95" s="47"/>
      <c r="I95" s="9"/>
      <c r="J95" s="27"/>
      <c r="K95" s="8"/>
      <c r="L95" s="7"/>
      <c r="M95" s="30"/>
      <c r="N95" s="11"/>
      <c r="O95" s="16"/>
      <c r="P95" s="30"/>
      <c r="Q95" s="21"/>
    </row>
    <row r="96" spans="2:17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11"/>
      <c r="O96" s="16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6"/>
      <c r="F98" s="27"/>
      <c r="G98" s="47"/>
      <c r="H98" s="47"/>
      <c r="I98" s="9"/>
      <c r="J98" s="27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26"/>
      <c r="F99" s="27"/>
      <c r="G99" s="47"/>
      <c r="H99" s="47"/>
      <c r="I99" s="9"/>
      <c r="J99" s="27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4"/>
      <c r="D100" s="4"/>
      <c r="E100" s="29"/>
      <c r="F100" s="28"/>
      <c r="G100" s="89"/>
      <c r="H100" s="47"/>
      <c r="I100" s="9"/>
      <c r="J100" s="29"/>
      <c r="K100" s="8"/>
      <c r="L100" s="7"/>
      <c r="M100" s="30"/>
      <c r="N100" s="11"/>
      <c r="O100" s="16"/>
      <c r="P100" s="30"/>
      <c r="Q100" s="21"/>
    </row>
    <row r="101" spans="2:17" s="3" customFormat="1" ht="18" customHeight="1" x14ac:dyDescent="0.15">
      <c r="B101" s="20"/>
      <c r="C101" s="4"/>
      <c r="D101" s="4"/>
      <c r="E101" s="29"/>
      <c r="F101" s="28"/>
      <c r="G101" s="89"/>
      <c r="H101" s="47"/>
      <c r="I101" s="9"/>
      <c r="J101" s="29"/>
      <c r="K101" s="8"/>
      <c r="L101" s="7"/>
      <c r="M101" s="30"/>
      <c r="N101" s="11"/>
      <c r="O101" s="16"/>
      <c r="P101" s="30"/>
      <c r="Q101" s="21"/>
    </row>
    <row r="102" spans="2:17" s="3" customFormat="1" ht="18" customHeight="1" x14ac:dyDescent="0.15">
      <c r="B102" s="20"/>
      <c r="C102" s="4"/>
      <c r="D102" s="4"/>
      <c r="E102" s="29"/>
      <c r="F102" s="28"/>
      <c r="G102" s="89"/>
      <c r="H102" s="47"/>
      <c r="I102" s="9"/>
      <c r="J102" s="29"/>
      <c r="K102" s="8"/>
      <c r="L102" s="7"/>
      <c r="M102" s="30"/>
      <c r="N102" s="11"/>
      <c r="O102" s="16"/>
      <c r="P102" s="30"/>
      <c r="Q102" s="21"/>
    </row>
    <row r="103" spans="2:17" s="3" customFormat="1" ht="18" customHeight="1" x14ac:dyDescent="0.15">
      <c r="B103" s="20"/>
      <c r="C103" s="4"/>
      <c r="D103" s="4"/>
      <c r="E103" s="29"/>
      <c r="F103" s="28"/>
      <c r="G103" s="89"/>
      <c r="H103" s="47"/>
      <c r="I103" s="9"/>
      <c r="J103" s="29"/>
      <c r="K103" s="8"/>
      <c r="L103" s="7"/>
      <c r="M103" s="30"/>
      <c r="N103" s="11"/>
      <c r="O103" s="16"/>
      <c r="P103" s="30"/>
      <c r="Q103" s="21"/>
    </row>
    <row r="104" spans="2:17" s="3" customFormat="1" ht="18" customHeight="1" x14ac:dyDescent="0.15">
      <c r="B104" s="20"/>
      <c r="C104" s="4"/>
      <c r="D104" s="4"/>
      <c r="E104" s="29"/>
      <c r="F104" s="28"/>
      <c r="G104" s="89"/>
      <c r="H104" s="47"/>
      <c r="I104" s="9"/>
      <c r="J104" s="29"/>
      <c r="K104" s="8"/>
      <c r="L104" s="7"/>
      <c r="M104" s="30"/>
      <c r="N104" s="11"/>
      <c r="O104" s="16"/>
      <c r="P104" s="30"/>
      <c r="Q104" s="21"/>
    </row>
    <row r="105" spans="2:17" s="3" customFormat="1" ht="18" customHeight="1" x14ac:dyDescent="0.15">
      <c r="B105" s="20"/>
      <c r="C105" s="4"/>
      <c r="D105" s="4"/>
      <c r="E105" s="29"/>
      <c r="F105" s="28"/>
      <c r="G105" s="89"/>
      <c r="H105" s="47"/>
      <c r="I105" s="9"/>
      <c r="J105" s="2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 x14ac:dyDescent="0.15">
      <c r="B106" s="20"/>
      <c r="C106" s="4"/>
      <c r="D106" s="4"/>
      <c r="E106" s="29"/>
      <c r="F106" s="28"/>
      <c r="G106" s="89"/>
      <c r="H106" s="47"/>
      <c r="I106" s="9"/>
      <c r="J106" s="29"/>
      <c r="K106" s="8"/>
      <c r="L106" s="7"/>
      <c r="M106" s="30"/>
      <c r="N106" s="11"/>
      <c r="O106" s="16"/>
      <c r="P106" s="30"/>
      <c r="Q106" s="21"/>
    </row>
    <row r="107" spans="2:17" s="3" customFormat="1" ht="18" customHeight="1" x14ac:dyDescent="0.15">
      <c r="B107" s="20"/>
      <c r="C107" s="4"/>
      <c r="D107" s="4"/>
      <c r="E107" s="29"/>
      <c r="F107" s="28"/>
      <c r="G107" s="89"/>
      <c r="H107" s="47"/>
      <c r="I107" s="9"/>
      <c r="J107" s="29"/>
      <c r="K107" s="8"/>
      <c r="L107" s="7"/>
      <c r="M107" s="30"/>
      <c r="N107" s="11"/>
      <c r="O107" s="16"/>
      <c r="P107" s="30"/>
      <c r="Q107" s="21"/>
    </row>
    <row r="108" spans="2:17" s="3" customFormat="1" ht="18" customHeight="1" x14ac:dyDescent="0.15">
      <c r="B108" s="20"/>
      <c r="C108" s="4"/>
      <c r="D108" s="4"/>
      <c r="E108" s="29"/>
      <c r="F108" s="28"/>
      <c r="G108" s="89"/>
      <c r="H108" s="47"/>
      <c r="I108" s="9"/>
      <c r="J108" s="29"/>
      <c r="K108" s="8"/>
      <c r="L108" s="7"/>
      <c r="M108" s="30"/>
      <c r="N108" s="11"/>
      <c r="O108" s="16"/>
      <c r="P108" s="30"/>
      <c r="Q108" s="21"/>
    </row>
    <row r="109" spans="2:17" s="3" customFormat="1" ht="18" customHeight="1" x14ac:dyDescent="0.15">
      <c r="B109" s="20"/>
      <c r="C109" s="4"/>
      <c r="D109" s="4"/>
      <c r="E109" s="29"/>
      <c r="F109" s="28"/>
      <c r="G109" s="89"/>
      <c r="H109" s="47"/>
      <c r="I109" s="9"/>
      <c r="J109" s="29"/>
      <c r="K109" s="8"/>
      <c r="L109" s="7"/>
      <c r="M109" s="30"/>
      <c r="N109" s="11"/>
      <c r="O109" s="16"/>
      <c r="P109" s="30"/>
      <c r="Q109" s="21"/>
    </row>
    <row r="110" spans="2:17" s="3" customFormat="1" ht="18" customHeight="1" x14ac:dyDescent="0.15">
      <c r="B110" s="20"/>
      <c r="C110" s="4"/>
      <c r="D110" s="4"/>
      <c r="E110" s="29"/>
      <c r="F110" s="28"/>
      <c r="G110" s="89"/>
      <c r="H110" s="47"/>
      <c r="I110" s="9"/>
      <c r="J110" s="29"/>
      <c r="K110" s="8"/>
      <c r="L110" s="7"/>
      <c r="M110" s="30"/>
      <c r="N110" s="11"/>
      <c r="O110" s="16"/>
      <c r="P110" s="30"/>
      <c r="Q110" s="21"/>
    </row>
    <row r="111" spans="2:17" s="3" customFormat="1" ht="18" customHeight="1" x14ac:dyDescent="0.15">
      <c r="B111" s="20"/>
      <c r="C111" s="4"/>
      <c r="D111" s="4"/>
      <c r="E111" s="29"/>
      <c r="F111" s="28"/>
      <c r="G111" s="89"/>
      <c r="H111" s="47"/>
      <c r="I111" s="9"/>
      <c r="J111" s="2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 x14ac:dyDescent="0.15">
      <c r="B112" s="20"/>
      <c r="C112" s="4"/>
      <c r="D112" s="4"/>
      <c r="E112" s="26"/>
      <c r="F112" s="27"/>
      <c r="G112" s="47"/>
      <c r="H112" s="47"/>
      <c r="I112" s="9"/>
      <c r="J112" s="27"/>
      <c r="K112" s="8"/>
      <c r="L112" s="7"/>
      <c r="M112" s="30"/>
      <c r="N112" s="30"/>
      <c r="O112" s="31"/>
      <c r="P112" s="30"/>
      <c r="Q112" s="21"/>
    </row>
    <row r="113" spans="2:17" s="3" customFormat="1" ht="18" customHeight="1" x14ac:dyDescent="0.15">
      <c r="B113" s="20"/>
      <c r="C113" s="4"/>
      <c r="D113" s="4"/>
      <c r="E113" s="26"/>
      <c r="F113" s="27"/>
      <c r="G113" s="47"/>
      <c r="H113" s="47"/>
      <c r="I113" s="9"/>
      <c r="J113" s="27"/>
      <c r="K113" s="8"/>
      <c r="L113" s="7"/>
      <c r="M113" s="30"/>
      <c r="N113" s="11"/>
      <c r="O113" s="16"/>
      <c r="P113" s="30"/>
      <c r="Q113" s="21"/>
    </row>
    <row r="114" spans="2:17" s="3" customFormat="1" ht="18" customHeight="1" x14ac:dyDescent="0.15">
      <c r="B114" s="20"/>
      <c r="C114" s="4"/>
      <c r="D114" s="4"/>
      <c r="E114" s="26"/>
      <c r="F114" s="27"/>
      <c r="G114" s="47"/>
      <c r="H114" s="47"/>
      <c r="I114" s="9"/>
      <c r="J114" s="27"/>
      <c r="K114" s="8"/>
      <c r="L114" s="7"/>
      <c r="M114" s="30"/>
      <c r="N114" s="11"/>
      <c r="O114" s="16"/>
      <c r="P114" s="30"/>
      <c r="Q114" s="21"/>
    </row>
    <row r="115" spans="2:17" s="3" customFormat="1" ht="18" customHeight="1" x14ac:dyDescent="0.15">
      <c r="B115" s="20"/>
      <c r="C115" s="4"/>
      <c r="D115" s="4"/>
      <c r="E115" s="8"/>
      <c r="F115" s="9"/>
      <c r="G115" s="47"/>
      <c r="H115" s="47"/>
      <c r="I115" s="9"/>
      <c r="J115" s="32"/>
      <c r="K115" s="8"/>
      <c r="L115" s="7"/>
      <c r="M115" s="30"/>
      <c r="N115" s="11"/>
      <c r="O115" s="16"/>
      <c r="P115" s="30"/>
      <c r="Q115" s="21"/>
    </row>
    <row r="116" spans="2:17" s="3" customFormat="1" ht="18" customHeight="1" x14ac:dyDescent="0.15">
      <c r="B116" s="20"/>
      <c r="C116" s="20"/>
      <c r="D116" s="20"/>
      <c r="E116" s="8"/>
      <c r="F116" s="9"/>
      <c r="G116" s="47"/>
      <c r="H116" s="47"/>
      <c r="I116" s="9"/>
      <c r="J116" s="7"/>
      <c r="K116" s="8"/>
      <c r="L116" s="7"/>
      <c r="M116" s="30"/>
      <c r="N116" s="11"/>
      <c r="O116" s="16"/>
      <c r="P116" s="11"/>
      <c r="Q116" s="21"/>
    </row>
    <row r="117" spans="2:17" s="3" customFormat="1" ht="18" customHeight="1" x14ac:dyDescent="0.15">
      <c r="B117" s="20"/>
      <c r="C117" s="20"/>
      <c r="D117" s="20"/>
      <c r="E117" s="8"/>
      <c r="F117" s="9"/>
      <c r="G117" s="47"/>
      <c r="H117" s="47"/>
      <c r="I117" s="9"/>
      <c r="J117" s="7"/>
      <c r="K117" s="8"/>
      <c r="L117" s="7"/>
      <c r="M117" s="30"/>
      <c r="N117" s="11"/>
      <c r="O117" s="16"/>
      <c r="P117" s="11"/>
      <c r="Q117" s="21"/>
    </row>
    <row r="118" spans="2:17" ht="18" customHeight="1" x14ac:dyDescent="0.15">
      <c r="B118" s="20"/>
      <c r="C118" s="20"/>
      <c r="D118" s="20"/>
      <c r="E118" s="8"/>
      <c r="F118" s="9"/>
      <c r="G118" s="47"/>
      <c r="H118" s="47"/>
      <c r="I118" s="9"/>
      <c r="J118" s="7"/>
      <c r="K118" s="8"/>
      <c r="L118" s="7"/>
      <c r="M118" s="30"/>
      <c r="N118" s="11"/>
      <c r="O118" s="16"/>
      <c r="P118" s="18"/>
      <c r="Q118" s="22"/>
    </row>
    <row r="122" spans="2:17" x14ac:dyDescent="0.15">
      <c r="M122" s="19"/>
    </row>
    <row r="123" spans="2:17" x14ac:dyDescent="0.15">
      <c r="B123" s="40"/>
      <c r="C123" s="41"/>
      <c r="D123" s="40"/>
      <c r="E123" s="42"/>
      <c r="F123" s="43"/>
      <c r="G123" s="41"/>
      <c r="H123" s="41"/>
      <c r="I123" s="44"/>
      <c r="J123" s="40"/>
      <c r="M123" s="10"/>
    </row>
    <row r="124" spans="2:17" x14ac:dyDescent="0.15">
      <c r="M124" s="19"/>
    </row>
    <row r="125" spans="2:17" x14ac:dyDescent="0.15">
      <c r="E125" s="45" t="s">
        <v>37</v>
      </c>
      <c r="M125" s="10"/>
    </row>
    <row r="126" spans="2:17" x14ac:dyDescent="0.15">
      <c r="E126" s="45" t="s">
        <v>36</v>
      </c>
    </row>
    <row r="127" spans="2:17" x14ac:dyDescent="0.15">
      <c r="E127" s="45" t="s">
        <v>35</v>
      </c>
    </row>
    <row r="128" spans="2:17" x14ac:dyDescent="0.15">
      <c r="E128" s="45" t="s">
        <v>34</v>
      </c>
    </row>
    <row r="129" spans="5:5" x14ac:dyDescent="0.15">
      <c r="E129" s="45" t="s">
        <v>33</v>
      </c>
    </row>
    <row r="130" spans="5:5" x14ac:dyDescent="0.15">
      <c r="E130" s="45" t="s">
        <v>32</v>
      </c>
    </row>
    <row r="131" spans="5:5" x14ac:dyDescent="0.15">
      <c r="E131" s="46" t="s">
        <v>31</v>
      </c>
    </row>
    <row r="132" spans="5:5" x14ac:dyDescent="0.15">
      <c r="E132" s="46" t="s">
        <v>30</v>
      </c>
    </row>
    <row r="133" spans="5:5" x14ac:dyDescent="0.15">
      <c r="E133" s="46" t="s">
        <v>29</v>
      </c>
    </row>
    <row r="134" spans="5:5" x14ac:dyDescent="0.15">
      <c r="E134" s="45"/>
    </row>
  </sheetData>
  <autoFilter ref="B8:O88"/>
  <mergeCells count="14">
    <mergeCell ref="C51:E51"/>
    <mergeCell ref="F32:H32"/>
    <mergeCell ref="F38:H38"/>
    <mergeCell ref="F49:H49"/>
    <mergeCell ref="F60:H60"/>
    <mergeCell ref="C34:E34"/>
    <mergeCell ref="C40:E40"/>
    <mergeCell ref="C9:E9"/>
    <mergeCell ref="B2:D2"/>
    <mergeCell ref="G2:I2"/>
    <mergeCell ref="B3:D3"/>
    <mergeCell ref="B4:D4"/>
    <mergeCell ref="B5:D5"/>
    <mergeCell ref="B6:D6"/>
  </mergeCells>
  <phoneticPr fontId="9"/>
  <dataValidations disablePrompts="1" count="1">
    <dataValidation imeMode="hiragana" allowBlank="1" showInputMessage="1" showErrorMessage="1" sqref="J34 J36:J37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2:R132"/>
  <sheetViews>
    <sheetView tabSelected="1" zoomScale="85" zoomScaleNormal="85" workbookViewId="0">
      <pane xSplit="10" ySplit="8" topLeftCell="K25" activePane="bottomRight" state="frozen"/>
      <selection pane="topRight" activeCell="K1" sqref="K1"/>
      <selection pane="bottomLeft" activeCell="A9" sqref="A9"/>
      <selection pane="bottomRight" activeCell="Q34" sqref="Q34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</cols>
  <sheetData>
    <row r="2" spans="2:17" ht="20.100000000000001" customHeight="1" x14ac:dyDescent="0.15">
      <c r="B2" s="131" t="s">
        <v>9</v>
      </c>
      <c r="C2" s="131"/>
      <c r="D2" s="131"/>
      <c r="E2" s="25" t="s">
        <v>142</v>
      </c>
      <c r="G2" s="132" t="s">
        <v>13</v>
      </c>
      <c r="H2" s="133"/>
      <c r="I2" s="134"/>
      <c r="J2" s="14">
        <f>SUM(H$1:H$65571)</f>
        <v>154794</v>
      </c>
      <c r="K2" s="6"/>
      <c r="L2" s="10"/>
    </row>
    <row r="3" spans="2:17" ht="20.100000000000001" customHeight="1" x14ac:dyDescent="0.15">
      <c r="B3" s="131" t="s">
        <v>8</v>
      </c>
      <c r="C3" s="131"/>
      <c r="D3" s="131"/>
      <c r="E3" s="12" t="s">
        <v>143</v>
      </c>
    </row>
    <row r="4" spans="2:17" ht="20.100000000000001" customHeight="1" x14ac:dyDescent="0.15">
      <c r="B4" s="131" t="s">
        <v>10</v>
      </c>
      <c r="C4" s="131"/>
      <c r="D4" s="131"/>
      <c r="E4" s="12" t="s">
        <v>120</v>
      </c>
    </row>
    <row r="5" spans="2:17" ht="20.100000000000001" customHeight="1" x14ac:dyDescent="0.15">
      <c r="B5" s="131" t="s">
        <v>11</v>
      </c>
      <c r="C5" s="131"/>
      <c r="D5" s="131"/>
      <c r="E5" s="13">
        <v>42969</v>
      </c>
      <c r="H5" s="113"/>
      <c r="I5" s="116" t="s">
        <v>135</v>
      </c>
    </row>
    <row r="6" spans="2:17" ht="20.100000000000001" customHeight="1" x14ac:dyDescent="0.15">
      <c r="B6" s="131" t="s">
        <v>12</v>
      </c>
      <c r="C6" s="131"/>
      <c r="D6" s="131"/>
      <c r="E6" s="13">
        <v>42972</v>
      </c>
    </row>
    <row r="8" spans="2:17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45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44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7" s="3" customFormat="1" ht="19.5" customHeight="1" x14ac:dyDescent="0.15">
      <c r="B9" s="4"/>
      <c r="C9" s="128" t="s">
        <v>49</v>
      </c>
      <c r="D9" s="129"/>
      <c r="E9" s="130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7" s="3" customFormat="1" ht="19.5" customHeight="1" x14ac:dyDescent="0.15">
      <c r="B10" s="4">
        <v>1</v>
      </c>
      <c r="C10" s="56" t="s">
        <v>24</v>
      </c>
      <c r="D10" s="56" t="s">
        <v>24</v>
      </c>
      <c r="E10" s="72" t="s">
        <v>89</v>
      </c>
      <c r="F10" s="1">
        <v>1</v>
      </c>
      <c r="G10" s="47">
        <v>9000</v>
      </c>
      <c r="H10" s="47">
        <f t="shared" ref="H10:H20" si="0">F10*G10</f>
        <v>9000</v>
      </c>
      <c r="I10" s="70"/>
      <c r="J10" s="32" t="s">
        <v>80</v>
      </c>
      <c r="K10" s="1"/>
      <c r="L10" s="1"/>
      <c r="M10" s="30">
        <v>42944</v>
      </c>
      <c r="N10" s="4"/>
      <c r="O10" s="35">
        <v>42969</v>
      </c>
      <c r="P10" s="35">
        <v>42969</v>
      </c>
      <c r="Q10" s="21">
        <v>42969</v>
      </c>
    </row>
    <row r="11" spans="2:17" s="3" customFormat="1" ht="19.5" customHeight="1" x14ac:dyDescent="0.15">
      <c r="B11" s="4">
        <v>2</v>
      </c>
      <c r="C11" s="56" t="s">
        <v>24</v>
      </c>
      <c r="D11" s="56" t="s">
        <v>24</v>
      </c>
      <c r="E11" s="72" t="s">
        <v>133</v>
      </c>
      <c r="F11" s="1">
        <v>1</v>
      </c>
      <c r="G11" s="47">
        <v>9000</v>
      </c>
      <c r="H11" s="47">
        <f t="shared" si="0"/>
        <v>9000</v>
      </c>
      <c r="I11" s="73"/>
      <c r="J11" s="32" t="s">
        <v>124</v>
      </c>
      <c r="K11" s="1"/>
      <c r="L11" s="1"/>
      <c r="M11" s="30">
        <v>42944</v>
      </c>
      <c r="N11" s="4"/>
      <c r="O11" s="35">
        <v>42969</v>
      </c>
      <c r="P11" s="35">
        <v>42969</v>
      </c>
      <c r="Q11" s="21">
        <v>42969</v>
      </c>
    </row>
    <row r="12" spans="2:17" s="3" customFormat="1" ht="19.5" customHeight="1" x14ac:dyDescent="0.15">
      <c r="B12" s="4">
        <f>+B11+1</f>
        <v>3</v>
      </c>
      <c r="C12" s="64" t="s">
        <v>24</v>
      </c>
      <c r="D12" s="64" t="s">
        <v>24</v>
      </c>
      <c r="E12" s="72" t="s">
        <v>91</v>
      </c>
      <c r="F12" s="49">
        <v>1</v>
      </c>
      <c r="G12" s="101">
        <v>2800</v>
      </c>
      <c r="H12" s="47">
        <f t="shared" si="0"/>
        <v>2800</v>
      </c>
      <c r="I12" s="73"/>
      <c r="J12" s="75" t="s">
        <v>82</v>
      </c>
      <c r="K12" s="1"/>
      <c r="L12" s="1"/>
      <c r="M12" s="30">
        <v>42944</v>
      </c>
      <c r="N12" s="4"/>
      <c r="O12" s="35">
        <v>42969</v>
      </c>
      <c r="P12" s="35">
        <v>42969</v>
      </c>
      <c r="Q12" s="21">
        <v>42969</v>
      </c>
    </row>
    <row r="13" spans="2:17" s="3" customFormat="1" ht="19.5" customHeight="1" x14ac:dyDescent="0.15">
      <c r="B13" s="4">
        <f>+B12+1</f>
        <v>4</v>
      </c>
      <c r="C13" s="64" t="s">
        <v>24</v>
      </c>
      <c r="D13" s="64" t="s">
        <v>24</v>
      </c>
      <c r="E13" s="90" t="s">
        <v>134</v>
      </c>
      <c r="F13" s="1">
        <v>1</v>
      </c>
      <c r="G13" s="104">
        <v>16000</v>
      </c>
      <c r="H13" s="104">
        <f t="shared" si="0"/>
        <v>16000</v>
      </c>
      <c r="I13" s="2"/>
      <c r="J13" s="24" t="s">
        <v>95</v>
      </c>
      <c r="K13" s="1"/>
      <c r="L13" s="1"/>
      <c r="M13" s="30">
        <v>42944</v>
      </c>
      <c r="N13" s="4"/>
      <c r="O13" s="35">
        <v>42969</v>
      </c>
      <c r="P13" s="35">
        <v>42969</v>
      </c>
      <c r="Q13" s="21">
        <v>42969</v>
      </c>
    </row>
    <row r="14" spans="2:17" s="3" customFormat="1" ht="19.5" customHeight="1" x14ac:dyDescent="0.15">
      <c r="B14" s="4">
        <f>+B13+1</f>
        <v>5</v>
      </c>
      <c r="C14" s="4" t="s">
        <v>20</v>
      </c>
      <c r="D14" s="4" t="s">
        <v>20</v>
      </c>
      <c r="E14" s="54" t="s">
        <v>62</v>
      </c>
      <c r="F14" s="1">
        <v>5</v>
      </c>
      <c r="G14" s="47">
        <v>120</v>
      </c>
      <c r="H14" s="47">
        <f t="shared" si="0"/>
        <v>600</v>
      </c>
      <c r="I14" s="9"/>
      <c r="J14" s="54" t="s">
        <v>48</v>
      </c>
      <c r="K14" s="1"/>
      <c r="L14" s="1"/>
      <c r="M14" s="30">
        <v>42944</v>
      </c>
      <c r="N14" s="4"/>
      <c r="O14" s="35"/>
      <c r="P14" s="30">
        <v>42968</v>
      </c>
      <c r="Q14" s="21">
        <v>42968</v>
      </c>
    </row>
    <row r="15" spans="2:17" s="3" customFormat="1" ht="19.5" customHeight="1" x14ac:dyDescent="0.15">
      <c r="B15" s="4">
        <f t="shared" ref="B15:B45" si="1">+B14+1</f>
        <v>6</v>
      </c>
      <c r="C15" s="4" t="s">
        <v>20</v>
      </c>
      <c r="D15" s="4" t="s">
        <v>20</v>
      </c>
      <c r="E15" s="54" t="s">
        <v>63</v>
      </c>
      <c r="F15" s="1">
        <v>34</v>
      </c>
      <c r="G15" s="47">
        <v>19</v>
      </c>
      <c r="H15" s="47">
        <f t="shared" si="0"/>
        <v>646</v>
      </c>
      <c r="I15" s="9"/>
      <c r="J15" s="54" t="s">
        <v>47</v>
      </c>
      <c r="K15" s="1"/>
      <c r="L15" s="1"/>
      <c r="M15" s="30">
        <v>42944</v>
      </c>
      <c r="N15" s="4"/>
      <c r="O15" s="35"/>
      <c r="P15" s="30">
        <v>42968</v>
      </c>
      <c r="Q15" s="21">
        <v>42968</v>
      </c>
    </row>
    <row r="16" spans="2:17" s="3" customFormat="1" ht="19.5" customHeight="1" x14ac:dyDescent="0.15">
      <c r="B16" s="4">
        <f t="shared" si="1"/>
        <v>7</v>
      </c>
      <c r="C16" s="4" t="s">
        <v>20</v>
      </c>
      <c r="D16" s="4" t="s">
        <v>20</v>
      </c>
      <c r="E16" s="33" t="s">
        <v>58</v>
      </c>
      <c r="F16" s="38">
        <v>10</v>
      </c>
      <c r="G16" s="47">
        <v>20</v>
      </c>
      <c r="H16" s="47">
        <f t="shared" si="0"/>
        <v>200</v>
      </c>
      <c r="I16" s="9"/>
      <c r="J16" s="54" t="s">
        <v>59</v>
      </c>
      <c r="K16" s="1"/>
      <c r="L16" s="1"/>
      <c r="M16" s="30">
        <v>42944</v>
      </c>
      <c r="N16" s="4"/>
      <c r="O16" s="35"/>
      <c r="P16" s="30">
        <v>42968</v>
      </c>
      <c r="Q16" s="21">
        <v>42968</v>
      </c>
    </row>
    <row r="17" spans="2:17" s="3" customFormat="1" ht="19.5" customHeight="1" x14ac:dyDescent="0.15">
      <c r="B17" s="4">
        <f t="shared" si="1"/>
        <v>8</v>
      </c>
      <c r="C17" s="4" t="s">
        <v>20</v>
      </c>
      <c r="D17" s="4" t="s">
        <v>20</v>
      </c>
      <c r="E17" s="33" t="s">
        <v>61</v>
      </c>
      <c r="F17" s="38">
        <v>10</v>
      </c>
      <c r="G17" s="47">
        <v>25</v>
      </c>
      <c r="H17" s="47">
        <f t="shared" si="0"/>
        <v>250</v>
      </c>
      <c r="I17" s="9"/>
      <c r="J17" s="54" t="s">
        <v>60</v>
      </c>
      <c r="K17" s="1"/>
      <c r="L17" s="1"/>
      <c r="M17" s="30">
        <v>42944</v>
      </c>
      <c r="N17" s="4"/>
      <c r="O17" s="35"/>
      <c r="P17" s="30">
        <v>42968</v>
      </c>
      <c r="Q17" s="21">
        <v>42968</v>
      </c>
    </row>
    <row r="18" spans="2:17" s="3" customFormat="1" ht="19.5" customHeight="1" x14ac:dyDescent="0.15">
      <c r="B18" s="4">
        <f t="shared" si="1"/>
        <v>9</v>
      </c>
      <c r="C18" s="4" t="s">
        <v>20</v>
      </c>
      <c r="D18" s="4" t="s">
        <v>20</v>
      </c>
      <c r="E18" s="33" t="s">
        <v>25</v>
      </c>
      <c r="F18" s="38">
        <v>10</v>
      </c>
      <c r="G18" s="47">
        <v>25</v>
      </c>
      <c r="H18" s="47">
        <f t="shared" si="0"/>
        <v>250</v>
      </c>
      <c r="I18" s="9"/>
      <c r="J18" s="54" t="s">
        <v>26</v>
      </c>
      <c r="K18" s="1"/>
      <c r="L18" s="1"/>
      <c r="M18" s="30">
        <v>42944</v>
      </c>
      <c r="N18" s="4"/>
      <c r="O18" s="35"/>
      <c r="P18" s="30">
        <v>42968</v>
      </c>
      <c r="Q18" s="21">
        <v>42968</v>
      </c>
    </row>
    <row r="19" spans="2:17" s="3" customFormat="1" ht="19.5" customHeight="1" x14ac:dyDescent="0.15">
      <c r="B19" s="4">
        <f t="shared" si="1"/>
        <v>10</v>
      </c>
      <c r="C19" s="4" t="s">
        <v>20</v>
      </c>
      <c r="D19" s="4" t="s">
        <v>20</v>
      </c>
      <c r="E19" s="33" t="s">
        <v>43</v>
      </c>
      <c r="F19" s="38">
        <v>2</v>
      </c>
      <c r="G19" s="47">
        <v>80</v>
      </c>
      <c r="H19" s="47">
        <f t="shared" si="0"/>
        <v>160</v>
      </c>
      <c r="I19" s="9"/>
      <c r="J19" s="54" t="s">
        <v>42</v>
      </c>
      <c r="K19" s="1"/>
      <c r="L19" s="1"/>
      <c r="M19" s="30">
        <v>42944</v>
      </c>
      <c r="N19" s="4"/>
      <c r="O19" s="35"/>
      <c r="P19" s="30">
        <v>42968</v>
      </c>
      <c r="Q19" s="21">
        <v>42968</v>
      </c>
    </row>
    <row r="20" spans="2:17" s="3" customFormat="1" ht="19.5" customHeight="1" x14ac:dyDescent="0.15">
      <c r="B20" s="4">
        <f t="shared" si="1"/>
        <v>11</v>
      </c>
      <c r="C20" s="4" t="s">
        <v>20</v>
      </c>
      <c r="D20" s="4" t="s">
        <v>20</v>
      </c>
      <c r="E20" s="51" t="s">
        <v>27</v>
      </c>
      <c r="F20" s="52">
        <v>2</v>
      </c>
      <c r="G20" s="47">
        <v>75</v>
      </c>
      <c r="H20" s="47">
        <f t="shared" si="0"/>
        <v>150</v>
      </c>
      <c r="I20" s="9"/>
      <c r="J20" s="54" t="s">
        <v>22</v>
      </c>
      <c r="K20" s="1"/>
      <c r="L20" s="1"/>
      <c r="M20" s="30">
        <v>42944</v>
      </c>
      <c r="N20" s="4"/>
      <c r="O20" s="35"/>
      <c r="P20" s="30">
        <v>42968</v>
      </c>
      <c r="Q20" s="21">
        <v>42968</v>
      </c>
    </row>
    <row r="21" spans="2:17" s="3" customFormat="1" ht="19.5" customHeight="1" x14ac:dyDescent="0.15">
      <c r="B21" s="4">
        <f t="shared" si="1"/>
        <v>12</v>
      </c>
      <c r="C21" s="4" t="s">
        <v>20</v>
      </c>
      <c r="D21" s="4" t="s">
        <v>20</v>
      </c>
      <c r="E21" s="53" t="s">
        <v>41</v>
      </c>
      <c r="F21" s="1">
        <v>1</v>
      </c>
      <c r="G21" s="47">
        <v>16800</v>
      </c>
      <c r="H21" s="47">
        <f>F21*G21</f>
        <v>16800</v>
      </c>
      <c r="I21" s="9"/>
      <c r="J21" s="24" t="s">
        <v>40</v>
      </c>
      <c r="K21" s="1"/>
      <c r="L21" s="1"/>
      <c r="M21" s="30">
        <v>42944</v>
      </c>
      <c r="N21" s="4"/>
      <c r="O21" s="35"/>
      <c r="P21" s="30">
        <v>42968</v>
      </c>
      <c r="Q21" s="21">
        <v>42968</v>
      </c>
    </row>
    <row r="22" spans="2:17" s="3" customFormat="1" ht="19.5" customHeight="1" x14ac:dyDescent="0.15">
      <c r="B22" s="4">
        <f t="shared" si="1"/>
        <v>13</v>
      </c>
      <c r="C22" s="4" t="s">
        <v>69</v>
      </c>
      <c r="D22" s="4" t="s">
        <v>69</v>
      </c>
      <c r="E22" s="115" t="s">
        <v>123</v>
      </c>
      <c r="F22" s="1">
        <v>4</v>
      </c>
      <c r="G22" s="103">
        <v>620</v>
      </c>
      <c r="H22" s="104">
        <f t="shared" ref="H22:H28" si="2">F22*G22</f>
        <v>2480</v>
      </c>
      <c r="I22" s="2"/>
      <c r="J22" s="92" t="s">
        <v>98</v>
      </c>
      <c r="K22" s="1"/>
      <c r="L22" s="1"/>
      <c r="M22" s="30">
        <v>42944</v>
      </c>
      <c r="N22" s="4"/>
      <c r="O22" s="35"/>
      <c r="P22" s="30">
        <v>42968</v>
      </c>
      <c r="Q22" s="21">
        <v>42968</v>
      </c>
    </row>
    <row r="23" spans="2:17" s="3" customFormat="1" ht="19.5" customHeight="1" x14ac:dyDescent="0.15">
      <c r="B23" s="4">
        <f>+B22+1</f>
        <v>14</v>
      </c>
      <c r="C23" s="94" t="s">
        <v>112</v>
      </c>
      <c r="D23" s="94" t="s">
        <v>112</v>
      </c>
      <c r="E23" s="99" t="s">
        <v>122</v>
      </c>
      <c r="F23" s="95">
        <v>4</v>
      </c>
      <c r="G23" s="95">
        <v>39</v>
      </c>
      <c r="H23" s="118">
        <f t="shared" si="2"/>
        <v>156</v>
      </c>
      <c r="I23" s="97"/>
      <c r="J23" s="98" t="s">
        <v>121</v>
      </c>
      <c r="K23" s="1"/>
      <c r="L23" s="1"/>
      <c r="M23" s="30">
        <v>42944</v>
      </c>
      <c r="N23" s="4"/>
      <c r="O23" s="35"/>
      <c r="P23" s="30">
        <v>42968</v>
      </c>
      <c r="Q23" s="21">
        <v>42968</v>
      </c>
    </row>
    <row r="24" spans="2:17" s="3" customFormat="1" ht="19.5" customHeight="1" x14ac:dyDescent="0.15">
      <c r="B24" s="4">
        <f t="shared" si="1"/>
        <v>15</v>
      </c>
      <c r="C24" s="4" t="s">
        <v>69</v>
      </c>
      <c r="D24" s="4" t="s">
        <v>69</v>
      </c>
      <c r="E24" s="115" t="s">
        <v>125</v>
      </c>
      <c r="F24" s="1">
        <v>1</v>
      </c>
      <c r="G24" s="103">
        <v>6220</v>
      </c>
      <c r="H24" s="104">
        <f t="shared" si="2"/>
        <v>6220</v>
      </c>
      <c r="I24" s="2"/>
      <c r="J24" s="92" t="s">
        <v>100</v>
      </c>
      <c r="K24" s="1"/>
      <c r="L24" s="1"/>
      <c r="M24" s="30">
        <v>42944</v>
      </c>
      <c r="N24" s="4"/>
      <c r="O24" s="35"/>
      <c r="P24" s="30">
        <v>42968</v>
      </c>
      <c r="Q24" s="21">
        <v>42968</v>
      </c>
    </row>
    <row r="25" spans="2:17" s="3" customFormat="1" ht="19.5" customHeight="1" x14ac:dyDescent="0.15">
      <c r="B25" s="4">
        <f t="shared" si="1"/>
        <v>16</v>
      </c>
      <c r="C25" s="4" t="s">
        <v>69</v>
      </c>
      <c r="D25" s="4" t="s">
        <v>69</v>
      </c>
      <c r="E25" s="90" t="s">
        <v>111</v>
      </c>
      <c r="F25" s="1">
        <v>1</v>
      </c>
      <c r="G25" s="104">
        <v>1725</v>
      </c>
      <c r="H25" s="104">
        <f>F25*G25</f>
        <v>1725</v>
      </c>
      <c r="I25" s="2"/>
      <c r="J25" s="92" t="s">
        <v>101</v>
      </c>
      <c r="K25" s="1"/>
      <c r="L25" s="1"/>
      <c r="M25" s="30">
        <v>42944</v>
      </c>
      <c r="N25" s="4"/>
      <c r="O25" s="35"/>
      <c r="P25" s="30">
        <v>42968</v>
      </c>
      <c r="Q25" s="21">
        <v>42968</v>
      </c>
    </row>
    <row r="26" spans="2:17" s="3" customFormat="1" ht="19.5" customHeight="1" x14ac:dyDescent="0.15">
      <c r="B26" s="4">
        <f t="shared" si="1"/>
        <v>17</v>
      </c>
      <c r="C26" s="4" t="s">
        <v>69</v>
      </c>
      <c r="D26" s="4" t="s">
        <v>69</v>
      </c>
      <c r="E26" s="119" t="s">
        <v>126</v>
      </c>
      <c r="F26" s="1">
        <v>1</v>
      </c>
      <c r="G26" s="103">
        <v>3800</v>
      </c>
      <c r="H26" s="104">
        <f t="shared" si="2"/>
        <v>3800</v>
      </c>
      <c r="I26" s="2"/>
      <c r="J26" s="92" t="s">
        <v>103</v>
      </c>
      <c r="K26" s="1"/>
      <c r="L26" s="1"/>
      <c r="M26" s="30">
        <v>42944</v>
      </c>
      <c r="N26" s="4"/>
      <c r="O26" s="35"/>
      <c r="P26" s="30">
        <v>42968</v>
      </c>
      <c r="Q26" s="21">
        <v>42968</v>
      </c>
    </row>
    <row r="27" spans="2:17" s="3" customFormat="1" ht="19.5" customHeight="1" x14ac:dyDescent="0.15">
      <c r="B27" s="4">
        <f t="shared" si="1"/>
        <v>18</v>
      </c>
      <c r="C27" s="4" t="s">
        <v>69</v>
      </c>
      <c r="D27" s="4" t="s">
        <v>69</v>
      </c>
      <c r="E27" s="119" t="s">
        <v>127</v>
      </c>
      <c r="F27" s="1">
        <v>1</v>
      </c>
      <c r="G27" s="103">
        <v>32000</v>
      </c>
      <c r="H27" s="104">
        <f t="shared" si="2"/>
        <v>32000</v>
      </c>
      <c r="I27" s="2"/>
      <c r="J27" s="92" t="s">
        <v>105</v>
      </c>
      <c r="K27" s="1"/>
      <c r="L27" s="1"/>
      <c r="M27" s="30">
        <v>42944</v>
      </c>
      <c r="N27" s="4"/>
      <c r="O27" s="35"/>
      <c r="P27" s="30">
        <v>42968</v>
      </c>
      <c r="Q27" s="21">
        <v>42968</v>
      </c>
    </row>
    <row r="28" spans="2:17" s="3" customFormat="1" ht="19.5" customHeight="1" x14ac:dyDescent="0.15">
      <c r="B28" s="4">
        <f t="shared" si="1"/>
        <v>19</v>
      </c>
      <c r="C28" s="4" t="s">
        <v>69</v>
      </c>
      <c r="D28" s="4" t="s">
        <v>69</v>
      </c>
      <c r="E28" s="119" t="s">
        <v>128</v>
      </c>
      <c r="F28" s="1">
        <v>1</v>
      </c>
      <c r="G28" s="103">
        <v>333</v>
      </c>
      <c r="H28" s="104">
        <f t="shared" si="2"/>
        <v>333</v>
      </c>
      <c r="I28" s="2"/>
      <c r="J28" s="92" t="s">
        <v>107</v>
      </c>
      <c r="K28" s="1"/>
      <c r="L28" s="1"/>
      <c r="M28" s="30">
        <v>42944</v>
      </c>
      <c r="N28" s="4"/>
      <c r="O28" s="35"/>
      <c r="P28" s="30">
        <v>42968</v>
      </c>
      <c r="Q28" s="21">
        <v>42968</v>
      </c>
    </row>
    <row r="29" spans="2:17" s="3" customFormat="1" ht="19.5" customHeight="1" x14ac:dyDescent="0.15">
      <c r="B29" s="4">
        <f t="shared" si="1"/>
        <v>20</v>
      </c>
      <c r="C29" s="4" t="s">
        <v>69</v>
      </c>
      <c r="D29" s="4" t="s">
        <v>69</v>
      </c>
      <c r="E29" s="90" t="s">
        <v>108</v>
      </c>
      <c r="F29" s="1">
        <v>1</v>
      </c>
      <c r="G29" s="104">
        <v>106</v>
      </c>
      <c r="H29" s="104">
        <f>F29*G29</f>
        <v>106</v>
      </c>
      <c r="I29" s="2"/>
      <c r="J29" s="93" t="s">
        <v>109</v>
      </c>
      <c r="K29" s="1"/>
      <c r="L29" s="1"/>
      <c r="M29" s="30">
        <v>42944</v>
      </c>
      <c r="N29" s="4"/>
      <c r="O29" s="35"/>
      <c r="P29" s="30">
        <v>42968</v>
      </c>
      <c r="Q29" s="21">
        <v>42968</v>
      </c>
    </row>
    <row r="30" spans="2:17" s="3" customFormat="1" ht="19.5" customHeight="1" x14ac:dyDescent="0.15">
      <c r="B30" s="4">
        <f t="shared" si="1"/>
        <v>21</v>
      </c>
      <c r="C30" s="4" t="s">
        <v>69</v>
      </c>
      <c r="D30" s="4" t="s">
        <v>69</v>
      </c>
      <c r="E30" s="90" t="s">
        <v>130</v>
      </c>
      <c r="F30" s="1">
        <v>2</v>
      </c>
      <c r="G30" s="104">
        <v>106</v>
      </c>
      <c r="H30" s="104">
        <f>F30*G30</f>
        <v>212</v>
      </c>
      <c r="I30" s="2"/>
      <c r="J30" s="93" t="s">
        <v>109</v>
      </c>
      <c r="K30" s="1"/>
      <c r="L30" s="1"/>
      <c r="M30" s="30">
        <v>42944</v>
      </c>
      <c r="N30" s="4"/>
      <c r="O30" s="35"/>
      <c r="P30" s="30">
        <v>42968</v>
      </c>
      <c r="Q30" s="21">
        <v>42968</v>
      </c>
    </row>
    <row r="31" spans="2:17" s="3" customFormat="1" ht="19.5" customHeight="1" x14ac:dyDescent="0.15">
      <c r="B31" s="4">
        <f t="shared" si="1"/>
        <v>22</v>
      </c>
      <c r="C31" s="4" t="s">
        <v>69</v>
      </c>
      <c r="D31" s="4" t="s">
        <v>69</v>
      </c>
      <c r="E31" s="90" t="s">
        <v>129</v>
      </c>
      <c r="F31" s="1">
        <v>2</v>
      </c>
      <c r="G31" s="104">
        <v>109</v>
      </c>
      <c r="H31" s="104">
        <f>F31*G31</f>
        <v>218</v>
      </c>
      <c r="I31" s="2"/>
      <c r="J31" s="93" t="s">
        <v>109</v>
      </c>
      <c r="K31" s="1"/>
      <c r="L31" s="1"/>
      <c r="M31" s="30">
        <v>42944</v>
      </c>
      <c r="N31" s="4"/>
      <c r="O31" s="35"/>
      <c r="P31" s="30">
        <v>42968</v>
      </c>
      <c r="Q31" s="21">
        <v>42968</v>
      </c>
    </row>
    <row r="32" spans="2:17" s="3" customFormat="1" ht="19.5" customHeight="1" x14ac:dyDescent="0.15">
      <c r="B32" s="4">
        <f t="shared" si="1"/>
        <v>23</v>
      </c>
      <c r="C32" s="4" t="s">
        <v>69</v>
      </c>
      <c r="D32" s="4" t="s">
        <v>69</v>
      </c>
      <c r="E32" s="90" t="s">
        <v>131</v>
      </c>
      <c r="F32" s="2">
        <v>2</v>
      </c>
      <c r="G32" s="104">
        <v>129</v>
      </c>
      <c r="H32" s="104">
        <f>F32*G32</f>
        <v>258</v>
      </c>
      <c r="I32" s="2"/>
      <c r="J32" s="93" t="s">
        <v>132</v>
      </c>
      <c r="K32" s="1"/>
      <c r="L32" s="1"/>
      <c r="M32" s="30">
        <v>42944</v>
      </c>
      <c r="N32" s="4"/>
      <c r="O32" s="35"/>
      <c r="P32" s="30">
        <v>42968</v>
      </c>
      <c r="Q32" s="21">
        <v>42968</v>
      </c>
    </row>
    <row r="33" spans="2:17" s="3" customFormat="1" ht="19.5" customHeight="1" x14ac:dyDescent="0.15">
      <c r="B33" s="4">
        <f>+B32+1</f>
        <v>24</v>
      </c>
      <c r="C33" s="4" t="s">
        <v>20</v>
      </c>
      <c r="D33" s="4" t="s">
        <v>20</v>
      </c>
      <c r="E33" s="90" t="s">
        <v>118</v>
      </c>
      <c r="F33" s="2">
        <v>1</v>
      </c>
      <c r="G33" s="104">
        <v>1789</v>
      </c>
      <c r="H33" s="104">
        <f>F33*G33</f>
        <v>1789</v>
      </c>
      <c r="I33" s="2"/>
      <c r="J33" s="93" t="s">
        <v>119</v>
      </c>
      <c r="K33" s="1"/>
      <c r="L33" s="1"/>
      <c r="M33" s="30">
        <v>42944</v>
      </c>
      <c r="N33" s="4"/>
      <c r="O33" s="35"/>
      <c r="P33" s="121" t="s">
        <v>148</v>
      </c>
      <c r="Q33" s="21" t="s">
        <v>149</v>
      </c>
    </row>
    <row r="34" spans="2:17" s="3" customFormat="1" ht="19.5" customHeight="1" x14ac:dyDescent="0.15">
      <c r="B34" s="4"/>
      <c r="C34" s="4"/>
      <c r="D34" s="4"/>
      <c r="E34" s="51"/>
      <c r="F34" s="135">
        <f>SUM(H10:H30)</f>
        <v>102888</v>
      </c>
      <c r="G34" s="136"/>
      <c r="H34" s="137"/>
      <c r="I34" s="9"/>
      <c r="J34" s="54"/>
      <c r="K34" s="1"/>
      <c r="L34" s="1"/>
      <c r="M34" s="30"/>
      <c r="N34" s="4"/>
      <c r="O34" s="35"/>
      <c r="P34" s="30"/>
      <c r="Q34" s="21"/>
    </row>
    <row r="35" spans="2:17" s="3" customFormat="1" ht="19.5" customHeight="1" x14ac:dyDescent="0.15">
      <c r="B35" s="4"/>
      <c r="C35" s="4"/>
      <c r="D35" s="4"/>
      <c r="E35" s="33"/>
      <c r="F35" s="38"/>
      <c r="G35" s="47"/>
      <c r="H35" s="47"/>
      <c r="I35" s="9"/>
      <c r="J35" s="54"/>
      <c r="K35" s="1"/>
      <c r="L35" s="1"/>
      <c r="M35" s="30"/>
      <c r="N35" s="4"/>
      <c r="O35" s="1"/>
      <c r="P35" s="30"/>
      <c r="Q35" s="21"/>
    </row>
    <row r="36" spans="2:17" s="3" customFormat="1" ht="19.5" customHeight="1" x14ac:dyDescent="0.15">
      <c r="B36" s="4"/>
      <c r="C36" s="128" t="s">
        <v>79</v>
      </c>
      <c r="D36" s="129"/>
      <c r="E36" s="130"/>
      <c r="F36" s="38"/>
      <c r="G36" s="47"/>
      <c r="H36" s="47"/>
      <c r="I36" s="9"/>
      <c r="J36" s="54"/>
      <c r="K36" s="1"/>
      <c r="L36" s="1"/>
      <c r="M36" s="30"/>
      <c r="N36" s="4"/>
      <c r="O36" s="1"/>
      <c r="P36" s="30"/>
      <c r="Q36" s="21"/>
    </row>
    <row r="37" spans="2:17" s="3" customFormat="1" ht="19.5" customHeight="1" x14ac:dyDescent="0.15">
      <c r="B37" s="4">
        <f>+B33+1</f>
        <v>25</v>
      </c>
      <c r="C37" s="56" t="s">
        <v>24</v>
      </c>
      <c r="D37" s="56" t="s">
        <v>24</v>
      </c>
      <c r="E37" s="72" t="s">
        <v>85</v>
      </c>
      <c r="F37" s="49">
        <v>1</v>
      </c>
      <c r="G37" s="49">
        <v>8500</v>
      </c>
      <c r="H37" s="47">
        <f t="shared" ref="H37:H45" si="3">F37*G37</f>
        <v>8500</v>
      </c>
      <c r="I37" s="34"/>
      <c r="J37" s="32" t="s">
        <v>83</v>
      </c>
      <c r="K37" s="1"/>
      <c r="L37" s="1"/>
      <c r="M37" s="30">
        <v>42944</v>
      </c>
      <c r="N37" s="4"/>
      <c r="O37" s="35">
        <v>42969</v>
      </c>
      <c r="P37" s="35">
        <v>42969</v>
      </c>
      <c r="Q37" s="21">
        <v>42969</v>
      </c>
    </row>
    <row r="38" spans="2:17" s="3" customFormat="1" ht="19.5" customHeight="1" x14ac:dyDescent="0.15">
      <c r="B38" s="4">
        <f t="shared" si="1"/>
        <v>26</v>
      </c>
      <c r="C38" s="56" t="s">
        <v>24</v>
      </c>
      <c r="D38" s="56" t="s">
        <v>24</v>
      </c>
      <c r="E38" s="72" t="s">
        <v>136</v>
      </c>
      <c r="F38" s="49">
        <v>1</v>
      </c>
      <c r="G38" s="49">
        <v>4800</v>
      </c>
      <c r="H38" s="47">
        <f t="shared" si="3"/>
        <v>4800</v>
      </c>
      <c r="I38" s="34"/>
      <c r="J38" s="32" t="s">
        <v>84</v>
      </c>
      <c r="K38" s="1"/>
      <c r="L38" s="1"/>
      <c r="M38" s="30">
        <v>42944</v>
      </c>
      <c r="N38" s="4"/>
      <c r="O38" s="35">
        <v>42969</v>
      </c>
      <c r="P38" s="35">
        <v>42969</v>
      </c>
      <c r="Q38" s="21">
        <v>42969</v>
      </c>
    </row>
    <row r="39" spans="2:17" s="3" customFormat="1" ht="19.5" customHeight="1" x14ac:dyDescent="0.15">
      <c r="B39" s="4">
        <f t="shared" si="1"/>
        <v>27</v>
      </c>
      <c r="C39" s="56" t="s">
        <v>24</v>
      </c>
      <c r="D39" s="56" t="s">
        <v>24</v>
      </c>
      <c r="E39" s="72" t="s">
        <v>141</v>
      </c>
      <c r="F39" s="49">
        <v>1</v>
      </c>
      <c r="G39" s="49">
        <v>2500</v>
      </c>
      <c r="H39" s="47">
        <f t="shared" si="3"/>
        <v>2500</v>
      </c>
      <c r="I39" s="34"/>
      <c r="J39" s="32" t="s">
        <v>54</v>
      </c>
      <c r="K39" s="1"/>
      <c r="L39" s="1"/>
      <c r="M39" s="30">
        <v>42944</v>
      </c>
      <c r="N39" s="4"/>
      <c r="O39" s="35">
        <v>42969</v>
      </c>
      <c r="P39" s="35">
        <v>42969</v>
      </c>
      <c r="Q39" s="21">
        <v>42969</v>
      </c>
    </row>
    <row r="40" spans="2:17" s="3" customFormat="1" ht="19.5" customHeight="1" x14ac:dyDescent="0.15">
      <c r="B40" s="4">
        <f t="shared" si="1"/>
        <v>28</v>
      </c>
      <c r="C40" s="4" t="s">
        <v>20</v>
      </c>
      <c r="D40" s="4" t="s">
        <v>20</v>
      </c>
      <c r="E40" s="58" t="s">
        <v>50</v>
      </c>
      <c r="F40" s="47">
        <v>2</v>
      </c>
      <c r="G40" s="47">
        <v>460</v>
      </c>
      <c r="H40" s="47">
        <f t="shared" si="3"/>
        <v>920</v>
      </c>
      <c r="I40" s="50"/>
      <c r="J40" s="32" t="s">
        <v>51</v>
      </c>
      <c r="K40" s="1"/>
      <c r="L40" s="1"/>
      <c r="M40" s="30">
        <v>42944</v>
      </c>
      <c r="N40" s="4"/>
      <c r="O40" s="1"/>
      <c r="P40" s="30">
        <v>42968</v>
      </c>
      <c r="Q40" s="21">
        <v>42968</v>
      </c>
    </row>
    <row r="41" spans="2:17" s="3" customFormat="1" ht="19.5" customHeight="1" x14ac:dyDescent="0.15">
      <c r="B41" s="4">
        <f t="shared" si="1"/>
        <v>29</v>
      </c>
      <c r="C41" s="4" t="s">
        <v>20</v>
      </c>
      <c r="D41" s="4" t="s">
        <v>20</v>
      </c>
      <c r="E41" s="58" t="s">
        <v>65</v>
      </c>
      <c r="F41" s="47">
        <v>2</v>
      </c>
      <c r="G41" s="47">
        <v>280</v>
      </c>
      <c r="H41" s="47">
        <f t="shared" si="3"/>
        <v>560</v>
      </c>
      <c r="I41" s="50"/>
      <c r="J41" s="32" t="s">
        <v>52</v>
      </c>
      <c r="K41" s="1"/>
      <c r="L41" s="1"/>
      <c r="M41" s="30">
        <v>42944</v>
      </c>
      <c r="N41" s="4"/>
      <c r="O41" s="1"/>
      <c r="P41" s="30">
        <v>42968</v>
      </c>
      <c r="Q41" s="21">
        <v>42968</v>
      </c>
    </row>
    <row r="42" spans="2:17" s="3" customFormat="1" ht="19.5" customHeight="1" x14ac:dyDescent="0.15">
      <c r="B42" s="4">
        <f t="shared" si="1"/>
        <v>30</v>
      </c>
      <c r="C42" s="4" t="s">
        <v>20</v>
      </c>
      <c r="D42" s="4" t="s">
        <v>20</v>
      </c>
      <c r="E42" s="58" t="s">
        <v>66</v>
      </c>
      <c r="F42" s="47">
        <v>4</v>
      </c>
      <c r="G42" s="47">
        <v>300</v>
      </c>
      <c r="H42" s="47">
        <f t="shared" si="3"/>
        <v>1200</v>
      </c>
      <c r="I42" s="50"/>
      <c r="J42" s="32" t="s">
        <v>52</v>
      </c>
      <c r="K42" s="1"/>
      <c r="L42" s="1"/>
      <c r="M42" s="30">
        <v>42944</v>
      </c>
      <c r="N42" s="4"/>
      <c r="O42" s="1"/>
      <c r="P42" s="30">
        <v>42968</v>
      </c>
      <c r="Q42" s="21">
        <v>42968</v>
      </c>
    </row>
    <row r="43" spans="2:17" s="3" customFormat="1" ht="19.5" customHeight="1" x14ac:dyDescent="0.15">
      <c r="B43" s="4">
        <f t="shared" si="1"/>
        <v>31</v>
      </c>
      <c r="C43" s="20" t="s">
        <v>137</v>
      </c>
      <c r="D43" s="20" t="s">
        <v>138</v>
      </c>
      <c r="E43" s="58" t="s">
        <v>140</v>
      </c>
      <c r="F43" s="117"/>
      <c r="G43" s="47">
        <v>2180</v>
      </c>
      <c r="H43" s="47">
        <f t="shared" si="3"/>
        <v>0</v>
      </c>
      <c r="I43" s="50"/>
      <c r="J43" s="32" t="s">
        <v>139</v>
      </c>
      <c r="K43" s="1"/>
      <c r="L43" s="1"/>
      <c r="M43" s="30"/>
      <c r="N43" s="4"/>
      <c r="O43" s="1"/>
      <c r="P43" s="30"/>
      <c r="Q43" s="21"/>
    </row>
    <row r="44" spans="2:17" s="3" customFormat="1" ht="19.5" customHeight="1" x14ac:dyDescent="0.15">
      <c r="B44" s="4">
        <f>+B43+1</f>
        <v>32</v>
      </c>
      <c r="C44" s="4" t="s">
        <v>20</v>
      </c>
      <c r="D44" s="4" t="s">
        <v>20</v>
      </c>
      <c r="E44" s="36" t="s">
        <v>57</v>
      </c>
      <c r="F44" s="49">
        <v>10</v>
      </c>
      <c r="G44" s="49">
        <v>25</v>
      </c>
      <c r="H44" s="47">
        <f t="shared" si="3"/>
        <v>250</v>
      </c>
      <c r="I44" s="2"/>
      <c r="J44" s="36" t="s">
        <v>53</v>
      </c>
      <c r="K44" s="1"/>
      <c r="L44" s="1"/>
      <c r="M44" s="30">
        <v>42944</v>
      </c>
      <c r="N44" s="4"/>
      <c r="O44" s="1"/>
      <c r="P44" s="30">
        <v>42968</v>
      </c>
      <c r="Q44" s="21">
        <v>42968</v>
      </c>
    </row>
    <row r="45" spans="2:17" s="3" customFormat="1" ht="19.5" customHeight="1" x14ac:dyDescent="0.15">
      <c r="B45" s="4">
        <f t="shared" si="1"/>
        <v>33</v>
      </c>
      <c r="C45" s="4" t="s">
        <v>20</v>
      </c>
      <c r="D45" s="4" t="s">
        <v>20</v>
      </c>
      <c r="E45" s="36" t="s">
        <v>116</v>
      </c>
      <c r="F45" s="49">
        <v>10</v>
      </c>
      <c r="G45" s="49">
        <v>25</v>
      </c>
      <c r="H45" s="47">
        <f t="shared" si="3"/>
        <v>250</v>
      </c>
      <c r="I45" s="2"/>
      <c r="J45" s="36" t="s">
        <v>115</v>
      </c>
      <c r="K45" s="1"/>
      <c r="L45" s="1"/>
      <c r="M45" s="30">
        <v>42944</v>
      </c>
      <c r="N45" s="4"/>
      <c r="O45" s="1"/>
      <c r="P45" s="30">
        <v>42968</v>
      </c>
      <c r="Q45" s="21">
        <v>42968</v>
      </c>
    </row>
    <row r="46" spans="2:17" s="3" customFormat="1" ht="19.5" customHeight="1" x14ac:dyDescent="0.15">
      <c r="B46" s="4"/>
      <c r="C46" s="4"/>
      <c r="D46" s="4"/>
      <c r="E46" s="58"/>
      <c r="F46" s="135">
        <f>SUM(H37:H45)</f>
        <v>18980</v>
      </c>
      <c r="G46" s="136"/>
      <c r="H46" s="137"/>
      <c r="I46" s="50"/>
      <c r="J46" s="32"/>
      <c r="K46" s="1"/>
      <c r="L46" s="1"/>
      <c r="M46" s="30"/>
      <c r="N46" s="4"/>
      <c r="O46" s="1"/>
      <c r="P46" s="30"/>
      <c r="Q46" s="21"/>
    </row>
    <row r="47" spans="2:17" s="3" customFormat="1" ht="19.5" customHeight="1" x14ac:dyDescent="0.15">
      <c r="B47" s="4"/>
      <c r="C47" s="4"/>
      <c r="D47" s="4"/>
      <c r="E47" s="58"/>
      <c r="F47" s="47"/>
      <c r="G47" s="47"/>
      <c r="H47" s="47"/>
      <c r="I47" s="50"/>
      <c r="J47" s="32"/>
      <c r="K47" s="1"/>
      <c r="L47" s="1"/>
      <c r="M47" s="30"/>
      <c r="N47" s="4"/>
      <c r="O47" s="1"/>
      <c r="P47" s="30"/>
      <c r="Q47" s="21"/>
    </row>
    <row r="48" spans="2:17" s="3" customFormat="1" ht="19.5" customHeight="1" x14ac:dyDescent="0.15">
      <c r="B48" s="4"/>
      <c r="C48" s="128" t="s">
        <v>117</v>
      </c>
      <c r="D48" s="129"/>
      <c r="E48" s="130"/>
      <c r="F48" s="47"/>
      <c r="G48" s="47"/>
      <c r="H48" s="47"/>
      <c r="I48" s="50"/>
      <c r="J48" s="32"/>
      <c r="K48" s="1"/>
      <c r="L48" s="1"/>
      <c r="M48" s="30"/>
      <c r="N48" s="4"/>
      <c r="O48" s="1"/>
      <c r="P48" s="30"/>
      <c r="Q48" s="21"/>
    </row>
    <row r="49" spans="1:18" s="3" customFormat="1" ht="19.5" customHeight="1" x14ac:dyDescent="0.15">
      <c r="B49" s="4">
        <f>+B45+1</f>
        <v>34</v>
      </c>
      <c r="C49" s="56" t="s">
        <v>24</v>
      </c>
      <c r="D49" s="56" t="s">
        <v>24</v>
      </c>
      <c r="E49" s="77" t="s">
        <v>67</v>
      </c>
      <c r="F49" s="78">
        <v>1</v>
      </c>
      <c r="G49" s="59">
        <v>13500</v>
      </c>
      <c r="H49" s="88">
        <f t="shared" ref="H49:H52" si="4">F49*G49</f>
        <v>13500</v>
      </c>
      <c r="I49" s="79"/>
      <c r="J49" s="77" t="s">
        <v>68</v>
      </c>
      <c r="K49" s="1"/>
      <c r="L49" s="1"/>
      <c r="M49" s="30">
        <v>42944</v>
      </c>
      <c r="N49" s="4"/>
      <c r="O49" s="35">
        <v>42969</v>
      </c>
      <c r="P49" s="30">
        <v>42969</v>
      </c>
      <c r="Q49" s="21">
        <v>42969</v>
      </c>
    </row>
    <row r="50" spans="1:18" s="3" customFormat="1" ht="19.5" customHeight="1" x14ac:dyDescent="0.15">
      <c r="B50" s="4">
        <f t="shared" ref="B50:B57" si="5">+B49+1</f>
        <v>35</v>
      </c>
      <c r="C50" s="56" t="s">
        <v>69</v>
      </c>
      <c r="D50" s="56" t="s">
        <v>69</v>
      </c>
      <c r="E50" s="77" t="s">
        <v>70</v>
      </c>
      <c r="F50" s="78">
        <v>1</v>
      </c>
      <c r="G50" s="59">
        <v>3350</v>
      </c>
      <c r="H50" s="88">
        <f t="shared" si="4"/>
        <v>3350</v>
      </c>
      <c r="I50" s="79"/>
      <c r="J50" s="77" t="s">
        <v>71</v>
      </c>
      <c r="K50" s="1"/>
      <c r="L50" s="1"/>
      <c r="M50" s="30">
        <v>42944</v>
      </c>
      <c r="N50" s="4"/>
      <c r="O50" s="1"/>
      <c r="P50" s="30">
        <v>42968</v>
      </c>
      <c r="Q50" s="21">
        <v>42968</v>
      </c>
    </row>
    <row r="51" spans="1:18" s="3" customFormat="1" ht="19.5" customHeight="1" x14ac:dyDescent="0.15">
      <c r="B51" s="4">
        <f t="shared" si="5"/>
        <v>36</v>
      </c>
      <c r="C51" s="80" t="s">
        <v>69</v>
      </c>
      <c r="D51" s="81" t="s">
        <v>69</v>
      </c>
      <c r="E51" s="82" t="s">
        <v>72</v>
      </c>
      <c r="F51" s="83">
        <v>1</v>
      </c>
      <c r="G51" s="88">
        <v>5569</v>
      </c>
      <c r="H51" s="88">
        <f t="shared" si="4"/>
        <v>5569</v>
      </c>
      <c r="I51" s="84"/>
      <c r="J51" s="85" t="s">
        <v>73</v>
      </c>
      <c r="K51" s="1"/>
      <c r="L51" s="1"/>
      <c r="M51" s="30">
        <v>42944</v>
      </c>
      <c r="N51" s="4"/>
      <c r="O51" s="1"/>
      <c r="P51" s="30">
        <v>42968</v>
      </c>
      <c r="Q51" s="21">
        <v>42968</v>
      </c>
    </row>
    <row r="52" spans="1:18" s="3" customFormat="1" ht="19.5" customHeight="1" x14ac:dyDescent="0.15">
      <c r="B52" s="4">
        <f t="shared" si="5"/>
        <v>37</v>
      </c>
      <c r="C52" s="56" t="s">
        <v>69</v>
      </c>
      <c r="D52" s="56" t="s">
        <v>69</v>
      </c>
      <c r="E52" s="77" t="s">
        <v>74</v>
      </c>
      <c r="F52" s="78">
        <v>1</v>
      </c>
      <c r="G52" s="59">
        <v>930</v>
      </c>
      <c r="H52" s="88">
        <f t="shared" si="4"/>
        <v>930</v>
      </c>
      <c r="I52" s="79"/>
      <c r="J52" s="77" t="s">
        <v>75</v>
      </c>
      <c r="K52" s="1"/>
      <c r="L52" s="1"/>
      <c r="M52" s="30">
        <v>42944</v>
      </c>
      <c r="N52" s="4"/>
      <c r="O52" s="1"/>
      <c r="P52" s="30">
        <v>42968</v>
      </c>
      <c r="Q52" s="21">
        <v>42968</v>
      </c>
    </row>
    <row r="53" spans="1:18" s="3" customFormat="1" ht="19.5" customHeight="1" x14ac:dyDescent="0.15">
      <c r="B53" s="4">
        <f t="shared" si="5"/>
        <v>38</v>
      </c>
      <c r="C53" s="56" t="s">
        <v>69</v>
      </c>
      <c r="D53" s="56" t="s">
        <v>69</v>
      </c>
      <c r="E53" s="77" t="s">
        <v>76</v>
      </c>
      <c r="F53" s="78">
        <v>1</v>
      </c>
      <c r="G53" s="59">
        <v>930</v>
      </c>
      <c r="H53" s="88">
        <f>F53*G53</f>
        <v>930</v>
      </c>
      <c r="I53" s="79"/>
      <c r="J53" s="77" t="s">
        <v>75</v>
      </c>
      <c r="K53" s="1"/>
      <c r="L53" s="1"/>
      <c r="M53" s="30">
        <v>42944</v>
      </c>
      <c r="N53" s="4"/>
      <c r="O53" s="1"/>
      <c r="P53" s="30">
        <v>42968</v>
      </c>
      <c r="Q53" s="21">
        <v>42968</v>
      </c>
    </row>
    <row r="54" spans="1:18" s="3" customFormat="1" ht="19.5" customHeight="1" x14ac:dyDescent="0.15">
      <c r="B54" s="4">
        <f t="shared" si="5"/>
        <v>39</v>
      </c>
      <c r="C54" s="4" t="s">
        <v>69</v>
      </c>
      <c r="D54" s="4" t="s">
        <v>69</v>
      </c>
      <c r="E54" s="54" t="s">
        <v>77</v>
      </c>
      <c r="F54" s="1">
        <v>1</v>
      </c>
      <c r="G54" s="47">
        <v>2218</v>
      </c>
      <c r="H54" s="47">
        <f t="shared" ref="H54:H57" si="6">F54*G54</f>
        <v>2218</v>
      </c>
      <c r="I54" s="86"/>
      <c r="J54" s="24" t="s">
        <v>78</v>
      </c>
      <c r="K54" s="1"/>
      <c r="L54" s="1"/>
      <c r="M54" s="30">
        <v>42944</v>
      </c>
      <c r="N54" s="4"/>
      <c r="O54" s="1"/>
      <c r="P54" s="30">
        <v>42968</v>
      </c>
      <c r="Q54" s="21">
        <v>42968</v>
      </c>
    </row>
    <row r="55" spans="1:18" s="3" customFormat="1" ht="19.5" customHeight="1" x14ac:dyDescent="0.15">
      <c r="B55" s="4">
        <f t="shared" si="5"/>
        <v>40</v>
      </c>
      <c r="C55" s="4" t="s">
        <v>20</v>
      </c>
      <c r="D55" s="4" t="s">
        <v>20</v>
      </c>
      <c r="E55" s="76" t="s">
        <v>56</v>
      </c>
      <c r="F55" s="1">
        <v>1</v>
      </c>
      <c r="G55" s="47">
        <v>2814</v>
      </c>
      <c r="H55" s="47">
        <f t="shared" si="6"/>
        <v>2814</v>
      </c>
      <c r="I55" s="9"/>
      <c r="J55" s="24" t="s">
        <v>55</v>
      </c>
      <c r="K55" s="1"/>
      <c r="L55" s="1"/>
      <c r="M55" s="30">
        <v>42944</v>
      </c>
      <c r="N55" s="4"/>
      <c r="O55" s="1"/>
      <c r="P55" s="120">
        <v>42968</v>
      </c>
      <c r="Q55" s="21">
        <v>42968</v>
      </c>
    </row>
    <row r="56" spans="1:18" s="3" customFormat="1" ht="19.5" customHeight="1" x14ac:dyDescent="0.15">
      <c r="B56" s="4">
        <f t="shared" si="5"/>
        <v>41</v>
      </c>
      <c r="C56" s="4" t="s">
        <v>20</v>
      </c>
      <c r="D56" s="4" t="s">
        <v>20</v>
      </c>
      <c r="E56" s="36" t="s">
        <v>57</v>
      </c>
      <c r="F56" s="49">
        <v>10</v>
      </c>
      <c r="G56" s="49">
        <v>25</v>
      </c>
      <c r="H56" s="47">
        <f t="shared" si="6"/>
        <v>250</v>
      </c>
      <c r="I56" s="2"/>
      <c r="J56" s="36" t="s">
        <v>53</v>
      </c>
      <c r="K56" s="1"/>
      <c r="L56" s="1"/>
      <c r="M56" s="30">
        <v>42944</v>
      </c>
      <c r="N56" s="4"/>
      <c r="O56" s="1"/>
      <c r="P56" s="30">
        <v>42968</v>
      </c>
      <c r="Q56" s="21">
        <v>42968</v>
      </c>
    </row>
    <row r="57" spans="1:18" s="3" customFormat="1" ht="19.5" customHeight="1" x14ac:dyDescent="0.15">
      <c r="A57" s="3" t="s">
        <v>146</v>
      </c>
      <c r="B57" s="122">
        <f t="shared" si="5"/>
        <v>42</v>
      </c>
      <c r="C57" s="122" t="s">
        <v>144</v>
      </c>
      <c r="D57" s="122" t="s">
        <v>144</v>
      </c>
      <c r="E57" s="123">
        <v>963525008</v>
      </c>
      <c r="F57" s="124">
        <v>1</v>
      </c>
      <c r="G57" s="124">
        <v>1100</v>
      </c>
      <c r="H57" s="125">
        <f t="shared" si="6"/>
        <v>1100</v>
      </c>
      <c r="I57" s="126"/>
      <c r="J57" s="123" t="s">
        <v>145</v>
      </c>
      <c r="K57" s="1"/>
      <c r="L57" s="1"/>
      <c r="M57" s="30">
        <v>42976</v>
      </c>
      <c r="N57" s="4"/>
      <c r="O57" s="1"/>
      <c r="P57" s="30">
        <v>42977</v>
      </c>
      <c r="Q57" s="21"/>
      <c r="R57" s="127" t="s">
        <v>147</v>
      </c>
    </row>
    <row r="58" spans="1:18" s="3" customFormat="1" ht="19.5" customHeight="1" x14ac:dyDescent="0.15">
      <c r="B58" s="4"/>
      <c r="C58" s="87"/>
      <c r="D58" s="87"/>
      <c r="E58" s="36"/>
      <c r="F58" s="135">
        <f>SUM(H49:H57)</f>
        <v>30661</v>
      </c>
      <c r="G58" s="136"/>
      <c r="H58" s="137"/>
      <c r="I58" s="73"/>
      <c r="J58" s="75"/>
      <c r="K58" s="1"/>
      <c r="L58" s="1"/>
      <c r="M58" s="30"/>
      <c r="N58" s="4"/>
      <c r="O58" s="1"/>
      <c r="P58" s="30"/>
      <c r="Q58" s="21"/>
    </row>
    <row r="59" spans="1:18" s="3" customFormat="1" ht="19.5" customHeight="1" x14ac:dyDescent="0.15">
      <c r="B59" s="4"/>
      <c r="C59" s="4"/>
      <c r="D59" s="4"/>
      <c r="E59" s="76"/>
      <c r="F59" s="1"/>
      <c r="G59" s="47"/>
      <c r="H59" s="47"/>
      <c r="I59" s="9"/>
      <c r="J59" s="24"/>
      <c r="K59" s="1"/>
      <c r="L59" s="1"/>
      <c r="M59" s="30"/>
      <c r="N59" s="4"/>
      <c r="O59" s="1"/>
      <c r="P59" s="30"/>
      <c r="Q59" s="21"/>
    </row>
    <row r="60" spans="1:18" s="3" customFormat="1" ht="19.5" customHeight="1" x14ac:dyDescent="0.15">
      <c r="B60" s="4"/>
      <c r="C60" s="4"/>
      <c r="D60" s="4"/>
      <c r="E60" s="53"/>
      <c r="F60" s="1"/>
      <c r="G60" s="47"/>
      <c r="H60" s="47"/>
      <c r="I60" s="47"/>
      <c r="J60" s="24"/>
      <c r="K60" s="1"/>
      <c r="L60" s="1"/>
      <c r="M60" s="30"/>
      <c r="N60" s="4"/>
      <c r="O60" s="1"/>
      <c r="P60" s="30"/>
      <c r="Q60" s="21"/>
    </row>
    <row r="61" spans="1:18" s="3" customFormat="1" ht="19.5" customHeight="1" x14ac:dyDescent="0.15">
      <c r="B61" s="4"/>
      <c r="C61" s="4"/>
      <c r="D61" s="4"/>
      <c r="E61" s="51"/>
      <c r="F61" s="52"/>
      <c r="G61" s="47"/>
      <c r="H61" s="47"/>
      <c r="I61" s="9"/>
      <c r="J61" s="54"/>
      <c r="K61" s="1"/>
      <c r="L61" s="1"/>
      <c r="M61" s="30"/>
      <c r="N61" s="4"/>
      <c r="O61" s="1"/>
      <c r="P61" s="30"/>
      <c r="Q61" s="21"/>
    </row>
    <row r="62" spans="1:18" s="3" customFormat="1" ht="19.5" customHeight="1" x14ac:dyDescent="0.15">
      <c r="B62" s="4"/>
      <c r="C62" s="4"/>
      <c r="D62" s="4"/>
      <c r="E62" s="33" t="s">
        <v>39</v>
      </c>
      <c r="F62" s="38"/>
      <c r="G62" s="47">
        <v>5000</v>
      </c>
      <c r="H62" s="47">
        <f>F62*G62</f>
        <v>0</v>
      </c>
      <c r="I62" s="9"/>
      <c r="J62" s="54"/>
      <c r="K62" s="7"/>
      <c r="L62" s="1"/>
      <c r="M62" s="30"/>
      <c r="N62" s="4"/>
      <c r="O62" s="1"/>
      <c r="P62" s="30"/>
      <c r="Q62" s="21"/>
    </row>
    <row r="63" spans="1:18" s="3" customFormat="1" ht="19.5" customHeight="1" x14ac:dyDescent="0.15">
      <c r="B63" s="4"/>
      <c r="C63" s="4"/>
      <c r="D63" s="4"/>
      <c r="E63" s="33" t="s">
        <v>38</v>
      </c>
      <c r="F63" s="38">
        <v>1</v>
      </c>
      <c r="G63" s="47"/>
      <c r="H63" s="47"/>
      <c r="I63" s="9"/>
      <c r="J63" s="54"/>
      <c r="K63" s="7"/>
      <c r="L63" s="1"/>
      <c r="M63" s="30"/>
      <c r="N63" s="4"/>
      <c r="O63" s="1"/>
      <c r="P63" s="30"/>
      <c r="Q63" s="21"/>
    </row>
    <row r="64" spans="1:18" s="3" customFormat="1" ht="19.5" customHeight="1" x14ac:dyDescent="0.15">
      <c r="B64" s="4"/>
      <c r="C64" s="4"/>
      <c r="D64" s="4"/>
      <c r="E64" s="57"/>
      <c r="F64" s="55"/>
      <c r="G64" s="47"/>
      <c r="H64" s="47"/>
      <c r="I64" s="9"/>
      <c r="J64" s="36"/>
      <c r="K64" s="7"/>
      <c r="L64" s="1"/>
      <c r="M64" s="30"/>
      <c r="N64" s="4"/>
      <c r="O64" s="1"/>
      <c r="P64" s="30"/>
      <c r="Q64" s="21"/>
    </row>
    <row r="65" spans="2:18" s="3" customFormat="1" ht="18" customHeight="1" x14ac:dyDescent="0.15">
      <c r="B65" s="4"/>
      <c r="C65" s="37"/>
      <c r="D65" s="37"/>
      <c r="E65" s="33"/>
      <c r="F65" s="38"/>
      <c r="G65" s="47"/>
      <c r="H65" s="47"/>
      <c r="I65" s="70"/>
      <c r="J65" s="65"/>
      <c r="K65" s="7"/>
      <c r="L65" s="7"/>
      <c r="M65" s="30"/>
      <c r="N65" s="11"/>
      <c r="O65" s="16"/>
      <c r="P65" s="30"/>
      <c r="Q65" s="21"/>
    </row>
    <row r="66" spans="2:18" s="3" customFormat="1" ht="18" customHeight="1" x14ac:dyDescent="0.15">
      <c r="B66" s="4"/>
      <c r="C66" s="37"/>
      <c r="D66" s="37"/>
      <c r="E66" s="33"/>
      <c r="F66" s="38"/>
      <c r="G66" s="47"/>
      <c r="H66" s="47"/>
      <c r="I66" s="34"/>
      <c r="J66" s="65"/>
      <c r="K66" s="7"/>
      <c r="L66" s="7"/>
      <c r="M66" s="30"/>
      <c r="N66" s="11"/>
      <c r="O66" s="16"/>
      <c r="P66" s="30"/>
      <c r="Q66" s="21"/>
    </row>
    <row r="67" spans="2:18" s="3" customFormat="1" ht="18" customHeight="1" x14ac:dyDescent="0.15">
      <c r="B67" s="4"/>
      <c r="C67" s="37"/>
      <c r="D67" s="37"/>
      <c r="E67" s="33"/>
      <c r="F67" s="38"/>
      <c r="G67" s="47"/>
      <c r="H67" s="47"/>
      <c r="I67" s="70"/>
      <c r="J67" s="54"/>
      <c r="K67" s="7"/>
      <c r="L67" s="7"/>
      <c r="M67" s="30"/>
      <c r="N67" s="11"/>
      <c r="O67" s="16"/>
      <c r="P67" s="30"/>
      <c r="Q67" s="21"/>
    </row>
    <row r="68" spans="2:18" s="3" customFormat="1" ht="18" customHeight="1" x14ac:dyDescent="0.15">
      <c r="B68" s="4"/>
      <c r="C68" s="4"/>
      <c r="D68" s="4"/>
      <c r="E68" s="1"/>
      <c r="F68" s="62"/>
      <c r="G68" s="47"/>
      <c r="H68" s="47"/>
      <c r="I68" s="9"/>
      <c r="J68" s="54"/>
      <c r="K68" s="7"/>
      <c r="L68" s="7"/>
      <c r="M68" s="30"/>
      <c r="N68" s="11"/>
      <c r="O68" s="16"/>
      <c r="P68" s="30"/>
      <c r="Q68" s="21"/>
    </row>
    <row r="69" spans="2:18" s="3" customFormat="1" ht="18" customHeight="1" x14ac:dyDescent="0.15">
      <c r="B69" s="4"/>
      <c r="C69" s="4"/>
      <c r="D69" s="4"/>
      <c r="E69" s="71"/>
      <c r="F69" s="62"/>
      <c r="G69" s="47"/>
      <c r="H69" s="47"/>
      <c r="I69" s="9"/>
      <c r="J69" s="36"/>
      <c r="K69" s="7"/>
      <c r="L69" s="7"/>
      <c r="M69" s="30"/>
      <c r="N69" s="11"/>
      <c r="O69" s="16"/>
      <c r="P69" s="30"/>
      <c r="Q69" s="21"/>
    </row>
    <row r="70" spans="2:18" s="3" customFormat="1" ht="18" customHeight="1" x14ac:dyDescent="0.15">
      <c r="B70" s="4"/>
      <c r="C70" s="4"/>
      <c r="D70" s="4"/>
      <c r="E70" s="55"/>
      <c r="F70" s="55"/>
      <c r="G70" s="47"/>
      <c r="H70" s="47"/>
      <c r="I70" s="70"/>
      <c r="J70" s="65"/>
      <c r="K70" s="7"/>
      <c r="L70" s="7"/>
      <c r="M70" s="30"/>
      <c r="N70" s="11"/>
      <c r="O70" s="16"/>
      <c r="P70" s="30"/>
      <c r="Q70" s="21"/>
    </row>
    <row r="71" spans="2:18" s="3" customFormat="1" ht="18" customHeight="1" x14ac:dyDescent="0.15">
      <c r="B71" s="4"/>
      <c r="C71" s="4"/>
      <c r="D71" s="4"/>
      <c r="E71" s="55"/>
      <c r="F71" s="55"/>
      <c r="G71" s="47"/>
      <c r="H71" s="47"/>
      <c r="I71" s="34"/>
      <c r="J71" s="65"/>
      <c r="K71" s="7"/>
      <c r="L71" s="7"/>
      <c r="M71" s="30"/>
      <c r="N71" s="11"/>
      <c r="O71" s="16"/>
      <c r="P71" s="30"/>
      <c r="Q71" s="21"/>
      <c r="R71" s="69"/>
    </row>
    <row r="72" spans="2:18" s="3" customFormat="1" ht="18" customHeight="1" x14ac:dyDescent="0.15">
      <c r="B72" s="4"/>
      <c r="C72" s="4"/>
      <c r="D72" s="4"/>
      <c r="E72" s="1"/>
      <c r="F72" s="1"/>
      <c r="G72" s="1"/>
      <c r="H72" s="47"/>
      <c r="I72" s="70"/>
      <c r="J72" s="54"/>
      <c r="K72" s="7"/>
      <c r="L72" s="7"/>
      <c r="M72" s="30"/>
      <c r="N72" s="11"/>
      <c r="O72" s="16"/>
      <c r="P72" s="30"/>
      <c r="Q72" s="21"/>
      <c r="R72" s="69"/>
    </row>
    <row r="73" spans="2:18" s="3" customFormat="1" ht="18" customHeight="1" x14ac:dyDescent="0.15">
      <c r="B73" s="4"/>
      <c r="C73" s="4"/>
      <c r="D73" s="4"/>
      <c r="E73" s="1"/>
      <c r="F73" s="1"/>
      <c r="G73" s="1"/>
      <c r="H73" s="47"/>
      <c r="I73" s="70"/>
      <c r="J73" s="54"/>
      <c r="K73" s="7"/>
      <c r="L73" s="7"/>
      <c r="M73" s="30"/>
      <c r="N73" s="11"/>
      <c r="O73" s="16"/>
      <c r="P73" s="30"/>
      <c r="Q73" s="21"/>
      <c r="R73" s="69"/>
    </row>
    <row r="74" spans="2:18" s="3" customFormat="1" ht="18" customHeight="1" x14ac:dyDescent="0.15">
      <c r="B74" s="4"/>
      <c r="C74" s="37"/>
      <c r="D74" s="37"/>
      <c r="E74" s="57"/>
      <c r="F74" s="55"/>
      <c r="G74" s="47"/>
      <c r="H74" s="47"/>
      <c r="I74" s="34"/>
      <c r="J74" s="65"/>
      <c r="K74" s="7"/>
      <c r="L74" s="7"/>
      <c r="M74" s="30"/>
      <c r="N74" s="11"/>
      <c r="O74" s="16"/>
      <c r="P74" s="30"/>
      <c r="Q74" s="21"/>
      <c r="R74" s="69"/>
    </row>
    <row r="75" spans="2:18" s="3" customFormat="1" ht="18" customHeight="1" x14ac:dyDescent="0.15">
      <c r="B75" s="4"/>
      <c r="C75" s="37"/>
      <c r="D75" s="37"/>
      <c r="E75" s="57"/>
      <c r="F75" s="55"/>
      <c r="G75" s="47"/>
      <c r="H75" s="47"/>
      <c r="I75" s="34"/>
      <c r="J75" s="65"/>
      <c r="K75" s="7"/>
      <c r="L75" s="7"/>
      <c r="M75" s="30"/>
      <c r="N75" s="11"/>
      <c r="O75" s="16"/>
      <c r="P75" s="30"/>
      <c r="Q75" s="21"/>
    </row>
    <row r="76" spans="2:18" s="3" customFormat="1" ht="18" customHeight="1" x14ac:dyDescent="0.15">
      <c r="B76" s="4"/>
      <c r="C76" s="37"/>
      <c r="D76" s="37"/>
      <c r="E76" s="57"/>
      <c r="F76" s="55"/>
      <c r="G76" s="47"/>
      <c r="H76" s="47"/>
      <c r="I76" s="34"/>
      <c r="J76" s="65"/>
      <c r="K76" s="7"/>
      <c r="L76" s="7"/>
      <c r="M76" s="30"/>
      <c r="N76" s="11"/>
      <c r="O76" s="16"/>
      <c r="P76" s="30"/>
      <c r="Q76" s="21"/>
    </row>
    <row r="77" spans="2:18" s="3" customFormat="1" ht="18" customHeight="1" x14ac:dyDescent="0.15">
      <c r="B77" s="4"/>
      <c r="C77" s="37"/>
      <c r="D77" s="37"/>
      <c r="E77" s="57"/>
      <c r="F77" s="55"/>
      <c r="G77" s="47"/>
      <c r="H77" s="47"/>
      <c r="I77" s="34"/>
      <c r="J77" s="65"/>
      <c r="K77" s="8"/>
      <c r="L77" s="7"/>
      <c r="M77" s="30"/>
      <c r="N77" s="11"/>
      <c r="O77" s="16"/>
      <c r="P77" s="30"/>
      <c r="Q77" s="21"/>
    </row>
    <row r="78" spans="2:18" s="3" customFormat="1" ht="18" customHeight="1" x14ac:dyDescent="0.15">
      <c r="B78" s="4"/>
      <c r="C78" s="37"/>
      <c r="D78" s="37"/>
      <c r="E78" s="33"/>
      <c r="F78" s="38"/>
      <c r="G78" s="47"/>
      <c r="H78" s="47"/>
      <c r="I78" s="34"/>
      <c r="J78" s="68"/>
      <c r="K78" s="8"/>
      <c r="L78" s="7"/>
      <c r="M78" s="30"/>
      <c r="N78" s="11"/>
      <c r="O78" s="16"/>
      <c r="P78" s="30"/>
      <c r="Q78" s="21"/>
    </row>
    <row r="79" spans="2:18" s="3" customFormat="1" ht="18" customHeight="1" x14ac:dyDescent="0.15">
      <c r="B79" s="4"/>
      <c r="C79" s="37"/>
      <c r="D79" s="37"/>
      <c r="E79" s="33"/>
      <c r="F79" s="38"/>
      <c r="G79" s="47"/>
      <c r="H79" s="47"/>
      <c r="I79" s="34"/>
      <c r="J79" s="68"/>
      <c r="K79" s="8"/>
      <c r="L79" s="7"/>
      <c r="M79" s="30"/>
      <c r="N79" s="11"/>
      <c r="O79" s="16"/>
      <c r="P79" s="30"/>
      <c r="Q79" s="21"/>
    </row>
    <row r="80" spans="2:18" s="3" customFormat="1" ht="18" customHeight="1" x14ac:dyDescent="0.15">
      <c r="B80" s="4"/>
      <c r="C80" s="37"/>
      <c r="D80" s="37"/>
      <c r="E80" s="33"/>
      <c r="F80" s="38"/>
      <c r="G80" s="47"/>
      <c r="H80" s="47"/>
      <c r="I80" s="34"/>
      <c r="J80" s="68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4"/>
      <c r="C81" s="4"/>
      <c r="D81" s="4"/>
      <c r="E81" s="33"/>
      <c r="F81" s="38"/>
      <c r="G81" s="47"/>
      <c r="H81" s="47"/>
      <c r="I81" s="34"/>
      <c r="J81" s="68"/>
      <c r="K81" s="8"/>
      <c r="L81" s="7"/>
      <c r="M81" s="30"/>
      <c r="N81" s="11"/>
      <c r="O81" s="30"/>
      <c r="P81" s="30"/>
      <c r="Q81" s="21"/>
    </row>
    <row r="82" spans="2:17" s="3" customFormat="1" ht="18" customHeight="1" x14ac:dyDescent="0.15">
      <c r="B82" s="4"/>
      <c r="C82" s="4"/>
      <c r="D82" s="4"/>
      <c r="E82" s="67"/>
      <c r="F82" s="62"/>
      <c r="G82" s="47"/>
      <c r="H82" s="47"/>
      <c r="I82" s="9"/>
      <c r="J82" s="36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4"/>
      <c r="C83" s="4"/>
      <c r="D83" s="4"/>
      <c r="E83" s="66"/>
      <c r="F83" s="55"/>
      <c r="G83" s="47"/>
      <c r="H83" s="47"/>
      <c r="I83" s="9"/>
      <c r="J83" s="65"/>
      <c r="K83" s="8"/>
      <c r="L83" s="7"/>
      <c r="M83" s="30"/>
      <c r="N83" s="11"/>
      <c r="O83" s="16"/>
      <c r="P83" s="30"/>
      <c r="Q83" s="21"/>
    </row>
    <row r="84" spans="2:17" s="3" customFormat="1" ht="18" customHeight="1" x14ac:dyDescent="0.15">
      <c r="B84" s="4"/>
      <c r="C84" s="4"/>
      <c r="D84" s="4"/>
      <c r="E84" s="27"/>
      <c r="F84" s="55"/>
      <c r="G84" s="47"/>
      <c r="H84" s="47"/>
      <c r="I84" s="9"/>
      <c r="J84" s="27"/>
      <c r="K84" s="8"/>
      <c r="L84" s="7"/>
      <c r="M84" s="39"/>
      <c r="N84" s="11"/>
      <c r="O84" s="16"/>
      <c r="P84" s="30"/>
      <c r="Q84" s="21"/>
    </row>
    <row r="85" spans="2:17" s="3" customFormat="1" ht="18" customHeight="1" x14ac:dyDescent="0.15">
      <c r="B85" s="4"/>
      <c r="C85" s="4"/>
      <c r="D85" s="4"/>
      <c r="E85" s="60"/>
      <c r="F85" s="62"/>
      <c r="G85" s="47"/>
      <c r="H85" s="47"/>
      <c r="I85" s="9"/>
      <c r="J85" s="64"/>
      <c r="K85" s="8"/>
      <c r="L85" s="7"/>
      <c r="M85" s="30"/>
      <c r="N85" s="11"/>
      <c r="O85" s="30"/>
      <c r="P85" s="30"/>
      <c r="Q85" s="21"/>
    </row>
    <row r="86" spans="2:17" s="3" customFormat="1" ht="18" customHeight="1" x14ac:dyDescent="0.15">
      <c r="B86" s="4"/>
      <c r="C86" s="4"/>
      <c r="D86" s="4"/>
      <c r="E86" s="63"/>
      <c r="F86" s="62"/>
      <c r="G86" s="47"/>
      <c r="H86" s="47"/>
      <c r="I86" s="9"/>
      <c r="J86" s="36"/>
      <c r="K86" s="8"/>
      <c r="L86" s="7"/>
      <c r="M86" s="30"/>
      <c r="N86" s="11"/>
      <c r="O86" s="16"/>
      <c r="P86" s="30"/>
      <c r="Q86" s="21"/>
    </row>
    <row r="87" spans="2:17" s="3" customFormat="1" ht="18" customHeight="1" x14ac:dyDescent="0.15">
      <c r="B87" s="4"/>
      <c r="C87" s="37"/>
      <c r="D87" s="37"/>
      <c r="E87" s="26"/>
      <c r="F87" s="55"/>
      <c r="G87" s="47"/>
      <c r="H87" s="47"/>
      <c r="I87" s="9"/>
      <c r="J87" s="27"/>
      <c r="K87" s="8"/>
      <c r="L87" s="7"/>
      <c r="M87" s="30"/>
      <c r="N87" s="11"/>
      <c r="O87" s="16"/>
      <c r="P87" s="30"/>
      <c r="Q87" s="21"/>
    </row>
    <row r="88" spans="2:17" s="3" customFormat="1" ht="18" customHeight="1" x14ac:dyDescent="0.15">
      <c r="B88" s="4"/>
      <c r="C88" s="4"/>
      <c r="D88" s="4"/>
      <c r="E88" s="26"/>
      <c r="F88" s="55"/>
      <c r="G88" s="47"/>
      <c r="H88" s="47"/>
      <c r="I88" s="9"/>
      <c r="J88" s="27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20"/>
      <c r="C89" s="4"/>
      <c r="D89" s="4"/>
      <c r="E89" s="26"/>
      <c r="F89" s="27"/>
      <c r="G89" s="47"/>
      <c r="H89" s="47"/>
      <c r="I89" s="9"/>
      <c r="J89" s="27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20"/>
      <c r="C90" s="4"/>
      <c r="D90" s="4"/>
      <c r="E90" s="26"/>
      <c r="F90" s="27"/>
      <c r="G90" s="47"/>
      <c r="H90" s="47"/>
      <c r="I90" s="9"/>
      <c r="J90" s="27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6"/>
      <c r="F91" s="27"/>
      <c r="G91" s="47"/>
      <c r="H91" s="47"/>
      <c r="I91" s="9"/>
      <c r="J91" s="27"/>
      <c r="K91" s="8"/>
      <c r="L91" s="7"/>
      <c r="M91" s="30"/>
      <c r="N91" s="11"/>
      <c r="O91" s="16"/>
      <c r="P91" s="30"/>
      <c r="Q91" s="21"/>
    </row>
    <row r="92" spans="2:17" s="3" customFormat="1" ht="18" customHeight="1" x14ac:dyDescent="0.15">
      <c r="B92" s="20"/>
      <c r="C92" s="4"/>
      <c r="D92" s="4"/>
      <c r="E92" s="61"/>
      <c r="F92" s="27"/>
      <c r="G92" s="47"/>
      <c r="H92" s="47"/>
      <c r="I92" s="9"/>
      <c r="J92" s="27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6"/>
      <c r="F93" s="27"/>
      <c r="G93" s="47"/>
      <c r="H93" s="47"/>
      <c r="I93" s="9"/>
      <c r="J93" s="27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26"/>
      <c r="F94" s="27"/>
      <c r="G94" s="47"/>
      <c r="H94" s="47"/>
      <c r="I94" s="9"/>
      <c r="J94" s="27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4"/>
      <c r="D95" s="4"/>
      <c r="E95" s="26"/>
      <c r="F95" s="27"/>
      <c r="G95" s="47"/>
      <c r="H95" s="47"/>
      <c r="I95" s="9"/>
      <c r="J95" s="27"/>
      <c r="K95" s="8"/>
      <c r="L95" s="7"/>
      <c r="M95" s="30"/>
      <c r="N95" s="11"/>
      <c r="O95" s="16"/>
      <c r="P95" s="30"/>
      <c r="Q95" s="21"/>
    </row>
    <row r="96" spans="2:17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11"/>
      <c r="O96" s="16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9"/>
      <c r="F98" s="28"/>
      <c r="G98" s="89"/>
      <c r="H98" s="47"/>
      <c r="I98" s="9"/>
      <c r="J98" s="29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29"/>
      <c r="F99" s="28"/>
      <c r="G99" s="89"/>
      <c r="H99" s="47"/>
      <c r="I99" s="9"/>
      <c r="J99" s="29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4"/>
      <c r="D100" s="4"/>
      <c r="E100" s="29"/>
      <c r="F100" s="28"/>
      <c r="G100" s="89"/>
      <c r="H100" s="47"/>
      <c r="I100" s="9"/>
      <c r="J100" s="29"/>
      <c r="K100" s="8"/>
      <c r="L100" s="7"/>
      <c r="M100" s="30"/>
      <c r="N100" s="11"/>
      <c r="O100" s="16"/>
      <c r="P100" s="30"/>
      <c r="Q100" s="21"/>
    </row>
    <row r="101" spans="2:17" s="3" customFormat="1" ht="18" customHeight="1" x14ac:dyDescent="0.15">
      <c r="B101" s="20"/>
      <c r="C101" s="4"/>
      <c r="D101" s="4"/>
      <c r="E101" s="29"/>
      <c r="F101" s="28"/>
      <c r="G101" s="89"/>
      <c r="H101" s="47"/>
      <c r="I101" s="9"/>
      <c r="J101" s="29"/>
      <c r="K101" s="8"/>
      <c r="L101" s="7"/>
      <c r="M101" s="30"/>
      <c r="N101" s="11"/>
      <c r="O101" s="16"/>
      <c r="P101" s="30"/>
      <c r="Q101" s="21"/>
    </row>
    <row r="102" spans="2:17" s="3" customFormat="1" ht="18" customHeight="1" x14ac:dyDescent="0.15">
      <c r="B102" s="20"/>
      <c r="C102" s="4"/>
      <c r="D102" s="4"/>
      <c r="E102" s="29"/>
      <c r="F102" s="28"/>
      <c r="G102" s="89"/>
      <c r="H102" s="47"/>
      <c r="I102" s="9"/>
      <c r="J102" s="29"/>
      <c r="K102" s="8"/>
      <c r="L102" s="7"/>
      <c r="M102" s="30"/>
      <c r="N102" s="11"/>
      <c r="O102" s="16"/>
      <c r="P102" s="30"/>
      <c r="Q102" s="21"/>
    </row>
    <row r="103" spans="2:17" s="3" customFormat="1" ht="18" customHeight="1" x14ac:dyDescent="0.15">
      <c r="B103" s="20"/>
      <c r="C103" s="4"/>
      <c r="D103" s="4"/>
      <c r="E103" s="29"/>
      <c r="F103" s="28"/>
      <c r="G103" s="89"/>
      <c r="H103" s="47"/>
      <c r="I103" s="9"/>
      <c r="J103" s="29"/>
      <c r="K103" s="8"/>
      <c r="L103" s="7"/>
      <c r="M103" s="30"/>
      <c r="N103" s="11"/>
      <c r="O103" s="16"/>
      <c r="P103" s="30"/>
      <c r="Q103" s="21"/>
    </row>
    <row r="104" spans="2:17" s="3" customFormat="1" ht="18" customHeight="1" x14ac:dyDescent="0.15">
      <c r="B104" s="20"/>
      <c r="C104" s="4"/>
      <c r="D104" s="4"/>
      <c r="E104" s="29"/>
      <c r="F104" s="28"/>
      <c r="G104" s="89"/>
      <c r="H104" s="47"/>
      <c r="I104" s="9"/>
      <c r="J104" s="29"/>
      <c r="K104" s="8"/>
      <c r="L104" s="7"/>
      <c r="M104" s="30"/>
      <c r="N104" s="11"/>
      <c r="O104" s="16"/>
      <c r="P104" s="30"/>
      <c r="Q104" s="21"/>
    </row>
    <row r="105" spans="2:17" s="3" customFormat="1" ht="18" customHeight="1" x14ac:dyDescent="0.15">
      <c r="B105" s="20"/>
      <c r="C105" s="4"/>
      <c r="D105" s="4"/>
      <c r="E105" s="29"/>
      <c r="F105" s="28"/>
      <c r="G105" s="89"/>
      <c r="H105" s="47"/>
      <c r="I105" s="9"/>
      <c r="J105" s="2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 x14ac:dyDescent="0.15">
      <c r="B106" s="20"/>
      <c r="C106" s="4"/>
      <c r="D106" s="4"/>
      <c r="E106" s="29"/>
      <c r="F106" s="28"/>
      <c r="G106" s="89"/>
      <c r="H106" s="47"/>
      <c r="I106" s="9"/>
      <c r="J106" s="29"/>
      <c r="K106" s="8"/>
      <c r="L106" s="7"/>
      <c r="M106" s="30"/>
      <c r="N106" s="11"/>
      <c r="O106" s="16"/>
      <c r="P106" s="30"/>
      <c r="Q106" s="21"/>
    </row>
    <row r="107" spans="2:17" s="3" customFormat="1" ht="18" customHeight="1" x14ac:dyDescent="0.15">
      <c r="B107" s="20"/>
      <c r="C107" s="4"/>
      <c r="D107" s="4"/>
      <c r="E107" s="29"/>
      <c r="F107" s="28"/>
      <c r="G107" s="89"/>
      <c r="H107" s="47"/>
      <c r="I107" s="9"/>
      <c r="J107" s="29"/>
      <c r="K107" s="8"/>
      <c r="L107" s="7"/>
      <c r="M107" s="30"/>
      <c r="N107" s="11"/>
      <c r="O107" s="16"/>
      <c r="P107" s="30"/>
      <c r="Q107" s="21"/>
    </row>
    <row r="108" spans="2:17" s="3" customFormat="1" ht="18" customHeight="1" x14ac:dyDescent="0.15">
      <c r="B108" s="20"/>
      <c r="C108" s="4"/>
      <c r="D108" s="4"/>
      <c r="E108" s="29"/>
      <c r="F108" s="28"/>
      <c r="G108" s="89"/>
      <c r="H108" s="47"/>
      <c r="I108" s="9"/>
      <c r="J108" s="29"/>
      <c r="K108" s="8"/>
      <c r="L108" s="7"/>
      <c r="M108" s="30"/>
      <c r="N108" s="11"/>
      <c r="O108" s="16"/>
      <c r="P108" s="30"/>
      <c r="Q108" s="21"/>
    </row>
    <row r="109" spans="2:17" s="3" customFormat="1" ht="18" customHeight="1" x14ac:dyDescent="0.15">
      <c r="B109" s="20"/>
      <c r="C109" s="4"/>
      <c r="D109" s="4"/>
      <c r="E109" s="29"/>
      <c r="F109" s="28"/>
      <c r="G109" s="89"/>
      <c r="H109" s="47"/>
      <c r="I109" s="9"/>
      <c r="J109" s="29"/>
      <c r="K109" s="8"/>
      <c r="L109" s="7"/>
      <c r="M109" s="30"/>
      <c r="N109" s="11"/>
      <c r="O109" s="16"/>
      <c r="P109" s="30"/>
      <c r="Q109" s="21"/>
    </row>
    <row r="110" spans="2:17" s="3" customFormat="1" ht="18" customHeight="1" x14ac:dyDescent="0.15">
      <c r="B110" s="20"/>
      <c r="C110" s="4"/>
      <c r="D110" s="4"/>
      <c r="E110" s="26"/>
      <c r="F110" s="27"/>
      <c r="G110" s="47"/>
      <c r="H110" s="47"/>
      <c r="I110" s="9"/>
      <c r="J110" s="27"/>
      <c r="K110" s="8"/>
      <c r="L110" s="7"/>
      <c r="M110" s="30"/>
      <c r="N110" s="30"/>
      <c r="O110" s="31"/>
      <c r="P110" s="30"/>
      <c r="Q110" s="21"/>
    </row>
    <row r="111" spans="2:17" s="3" customFormat="1" ht="18" customHeight="1" x14ac:dyDescent="0.15">
      <c r="B111" s="20"/>
      <c r="C111" s="4"/>
      <c r="D111" s="4"/>
      <c r="E111" s="26"/>
      <c r="F111" s="27"/>
      <c r="G111" s="47"/>
      <c r="H111" s="47"/>
      <c r="I111" s="9"/>
      <c r="J111" s="27"/>
      <c r="K111" s="8"/>
      <c r="L111" s="7"/>
      <c r="M111" s="30"/>
      <c r="N111" s="11"/>
      <c r="O111" s="16"/>
      <c r="P111" s="30"/>
      <c r="Q111" s="21"/>
    </row>
    <row r="112" spans="2:17" s="3" customFormat="1" ht="18" customHeight="1" x14ac:dyDescent="0.15">
      <c r="B112" s="20"/>
      <c r="C112" s="4"/>
      <c r="D112" s="4"/>
      <c r="E112" s="26"/>
      <c r="F112" s="27"/>
      <c r="G112" s="47"/>
      <c r="H112" s="47"/>
      <c r="I112" s="9"/>
      <c r="J112" s="27"/>
      <c r="K112" s="8"/>
      <c r="L112" s="7"/>
      <c r="M112" s="30"/>
      <c r="N112" s="11"/>
      <c r="O112" s="16"/>
      <c r="P112" s="30"/>
      <c r="Q112" s="21"/>
    </row>
    <row r="113" spans="2:17" s="3" customFormat="1" ht="18" customHeight="1" x14ac:dyDescent="0.15">
      <c r="B113" s="20"/>
      <c r="C113" s="4"/>
      <c r="D113" s="4"/>
      <c r="E113" s="8"/>
      <c r="F113" s="9"/>
      <c r="G113" s="47"/>
      <c r="H113" s="47"/>
      <c r="I113" s="9"/>
      <c r="J113" s="32"/>
      <c r="K113" s="8"/>
      <c r="L113" s="7"/>
      <c r="M113" s="30"/>
      <c r="N113" s="11"/>
      <c r="O113" s="16"/>
      <c r="P113" s="30"/>
      <c r="Q113" s="21"/>
    </row>
    <row r="114" spans="2:17" s="3" customFormat="1" ht="18" customHeight="1" x14ac:dyDescent="0.15">
      <c r="B114" s="20"/>
      <c r="C114" s="20"/>
      <c r="D114" s="20"/>
      <c r="E114" s="8"/>
      <c r="F114" s="9"/>
      <c r="G114" s="47"/>
      <c r="H114" s="47"/>
      <c r="I114" s="9"/>
      <c r="J114" s="7"/>
      <c r="K114" s="8"/>
      <c r="L114" s="7"/>
      <c r="M114" s="30"/>
      <c r="N114" s="11"/>
      <c r="O114" s="16"/>
      <c r="P114" s="11"/>
      <c r="Q114" s="21"/>
    </row>
    <row r="115" spans="2:17" s="3" customFormat="1" ht="18" customHeight="1" x14ac:dyDescent="0.15">
      <c r="B115" s="20"/>
      <c r="C115" s="20"/>
      <c r="D115" s="20"/>
      <c r="E115" s="8"/>
      <c r="F115" s="9"/>
      <c r="G115" s="47"/>
      <c r="H115" s="47"/>
      <c r="I115" s="9"/>
      <c r="J115" s="7"/>
      <c r="K115" s="8"/>
      <c r="L115" s="7"/>
      <c r="M115" s="30"/>
      <c r="N115" s="11"/>
      <c r="O115" s="16"/>
      <c r="P115" s="11"/>
      <c r="Q115" s="21"/>
    </row>
    <row r="116" spans="2:17" ht="18" customHeight="1" x14ac:dyDescent="0.15">
      <c r="B116" s="20"/>
      <c r="C116" s="20"/>
      <c r="D116" s="20"/>
      <c r="E116" s="8"/>
      <c r="F116" s="9"/>
      <c r="G116" s="47"/>
      <c r="H116" s="47"/>
      <c r="I116" s="9"/>
      <c r="J116" s="7"/>
      <c r="K116" s="8"/>
      <c r="L116" s="7"/>
      <c r="M116" s="30"/>
      <c r="N116" s="11"/>
      <c r="O116" s="16"/>
      <c r="P116" s="18"/>
      <c r="Q116" s="22"/>
    </row>
    <row r="120" spans="2:17" x14ac:dyDescent="0.15">
      <c r="M120" s="19"/>
    </row>
    <row r="121" spans="2:17" x14ac:dyDescent="0.15">
      <c r="B121" s="40"/>
      <c r="C121" s="41"/>
      <c r="D121" s="40"/>
      <c r="E121" s="42"/>
      <c r="F121" s="43"/>
      <c r="G121" s="41"/>
      <c r="H121" s="41"/>
      <c r="I121" s="44"/>
      <c r="J121" s="40"/>
      <c r="M121" s="10"/>
    </row>
    <row r="122" spans="2:17" x14ac:dyDescent="0.15">
      <c r="M122" s="19"/>
    </row>
    <row r="123" spans="2:17" x14ac:dyDescent="0.15">
      <c r="E123" s="45" t="s">
        <v>37</v>
      </c>
      <c r="M123" s="10"/>
    </row>
    <row r="124" spans="2:17" x14ac:dyDescent="0.15">
      <c r="E124" s="45" t="s">
        <v>36</v>
      </c>
    </row>
    <row r="125" spans="2:17" x14ac:dyDescent="0.15">
      <c r="E125" s="45" t="s">
        <v>35</v>
      </c>
    </row>
    <row r="126" spans="2:17" x14ac:dyDescent="0.15">
      <c r="E126" s="45" t="s">
        <v>34</v>
      </c>
    </row>
    <row r="127" spans="2:17" x14ac:dyDescent="0.15">
      <c r="E127" s="45" t="s">
        <v>33</v>
      </c>
    </row>
    <row r="128" spans="2:17" x14ac:dyDescent="0.15">
      <c r="E128" s="45" t="s">
        <v>32</v>
      </c>
    </row>
    <row r="129" spans="5:5" x14ac:dyDescent="0.15">
      <c r="E129" s="46" t="s">
        <v>31</v>
      </c>
    </row>
    <row r="130" spans="5:5" x14ac:dyDescent="0.15">
      <c r="E130" s="46" t="s">
        <v>30</v>
      </c>
    </row>
    <row r="131" spans="5:5" x14ac:dyDescent="0.15">
      <c r="E131" s="46" t="s">
        <v>29</v>
      </c>
    </row>
    <row r="132" spans="5:5" x14ac:dyDescent="0.15">
      <c r="E132" s="45"/>
    </row>
  </sheetData>
  <autoFilter ref="B8:O86"/>
  <mergeCells count="12">
    <mergeCell ref="B6:D6"/>
    <mergeCell ref="B2:D2"/>
    <mergeCell ref="G2:I2"/>
    <mergeCell ref="B3:D3"/>
    <mergeCell ref="B4:D4"/>
    <mergeCell ref="B5:D5"/>
    <mergeCell ref="C48:E48"/>
    <mergeCell ref="F58:H58"/>
    <mergeCell ref="C9:E9"/>
    <mergeCell ref="F34:H34"/>
    <mergeCell ref="C36:E36"/>
    <mergeCell ref="F46:H46"/>
  </mergeCells>
  <phoneticPr fontId="9"/>
  <pageMargins left="0.2" right="0.2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Z軸調整ﾀｲﾌﾟ、浸け置きｶｯﾌﾟ、捨て打ち有り</vt:lpstr>
      <vt:lpstr>Z軸調整ﾀｲﾌﾟ、浸け置きｶｯﾌﾟ、捨て打ち有り (new)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2012-05-10T08:00:53Z</cp:lastPrinted>
  <dcterms:created xsi:type="dcterms:W3CDTF">2011-12-13T06:48:43Z</dcterms:created>
  <dcterms:modified xsi:type="dcterms:W3CDTF">2017-09-02T08:25:20Z</dcterms:modified>
</cp:coreProperties>
</file>