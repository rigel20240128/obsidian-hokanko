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EC0EA38D-4D98-4A7C-A4E3-F2496F7AEF6B}" xr6:coauthVersionLast="47" xr6:coauthVersionMax="47" xr10:uidLastSave="{00000000-0000-0000-0000-000000000000}"/>
  <bookViews>
    <workbookView showHorizontalScroll="0" showVerticalScroll="0" showSheetTabs="0" xWindow="-120" yWindow="-120" windowWidth="29040" windowHeight="18240" xr2:uid="{00000000-000D-0000-FFFF-FFFF00000000}"/>
  </bookViews>
  <sheets>
    <sheet name="原価表" sheetId="1" r:id="rId1"/>
  </sheets>
  <definedNames>
    <definedName name="_xlnm._FilterDatabase" localSheetId="0" hidden="1">原価表!$B$9:$O$17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<sst xmlns="http://schemas.openxmlformats.org/spreadsheetml/2006/main" count="49" uniqueCount="35">
  <si>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</si>
  <si>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</si>
  <si>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</si>
  <si>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</si>
  <si>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</si>
  <si>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</si>
  <si>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</si>
  <si>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</si>
  <si>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</si>
  <si>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</si>
  <si>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</si>
  <si>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</si>
  <si>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</si>
  <si>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</si>
  <si>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</si>
  <si>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</si>
  <si>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</si>
  <si>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</si>
  <si>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</si>
  <si>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</si>
  <si>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</si>
  <si>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</si>
  <si>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エレマテック</t>
    <phoneticPr fontId="2"/>
  </si>
  <si>
    <t>MISUMI</t>
    <phoneticPr fontId="2"/>
  </si>
  <si>
    <t>山澤</t>
    <rPh sb="0" eb="2">
      <t>ヤマサワ</t>
    </rPh>
    <phoneticPr fontId="2"/>
  </si>
  <si>
    <t>未定</t>
    <rPh sb="0" eb="2">
      <t>ミテイ</t>
    </rPh>
    <phoneticPr fontId="2"/>
  </si>
  <si>
    <t>LHN-0425-M5</t>
    <phoneticPr fontId="2"/>
  </si>
  <si>
    <t>AJPNGLB4-P6-B3-G4-ML5</t>
    <phoneticPr fontId="2"/>
  </si>
  <si>
    <t>AJPNGLB4-P5-B3-G4-ML5</t>
    <phoneticPr fontId="2"/>
  </si>
  <si>
    <t>MVBLK-AMN-3N5-1FA6G</t>
    <phoneticPr fontId="2"/>
  </si>
  <si>
    <t>MVBLK-AMN-3MX-7XSRL</t>
    <phoneticPr fontId="2"/>
  </si>
  <si>
    <t>MVBLK-AMN-3MX-89CLY</t>
    <phoneticPr fontId="2"/>
  </si>
  <si>
    <t>ﾆﾎﾝﾋﾟｽｺ】ﾐﾆﾏﾙﾂｷﾞﾃ LHN  ( - )</t>
    <phoneticPr fontId="2"/>
  </si>
  <si>
    <t>【ﾐｽﾐ】ｲﾁｷﾞﾒﾋﾟﾝ  ( - )</t>
    <phoneticPr fontId="2"/>
  </si>
  <si>
    <t>【ﾐｽﾐ】ﾒｳﾞｨｰ_ｶｸﾓﾉ_ｱﾙﾐ  ( - 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</si>
</sst>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1" fillId="0" borderId="5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"/>
  <sheetViews>
    <sheetView tabSelected="1" zoomScale="110" zoomScaleNormal="110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E21" sqref="E21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0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6.375" customWidth="1"/>
    <col min="15" max="15" width="26.25" style="1" customWidth="1"/>
    <col min="16" max="16" width="27.5" style="6" customWidth="1"/>
    <col min="17" max="17" width="15.625" style="28" customWidth="1"/>
  </cols>
  <sheetData>
    <row r="2" spans="2:17" ht="20.100000000000001" customHeight="1" x14ac:dyDescent="0.15">
      <c r="B2" s="35" t="s">
        <v>11</v>
      </c>
      <c r="C2" s="35"/>
      <c r="D2" s="35"/>
      <c r="E2" s="2" t="s">
        <v>22</v>
      </c>
      <c r="G2" s="36" t="s">
        <v>15</v>
      </c>
      <c r="H2" s="37"/>
      <c r="I2" s="38"/>
      <c r="J2" s="3">
        <f>SUM(H:H)</f>
        <v>95440</v>
      </c>
    </row>
    <row r="3" spans="2:17" ht="20.100000000000001" customHeight="1" x14ac:dyDescent="0.15">
      <c r="B3" s="35" t="s">
        <v>10</v>
      </c>
      <c r="C3" s="35"/>
      <c r="D3" s="35"/>
      <c r="E3" s="7" t="s">
        <v>24</v>
      </c>
    </row>
    <row r="4" spans="2:17" ht="20.100000000000001" customHeight="1" x14ac:dyDescent="0.15">
      <c r="B4" s="35" t="s">
        <v>12</v>
      </c>
      <c r="C4" s="35"/>
      <c r="D4" s="35"/>
      <c r="E4" s="7">
        <v>211619</v>
      </c>
      <c r="J4" s="8"/>
    </row>
    <row r="5" spans="2:17" ht="20.100000000000001" customHeight="1" x14ac:dyDescent="0.15">
      <c r="B5" s="35" t="s">
        <v>13</v>
      </c>
      <c r="C5" s="35"/>
      <c r="D5" s="35"/>
      <c r="E5" s="9"/>
      <c r="J5" s="8"/>
    </row>
    <row r="6" spans="2:17" ht="20.100000000000001" customHeight="1" x14ac:dyDescent="0.15">
      <c r="B6" s="35" t="s">
        <v>14</v>
      </c>
      <c r="C6" s="35"/>
      <c r="D6" s="35"/>
      <c r="E6" s="9" t="s">
        <v>25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1" t="s">
        <v>1</v>
      </c>
      <c r="H9" s="32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" customFormat="1" ht="19.7" customHeight="1" x14ac:dyDescent="0.15">
      <c r="B10" s="13">
        <v>1</v>
      </c>
      <c r="C10" s="13" t="s">
        <v>23</v>
      </c>
      <c r="D10" s="13" t="s">
        <v>23</v>
      </c>
      <c r="E10" s="33" t="s">
        <v>26</v>
      </c>
      <c r="F10" s="19">
        <v>10</v>
      </c>
      <c r="G10" s="31">
        <v>263</v>
      </c>
      <c r="H10" s="32">
        <f>F10*G10</f>
        <v>2630</v>
      </c>
      <c r="I10" s="15"/>
      <c r="J10" s="39" t="s">
        <v>32</v>
      </c>
      <c r="K10" s="34"/>
      <c r="L10" s="14"/>
      <c r="M10" s="16">
        <v>45317</v>
      </c>
      <c r="N10" s="13"/>
      <c r="O10" s="14"/>
      <c r="P10" s="16"/>
      <c r="Q10" s="17"/>
    </row>
    <row r="11" spans="2:17" s="4" customFormat="1" ht="19.7" customHeight="1" x14ac:dyDescent="0.15">
      <c r="B11" s="13">
        <v>1</v>
      </c>
      <c r="C11" s="13" t="s">
        <v>23</v>
      </c>
      <c r="D11" s="13" t="s">
        <v>23</v>
      </c>
      <c r="E11" s="21" t="s">
        <v>27</v>
      </c>
      <c r="F11" s="19">
        <v>5</v>
      </c>
      <c r="G11" s="29">
        <v>465</v>
      </c>
      <c r="H11" s="32">
        <f t="shared" ref="H11:H14" si="0">F11*G11</f>
        <v>2325</v>
      </c>
      <c r="I11" s="20"/>
      <c r="J11" s="40" t="s">
        <v>33</v>
      </c>
      <c r="K11" s="34"/>
      <c r="L11" s="14"/>
      <c r="M11" s="16">
        <v>45317</v>
      </c>
      <c r="N11" s="13"/>
      <c r="O11" s="14"/>
      <c r="P11" s="16"/>
      <c r="Q11" s="17"/>
    </row>
    <row r="12" spans="2:17" s="4" customFormat="1" ht="19.7" customHeight="1" x14ac:dyDescent="0.15">
      <c r="B12" s="13">
        <v>1</v>
      </c>
      <c r="C12" s="13" t="s">
        <v>23</v>
      </c>
      <c r="D12" s="13" t="s">
        <v>23</v>
      </c>
      <c r="E12" s="21" t="s">
        <v>28</v>
      </c>
      <c r="F12" s="19">
        <v>8</v>
      </c>
      <c r="G12" s="29">
        <v>465</v>
      </c>
      <c r="H12" s="32">
        <f t="shared" si="0"/>
        <v>3720</v>
      </c>
      <c r="I12" s="20"/>
      <c r="J12" s="22" t="s">
        <v>33</v>
      </c>
      <c r="K12" s="34"/>
      <c r="L12" s="14"/>
      <c r="M12" s="16">
        <v>45317</v>
      </c>
      <c r="N12" s="13"/>
      <c r="O12" s="27"/>
      <c r="P12" s="16"/>
      <c r="Q12" s="17"/>
    </row>
    <row r="13" spans="2:17" s="4" customFormat="1" ht="19.7" customHeight="1" x14ac:dyDescent="0.15">
      <c r="B13" s="13">
        <v>1</v>
      </c>
      <c r="C13" s="13" t="s">
        <v>23</v>
      </c>
      <c r="D13" s="13" t="s">
        <v>23</v>
      </c>
      <c r="E13" s="21" t="s">
        <v>29</v>
      </c>
      <c r="F13" s="19">
        <v>1</v>
      </c>
      <c r="G13" s="31">
        <v>20751</v>
      </c>
      <c r="H13" s="32">
        <f t="shared" si="0"/>
        <v>20751</v>
      </c>
      <c r="I13" s="18"/>
      <c r="J13" s="22" t="s">
        <v>34</v>
      </c>
      <c r="K13" s="14"/>
      <c r="L13" s="14"/>
      <c r="M13" s="16">
        <v>45313</v>
      </c>
      <c r="N13" s="13"/>
      <c r="O13" s="14"/>
      <c r="P13" s="16"/>
      <c r="Q13" s="17"/>
    </row>
    <row r="14" spans="2:17" s="4" customFormat="1" ht="19.7" customHeight="1" x14ac:dyDescent="0.15">
      <c r="B14" s="13">
        <v>1</v>
      </c>
      <c r="C14" s="13" t="s">
        <v>23</v>
      </c>
      <c r="D14" s="13" t="s">
        <v>23</v>
      </c>
      <c r="E14" s="24" t="s">
        <v>30</v>
      </c>
      <c r="F14" s="19">
        <v>1</v>
      </c>
      <c r="G14" s="31">
        <v>37613</v>
      </c>
      <c r="H14" s="32">
        <f t="shared" si="0"/>
        <v>37613</v>
      </c>
      <c r="I14" s="25"/>
      <c r="J14" s="41" t="s">
        <v>34</v>
      </c>
      <c r="K14" s="14"/>
      <c r="L14" s="14"/>
      <c r="M14" s="16">
        <v>45306</v>
      </c>
      <c r="N14" s="13"/>
      <c r="O14" s="14"/>
      <c r="P14" s="16"/>
      <c r="Q14" s="17"/>
    </row>
    <row r="15" spans="2:17" s="4" customFormat="1" ht="19.7" customHeight="1" x14ac:dyDescent="0.15">
      <c r="B15" s="13">
        <v>1</v>
      </c>
      <c r="C15" s="13" t="s">
        <v>23</v>
      </c>
      <c r="D15" s="13" t="s">
        <v>23</v>
      </c>
      <c r="E15" s="24" t="s">
        <v>31</v>
      </c>
      <c r="F15" s="19">
        <v>1</v>
      </c>
      <c r="G15" s="31">
        <v>28401</v>
      </c>
      <c r="H15" s="32">
        <f t="shared" ref="H15:H16" si="1">F15*G15</f>
        <v>28401</v>
      </c>
      <c r="I15" s="25"/>
      <c r="J15" s="41" t="s">
        <v>34</v>
      </c>
      <c r="K15" s="14"/>
      <c r="L15" s="14"/>
      <c r="M15" s="16">
        <v>45306</v>
      </c>
      <c r="N15" s="13"/>
      <c r="O15" s="14"/>
      <c r="P15" s="16"/>
      <c r="Q15" s="17"/>
    </row>
    <row r="16" spans="2:17" s="4" customFormat="1" ht="19.7" customHeight="1" x14ac:dyDescent="0.15">
      <c r="B16" s="13"/>
      <c r="C16" s="13"/>
      <c r="D16" s="13"/>
      <c r="E16" s="24"/>
      <c r="F16" s="19"/>
      <c r="G16" s="31"/>
      <c r="H16" s="32"/>
      <c r="I16" s="25"/>
      <c r="J16" s="41"/>
      <c r="K16" s="14"/>
      <c r="L16" s="14"/>
      <c r="M16" s="16"/>
      <c r="N16" s="13"/>
      <c r="O16" s="14"/>
      <c r="P16" s="16"/>
      <c r="Q16" s="17"/>
    </row>
    <row r="17" spans="2:17" s="4" customFormat="1" ht="19.7" customHeight="1" x14ac:dyDescent="0.15">
      <c r="B17" s="13"/>
      <c r="C17" s="26"/>
      <c r="D17" s="26"/>
      <c r="E17" s="23"/>
      <c r="F17" s="23"/>
      <c r="G17" s="31"/>
      <c r="H17" s="31"/>
      <c r="I17" s="18"/>
      <c r="J17" s="42"/>
      <c r="K17" s="13"/>
      <c r="L17" s="13"/>
      <c r="M17" s="16"/>
      <c r="N17" s="13"/>
      <c r="O17" s="27"/>
      <c r="P17" s="27"/>
      <c r="Q17" s="17"/>
    </row>
  </sheetData>
  <autoFilter ref="B9:O17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まる まん</cp:lastModifiedBy>
  <cp:lastPrinted>2021-05-10T06:26:28Z</cp:lastPrinted>
  <dcterms:created xsi:type="dcterms:W3CDTF">2011-12-13T06:48:43Z</dcterms:created>
  <dcterms:modified xsi:type="dcterms:W3CDTF">2024-02-07T01:39:05Z</dcterms:modified>
</cp:coreProperties>
</file>