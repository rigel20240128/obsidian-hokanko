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h-saito\Desktop\【217795】SETB0129-A01 大館ニプロ様 ﾜｰｸ治具治具1式\"/>
    </mc:Choice>
  </mc:AlternateContent>
  <xr:revisionPtr revIDLastSave="0" documentId="13_ncr:1_{8C79A139-4A12-4A1A-B025-98CA8D523C7A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原価一覧 (20240912) " sheetId="13" r:id="rId1"/>
    <sheet name="Sheet2" sheetId="2" r:id="rId2"/>
    <sheet name="Sheet3" sheetId="3" r:id="rId3"/>
  </sheets>
  <definedNames>
    <definedName name="_xlnm._FilterDatabase" localSheetId="0">'原価一覧 (20240912) '!$C$8:$P$8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3" l="1"/>
  <c r="I16" i="13"/>
  <c r="I62" i="13"/>
  <c r="I61" i="13"/>
  <c r="I60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F39" i="13" s="1"/>
  <c r="I15" i="13"/>
  <c r="I14" i="13"/>
  <c r="I13" i="13"/>
  <c r="I12" i="13"/>
  <c r="C12" i="13"/>
  <c r="C13" i="13" s="1"/>
  <c r="C14" i="13" s="1"/>
  <c r="C15" i="13" s="1"/>
  <c r="C16" i="13" s="1"/>
  <c r="I11" i="13"/>
  <c r="F18" i="13" s="1"/>
  <c r="C23" i="13" l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K2" i="13"/>
  <c r="C35" i="13" l="1"/>
  <c r="C36" i="13" s="1"/>
</calcChain>
</file>

<file path=xl/sharedStrings.xml><?xml version="1.0" encoding="utf-8"?>
<sst xmlns="http://schemas.openxmlformats.org/spreadsheetml/2006/main" count="160" uniqueCount="80">
  <si>
    <t>お客先名</t>
  </si>
  <si>
    <t>合計金額</t>
  </si>
  <si>
    <t>担当営業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</si>
  <si>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</si>
  <si>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</si>
  <si>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</si>
  <si>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</si>
  <si>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</si>
  <si>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</si>
  <si>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</si>
  <si>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</si>
  <si>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</si>
  <si>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</si>
  <si>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</si>
  <si>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</si>
  <si>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</si>
  <si>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</si>
  <si>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</si>
  <si>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</si>
  <si>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</si>
  <si>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</si>
  <si>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</si>
  <si>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</si>
  <si>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</si>
  <si>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ミスミ</t>
    <phoneticPr fontId="11"/>
  </si>
  <si>
    <t>meviy</t>
    <phoneticPr fontId="11"/>
  </si>
  <si>
    <t>1日目</t>
    <rPh sb="1" eb="2">
      <t>ヒ</t>
    </rPh>
    <rPh sb="2" eb="3">
      <t>メ</t>
    </rPh>
    <phoneticPr fontId="11"/>
  </si>
  <si>
    <t xml:space="preserve">MS3-10 </t>
    <phoneticPr fontId="10"/>
  </si>
  <si>
    <t>出荷依頼項目NO.</t>
    <rPh sb="0" eb="4">
      <t>シュッカイライ</t>
    </rPh>
    <rPh sb="4" eb="6">
      <t>コウモク</t>
    </rPh>
    <phoneticPr fontId="10"/>
  </si>
  <si>
    <t>岸</t>
    <rPh sb="0" eb="1">
      <t>キシ</t>
    </rPh>
    <phoneticPr fontId="10"/>
  </si>
  <si>
    <t>図面NO.　SETB-0129-A01</t>
    <rPh sb="0" eb="2">
      <t>ズメン</t>
    </rPh>
    <phoneticPr fontId="10"/>
  </si>
  <si>
    <t>MVSHM-3N03054-3XE-M13TN</t>
    <phoneticPr fontId="10"/>
  </si>
  <si>
    <t>MVSHM-3N03054-3XE-EYA4S</t>
    <phoneticPr fontId="10"/>
  </si>
  <si>
    <t>MVBLK-SUB-3XE-AKF7H</t>
    <phoneticPr fontId="10"/>
  </si>
  <si>
    <t>CBSST3-10</t>
    <phoneticPr fontId="10"/>
  </si>
  <si>
    <t>DBSY3-4-5</t>
    <phoneticPr fontId="10"/>
  </si>
  <si>
    <t>PACK-SWSJJ10-5-0.5</t>
    <phoneticPr fontId="10"/>
  </si>
  <si>
    <t>SCB4-8</t>
    <phoneticPr fontId="10"/>
  </si>
  <si>
    <t>六角穴付ボルト 　　　　 4本　　　　　　　　</t>
    <phoneticPr fontId="10"/>
  </si>
  <si>
    <t>低頭六角穴付ボルト　　　　 3本　　　　　　　</t>
    <phoneticPr fontId="10"/>
  </si>
  <si>
    <t>SFB3-6</t>
    <phoneticPr fontId="10"/>
  </si>
  <si>
    <t>SPSNKS3-L0-P1.75-B6-H4-T10</t>
    <phoneticPr fontId="10"/>
  </si>
  <si>
    <t>SCB3-12</t>
    <phoneticPr fontId="10"/>
  </si>
  <si>
    <t>六角穴付ボルト 　　　　 10本　　　　　　　</t>
    <phoneticPr fontId="10"/>
  </si>
  <si>
    <t>段付ボルト</t>
    <phoneticPr fontId="10"/>
  </si>
  <si>
    <t>2日目</t>
    <rPh sb="1" eb="2">
      <t>ヒ</t>
    </rPh>
    <rPh sb="2" eb="3">
      <t>メ</t>
    </rPh>
    <phoneticPr fontId="11"/>
  </si>
  <si>
    <t>【エコノミーシリーズ】 マグネット付六角ボルト</t>
    <phoneticPr fontId="10"/>
  </si>
  <si>
    <t>3日目</t>
    <rPh sb="1" eb="2">
      <t>ヒ</t>
    </rPh>
    <rPh sb="2" eb="3">
      <t>メ</t>
    </rPh>
    <phoneticPr fontId="11"/>
  </si>
  <si>
    <t>六角穴付皿ボルト 　 4本　</t>
    <phoneticPr fontId="10"/>
  </si>
  <si>
    <t>SKNTR4</t>
    <phoneticPr fontId="10"/>
  </si>
  <si>
    <t>ナット－単品販売－</t>
    <phoneticPr fontId="10"/>
  </si>
  <si>
    <t>小径位置決めピン　高硬度ステンレス　ツバ付き・おねじタイプ</t>
    <phoneticPr fontId="10"/>
  </si>
  <si>
    <t>金属ワッシャ　－ザグリ穴タイプ－</t>
    <phoneticPr fontId="10"/>
  </si>
  <si>
    <t>SETB0129-X03 ﾜｰｸ治具ﾜｰｸコアｻﾎﾟｰﾄ</t>
    <phoneticPr fontId="10"/>
  </si>
  <si>
    <t>SETB0129-X04 ﾜｰｸ治具ﾜｰｸﾁｭｰﾌﾞ押え</t>
  </si>
  <si>
    <t>SETB0129-X05 ﾜｰｸ治具ﾜｰｸﾁｭｰﾌﾞ押え2</t>
  </si>
  <si>
    <t>Ｎo.217795</t>
    <phoneticPr fontId="10"/>
  </si>
  <si>
    <t xml:space="preserve"> ニプロ（株）大館工場　様</t>
    <rPh sb="4" eb="7">
      <t>カブ</t>
    </rPh>
    <rPh sb="9" eb="11">
      <t>コウジョウ</t>
    </rPh>
    <rPh sb="12" eb="13">
      <t>サマ</t>
    </rPh>
    <phoneticPr fontId="10"/>
  </si>
  <si>
    <t>極薄樹脂ワッシャ　10個入り</t>
    <rPh sb="11" eb="12">
      <t>コ</t>
    </rPh>
    <rPh sb="12" eb="13">
      <t>イ</t>
    </rPh>
    <phoneticPr fontId="10"/>
  </si>
  <si>
    <t>SETB0129-X07 ﾜｰｸ治具ﾏｸﾞﾈｯﾄﾌﾞﾗｹｯﾄ</t>
    <phoneticPr fontId="10"/>
  </si>
  <si>
    <t>6日目</t>
    <rPh sb="1" eb="2">
      <t>ヒ</t>
    </rPh>
    <rPh sb="2" eb="3">
      <t>メ</t>
    </rPh>
    <phoneticPr fontId="11"/>
  </si>
  <si>
    <t>MVBLK-SUB-3XN-TW8PM</t>
    <phoneticPr fontId="10"/>
  </si>
  <si>
    <t>MVBLK-SUB-3XN-3TU3N</t>
    <phoneticPr fontId="10"/>
  </si>
  <si>
    <t>SETB0129-X02-1 ﾜｰｸ治具ﾜｰｸ受け</t>
    <phoneticPr fontId="10"/>
  </si>
  <si>
    <t>SETB0129-X01-1 ﾜｰｸ治具ﾍﾞｰｽ</t>
    <phoneticPr fontId="10"/>
  </si>
  <si>
    <t>MVBLK-SUB-3XN-4W3UR</t>
    <phoneticPr fontId="10"/>
  </si>
  <si>
    <t>SETB0129-X06-1 ﾜｰｸ治具ﾜｰｸﾁｭｰﾌﾞ押え3</t>
    <phoneticPr fontId="10"/>
  </si>
  <si>
    <t>MVSHM-3N03002-3XN-15PW1</t>
    <phoneticPr fontId="10"/>
  </si>
  <si>
    <t>WZAS10-8</t>
    <phoneticPr fontId="10"/>
  </si>
  <si>
    <t>SCB3-10</t>
    <phoneticPr fontId="10"/>
  </si>
  <si>
    <t>ノックピン　　　  3本　　+2本</t>
    <rPh sb="16" eb="17">
      <t>ホン</t>
    </rPh>
    <phoneticPr fontId="10"/>
  </si>
  <si>
    <t>FWTAC-D8-M3-T3.0</t>
    <phoneticPr fontId="10"/>
  </si>
  <si>
    <t>SBCB3-6</t>
    <phoneticPr fontId="10"/>
  </si>
  <si>
    <t>E-GHXUB4-15</t>
    <phoneticPr fontId="10"/>
  </si>
  <si>
    <t>六角穴付ボタンねじ</t>
    <phoneticPr fontId="10"/>
  </si>
  <si>
    <t>金属ワッシャ　－タップタイプ－</t>
    <phoneticPr fontId="10"/>
  </si>
  <si>
    <t>AB23B1667C</t>
    <phoneticPr fontId="10"/>
  </si>
  <si>
    <t>受注番号</t>
    <phoneticPr fontId="10"/>
  </si>
  <si>
    <t>　受注番号　Ｎo.217795　購入分　ﾜｰｸ治具　TYPE1</t>
    <rPh sb="16" eb="18">
      <t>コウニュウ</t>
    </rPh>
    <rPh sb="18" eb="19">
      <t>ブン</t>
    </rPh>
    <phoneticPr fontId="10"/>
  </si>
  <si>
    <t>仙台営業所　実験用費用分　ﾜｰｸ治具　TYPE1</t>
    <rPh sb="0" eb="2">
      <t>センダイ</t>
    </rPh>
    <rPh sb="2" eb="5">
      <t>エイギョウショ</t>
    </rPh>
    <rPh sb="6" eb="8">
      <t>ジッケン</t>
    </rPh>
    <rPh sb="8" eb="9">
      <t>ヨウ</t>
    </rPh>
    <rPh sb="9" eb="11">
      <t>ヒヨウ</t>
    </rPh>
    <rPh sb="11" eb="12">
      <t>ブン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</si>
</sst>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21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9" tint="-0.499984740745262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</cellStyleXfs>
  <cellXfs count="10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9" fillId="0" borderId="6" xfId="0" applyFon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56" fontId="0" fillId="0" borderId="6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6" xfId="0" applyNumberFormat="1" applyBorder="1">
      <alignment vertical="center"/>
    </xf>
    <xf numFmtId="176" fontId="0" fillId="0" borderId="6" xfId="0" applyNumberFormat="1" applyBorder="1" applyAlignment="1"/>
    <xf numFmtId="0" fontId="0" fillId="0" borderId="6" xfId="0" applyBorder="1" applyAlignment="1">
      <alignment horizontal="left" vertical="center" shrinkToFit="1"/>
    </xf>
    <xf numFmtId="176" fontId="0" fillId="0" borderId="8" xfId="0" applyNumberFormat="1" applyBorder="1" applyAlignment="1"/>
    <xf numFmtId="0" fontId="9" fillId="0" borderId="6" xfId="0" applyFont="1" applyBorder="1" applyAlignment="1">
      <alignment horizontal="left" vertical="center" shrinkToFit="1"/>
    </xf>
    <xf numFmtId="0" fontId="9" fillId="0" borderId="0" xfId="0" applyFont="1">
      <alignment vertical="center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176" fontId="7" fillId="0" borderId="1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3" fontId="0" fillId="6" borderId="6" xfId="0" applyNumberForma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 shrinkToFit="1"/>
    </xf>
    <xf numFmtId="3" fontId="0" fillId="0" borderId="4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176" fontId="0" fillId="0" borderId="5" xfId="0" applyNumberFormat="1" applyBorder="1" applyAlignment="1"/>
    <xf numFmtId="0" fontId="5" fillId="0" borderId="9" xfId="0" applyFont="1" applyBorder="1" applyAlignment="1">
      <alignment horizontal="center" vertical="center"/>
    </xf>
    <xf numFmtId="3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>
      <alignment vertical="center"/>
    </xf>
    <xf numFmtId="0" fontId="16" fillId="0" borderId="6" xfId="0" applyFont="1" applyBorder="1" applyAlignment="1">
      <alignment horizontal="center" vertical="center"/>
    </xf>
    <xf numFmtId="176" fontId="16" fillId="0" borderId="6" xfId="0" applyNumberFormat="1" applyFont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16" fillId="0" borderId="8" xfId="0" applyNumberFormat="1" applyFont="1" applyBorder="1">
      <alignment vertical="center"/>
    </xf>
    <xf numFmtId="0" fontId="16" fillId="0" borderId="8" xfId="0" applyFont="1" applyBorder="1">
      <alignment vertical="center"/>
    </xf>
    <xf numFmtId="0" fontId="13" fillId="0" borderId="0" xfId="0" applyFont="1" applyAlignment="1">
      <alignment vertical="center" shrinkToFit="1"/>
    </xf>
    <xf numFmtId="56" fontId="0" fillId="0" borderId="0" xfId="0" applyNumberFormat="1" applyAlignment="1">
      <alignment horizontal="center" vertical="center"/>
    </xf>
    <xf numFmtId="49" fontId="18" fillId="0" borderId="6" xfId="0" applyNumberFormat="1" applyFont="1" applyBorder="1" applyAlignment="1">
      <alignment horizontal="left" vertical="center"/>
    </xf>
    <xf numFmtId="176" fontId="18" fillId="0" borderId="6" xfId="0" applyNumberFormat="1" applyFont="1" applyBorder="1" applyAlignment="1">
      <alignment horizontal="center" vertical="center"/>
    </xf>
    <xf numFmtId="176" fontId="18" fillId="0" borderId="6" xfId="0" applyNumberFormat="1" applyFont="1" applyBorder="1">
      <alignment vertical="center"/>
    </xf>
    <xf numFmtId="0" fontId="2" fillId="5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176" fontId="0" fillId="0" borderId="6" xfId="0" applyNumberFormat="1" applyBorder="1" applyAlignment="1">
      <alignment horizontal="center" vertical="center"/>
    </xf>
    <xf numFmtId="0" fontId="19" fillId="0" borderId="6" xfId="0" applyFont="1" applyBorder="1" applyAlignment="1">
      <alignment horizontal="left" vertical="center" shrinkToFit="1"/>
    </xf>
    <xf numFmtId="0" fontId="19" fillId="0" borderId="6" xfId="0" applyFont="1" applyBorder="1" applyAlignment="1">
      <alignment horizontal="left" vertical="center" wrapText="1" shrinkToFit="1"/>
    </xf>
    <xf numFmtId="176" fontId="9" fillId="0" borderId="6" xfId="0" applyNumberFormat="1" applyFont="1" applyBorder="1">
      <alignment vertical="center"/>
    </xf>
    <xf numFmtId="0" fontId="9" fillId="7" borderId="6" xfId="0" applyFont="1" applyFill="1" applyBorder="1" applyAlignment="1">
      <alignment horizontal="center" vertical="center"/>
    </xf>
    <xf numFmtId="49" fontId="9" fillId="7" borderId="6" xfId="0" applyNumberFormat="1" applyFont="1" applyFill="1" applyBorder="1" applyAlignment="1">
      <alignment horizontal="left" vertical="center"/>
    </xf>
    <xf numFmtId="176" fontId="0" fillId="7" borderId="6" xfId="0" applyNumberFormat="1" applyFill="1" applyBorder="1" applyAlignment="1">
      <alignment horizontal="center" vertical="center"/>
    </xf>
    <xf numFmtId="176" fontId="0" fillId="7" borderId="6" xfId="0" applyNumberFormat="1" applyFill="1" applyBorder="1">
      <alignment vertical="center"/>
    </xf>
    <xf numFmtId="176" fontId="9" fillId="7" borderId="6" xfId="0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76" fontId="9" fillId="7" borderId="6" xfId="0" applyNumberFormat="1" applyFont="1" applyFill="1" applyBorder="1">
      <alignment vertical="center"/>
    </xf>
    <xf numFmtId="0" fontId="2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3" fontId="0" fillId="5" borderId="6" xfId="0" applyNumberFormat="1" applyFill="1" applyBorder="1" applyAlignment="1">
      <alignment horizontal="center" vertical="center"/>
    </xf>
    <xf numFmtId="49" fontId="9" fillId="8" borderId="6" xfId="0" applyNumberFormat="1" applyFont="1" applyFill="1" applyBorder="1" applyAlignment="1">
      <alignment horizontal="left" vertical="center"/>
    </xf>
    <xf numFmtId="176" fontId="0" fillId="8" borderId="6" xfId="0" applyNumberFormat="1" applyFill="1" applyBorder="1" applyAlignment="1">
      <alignment horizontal="center" vertical="center"/>
    </xf>
    <xf numFmtId="176" fontId="0" fillId="8" borderId="6" xfId="0" applyNumberFormat="1" applyFill="1" applyBorder="1">
      <alignment vertical="center"/>
    </xf>
    <xf numFmtId="176" fontId="9" fillId="8" borderId="6" xfId="0" applyNumberFormat="1" applyFont="1" applyFill="1" applyBorder="1">
      <alignment vertical="center"/>
    </xf>
    <xf numFmtId="0" fontId="9" fillId="8" borderId="6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176" fontId="7" fillId="2" borderId="11" xfId="0" applyNumberFormat="1" applyFont="1" applyFill="1" applyBorder="1" applyAlignment="1">
      <alignment horizontal="center" vertical="center"/>
    </xf>
    <xf numFmtId="176" fontId="7" fillId="2" borderId="1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9493-2F12-4007-BEA3-E305BDBCC561}">
  <sheetPr>
    <tabColor rgb="FFFFC000"/>
  </sheetPr>
  <dimension ref="A2:R66"/>
  <sheetViews>
    <sheetView tabSelected="1" zoomScale="70" zoomScaleNormal="70" workbookViewId="0">
      <pane xSplit="11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B15" sqref="B15"/>
    </sheetView>
  </sheetViews>
  <sheetFormatPr defaultColWidth="11.77734375" defaultRowHeight="13.5" customHeight="1" x14ac:dyDescent="0.2"/>
  <cols>
    <col min="1" max="1" width="18.6640625" customWidth="1"/>
    <col min="2" max="2" width="17" customWidth="1"/>
    <col min="3" max="3" width="6.21875" style="3" customWidth="1"/>
    <col min="4" max="4" width="15.21875" customWidth="1"/>
    <col min="5" max="5" width="15.44140625" customWidth="1"/>
    <col min="6" max="6" width="55.6640625" customWidth="1"/>
    <col min="7" max="7" width="10.77734375" style="3" customWidth="1"/>
    <col min="8" max="9" width="12.109375" style="3" customWidth="1"/>
    <col min="10" max="10" width="10.33203125" style="12" customWidth="1"/>
    <col min="11" max="11" width="35.6640625" customWidth="1"/>
    <col min="12" max="12" width="18.88671875" customWidth="1"/>
    <col min="13" max="13" width="18.33203125" style="3" customWidth="1"/>
    <col min="14" max="14" width="17" style="3" customWidth="1"/>
    <col min="15" max="15" width="7.88671875" customWidth="1"/>
    <col min="16" max="16" width="16.33203125" style="3" customWidth="1"/>
    <col min="17" max="17" width="17.88671875" style="31" customWidth="1"/>
    <col min="18" max="18" width="19.33203125" style="31" customWidth="1"/>
  </cols>
  <sheetData>
    <row r="2" spans="1:18" ht="20.100000000000001" customHeight="1" x14ac:dyDescent="0.2">
      <c r="C2" s="86" t="s">
        <v>0</v>
      </c>
      <c r="D2" s="86"/>
      <c r="E2" s="86"/>
      <c r="F2" s="22" t="s">
        <v>57</v>
      </c>
      <c r="H2" s="99" t="s">
        <v>1</v>
      </c>
      <c r="I2" s="100"/>
      <c r="J2" s="101"/>
      <c r="K2" s="11">
        <f>SUM(I:I)</f>
        <v>118097</v>
      </c>
    </row>
    <row r="3" spans="1:18" ht="20.100000000000001" customHeight="1" x14ac:dyDescent="0.2">
      <c r="C3" s="86" t="s">
        <v>2</v>
      </c>
      <c r="D3" s="86"/>
      <c r="E3" s="86"/>
      <c r="F3" s="9" t="s">
        <v>29</v>
      </c>
    </row>
    <row r="4" spans="1:18" ht="20.100000000000001" customHeight="1" x14ac:dyDescent="0.2">
      <c r="C4" s="86" t="s">
        <v>77</v>
      </c>
      <c r="D4" s="86"/>
      <c r="E4" s="86"/>
      <c r="F4" s="9" t="s">
        <v>56</v>
      </c>
      <c r="H4" s="102"/>
      <c r="I4" s="102"/>
      <c r="J4" s="102"/>
      <c r="K4" s="102"/>
      <c r="L4" s="37"/>
    </row>
    <row r="5" spans="1:18" ht="20.100000000000001" customHeight="1" x14ac:dyDescent="0.2">
      <c r="C5" s="86" t="s">
        <v>3</v>
      </c>
      <c r="D5" s="86"/>
      <c r="E5" s="86"/>
      <c r="F5" s="10">
        <v>45555</v>
      </c>
      <c r="H5" s="102"/>
      <c r="I5" s="102"/>
      <c r="J5" s="102"/>
      <c r="K5" s="102"/>
    </row>
    <row r="6" spans="1:18" ht="20.100000000000001" customHeight="1" x14ac:dyDescent="0.2">
      <c r="C6" s="86" t="s">
        <v>4</v>
      </c>
      <c r="D6" s="86"/>
      <c r="E6" s="86"/>
      <c r="F6" s="10">
        <v>45558</v>
      </c>
      <c r="H6" s="87" t="s">
        <v>30</v>
      </c>
      <c r="I6" s="87"/>
      <c r="J6" s="87"/>
      <c r="K6" s="87"/>
    </row>
    <row r="8" spans="1:18" s="3" customFormat="1" ht="19.5" customHeight="1" x14ac:dyDescent="0.2">
      <c r="B8" s="46" t="s">
        <v>28</v>
      </c>
      <c r="C8" s="45" t="s">
        <v>5</v>
      </c>
      <c r="D8" s="4" t="s">
        <v>6</v>
      </c>
      <c r="E8" s="4" t="s">
        <v>7</v>
      </c>
      <c r="F8" s="1" t="s">
        <v>8</v>
      </c>
      <c r="G8" s="1" t="s">
        <v>9</v>
      </c>
      <c r="H8" s="1" t="s">
        <v>10</v>
      </c>
      <c r="I8" s="2" t="s">
        <v>11</v>
      </c>
      <c r="J8" s="2" t="s">
        <v>12</v>
      </c>
      <c r="K8" s="1" t="s">
        <v>13</v>
      </c>
      <c r="L8" s="1" t="s">
        <v>14</v>
      </c>
      <c r="M8" s="1" t="s">
        <v>15</v>
      </c>
      <c r="N8" s="15" t="s">
        <v>16</v>
      </c>
      <c r="O8" s="4" t="s">
        <v>17</v>
      </c>
      <c r="P8" s="1" t="s">
        <v>18</v>
      </c>
      <c r="Q8" s="15" t="s">
        <v>19</v>
      </c>
      <c r="R8" s="8" t="s">
        <v>20</v>
      </c>
    </row>
    <row r="9" spans="1:18" s="3" customFormat="1" ht="19.5" customHeight="1" x14ac:dyDescent="0.2">
      <c r="C9" s="4"/>
      <c r="D9" s="4"/>
      <c r="E9" s="4"/>
      <c r="F9" s="6"/>
      <c r="G9" s="19"/>
      <c r="H9" s="19"/>
      <c r="I9" s="19"/>
      <c r="J9" s="13"/>
      <c r="K9" s="20"/>
      <c r="L9" s="1"/>
      <c r="M9" s="1"/>
      <c r="N9" s="15"/>
      <c r="O9" s="4"/>
      <c r="P9" s="1"/>
      <c r="Q9" s="15"/>
      <c r="R9" s="8"/>
    </row>
    <row r="10" spans="1:18" ht="18" customHeight="1" x14ac:dyDescent="0.2">
      <c r="C10" s="88" t="s">
        <v>78</v>
      </c>
      <c r="D10" s="89"/>
      <c r="E10" s="89"/>
      <c r="F10" s="90"/>
      <c r="G10" s="17"/>
      <c r="H10" s="17"/>
      <c r="I10" s="19"/>
      <c r="J10" s="13"/>
      <c r="K10" s="16"/>
      <c r="L10" s="6"/>
      <c r="M10" s="5"/>
      <c r="N10" s="15"/>
      <c r="O10" s="8"/>
      <c r="P10" s="8"/>
      <c r="Q10" s="15"/>
      <c r="R10" s="14"/>
    </row>
    <row r="11" spans="1:18" ht="18" customHeight="1" x14ac:dyDescent="0.2">
      <c r="A11" s="84" t="s">
        <v>60</v>
      </c>
      <c r="B11" s="63">
        <v>1</v>
      </c>
      <c r="C11" s="47">
        <v>1</v>
      </c>
      <c r="D11" s="43" t="s">
        <v>25</v>
      </c>
      <c r="E11" s="43" t="s">
        <v>24</v>
      </c>
      <c r="F11" s="80" t="s">
        <v>65</v>
      </c>
      <c r="G11" s="81">
        <v>1</v>
      </c>
      <c r="H11" s="82">
        <v>21924</v>
      </c>
      <c r="I11" s="82">
        <f t="shared" ref="I11:I36" si="0">G11*H11</f>
        <v>21924</v>
      </c>
      <c r="J11" s="35"/>
      <c r="K11" s="36" t="s">
        <v>64</v>
      </c>
      <c r="L11" s="39"/>
      <c r="M11" s="77" t="s">
        <v>76</v>
      </c>
      <c r="N11" s="30">
        <v>45547</v>
      </c>
      <c r="O11" s="23"/>
      <c r="P11" s="30">
        <v>45556</v>
      </c>
      <c r="Q11" s="30">
        <v>45558</v>
      </c>
      <c r="R11" s="28"/>
    </row>
    <row r="12" spans="1:18" ht="18" customHeight="1" x14ac:dyDescent="0.2">
      <c r="A12" s="84" t="s">
        <v>60</v>
      </c>
      <c r="B12" s="63">
        <v>1</v>
      </c>
      <c r="C12" s="47">
        <f>C11+1</f>
        <v>2</v>
      </c>
      <c r="D12" s="43" t="s">
        <v>25</v>
      </c>
      <c r="E12" s="43" t="s">
        <v>24</v>
      </c>
      <c r="F12" s="80" t="s">
        <v>62</v>
      </c>
      <c r="G12" s="81">
        <v>1</v>
      </c>
      <c r="H12" s="82">
        <v>33627</v>
      </c>
      <c r="I12" s="82">
        <f t="shared" si="0"/>
        <v>33627</v>
      </c>
      <c r="J12" s="35"/>
      <c r="K12" s="36" t="s">
        <v>63</v>
      </c>
      <c r="L12" s="39"/>
      <c r="M12" s="77" t="s">
        <v>76</v>
      </c>
      <c r="N12" s="30">
        <v>45547</v>
      </c>
      <c r="O12" s="23"/>
      <c r="P12" s="30">
        <v>45556</v>
      </c>
      <c r="Q12" s="30">
        <v>45558</v>
      </c>
      <c r="R12" s="28"/>
    </row>
    <row r="13" spans="1:18" ht="18" customHeight="1" x14ac:dyDescent="0.2">
      <c r="A13" s="84" t="s">
        <v>60</v>
      </c>
      <c r="B13" s="63">
        <v>1</v>
      </c>
      <c r="C13" s="47">
        <f t="shared" ref="C13:C36" si="1">C12+1</f>
        <v>3</v>
      </c>
      <c r="D13" s="43" t="s">
        <v>25</v>
      </c>
      <c r="E13" s="43" t="s">
        <v>24</v>
      </c>
      <c r="F13" s="80" t="s">
        <v>33</v>
      </c>
      <c r="G13" s="81">
        <v>1</v>
      </c>
      <c r="H13" s="82">
        <v>16417</v>
      </c>
      <c r="I13" s="82">
        <f t="shared" si="0"/>
        <v>16417</v>
      </c>
      <c r="J13" s="35"/>
      <c r="K13" s="36" t="s">
        <v>53</v>
      </c>
      <c r="L13" s="39"/>
      <c r="M13" s="77" t="s">
        <v>76</v>
      </c>
      <c r="N13" s="30">
        <v>45547</v>
      </c>
      <c r="O13" s="23"/>
      <c r="P13" s="30">
        <v>45556</v>
      </c>
      <c r="Q13" s="30">
        <v>45558</v>
      </c>
      <c r="R13" s="28"/>
    </row>
    <row r="14" spans="1:18" ht="18" customHeight="1" x14ac:dyDescent="0.2">
      <c r="A14" s="84" t="s">
        <v>47</v>
      </c>
      <c r="B14" s="63">
        <v>1</v>
      </c>
      <c r="C14" s="47">
        <f>C13+1</f>
        <v>4</v>
      </c>
      <c r="D14" s="43" t="s">
        <v>25</v>
      </c>
      <c r="E14" s="43" t="s">
        <v>24</v>
      </c>
      <c r="F14" s="80" t="s">
        <v>31</v>
      </c>
      <c r="G14" s="81">
        <v>1</v>
      </c>
      <c r="H14" s="82">
        <v>2192</v>
      </c>
      <c r="I14" s="82">
        <f t="shared" si="0"/>
        <v>2192</v>
      </c>
      <c r="J14" s="35"/>
      <c r="K14" s="36" t="s">
        <v>54</v>
      </c>
      <c r="L14" s="39"/>
      <c r="M14" s="77" t="s">
        <v>76</v>
      </c>
      <c r="N14" s="30">
        <v>45547</v>
      </c>
      <c r="O14" s="23"/>
      <c r="P14" s="30">
        <v>45556</v>
      </c>
      <c r="Q14" s="30">
        <v>45558</v>
      </c>
      <c r="R14" s="28"/>
    </row>
    <row r="15" spans="1:18" ht="18" customHeight="1" x14ac:dyDescent="0.2">
      <c r="A15" s="84" t="s">
        <v>47</v>
      </c>
      <c r="B15" s="63">
        <v>1</v>
      </c>
      <c r="C15" s="47">
        <f t="shared" ref="C15:C16" si="2">C14+1</f>
        <v>5</v>
      </c>
      <c r="D15" s="43" t="s">
        <v>25</v>
      </c>
      <c r="E15" s="43" t="s">
        <v>24</v>
      </c>
      <c r="F15" s="80" t="s">
        <v>32</v>
      </c>
      <c r="G15" s="81">
        <v>1</v>
      </c>
      <c r="H15" s="82">
        <v>2192</v>
      </c>
      <c r="I15" s="82">
        <f t="shared" si="0"/>
        <v>2192</v>
      </c>
      <c r="J15" s="35"/>
      <c r="K15" s="36" t="s">
        <v>55</v>
      </c>
      <c r="L15" s="39"/>
      <c r="M15" s="77" t="s">
        <v>76</v>
      </c>
      <c r="N15" s="30">
        <v>45547</v>
      </c>
      <c r="O15" s="23"/>
      <c r="P15" s="30">
        <v>45556</v>
      </c>
      <c r="Q15" s="30">
        <v>45558</v>
      </c>
      <c r="R15" s="28"/>
    </row>
    <row r="16" spans="1:18" ht="18" customHeight="1" x14ac:dyDescent="0.2">
      <c r="A16" s="85" t="s">
        <v>47</v>
      </c>
      <c r="B16" s="63">
        <v>1</v>
      </c>
      <c r="C16" s="47">
        <f t="shared" si="2"/>
        <v>6</v>
      </c>
      <c r="D16" s="79" t="s">
        <v>24</v>
      </c>
      <c r="E16" s="79" t="s">
        <v>24</v>
      </c>
      <c r="F16" s="80" t="s">
        <v>41</v>
      </c>
      <c r="G16" s="81">
        <v>10</v>
      </c>
      <c r="H16" s="83">
        <v>980</v>
      </c>
      <c r="I16" s="82">
        <f t="shared" ref="I16" si="3">G16*H16</f>
        <v>9800</v>
      </c>
      <c r="J16" s="35"/>
      <c r="K16" s="36" t="s">
        <v>51</v>
      </c>
      <c r="L16" s="39"/>
      <c r="M16" s="77" t="s">
        <v>76</v>
      </c>
      <c r="N16" s="30">
        <v>45547</v>
      </c>
      <c r="O16" s="23"/>
      <c r="P16" s="30">
        <v>45556</v>
      </c>
      <c r="Q16" s="30">
        <v>45558</v>
      </c>
      <c r="R16" s="28"/>
    </row>
    <row r="17" spans="1:18" ht="18" customHeight="1" x14ac:dyDescent="0.2">
      <c r="A17" s="78"/>
      <c r="B17" s="46"/>
      <c r="C17" s="64"/>
      <c r="D17" s="25"/>
      <c r="E17" s="25"/>
      <c r="F17" s="65"/>
      <c r="G17" s="66"/>
      <c r="H17" s="32"/>
      <c r="I17" s="32"/>
      <c r="J17" s="35"/>
      <c r="K17" s="36"/>
      <c r="L17" s="39"/>
      <c r="M17" s="77"/>
      <c r="N17" s="30"/>
      <c r="O17" s="23"/>
      <c r="P17" s="30"/>
      <c r="Q17" s="30"/>
      <c r="R17" s="28"/>
    </row>
    <row r="18" spans="1:18" ht="18" customHeight="1" x14ac:dyDescent="0.2">
      <c r="A18" s="78"/>
      <c r="B18" s="46"/>
      <c r="C18" s="64"/>
      <c r="D18" s="25"/>
      <c r="E18" s="25"/>
      <c r="F18" s="91">
        <f>SUM(I11:I17)</f>
        <v>86152</v>
      </c>
      <c r="G18" s="91"/>
      <c r="H18" s="91"/>
      <c r="I18" s="92"/>
      <c r="J18" s="35"/>
      <c r="K18" s="36"/>
      <c r="L18" s="39"/>
      <c r="M18" s="77"/>
      <c r="N18" s="30"/>
      <c r="O18" s="23"/>
      <c r="P18" s="30"/>
      <c r="Q18" s="30"/>
      <c r="R18" s="28"/>
    </row>
    <row r="19" spans="1:18" ht="18" customHeight="1" x14ac:dyDescent="0.2">
      <c r="A19" s="78"/>
      <c r="B19" s="46"/>
      <c r="C19" s="64"/>
      <c r="D19" s="25"/>
      <c r="E19" s="25"/>
      <c r="F19" s="65"/>
      <c r="G19" s="66"/>
      <c r="H19" s="32"/>
      <c r="I19" s="32"/>
      <c r="J19" s="35"/>
      <c r="K19" s="36"/>
      <c r="L19" s="39"/>
      <c r="M19" s="77"/>
      <c r="N19" s="30"/>
      <c r="O19" s="23"/>
      <c r="P19" s="30"/>
      <c r="Q19" s="30"/>
      <c r="R19" s="28"/>
    </row>
    <row r="20" spans="1:18" ht="18" customHeight="1" x14ac:dyDescent="0.2">
      <c r="A20" s="78"/>
      <c r="B20" s="46"/>
      <c r="C20" s="64"/>
      <c r="D20" s="25"/>
      <c r="E20" s="25"/>
      <c r="F20" s="65"/>
      <c r="G20" s="66"/>
      <c r="H20" s="32"/>
      <c r="I20" s="32"/>
      <c r="J20" s="35"/>
      <c r="K20" s="36"/>
      <c r="L20" s="39"/>
      <c r="M20" s="77"/>
      <c r="N20" s="30"/>
      <c r="O20" s="23"/>
      <c r="P20" s="30"/>
      <c r="Q20" s="30"/>
      <c r="R20" s="28"/>
    </row>
    <row r="21" spans="1:18" ht="18" customHeight="1" x14ac:dyDescent="0.2">
      <c r="A21" s="78"/>
      <c r="B21" s="46"/>
      <c r="C21" s="96" t="s">
        <v>79</v>
      </c>
      <c r="D21" s="97"/>
      <c r="E21" s="97"/>
      <c r="F21" s="98"/>
      <c r="G21" s="66"/>
      <c r="H21" s="32"/>
      <c r="I21" s="32"/>
      <c r="J21" s="35"/>
      <c r="K21" s="36"/>
      <c r="L21" s="39"/>
      <c r="M21" s="77"/>
      <c r="N21" s="30"/>
      <c r="O21" s="23"/>
      <c r="P21" s="30"/>
      <c r="Q21" s="30"/>
      <c r="R21" s="28"/>
    </row>
    <row r="22" spans="1:18" ht="18" customHeight="1" x14ac:dyDescent="0.2">
      <c r="A22" s="70" t="s">
        <v>47</v>
      </c>
      <c r="B22" s="63">
        <v>1</v>
      </c>
      <c r="C22" s="47">
        <f>C16+1</f>
        <v>7</v>
      </c>
      <c r="D22" s="43" t="s">
        <v>25</v>
      </c>
      <c r="E22" s="43" t="s">
        <v>24</v>
      </c>
      <c r="F22" s="71" t="s">
        <v>67</v>
      </c>
      <c r="G22" s="72">
        <v>1</v>
      </c>
      <c r="H22" s="73">
        <v>2710</v>
      </c>
      <c r="I22" s="73">
        <f t="shared" si="0"/>
        <v>2710</v>
      </c>
      <c r="J22" s="35"/>
      <c r="K22" s="36" t="s">
        <v>66</v>
      </c>
      <c r="L22" s="39"/>
      <c r="M22" s="77" t="s">
        <v>76</v>
      </c>
      <c r="N22" s="30">
        <v>45547</v>
      </c>
      <c r="O22" s="23"/>
      <c r="P22" s="30">
        <v>45556</v>
      </c>
      <c r="Q22" s="30">
        <v>45558</v>
      </c>
      <c r="R22" s="28"/>
    </row>
    <row r="23" spans="1:18" ht="18" customHeight="1" x14ac:dyDescent="0.2">
      <c r="A23" s="70" t="s">
        <v>60</v>
      </c>
      <c r="B23" s="63">
        <v>1</v>
      </c>
      <c r="C23" s="47">
        <f t="shared" si="1"/>
        <v>8</v>
      </c>
      <c r="D23" s="43" t="s">
        <v>25</v>
      </c>
      <c r="E23" s="43" t="s">
        <v>24</v>
      </c>
      <c r="F23" s="71" t="s">
        <v>61</v>
      </c>
      <c r="G23" s="72">
        <v>1</v>
      </c>
      <c r="H23" s="73">
        <v>19881</v>
      </c>
      <c r="I23" s="73">
        <f t="shared" si="0"/>
        <v>19881</v>
      </c>
      <c r="J23" s="35">
        <v>96943</v>
      </c>
      <c r="K23" s="36" t="s">
        <v>59</v>
      </c>
      <c r="L23" s="39"/>
      <c r="M23" s="77" t="s">
        <v>76</v>
      </c>
      <c r="N23" s="30">
        <v>45547</v>
      </c>
      <c r="O23" s="23"/>
      <c r="P23" s="30">
        <v>45556</v>
      </c>
      <c r="Q23" s="30">
        <v>45558</v>
      </c>
      <c r="R23" s="28"/>
    </row>
    <row r="24" spans="1:18" ht="18" customHeight="1" x14ac:dyDescent="0.2">
      <c r="A24" s="75" t="s">
        <v>26</v>
      </c>
      <c r="B24" s="63">
        <v>1</v>
      </c>
      <c r="C24" s="47">
        <f t="shared" si="1"/>
        <v>9</v>
      </c>
      <c r="D24" s="79" t="s">
        <v>24</v>
      </c>
      <c r="E24" s="79" t="s">
        <v>24</v>
      </c>
      <c r="F24" s="71" t="s">
        <v>34</v>
      </c>
      <c r="G24" s="72">
        <v>3</v>
      </c>
      <c r="H24" s="76">
        <v>116</v>
      </c>
      <c r="I24" s="73">
        <f t="shared" si="0"/>
        <v>348</v>
      </c>
      <c r="J24" s="35"/>
      <c r="K24" s="68" t="s">
        <v>39</v>
      </c>
      <c r="L24" s="39"/>
      <c r="M24" s="77" t="s">
        <v>76</v>
      </c>
      <c r="N24" s="30">
        <v>45547</v>
      </c>
      <c r="O24" s="23"/>
      <c r="P24" s="30">
        <v>45556</v>
      </c>
      <c r="Q24" s="30">
        <v>45558</v>
      </c>
      <c r="R24" s="28"/>
    </row>
    <row r="25" spans="1:18" ht="18" customHeight="1" x14ac:dyDescent="0.2">
      <c r="A25" s="75" t="s">
        <v>26</v>
      </c>
      <c r="B25" s="63">
        <v>1</v>
      </c>
      <c r="C25" s="47">
        <f t="shared" si="1"/>
        <v>10</v>
      </c>
      <c r="D25" s="79" t="s">
        <v>24</v>
      </c>
      <c r="E25" s="79" t="s">
        <v>24</v>
      </c>
      <c r="F25" s="71" t="s">
        <v>35</v>
      </c>
      <c r="G25" s="72">
        <v>2</v>
      </c>
      <c r="H25" s="76">
        <v>430</v>
      </c>
      <c r="I25" s="73">
        <f t="shared" si="0"/>
        <v>860</v>
      </c>
      <c r="J25" s="35"/>
      <c r="K25" s="44" t="s">
        <v>44</v>
      </c>
      <c r="L25" s="39"/>
      <c r="M25" s="77" t="s">
        <v>76</v>
      </c>
      <c r="N25" s="30">
        <v>45547</v>
      </c>
      <c r="O25" s="23"/>
      <c r="P25" s="30">
        <v>45556</v>
      </c>
      <c r="Q25" s="30">
        <v>45558</v>
      </c>
      <c r="R25" s="28"/>
    </row>
    <row r="26" spans="1:18" ht="18" customHeight="1" x14ac:dyDescent="0.2">
      <c r="A26" s="75" t="s">
        <v>26</v>
      </c>
      <c r="B26" s="63">
        <v>1</v>
      </c>
      <c r="C26" s="47">
        <f t="shared" si="1"/>
        <v>11</v>
      </c>
      <c r="D26" s="79" t="s">
        <v>24</v>
      </c>
      <c r="E26" s="79" t="s">
        <v>24</v>
      </c>
      <c r="F26" s="71" t="s">
        <v>73</v>
      </c>
      <c r="G26" s="72">
        <v>3</v>
      </c>
      <c r="H26" s="76">
        <v>625</v>
      </c>
      <c r="I26" s="73">
        <f t="shared" si="0"/>
        <v>1875</v>
      </c>
      <c r="J26" s="35"/>
      <c r="K26" s="44" t="s">
        <v>46</v>
      </c>
      <c r="L26" s="39"/>
      <c r="M26" s="77" t="s">
        <v>76</v>
      </c>
      <c r="N26" s="30">
        <v>45547</v>
      </c>
      <c r="O26" s="23"/>
      <c r="P26" s="30">
        <v>45556</v>
      </c>
      <c r="Q26" s="30">
        <v>45558</v>
      </c>
      <c r="R26" s="28"/>
    </row>
    <row r="27" spans="1:18" ht="18" customHeight="1" x14ac:dyDescent="0.2">
      <c r="A27" s="75" t="s">
        <v>26</v>
      </c>
      <c r="B27" s="63">
        <v>1</v>
      </c>
      <c r="C27" s="47">
        <f t="shared" si="1"/>
        <v>12</v>
      </c>
      <c r="D27" s="79" t="s">
        <v>24</v>
      </c>
      <c r="E27" s="79" t="s">
        <v>24</v>
      </c>
      <c r="F27" s="71" t="s">
        <v>72</v>
      </c>
      <c r="G27" s="72">
        <v>3</v>
      </c>
      <c r="H27" s="76">
        <v>29</v>
      </c>
      <c r="I27" s="73">
        <f t="shared" si="0"/>
        <v>87</v>
      </c>
      <c r="J27" s="35"/>
      <c r="K27" s="44" t="s">
        <v>74</v>
      </c>
      <c r="L27" s="39"/>
      <c r="M27" s="77" t="s">
        <v>76</v>
      </c>
      <c r="N27" s="30">
        <v>45547</v>
      </c>
      <c r="O27" s="23"/>
      <c r="P27" s="30">
        <v>45556</v>
      </c>
      <c r="Q27" s="30">
        <v>45558</v>
      </c>
      <c r="R27" s="28"/>
    </row>
    <row r="28" spans="1:18" ht="18" customHeight="1" x14ac:dyDescent="0.2">
      <c r="A28" s="75" t="s">
        <v>26</v>
      </c>
      <c r="B28" s="63">
        <v>1</v>
      </c>
      <c r="C28" s="47">
        <f t="shared" si="1"/>
        <v>13</v>
      </c>
      <c r="D28" s="79" t="s">
        <v>24</v>
      </c>
      <c r="E28" s="79" t="s">
        <v>24</v>
      </c>
      <c r="F28" s="71" t="s">
        <v>27</v>
      </c>
      <c r="G28" s="74">
        <v>5</v>
      </c>
      <c r="H28" s="73">
        <v>155</v>
      </c>
      <c r="I28" s="73">
        <f t="shared" si="0"/>
        <v>775</v>
      </c>
      <c r="J28" s="35"/>
      <c r="K28" s="67" t="s">
        <v>70</v>
      </c>
      <c r="L28" s="39"/>
      <c r="M28" s="77" t="s">
        <v>76</v>
      </c>
      <c r="N28" s="30">
        <v>45547</v>
      </c>
      <c r="O28" s="23"/>
      <c r="P28" s="30">
        <v>45556</v>
      </c>
      <c r="Q28" s="30">
        <v>45558</v>
      </c>
      <c r="R28" s="28"/>
    </row>
    <row r="29" spans="1:18" ht="18" customHeight="1" x14ac:dyDescent="0.2">
      <c r="A29" s="70" t="s">
        <v>47</v>
      </c>
      <c r="B29" s="63">
        <v>1</v>
      </c>
      <c r="C29" s="47">
        <f t="shared" si="1"/>
        <v>14</v>
      </c>
      <c r="D29" s="79" t="s">
        <v>24</v>
      </c>
      <c r="E29" s="79" t="s">
        <v>24</v>
      </c>
      <c r="F29" s="71" t="s">
        <v>36</v>
      </c>
      <c r="G29" s="72">
        <v>1</v>
      </c>
      <c r="H29" s="76">
        <v>950</v>
      </c>
      <c r="I29" s="73">
        <f t="shared" si="0"/>
        <v>950</v>
      </c>
      <c r="J29" s="35"/>
      <c r="K29" s="44" t="s">
        <v>58</v>
      </c>
      <c r="L29" s="39"/>
      <c r="M29" s="77" t="s">
        <v>76</v>
      </c>
      <c r="N29" s="30">
        <v>45547</v>
      </c>
      <c r="O29" s="23"/>
      <c r="P29" s="30">
        <v>45556</v>
      </c>
      <c r="Q29" s="30">
        <v>45558</v>
      </c>
      <c r="R29" s="28"/>
    </row>
    <row r="30" spans="1:18" ht="18" customHeight="1" x14ac:dyDescent="0.2">
      <c r="A30" s="75" t="s">
        <v>26</v>
      </c>
      <c r="B30" s="63">
        <v>1</v>
      </c>
      <c r="C30" s="47">
        <f t="shared" si="1"/>
        <v>15</v>
      </c>
      <c r="D30" s="79" t="s">
        <v>24</v>
      </c>
      <c r="E30" s="79" t="s">
        <v>24</v>
      </c>
      <c r="F30" s="71" t="s">
        <v>37</v>
      </c>
      <c r="G30" s="72">
        <v>10</v>
      </c>
      <c r="H30" s="73">
        <v>25</v>
      </c>
      <c r="I30" s="73">
        <f t="shared" si="0"/>
        <v>250</v>
      </c>
      <c r="J30" s="35"/>
      <c r="K30" s="36" t="s">
        <v>38</v>
      </c>
      <c r="L30" s="39"/>
      <c r="M30" s="77" t="s">
        <v>76</v>
      </c>
      <c r="N30" s="30">
        <v>45547</v>
      </c>
      <c r="O30" s="23"/>
      <c r="P30" s="30">
        <v>45556</v>
      </c>
      <c r="Q30" s="30">
        <v>45558</v>
      </c>
      <c r="R30" s="28"/>
    </row>
    <row r="31" spans="1:18" ht="18" customHeight="1" x14ac:dyDescent="0.2">
      <c r="A31" s="75" t="s">
        <v>26</v>
      </c>
      <c r="B31" s="63">
        <v>1</v>
      </c>
      <c r="C31" s="47">
        <f t="shared" si="1"/>
        <v>16</v>
      </c>
      <c r="D31" s="79" t="s">
        <v>24</v>
      </c>
      <c r="E31" s="79" t="s">
        <v>24</v>
      </c>
      <c r="F31" s="71" t="s">
        <v>40</v>
      </c>
      <c r="G31" s="72">
        <v>4</v>
      </c>
      <c r="H31" s="76">
        <v>94</v>
      </c>
      <c r="I31" s="73">
        <f t="shared" si="0"/>
        <v>376</v>
      </c>
      <c r="J31" s="35"/>
      <c r="K31" s="44" t="s">
        <v>48</v>
      </c>
      <c r="L31" s="39"/>
      <c r="M31" s="77" t="s">
        <v>76</v>
      </c>
      <c r="N31" s="30">
        <v>45547</v>
      </c>
      <c r="O31" s="23"/>
      <c r="P31" s="30">
        <v>45556</v>
      </c>
      <c r="Q31" s="30">
        <v>45558</v>
      </c>
      <c r="R31" s="28"/>
    </row>
    <row r="32" spans="1:18" ht="18" customHeight="1" x14ac:dyDescent="0.2">
      <c r="A32" s="75" t="s">
        <v>45</v>
      </c>
      <c r="B32" s="63">
        <v>1</v>
      </c>
      <c r="C32" s="47">
        <f t="shared" si="1"/>
        <v>17</v>
      </c>
      <c r="D32" s="79" t="s">
        <v>24</v>
      </c>
      <c r="E32" s="79" t="s">
        <v>24</v>
      </c>
      <c r="F32" s="71" t="s">
        <v>71</v>
      </c>
      <c r="G32" s="72">
        <v>3</v>
      </c>
      <c r="H32" s="76">
        <v>370</v>
      </c>
      <c r="I32" s="73">
        <f t="shared" si="0"/>
        <v>1110</v>
      </c>
      <c r="J32" s="35"/>
      <c r="K32" s="44" t="s">
        <v>75</v>
      </c>
      <c r="L32" s="39"/>
      <c r="M32" s="77" t="s">
        <v>76</v>
      </c>
      <c r="N32" s="30">
        <v>45547</v>
      </c>
      <c r="O32" s="23"/>
      <c r="P32" s="30">
        <v>45556</v>
      </c>
      <c r="Q32" s="30">
        <v>45558</v>
      </c>
      <c r="R32" s="28"/>
    </row>
    <row r="33" spans="1:18" ht="18" customHeight="1" x14ac:dyDescent="0.2">
      <c r="A33" s="75" t="s">
        <v>26</v>
      </c>
      <c r="B33" s="63">
        <v>1</v>
      </c>
      <c r="C33" s="47">
        <f t="shared" si="1"/>
        <v>18</v>
      </c>
      <c r="D33" s="79" t="s">
        <v>24</v>
      </c>
      <c r="E33" s="79" t="s">
        <v>24</v>
      </c>
      <c r="F33" s="71" t="s">
        <v>49</v>
      </c>
      <c r="G33" s="72">
        <v>3</v>
      </c>
      <c r="H33" s="76">
        <v>141</v>
      </c>
      <c r="I33" s="73">
        <f t="shared" si="0"/>
        <v>423</v>
      </c>
      <c r="J33" s="35"/>
      <c r="K33" s="44" t="s">
        <v>50</v>
      </c>
      <c r="L33" s="39"/>
      <c r="M33" s="77" t="s">
        <v>76</v>
      </c>
      <c r="N33" s="30">
        <v>45547</v>
      </c>
      <c r="O33" s="23"/>
      <c r="P33" s="30">
        <v>45556</v>
      </c>
      <c r="Q33" s="30">
        <v>45558</v>
      </c>
      <c r="R33" s="28"/>
    </row>
    <row r="34" spans="1:18" ht="18" customHeight="1" x14ac:dyDescent="0.2">
      <c r="A34" s="75" t="s">
        <v>26</v>
      </c>
      <c r="B34" s="63">
        <v>1</v>
      </c>
      <c r="C34" s="47">
        <f t="shared" si="1"/>
        <v>19</v>
      </c>
      <c r="D34" s="79" t="s">
        <v>24</v>
      </c>
      <c r="E34" s="79" t="s">
        <v>24</v>
      </c>
      <c r="F34" s="71" t="s">
        <v>42</v>
      </c>
      <c r="G34" s="72">
        <v>10</v>
      </c>
      <c r="H34" s="76">
        <v>25</v>
      </c>
      <c r="I34" s="73">
        <f t="shared" si="0"/>
        <v>250</v>
      </c>
      <c r="J34" s="35"/>
      <c r="K34" s="36" t="s">
        <v>43</v>
      </c>
      <c r="L34" s="39"/>
      <c r="M34" s="77" t="s">
        <v>76</v>
      </c>
      <c r="N34" s="30">
        <v>45547</v>
      </c>
      <c r="O34" s="23"/>
      <c r="P34" s="30">
        <v>45556</v>
      </c>
      <c r="Q34" s="30">
        <v>45558</v>
      </c>
      <c r="R34" s="28"/>
    </row>
    <row r="35" spans="1:18" ht="18" customHeight="1" x14ac:dyDescent="0.2">
      <c r="A35" s="75" t="s">
        <v>45</v>
      </c>
      <c r="B35" s="63">
        <v>1</v>
      </c>
      <c r="C35" s="47">
        <f>C34+1</f>
        <v>20</v>
      </c>
      <c r="D35" s="79" t="s">
        <v>24</v>
      </c>
      <c r="E35" s="79" t="s">
        <v>24</v>
      </c>
      <c r="F35" s="71" t="s">
        <v>68</v>
      </c>
      <c r="G35" s="72">
        <v>10</v>
      </c>
      <c r="H35" s="76">
        <v>180</v>
      </c>
      <c r="I35" s="73">
        <f t="shared" si="0"/>
        <v>1800</v>
      </c>
      <c r="J35" s="35"/>
      <c r="K35" s="44" t="s">
        <v>52</v>
      </c>
      <c r="L35" s="39"/>
      <c r="M35" s="77" t="s">
        <v>76</v>
      </c>
      <c r="N35" s="30">
        <v>45547</v>
      </c>
      <c r="O35" s="23"/>
      <c r="P35" s="30">
        <v>45556</v>
      </c>
      <c r="Q35" s="30">
        <v>45558</v>
      </c>
      <c r="R35" s="28"/>
    </row>
    <row r="36" spans="1:18" ht="18" customHeight="1" x14ac:dyDescent="0.2">
      <c r="A36" s="75" t="s">
        <v>26</v>
      </c>
      <c r="B36" s="63">
        <v>1</v>
      </c>
      <c r="C36" s="47">
        <f t="shared" si="1"/>
        <v>21</v>
      </c>
      <c r="D36" s="79" t="s">
        <v>24</v>
      </c>
      <c r="E36" s="79" t="s">
        <v>24</v>
      </c>
      <c r="F36" s="71" t="s">
        <v>69</v>
      </c>
      <c r="G36" s="72">
        <v>10</v>
      </c>
      <c r="H36" s="73">
        <v>25</v>
      </c>
      <c r="I36" s="73">
        <f t="shared" si="0"/>
        <v>250</v>
      </c>
      <c r="J36" s="35"/>
      <c r="K36" s="36" t="s">
        <v>43</v>
      </c>
      <c r="L36" s="39"/>
      <c r="M36" s="77" t="s">
        <v>76</v>
      </c>
      <c r="N36" s="30">
        <v>45547</v>
      </c>
      <c r="O36" s="23"/>
      <c r="P36" s="30">
        <v>45556</v>
      </c>
      <c r="Q36" s="30">
        <v>45558</v>
      </c>
      <c r="R36" s="28"/>
    </row>
    <row r="37" spans="1:18" ht="18" customHeight="1" x14ac:dyDescent="0.2">
      <c r="A37" s="24"/>
      <c r="B37" s="46"/>
      <c r="C37" s="64"/>
      <c r="D37" s="25"/>
      <c r="E37" s="25"/>
      <c r="F37" s="65"/>
      <c r="G37" s="66"/>
      <c r="H37" s="69"/>
      <c r="I37" s="32"/>
      <c r="J37" s="35"/>
      <c r="K37" s="44"/>
      <c r="L37" s="39"/>
      <c r="M37" s="24"/>
      <c r="N37" s="30"/>
      <c r="O37" s="23"/>
      <c r="P37" s="30"/>
      <c r="Q37" s="30"/>
      <c r="R37" s="28"/>
    </row>
    <row r="38" spans="1:18" ht="18" customHeight="1" x14ac:dyDescent="0.2">
      <c r="A38" s="27"/>
      <c r="B38" s="23"/>
      <c r="C38" s="29"/>
      <c r="D38" s="25"/>
      <c r="E38" s="25"/>
      <c r="F38" s="60"/>
      <c r="G38" s="61"/>
      <c r="H38" s="62"/>
      <c r="I38" s="62"/>
      <c r="J38" s="35"/>
      <c r="K38" s="34"/>
      <c r="L38" s="39"/>
      <c r="M38" s="24"/>
      <c r="N38" s="30"/>
      <c r="O38" s="23"/>
      <c r="P38" s="30"/>
      <c r="Q38" s="30"/>
      <c r="R38" s="28"/>
    </row>
    <row r="39" spans="1:18" ht="18" customHeight="1" x14ac:dyDescent="0.2">
      <c r="A39" s="23"/>
      <c r="B39" s="23"/>
      <c r="C39" s="38"/>
      <c r="D39" s="25"/>
      <c r="E39" s="32"/>
      <c r="F39" s="91">
        <f>SUM(I22:I38)</f>
        <v>31945</v>
      </c>
      <c r="G39" s="91"/>
      <c r="H39" s="91"/>
      <c r="I39" s="92"/>
      <c r="J39" s="49"/>
      <c r="K39" s="42"/>
      <c r="L39" s="6"/>
      <c r="M39" s="5"/>
      <c r="N39" s="15"/>
      <c r="O39" s="8"/>
      <c r="P39" s="8"/>
      <c r="Q39" s="15"/>
      <c r="R39" s="14"/>
    </row>
    <row r="40" spans="1:18" ht="18" customHeight="1" x14ac:dyDescent="0.2">
      <c r="A40" s="23"/>
      <c r="B40" s="23"/>
      <c r="C40" s="38"/>
      <c r="D40" s="25"/>
      <c r="E40" s="32"/>
      <c r="F40" s="48"/>
      <c r="G40" s="41"/>
      <c r="H40" s="41"/>
      <c r="I40" s="41"/>
      <c r="J40" s="33"/>
      <c r="K40" s="26"/>
      <c r="L40" s="40"/>
      <c r="M40" s="5"/>
      <c r="N40" s="15"/>
      <c r="O40" s="8"/>
      <c r="P40" s="8"/>
      <c r="Q40" s="15"/>
      <c r="R40" s="14"/>
    </row>
    <row r="41" spans="1:18" ht="18" customHeight="1" x14ac:dyDescent="0.2">
      <c r="A41" s="23"/>
      <c r="B41" s="23"/>
      <c r="C41" s="38"/>
      <c r="D41" s="25"/>
      <c r="E41" s="32"/>
      <c r="F41" s="48"/>
      <c r="G41" s="41"/>
      <c r="H41" s="41"/>
      <c r="I41" s="41"/>
      <c r="J41" s="33"/>
      <c r="K41" s="26"/>
      <c r="L41" s="40"/>
      <c r="M41" s="5"/>
      <c r="N41" s="15"/>
      <c r="O41" s="8"/>
      <c r="P41" s="8"/>
      <c r="Q41" s="15"/>
      <c r="R41" s="14"/>
    </row>
    <row r="42" spans="1:18" ht="18" customHeight="1" x14ac:dyDescent="0.2">
      <c r="A42" s="23"/>
      <c r="B42" s="23"/>
      <c r="C42" s="38"/>
      <c r="D42" s="25"/>
      <c r="E42" s="32"/>
      <c r="F42" s="48"/>
      <c r="G42" s="41"/>
      <c r="H42" s="41"/>
      <c r="I42" s="41"/>
      <c r="J42" s="33"/>
      <c r="K42" s="26"/>
      <c r="L42" s="40"/>
      <c r="M42" s="5"/>
      <c r="N42" s="15"/>
      <c r="O42" s="8"/>
      <c r="P42" s="8"/>
      <c r="Q42" s="15"/>
      <c r="R42" s="14"/>
    </row>
    <row r="43" spans="1:18" ht="18" customHeight="1" x14ac:dyDescent="0.2">
      <c r="A43" s="23"/>
      <c r="B43" s="23"/>
      <c r="C43" s="38"/>
      <c r="D43" s="25"/>
      <c r="E43" s="32"/>
      <c r="F43" s="48"/>
      <c r="G43" s="41"/>
      <c r="H43" s="41"/>
      <c r="I43" s="41"/>
      <c r="J43" s="33"/>
      <c r="K43" s="26"/>
      <c r="L43" s="40"/>
      <c r="M43" s="5"/>
      <c r="N43" s="15"/>
      <c r="O43" s="8"/>
      <c r="P43" s="8"/>
      <c r="Q43" s="15"/>
      <c r="R43" s="14"/>
    </row>
    <row r="44" spans="1:18" ht="18" customHeight="1" x14ac:dyDescent="0.2">
      <c r="A44" s="23"/>
      <c r="B44" s="23"/>
      <c r="C44" s="38"/>
      <c r="D44" s="25"/>
      <c r="E44" s="32"/>
      <c r="F44" s="48"/>
      <c r="G44" s="41"/>
      <c r="H44" s="41"/>
      <c r="I44" s="41"/>
      <c r="J44" s="33"/>
      <c r="K44" s="26"/>
      <c r="L44" s="40"/>
      <c r="M44" s="5"/>
      <c r="N44" s="15"/>
      <c r="O44" s="8"/>
      <c r="P44" s="8"/>
      <c r="Q44" s="15"/>
      <c r="R44" s="14"/>
    </row>
    <row r="45" spans="1:18" ht="18" customHeight="1" x14ac:dyDescent="0.2">
      <c r="A45" s="23"/>
      <c r="B45" s="23"/>
      <c r="C45" s="38"/>
      <c r="D45" s="25"/>
      <c r="E45" s="32"/>
      <c r="F45" s="48"/>
      <c r="G45" s="41"/>
      <c r="H45" s="41"/>
      <c r="I45" s="41"/>
      <c r="J45" s="33"/>
      <c r="K45" s="26"/>
      <c r="L45" s="40"/>
      <c r="M45" s="5"/>
      <c r="N45" s="15"/>
      <c r="O45" s="8"/>
      <c r="P45" s="8"/>
      <c r="Q45" s="15"/>
      <c r="R45" s="14"/>
    </row>
    <row r="46" spans="1:18" ht="18" customHeight="1" x14ac:dyDescent="0.2">
      <c r="A46" s="23"/>
      <c r="B46" s="23"/>
      <c r="C46" s="38"/>
      <c r="D46" s="25"/>
      <c r="E46" s="32"/>
      <c r="F46" s="48"/>
      <c r="G46" s="41"/>
      <c r="H46" s="41"/>
      <c r="I46" s="41"/>
      <c r="J46" s="33"/>
      <c r="K46" s="26"/>
      <c r="L46" s="40"/>
      <c r="M46" s="5"/>
      <c r="N46" s="15"/>
      <c r="O46" s="8"/>
      <c r="P46" s="8"/>
      <c r="Q46" s="15"/>
      <c r="R46" s="14"/>
    </row>
    <row r="47" spans="1:18" ht="18" customHeight="1" x14ac:dyDescent="0.2">
      <c r="A47" s="23"/>
      <c r="B47" s="23"/>
      <c r="C47" s="38"/>
      <c r="D47" s="25"/>
      <c r="E47" s="32"/>
      <c r="F47" s="48"/>
      <c r="G47" s="41"/>
      <c r="H47" s="41"/>
      <c r="I47" s="41"/>
      <c r="J47" s="33"/>
      <c r="K47" s="26"/>
      <c r="L47" s="40"/>
      <c r="M47" s="5"/>
      <c r="N47" s="15"/>
      <c r="O47" s="8"/>
      <c r="P47" s="8"/>
      <c r="Q47" s="15"/>
      <c r="R47" s="14"/>
    </row>
    <row r="48" spans="1:18" ht="18" customHeight="1" x14ac:dyDescent="0.2">
      <c r="A48" s="23"/>
      <c r="B48" s="23"/>
      <c r="C48" s="38"/>
      <c r="D48" s="25"/>
      <c r="E48" s="32"/>
      <c r="F48" s="48"/>
      <c r="G48" s="41"/>
      <c r="H48" s="41"/>
      <c r="I48" s="41"/>
      <c r="J48" s="33"/>
      <c r="K48" s="26"/>
      <c r="L48" s="40"/>
      <c r="M48" s="5"/>
      <c r="N48" s="15"/>
      <c r="O48" s="8"/>
      <c r="P48" s="8"/>
      <c r="Q48" s="15"/>
      <c r="R48" s="14"/>
    </row>
    <row r="49" spans="1:18" ht="18" customHeight="1" x14ac:dyDescent="0.2">
      <c r="A49" s="23"/>
      <c r="B49" s="23"/>
      <c r="C49" s="38"/>
      <c r="D49" s="25"/>
      <c r="E49" s="32"/>
      <c r="F49" s="48"/>
      <c r="G49" s="41"/>
      <c r="H49" s="41"/>
      <c r="I49" s="41"/>
      <c r="J49" s="33"/>
      <c r="K49" s="26"/>
      <c r="L49" s="40"/>
      <c r="M49" s="5"/>
      <c r="N49" s="15"/>
      <c r="O49" s="8"/>
      <c r="P49" s="8"/>
      <c r="Q49" s="15"/>
      <c r="R49" s="14"/>
    </row>
    <row r="50" spans="1:18" ht="18" customHeight="1" x14ac:dyDescent="0.2">
      <c r="A50" s="23"/>
      <c r="B50" s="23"/>
      <c r="C50" s="38"/>
      <c r="D50" s="25"/>
      <c r="E50" s="32"/>
      <c r="F50" s="48"/>
      <c r="G50" s="41"/>
      <c r="H50" s="41"/>
      <c r="I50" s="41"/>
      <c r="J50" s="33"/>
      <c r="K50" s="26"/>
      <c r="L50" s="40"/>
      <c r="M50" s="5"/>
      <c r="N50" s="15"/>
      <c r="O50" s="8"/>
      <c r="P50" s="8"/>
      <c r="Q50" s="15"/>
      <c r="R50" s="14"/>
    </row>
    <row r="51" spans="1:18" ht="18" customHeight="1" x14ac:dyDescent="0.2">
      <c r="A51" s="23"/>
      <c r="B51" s="23"/>
      <c r="C51" s="38"/>
      <c r="D51" s="25"/>
      <c r="E51" s="32"/>
      <c r="F51" s="48"/>
      <c r="G51" s="41"/>
      <c r="H51" s="41"/>
      <c r="I51" s="41"/>
      <c r="J51" s="33"/>
      <c r="K51" s="26"/>
      <c r="L51" s="40"/>
      <c r="M51" s="5"/>
      <c r="N51" s="15"/>
      <c r="O51" s="8"/>
      <c r="P51" s="8"/>
      <c r="Q51" s="15"/>
      <c r="R51" s="14"/>
    </row>
    <row r="52" spans="1:18" ht="18" customHeight="1" x14ac:dyDescent="0.2">
      <c r="A52" s="23"/>
      <c r="B52" s="23"/>
      <c r="C52" s="38"/>
      <c r="D52" s="25"/>
      <c r="E52" s="32"/>
      <c r="F52" s="48"/>
      <c r="G52" s="41"/>
      <c r="H52" s="41"/>
      <c r="I52" s="41"/>
      <c r="J52" s="33"/>
      <c r="K52" s="26"/>
      <c r="L52" s="40"/>
      <c r="M52" s="5"/>
      <c r="N52" s="15"/>
      <c r="O52" s="8"/>
      <c r="P52" s="8"/>
      <c r="Q52" s="15"/>
      <c r="R52" s="14"/>
    </row>
    <row r="53" spans="1:18" ht="18" customHeight="1" x14ac:dyDescent="0.2">
      <c r="A53" s="23"/>
      <c r="B53" s="23"/>
      <c r="C53" s="38"/>
      <c r="D53" s="25"/>
      <c r="E53" s="32"/>
      <c r="F53" s="48"/>
      <c r="G53" s="41"/>
      <c r="H53" s="41"/>
      <c r="I53" s="41"/>
      <c r="J53" s="33"/>
      <c r="K53" s="26"/>
      <c r="L53" s="40"/>
      <c r="M53" s="5"/>
      <c r="N53" s="15"/>
      <c r="O53" s="8"/>
      <c r="P53" s="8"/>
      <c r="Q53" s="15"/>
      <c r="R53" s="14"/>
    </row>
    <row r="54" spans="1:18" ht="18" customHeight="1" x14ac:dyDescent="0.2">
      <c r="A54" s="24"/>
      <c r="B54" s="46"/>
      <c r="C54" s="50"/>
      <c r="D54" s="51"/>
      <c r="E54" s="51"/>
      <c r="F54" s="52"/>
      <c r="G54" s="53"/>
      <c r="H54" s="54"/>
      <c r="I54" s="55"/>
      <c r="J54" s="56"/>
      <c r="K54" s="57"/>
      <c r="L54" s="58"/>
      <c r="M54" s="24"/>
      <c r="N54" s="30"/>
      <c r="O54" s="23"/>
      <c r="P54" s="24"/>
      <c r="Q54" s="59"/>
      <c r="R54" s="28"/>
    </row>
    <row r="55" spans="1:18" ht="18" customHeight="1" x14ac:dyDescent="0.2">
      <c r="A55" s="24"/>
      <c r="B55" s="46"/>
      <c r="C55" s="50"/>
      <c r="D55" s="51"/>
      <c r="E55" s="51"/>
      <c r="F55" s="52"/>
      <c r="G55" s="53"/>
      <c r="H55" s="54"/>
      <c r="I55" s="55"/>
      <c r="J55" s="56"/>
      <c r="K55" s="57"/>
      <c r="L55" s="58"/>
      <c r="M55" s="24"/>
      <c r="N55" s="30"/>
      <c r="O55" s="23"/>
      <c r="P55" s="24"/>
      <c r="Q55" s="59"/>
      <c r="R55" s="28"/>
    </row>
    <row r="56" spans="1:18" ht="18" customHeight="1" x14ac:dyDescent="0.2">
      <c r="A56" s="24"/>
      <c r="B56" s="46"/>
      <c r="C56" s="50"/>
      <c r="D56" s="51"/>
      <c r="E56" s="51"/>
      <c r="F56" s="52"/>
      <c r="G56" s="53"/>
      <c r="H56" s="54"/>
      <c r="I56" s="55"/>
      <c r="J56" s="56"/>
      <c r="K56" s="57"/>
      <c r="L56" s="58"/>
      <c r="M56" s="24"/>
      <c r="N56" s="30"/>
      <c r="O56" s="23"/>
      <c r="P56" s="24"/>
      <c r="Q56" s="59"/>
      <c r="R56" s="28"/>
    </row>
    <row r="57" spans="1:18" ht="18" customHeight="1" x14ac:dyDescent="0.2">
      <c r="A57" s="24"/>
      <c r="B57" s="46"/>
      <c r="C57" s="50"/>
      <c r="D57" s="51"/>
      <c r="E57" s="51"/>
      <c r="F57" s="52"/>
      <c r="G57" s="53"/>
      <c r="H57" s="54"/>
      <c r="I57" s="55"/>
      <c r="J57" s="56"/>
      <c r="K57" s="57"/>
      <c r="L57" s="58"/>
      <c r="M57" s="24"/>
      <c r="N57" s="30"/>
      <c r="O57" s="23"/>
      <c r="P57" s="24"/>
      <c r="Q57" s="59"/>
      <c r="R57" s="28"/>
    </row>
    <row r="58" spans="1:18" ht="18" customHeight="1" x14ac:dyDescent="0.2">
      <c r="A58" s="24"/>
      <c r="B58" s="46"/>
      <c r="C58" s="50"/>
      <c r="D58" s="51"/>
      <c r="E58" s="51"/>
      <c r="F58" s="52"/>
      <c r="G58" s="53"/>
      <c r="H58" s="54"/>
      <c r="I58" s="55"/>
      <c r="J58" s="56"/>
      <c r="K58" s="57"/>
      <c r="L58" s="58"/>
      <c r="M58" s="24"/>
      <c r="N58" s="30"/>
      <c r="O58" s="23"/>
      <c r="P58" s="24"/>
      <c r="Q58" s="59"/>
      <c r="R58" s="28"/>
    </row>
    <row r="59" spans="1:18" ht="18" customHeight="1" x14ac:dyDescent="0.2">
      <c r="A59" s="24"/>
      <c r="B59" s="46"/>
      <c r="C59" s="50"/>
      <c r="D59" s="51"/>
      <c r="E59" s="51"/>
      <c r="F59" s="52"/>
      <c r="G59" s="53"/>
      <c r="H59" s="54"/>
      <c r="I59" s="55"/>
      <c r="J59" s="56"/>
      <c r="K59" s="57"/>
      <c r="L59" s="58"/>
      <c r="M59" s="24"/>
      <c r="N59" s="30"/>
      <c r="O59" s="23"/>
      <c r="P59" s="24"/>
      <c r="Q59" s="59"/>
      <c r="R59" s="28"/>
    </row>
    <row r="60" spans="1:18" ht="18" customHeight="1" x14ac:dyDescent="0.2">
      <c r="C60" s="1"/>
      <c r="D60" s="1"/>
      <c r="E60" s="1"/>
      <c r="F60" s="6" t="s">
        <v>21</v>
      </c>
      <c r="G60" s="19"/>
      <c r="H60" s="19"/>
      <c r="I60" s="19">
        <f>G60*H60</f>
        <v>0</v>
      </c>
      <c r="J60" s="13"/>
      <c r="K60" s="16" t="s">
        <v>22</v>
      </c>
      <c r="L60" s="21"/>
      <c r="M60" s="1"/>
      <c r="N60" s="15"/>
      <c r="O60" s="21"/>
      <c r="P60" s="1"/>
      <c r="Q60" s="15"/>
      <c r="R60" s="14"/>
    </row>
    <row r="61" spans="1:18" ht="18" customHeight="1" x14ac:dyDescent="0.2">
      <c r="C61" s="1"/>
      <c r="D61" s="4"/>
      <c r="E61" s="4"/>
      <c r="F61" s="6" t="s">
        <v>22</v>
      </c>
      <c r="G61" s="19"/>
      <c r="H61" s="19">
        <v>5000</v>
      </c>
      <c r="I61" s="19">
        <f>G61*H61</f>
        <v>0</v>
      </c>
      <c r="J61" s="13"/>
      <c r="K61" s="16" t="s">
        <v>23</v>
      </c>
      <c r="L61" s="21"/>
      <c r="M61" s="1"/>
      <c r="N61" s="15"/>
      <c r="O61" s="21"/>
      <c r="P61" s="1"/>
      <c r="Q61" s="15"/>
      <c r="R61" s="8"/>
    </row>
    <row r="62" spans="1:18" ht="18" customHeight="1" x14ac:dyDescent="0.2">
      <c r="C62" s="1"/>
      <c r="D62" s="4"/>
      <c r="E62" s="4"/>
      <c r="F62" s="6" t="s">
        <v>23</v>
      </c>
      <c r="G62" s="19"/>
      <c r="H62" s="19"/>
      <c r="I62" s="19">
        <f>G62*H62</f>
        <v>0</v>
      </c>
      <c r="J62" s="13"/>
      <c r="K62" s="5"/>
      <c r="L62" s="21"/>
      <c r="M62" s="1"/>
      <c r="N62" s="1"/>
      <c r="O62" s="21"/>
      <c r="P62" s="1"/>
      <c r="Q62" s="8"/>
      <c r="R62" s="8"/>
    </row>
    <row r="63" spans="1:18" ht="18" customHeight="1" x14ac:dyDescent="0.2">
      <c r="C63" s="1"/>
      <c r="D63" s="4"/>
      <c r="E63" s="4"/>
      <c r="F63" s="93"/>
      <c r="G63" s="94"/>
      <c r="H63" s="94"/>
      <c r="I63" s="95"/>
      <c r="J63" s="7"/>
      <c r="K63" s="18"/>
    </row>
    <row r="64" spans="1:18" ht="18" customHeight="1" x14ac:dyDescent="0.2"/>
    <row r="65" ht="18" customHeight="1" x14ac:dyDescent="0.2"/>
    <row r="66" ht="18" customHeight="1" x14ac:dyDescent="0.2"/>
  </sheetData>
  <autoFilter ref="C8:P66" xr:uid="{00000000-0009-0000-0000-000003000000}"/>
  <mergeCells count="13">
    <mergeCell ref="C2:E2"/>
    <mergeCell ref="H2:J2"/>
    <mergeCell ref="C3:E3"/>
    <mergeCell ref="C4:E4"/>
    <mergeCell ref="H4:K5"/>
    <mergeCell ref="C5:E5"/>
    <mergeCell ref="C6:E6"/>
    <mergeCell ref="H6:K6"/>
    <mergeCell ref="C10:F10"/>
    <mergeCell ref="F39:I39"/>
    <mergeCell ref="F63:I63"/>
    <mergeCell ref="F18:I18"/>
    <mergeCell ref="C21:F21"/>
  </mergeCells>
  <phoneticPr fontId="10"/>
  <dataValidations disablePrompts="1" count="1">
    <dataValidation allowBlank="1" showInputMessage="1" showErrorMessage="1" sqref="K39:K53" xr:uid="{3BD1BB4C-FF40-4812-A6F5-7604EFD17B49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4" sqref="B24"/>
    </sheetView>
  </sheetViews>
  <sheetFormatPr defaultColWidth="11.77734375" defaultRowHeight="13.5" customHeight="1" x14ac:dyDescent="0.2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 x14ac:dyDescent="0.2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原価一覧 (20240912) </vt:lpstr>
      <vt:lpstr>Sheet2</vt:lpstr>
      <vt:lpstr>Sheet3</vt:lpstr>
      <vt:lpstr>'原価一覧 (20240912)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2024-09-13T00:58:01Z</dcterms:modified>
</cp:coreProperties>
</file>