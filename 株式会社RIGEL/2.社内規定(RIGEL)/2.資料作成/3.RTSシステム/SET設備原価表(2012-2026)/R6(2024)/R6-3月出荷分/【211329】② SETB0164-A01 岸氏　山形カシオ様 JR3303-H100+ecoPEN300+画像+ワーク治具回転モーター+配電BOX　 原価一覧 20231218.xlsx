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出荷済み\R6-3月出荷分\"/>
    </mc:Choice>
  </mc:AlternateContent>
  <xr:revisionPtr revIDLastSave="0" documentId="13_ncr:1_{8203D843-0D5C-4DE4-BEED-9A0E9CA4C3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ETB0164-A01　②ecoPEN300用　1218" sheetId="14" r:id="rId1"/>
    <sheet name="元データSEB0164-A01　②ecoPEN300用1218" sheetId="13" r:id="rId2"/>
    <sheet name="Sheet2" sheetId="2" r:id="rId3"/>
    <sheet name="Sheet3" sheetId="3" r:id="rId4"/>
  </sheets>
  <definedNames>
    <definedName name="_xlnm._FilterDatabase" localSheetId="0" hidden="1">'SETB0164-A01　②ecoPEN300用　1218'!$D$9:$Q$344</definedName>
    <definedName name="_xlnm._FilterDatabase" localSheetId="1" hidden="1">'元データSEB0164-A01　②ecoPEN300用1218'!$D$9:$Q$452</definedName>
    <definedName name="_xlnm.Print_Area" localSheetId="0">'SETB0164-A01　②ecoPEN300用　1218'!$C$1:$L$289</definedName>
    <definedName name="_xlnm.Print_Area" localSheetId="1">'元データSEB0164-A01　②ecoPEN300用1218'!$C$1:$L$397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8" i="13" l="1"/>
  <c r="D129" i="13" s="1"/>
  <c r="J128" i="13"/>
  <c r="J57" i="14"/>
  <c r="J269" i="13"/>
  <c r="J268" i="13"/>
  <c r="J164" i="14"/>
  <c r="J165" i="14"/>
  <c r="J100" i="13"/>
  <c r="J260" i="13"/>
  <c r="J248" i="13"/>
  <c r="J247" i="13"/>
  <c r="J88" i="13"/>
  <c r="J87" i="13"/>
  <c r="J161" i="14"/>
  <c r="D161" i="14"/>
  <c r="J153" i="14"/>
  <c r="J152" i="14"/>
  <c r="D152" i="14"/>
  <c r="D153" i="14" s="1"/>
  <c r="J42" i="14"/>
  <c r="D42" i="14"/>
  <c r="J34" i="14"/>
  <c r="J33" i="14"/>
  <c r="D33" i="14"/>
  <c r="D34" i="14" s="1"/>
  <c r="J47" i="14" l="1"/>
  <c r="J222" i="14"/>
  <c r="J221" i="14"/>
  <c r="J220" i="14"/>
  <c r="D220" i="14"/>
  <c r="D221" i="14" s="1"/>
  <c r="D222" i="14" s="1"/>
  <c r="J202" i="13" l="1"/>
  <c r="J103" i="13"/>
  <c r="J99" i="13"/>
  <c r="J96" i="13"/>
  <c r="J43" i="14"/>
  <c r="J41" i="14"/>
  <c r="J40" i="14"/>
  <c r="G341" i="14"/>
  <c r="J229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3" i="14"/>
  <c r="J172" i="14"/>
  <c r="J163" i="14"/>
  <c r="J162" i="14"/>
  <c r="J160" i="14"/>
  <c r="J159" i="14"/>
  <c r="J158" i="14"/>
  <c r="J157" i="14"/>
  <c r="J156" i="14"/>
  <c r="J155" i="14"/>
  <c r="J154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2" i="14"/>
  <c r="J121" i="14"/>
  <c r="J120" i="14"/>
  <c r="J119" i="14"/>
  <c r="J118" i="14"/>
  <c r="J117" i="14"/>
  <c r="J116" i="14"/>
  <c r="J115" i="14"/>
  <c r="J114" i="14"/>
  <c r="J113" i="14"/>
  <c r="J112" i="14"/>
  <c r="J105" i="14"/>
  <c r="J104" i="14"/>
  <c r="J103" i="14"/>
  <c r="J102" i="14"/>
  <c r="J101" i="14"/>
  <c r="J100" i="14"/>
  <c r="J91" i="14"/>
  <c r="J90" i="14"/>
  <c r="J89" i="14"/>
  <c r="J88" i="14"/>
  <c r="J87" i="14"/>
  <c r="J86" i="14"/>
  <c r="J85" i="14"/>
  <c r="J84" i="14"/>
  <c r="J83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6" i="14"/>
  <c r="J55" i="14"/>
  <c r="J46" i="14"/>
  <c r="J45" i="14"/>
  <c r="J44" i="14"/>
  <c r="J39" i="14"/>
  <c r="J38" i="14"/>
  <c r="J37" i="14"/>
  <c r="J36" i="14"/>
  <c r="J35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G167" i="14" l="1"/>
  <c r="G49" i="14"/>
  <c r="G78" i="14"/>
  <c r="G125" i="14"/>
  <c r="G107" i="14"/>
  <c r="G175" i="14"/>
  <c r="G94" i="14"/>
  <c r="G225" i="14"/>
  <c r="L2" i="14"/>
  <c r="J289" i="13" l="1"/>
  <c r="J290" i="13"/>
  <c r="J292" i="13"/>
  <c r="J291" i="13"/>
  <c r="J328" i="13"/>
  <c r="J285" i="13"/>
  <c r="J288" i="13" l="1"/>
  <c r="J150" i="13" l="1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7" i="13"/>
  <c r="J126" i="13"/>
  <c r="J164" i="13"/>
  <c r="J197" i="13"/>
  <c r="J61" i="13" l="1"/>
  <c r="G449" i="13"/>
  <c r="J337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87" i="13"/>
  <c r="J286" i="13"/>
  <c r="J284" i="13"/>
  <c r="J278" i="13"/>
  <c r="J277" i="13"/>
  <c r="J267" i="13"/>
  <c r="J266" i="13"/>
  <c r="J265" i="13"/>
  <c r="J264" i="13"/>
  <c r="J263" i="13"/>
  <c r="J262" i="13"/>
  <c r="J261" i="13"/>
  <c r="J259" i="13"/>
  <c r="J258" i="13"/>
  <c r="J257" i="13"/>
  <c r="J256" i="13"/>
  <c r="J255" i="13"/>
  <c r="J254" i="13"/>
  <c r="J253" i="13"/>
  <c r="J252" i="13"/>
  <c r="J250" i="13"/>
  <c r="J249" i="13"/>
  <c r="J246" i="13"/>
  <c r="J244" i="13"/>
  <c r="J243" i="13"/>
  <c r="J242" i="13"/>
  <c r="J241" i="13"/>
  <c r="J240" i="13"/>
  <c r="J239" i="13"/>
  <c r="J238" i="13"/>
  <c r="J236" i="13"/>
  <c r="J235" i="13"/>
  <c r="J234" i="13"/>
  <c r="J233" i="13"/>
  <c r="J232" i="13"/>
  <c r="J231" i="13"/>
  <c r="J230" i="13"/>
  <c r="J229" i="13"/>
  <c r="J227" i="13"/>
  <c r="J226" i="13"/>
  <c r="J225" i="13"/>
  <c r="J224" i="13"/>
  <c r="J223" i="13"/>
  <c r="J222" i="13"/>
  <c r="J221" i="13"/>
  <c r="J220" i="13"/>
  <c r="J219" i="13"/>
  <c r="J218" i="13"/>
  <c r="J216" i="13"/>
  <c r="J215" i="13"/>
  <c r="J214" i="13"/>
  <c r="J213" i="13"/>
  <c r="J212" i="13"/>
  <c r="J211" i="13"/>
  <c r="J203" i="13"/>
  <c r="J201" i="13"/>
  <c r="J200" i="13"/>
  <c r="J199" i="13"/>
  <c r="J198" i="13"/>
  <c r="J196" i="13"/>
  <c r="J195" i="13"/>
  <c r="J194" i="13"/>
  <c r="J193" i="13"/>
  <c r="J186" i="13"/>
  <c r="J185" i="13"/>
  <c r="J184" i="13"/>
  <c r="J183" i="13"/>
  <c r="J182" i="13"/>
  <c r="J181" i="13"/>
  <c r="J180" i="13"/>
  <c r="J171" i="13"/>
  <c r="J170" i="13"/>
  <c r="J169" i="13"/>
  <c r="J168" i="13"/>
  <c r="J167" i="13"/>
  <c r="J166" i="13"/>
  <c r="J165" i="13"/>
  <c r="J163" i="13"/>
  <c r="J162" i="13"/>
  <c r="J161" i="13"/>
  <c r="J153" i="13"/>
  <c r="J152" i="13"/>
  <c r="J151" i="13"/>
  <c r="J118" i="13"/>
  <c r="J117" i="13"/>
  <c r="J116" i="13"/>
  <c r="J113" i="13"/>
  <c r="J112" i="13"/>
  <c r="J111" i="13"/>
  <c r="J110" i="13"/>
  <c r="J109" i="13"/>
  <c r="J107" i="13"/>
  <c r="J106" i="13"/>
  <c r="J105" i="13"/>
  <c r="J104" i="13"/>
  <c r="J101" i="13"/>
  <c r="J97" i="13"/>
  <c r="J94" i="13"/>
  <c r="J93" i="13"/>
  <c r="J92" i="13"/>
  <c r="J90" i="13"/>
  <c r="J89" i="13"/>
  <c r="J86" i="13"/>
  <c r="J84" i="13"/>
  <c r="J83" i="13"/>
  <c r="J82" i="13"/>
  <c r="J81" i="13"/>
  <c r="J80" i="13"/>
  <c r="J79" i="13"/>
  <c r="J78" i="13"/>
  <c r="J76" i="13"/>
  <c r="J75" i="13"/>
  <c r="J74" i="13"/>
  <c r="J72" i="13"/>
  <c r="J71" i="13"/>
  <c r="J70" i="13"/>
  <c r="J68" i="13"/>
  <c r="J67" i="13"/>
  <c r="J66" i="13"/>
  <c r="J65" i="13"/>
  <c r="J64" i="13"/>
  <c r="J63" i="13"/>
  <c r="J62" i="13"/>
  <c r="J59" i="13"/>
  <c r="J58" i="13"/>
  <c r="J57" i="13"/>
  <c r="J56" i="13"/>
  <c r="J54" i="13"/>
  <c r="J53" i="13"/>
  <c r="J52" i="13"/>
  <c r="J51" i="13"/>
  <c r="J50" i="13"/>
  <c r="J49" i="13"/>
  <c r="J48" i="13"/>
  <c r="J47" i="13"/>
  <c r="J45" i="13"/>
  <c r="J44" i="13"/>
  <c r="J43" i="13"/>
  <c r="J42" i="13"/>
  <c r="J41" i="13"/>
  <c r="J40" i="13"/>
  <c r="J38" i="13"/>
  <c r="J37" i="13"/>
  <c r="J36" i="13"/>
  <c r="J35" i="13"/>
  <c r="J33" i="13"/>
  <c r="J32" i="13"/>
  <c r="J31" i="13"/>
  <c r="J30" i="13"/>
  <c r="J29" i="13"/>
  <c r="J28" i="13"/>
  <c r="J27" i="13"/>
  <c r="J26" i="13"/>
  <c r="J24" i="13"/>
  <c r="J23" i="13"/>
  <c r="J22" i="13"/>
  <c r="J21" i="13"/>
  <c r="J20" i="13"/>
  <c r="J19" i="13"/>
  <c r="J18" i="13"/>
  <c r="J17" i="13"/>
  <c r="J16" i="13"/>
  <c r="J15" i="13"/>
  <c r="D16" i="13"/>
  <c r="D17" i="13" s="1"/>
  <c r="D18" i="13" s="1"/>
  <c r="D19" i="13" s="1"/>
  <c r="D20" i="13" s="1"/>
  <c r="D21" i="13" s="1"/>
  <c r="D22" i="13" s="1"/>
  <c r="D23" i="13" s="1"/>
  <c r="D24" i="13" s="1"/>
  <c r="D26" i="13" s="1"/>
  <c r="D27" i="13" s="1"/>
  <c r="D28" i="13" s="1"/>
  <c r="D29" i="13" s="1"/>
  <c r="D30" i="13" s="1"/>
  <c r="D31" i="13" s="1"/>
  <c r="D32" i="13" s="1"/>
  <c r="D33" i="13" s="1"/>
  <c r="D35" i="13" s="1"/>
  <c r="D36" i="13" s="1"/>
  <c r="D37" i="13" s="1"/>
  <c r="D38" i="13" s="1"/>
  <c r="D40" i="13" s="1"/>
  <c r="D41" i="13" s="1"/>
  <c r="D42" i="13" s="1"/>
  <c r="D43" i="13" s="1"/>
  <c r="D44" i="13" s="1"/>
  <c r="D45" i="13" s="1"/>
  <c r="D47" i="13" s="1"/>
  <c r="D48" i="13" s="1"/>
  <c r="D49" i="13" s="1"/>
  <c r="D50" i="13" s="1"/>
  <c r="D51" i="13" s="1"/>
  <c r="D52" i="13" s="1"/>
  <c r="D53" i="13" s="1"/>
  <c r="D54" i="13" s="1"/>
  <c r="D56" i="13" s="1"/>
  <c r="D57" i="13" s="1"/>
  <c r="D58" i="13" s="1"/>
  <c r="D59" i="13" s="1"/>
  <c r="D61" i="13" s="1"/>
  <c r="D62" i="13" s="1"/>
  <c r="D63" i="13" s="1"/>
  <c r="D64" i="13" s="1"/>
  <c r="D65" i="13" s="1"/>
  <c r="D66" i="13" s="1"/>
  <c r="D67" i="13" s="1"/>
  <c r="D68" i="13" s="1"/>
  <c r="D70" i="13" s="1"/>
  <c r="D71" i="13" s="1"/>
  <c r="D72" i="13" s="1"/>
  <c r="D74" i="13" s="1"/>
  <c r="D75" i="13" s="1"/>
  <c r="D76" i="13" s="1"/>
  <c r="D78" i="13" s="1"/>
  <c r="D79" i="13" s="1"/>
  <c r="D80" i="13" s="1"/>
  <c r="D81" i="13" s="1"/>
  <c r="D82" i="13" s="1"/>
  <c r="D83" i="13" s="1"/>
  <c r="D84" i="13" s="1"/>
  <c r="D86" i="13" s="1"/>
  <c r="G272" i="13" l="1"/>
  <c r="D87" i="13"/>
  <c r="D88" i="13" s="1"/>
  <c r="D89" i="13" s="1"/>
  <c r="D90" i="13" s="1"/>
  <c r="D92" i="13" s="1"/>
  <c r="D93" i="13" s="1"/>
  <c r="D94" i="13" s="1"/>
  <c r="D96" i="13" s="1"/>
  <c r="D97" i="13" s="1"/>
  <c r="D99" i="13" s="1"/>
  <c r="G156" i="13"/>
  <c r="G174" i="13"/>
  <c r="G206" i="13"/>
  <c r="G280" i="13"/>
  <c r="G188" i="13"/>
  <c r="G333" i="13"/>
  <c r="G120" i="13"/>
  <c r="L2" i="13"/>
  <c r="D100" i="13" l="1"/>
  <c r="D101" i="13" s="1"/>
  <c r="D103" i="13" s="1"/>
  <c r="D104" i="13" s="1"/>
  <c r="D105" i="13" s="1"/>
  <c r="D106" i="13" s="1"/>
  <c r="D107" i="13" s="1"/>
  <c r="D109" i="13" s="1"/>
  <c r="D110" i="13" s="1"/>
  <c r="D111" i="13" s="1"/>
  <c r="D112" i="13" s="1"/>
  <c r="D113" i="13" s="1"/>
  <c r="D116" i="13" s="1"/>
  <c r="D117" i="13" s="1"/>
  <c r="D118" i="13" s="1"/>
  <c r="D126" i="13" s="1"/>
  <c r="D127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80" i="13" l="1"/>
  <c r="D181" i="13" s="1"/>
  <c r="D182" i="13" s="1"/>
  <c r="D183" i="13" s="1"/>
  <c r="D184" i="13" s="1"/>
  <c r="D185" i="13" s="1"/>
  <c r="D186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3" i="13" s="1"/>
  <c r="D211" i="13" s="1"/>
  <c r="D212" i="13" s="1"/>
  <c r="D213" i="13" s="1"/>
  <c r="D214" i="13" s="1"/>
  <c r="D215" i="13" s="1"/>
  <c r="D216" i="13" s="1"/>
  <c r="D218" i="13" l="1"/>
  <c r="D219" i="13" s="1"/>
  <c r="D220" i="13" s="1"/>
  <c r="D221" i="13" s="1"/>
  <c r="D222" i="13" s="1"/>
  <c r="D223" i="13" s="1"/>
  <c r="D224" i="13" s="1"/>
  <c r="D225" i="13" s="1"/>
  <c r="D226" i="13" s="1"/>
  <c r="D227" i="13" s="1"/>
  <c r="D229" i="13" s="1"/>
  <c r="D230" i="13" s="1"/>
  <c r="D231" i="13" s="1"/>
  <c r="D232" i="13" s="1"/>
  <c r="D233" i="13" s="1"/>
  <c r="D234" i="13" s="1"/>
  <c r="D235" i="13" s="1"/>
  <c r="D236" i="13" s="1"/>
  <c r="D238" i="13" s="1"/>
  <c r="D239" i="13" s="1"/>
  <c r="D240" i="13" s="1"/>
  <c r="D241" i="13" s="1"/>
  <c r="D242" i="13" s="1"/>
  <c r="D243" i="13" s="1"/>
  <c r="D244" i="13" s="1"/>
  <c r="D246" i="13" s="1"/>
  <c r="D247" i="13" l="1"/>
  <c r="D248" i="13" s="1"/>
  <c r="D249" i="13" s="1"/>
  <c r="D250" i="13" s="1"/>
  <c r="D252" i="13" s="1"/>
  <c r="D253" i="13" s="1"/>
  <c r="D254" i="13" s="1"/>
  <c r="D256" i="13" s="1"/>
  <c r="D257" i="13" s="1"/>
  <c r="D259" i="13" s="1"/>
  <c r="D260" i="13" l="1"/>
  <c r="D261" i="13" s="1"/>
  <c r="D263" i="13" s="1"/>
  <c r="D264" i="13" s="1"/>
  <c r="D265" i="13" s="1"/>
  <c r="D266" i="13" s="1"/>
  <c r="D267" i="13" s="1"/>
  <c r="D277" i="13" s="1"/>
  <c r="D278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<sst xmlns="http://schemas.openxmlformats.org/spreadsheetml/2006/main" count="2254" uniqueCount="465">
  <si>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</si>
  <si>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</si>
  <si>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</si>
  <si>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</si>
  <si>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</si>
  <si>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</si>
  <si>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</si>
  <si>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</si>
  <si>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</si>
  <si>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</si>
  <si>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</si>
  <si>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</si>
  <si>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</si>
  <si>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</si>
  <si>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</si>
  <si>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</si>
  <si>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</si>
  <si>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</si>
  <si>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</si>
  <si>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</si>
  <si>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</si>
  <si>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</si>
  <si>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SCB4-8</t>
    <phoneticPr fontId="2"/>
  </si>
  <si>
    <t>ミスミ</t>
    <phoneticPr fontId="2"/>
  </si>
  <si>
    <t>ハンドバルブ</t>
    <phoneticPr fontId="2"/>
  </si>
  <si>
    <t>PUT6-10-B</t>
    <phoneticPr fontId="2"/>
  </si>
  <si>
    <t>CHNS4</t>
    <phoneticPr fontId="2"/>
  </si>
  <si>
    <t>蝶ﾅｯﾄ</t>
    <phoneticPr fontId="2"/>
  </si>
  <si>
    <t>RSCB4-15</t>
    <phoneticPr fontId="2"/>
  </si>
  <si>
    <t>六角ﾎﾞﾙﾄ</t>
    <phoneticPr fontId="2"/>
  </si>
  <si>
    <t>ﾂｰﾙ冶具ﾕﾆｯﾄ</t>
    <rPh sb="3" eb="5">
      <t>ジグ</t>
    </rPh>
    <phoneticPr fontId="2"/>
  </si>
  <si>
    <t>ミスミ</t>
  </si>
  <si>
    <t>SMC</t>
    <phoneticPr fontId="2"/>
  </si>
  <si>
    <t>制御機材</t>
    <rPh sb="0" eb="1">
      <t>セイ</t>
    </rPh>
    <rPh sb="1" eb="2">
      <t>オ</t>
    </rPh>
    <rPh sb="2" eb="4">
      <t>キザイ</t>
    </rPh>
    <phoneticPr fontId="2"/>
  </si>
  <si>
    <t>SFB5-8</t>
    <phoneticPr fontId="2"/>
  </si>
  <si>
    <t>UJDST4-W</t>
    <phoneticPr fontId="2"/>
  </si>
  <si>
    <t>ﾜﾝﾀｯﾁ継手異径ﾕﾆｵﾝｽﾄﾚｰﾄ</t>
    <rPh sb="5" eb="7">
      <t>ツギテ</t>
    </rPh>
    <rPh sb="7" eb="8">
      <t>イ</t>
    </rPh>
    <rPh sb="8" eb="9">
      <t>ケイ</t>
    </rPh>
    <phoneticPr fontId="2"/>
  </si>
  <si>
    <t>I/Oｹｰﾌﾞﾙ</t>
    <phoneticPr fontId="2"/>
  </si>
  <si>
    <t>IR1020-01BEA-A</t>
    <phoneticPr fontId="2"/>
  </si>
  <si>
    <t>BVHV6-1-3-A</t>
    <phoneticPr fontId="2"/>
  </si>
  <si>
    <t>ねじ変換継手</t>
    <phoneticPr fontId="2"/>
  </si>
  <si>
    <t>精密レギュレータ IR1000-A  0.01～0.8MPa</t>
    <phoneticPr fontId="2"/>
  </si>
  <si>
    <t>CRKB4-8</t>
    <phoneticPr fontId="2"/>
  </si>
  <si>
    <t>樹脂付ローレットボルト</t>
    <rPh sb="0" eb="2">
      <t>ジュシ</t>
    </rPh>
    <rPh sb="2" eb="3">
      <t>ツキ</t>
    </rPh>
    <phoneticPr fontId="2"/>
  </si>
  <si>
    <t>アズワン</t>
    <phoneticPr fontId="2"/>
  </si>
  <si>
    <t>在庫使用　　　6個</t>
    <phoneticPr fontId="2"/>
  </si>
  <si>
    <t>PUT4-10-B</t>
    <phoneticPr fontId="2"/>
  </si>
  <si>
    <t>エアチューブ</t>
    <phoneticPr fontId="2"/>
  </si>
  <si>
    <t>配電BOX</t>
    <phoneticPr fontId="2"/>
  </si>
  <si>
    <t>DINレール</t>
    <phoneticPr fontId="2"/>
  </si>
  <si>
    <t>汎用3芯OAタップ 4ヶ口</t>
    <phoneticPr fontId="2"/>
  </si>
  <si>
    <t>ｹｰﾌﾞﾙﾍﾞｱ関連</t>
    <rPh sb="8" eb="10">
      <t>カンレン</t>
    </rPh>
    <phoneticPr fontId="2"/>
  </si>
  <si>
    <t>ワンタッチ継手　Ｙタイプ</t>
    <phoneticPr fontId="2"/>
  </si>
  <si>
    <t>USSTL4</t>
    <phoneticPr fontId="2"/>
  </si>
  <si>
    <t>ﾜﾝﾀｯﾁ継手ﾕﾆｵﾝｽﾄﾚｰﾄ</t>
    <rPh sb="5" eb="7">
      <t>ツギテ</t>
    </rPh>
    <phoneticPr fontId="2"/>
  </si>
  <si>
    <t>meviy</t>
    <phoneticPr fontId="2"/>
  </si>
  <si>
    <t>運送費</t>
    <rPh sb="0" eb="2">
      <t>ウンソウ</t>
    </rPh>
    <rPh sb="2" eb="3">
      <t>ヒ</t>
    </rPh>
    <phoneticPr fontId="2"/>
  </si>
  <si>
    <t>設計費</t>
    <rPh sb="0" eb="2">
      <t>セッケイ</t>
    </rPh>
    <rPh sb="2" eb="3">
      <t>ヒ</t>
    </rPh>
    <phoneticPr fontId="2"/>
  </si>
  <si>
    <t xml:space="preserve">SCB4-8  </t>
    <phoneticPr fontId="2"/>
  </si>
  <si>
    <t>meviy</t>
    <phoneticPr fontId="10"/>
  </si>
  <si>
    <t>ミスミ</t>
    <phoneticPr fontId="10"/>
  </si>
  <si>
    <t>MVSHM-3N02052005020-2D1-AN79X</t>
    <phoneticPr fontId="2"/>
  </si>
  <si>
    <t>158930－Z001　レギュレーター取付板金</t>
    <phoneticPr fontId="2"/>
  </si>
  <si>
    <t>3日目</t>
    <rPh sb="1" eb="2">
      <t>ヒ</t>
    </rPh>
    <rPh sb="2" eb="3">
      <t>メ</t>
    </rPh>
    <phoneticPr fontId="2"/>
  </si>
  <si>
    <t>1日目</t>
    <rPh sb="1" eb="2">
      <t>ヒ</t>
    </rPh>
    <rPh sb="2" eb="3">
      <t>メ</t>
    </rPh>
    <phoneticPr fontId="2"/>
  </si>
  <si>
    <t>2日目</t>
    <rPh sb="1" eb="2">
      <t>ヒ</t>
    </rPh>
    <rPh sb="2" eb="3">
      <t>メ</t>
    </rPh>
    <phoneticPr fontId="2"/>
  </si>
  <si>
    <t xml:space="preserve">USYL6 </t>
    <phoneticPr fontId="2"/>
  </si>
  <si>
    <t>富士電機</t>
    <rPh sb="0" eb="2">
      <t>フジ</t>
    </rPh>
    <rPh sb="2" eb="4">
      <t>デンキ</t>
    </rPh>
    <phoneticPr fontId="2"/>
  </si>
  <si>
    <t>サーキットプロテクター</t>
    <phoneticPr fontId="2"/>
  </si>
  <si>
    <t>C-30-SG-30X90A-EP-UL</t>
    <phoneticPr fontId="2"/>
  </si>
  <si>
    <t>AYSK15-10</t>
    <phoneticPr fontId="2"/>
  </si>
  <si>
    <t>ゴム足</t>
    <rPh sb="2" eb="3">
      <t>アシ</t>
    </rPh>
    <phoneticPr fontId="2"/>
  </si>
  <si>
    <t>1日目</t>
    <rPh sb="1" eb="2">
      <t>ヒ</t>
    </rPh>
    <rPh sb="2" eb="3">
      <t>メ</t>
    </rPh>
    <phoneticPr fontId="11"/>
  </si>
  <si>
    <t>3日目</t>
    <rPh sb="1" eb="2">
      <t>ヒ</t>
    </rPh>
    <rPh sb="2" eb="3">
      <t>メ</t>
    </rPh>
    <phoneticPr fontId="11"/>
  </si>
  <si>
    <t>AI0.5-8WH</t>
    <phoneticPr fontId="2"/>
  </si>
  <si>
    <t>AI1.5-8BK</t>
    <phoneticPr fontId="2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</si>
  <si>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</si>
  <si>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</si>
  <si>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SCB4-20</t>
    <phoneticPr fontId="2"/>
  </si>
  <si>
    <t>SETB-0012-Z01とSETB-0023-Z25と26固定用　</t>
    <phoneticPr fontId="11"/>
  </si>
  <si>
    <t>SETB-0023-Z24-1とSETB-0031-Z01 　ロボット固定</t>
    <rPh sb="35" eb="37">
      <t>コテイ</t>
    </rPh>
    <phoneticPr fontId="11"/>
  </si>
  <si>
    <t>浸け置きﾕﾆｯﾄ　</t>
    <rPh sb="0" eb="1">
      <t>ツ</t>
    </rPh>
    <rPh sb="2" eb="3">
      <t>オ</t>
    </rPh>
    <phoneticPr fontId="2"/>
  </si>
  <si>
    <t>Dsub9　オス　コネクタハーネス　#4-40ショートねじ</t>
    <phoneticPr fontId="2"/>
  </si>
  <si>
    <t>Dsubコネクタハーネス配電BOXとﾛﾎﾞｯﾄ　D-Sub(L=3m）</t>
    <rPh sb="12" eb="14">
      <t>ハイデン</t>
    </rPh>
    <phoneticPr fontId="2"/>
  </si>
  <si>
    <t>PDDU-PT-MS-9-3-02S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</si>
  <si>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</si>
  <si>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配線ダクト（側片折り取り可能）　1本　　カッチンダクト</t>
    <rPh sb="17" eb="18">
      <t>ホン</t>
    </rPh>
    <phoneticPr fontId="2"/>
  </si>
  <si>
    <t>六角穴付きﾎﾞﾙﾄ　 (M4×20)　2本</t>
    <rPh sb="20" eb="21">
      <t>ホン</t>
    </rPh>
    <phoneticPr fontId="2"/>
  </si>
  <si>
    <t>漏電ブレーカ</t>
    <rPh sb="0" eb="2">
      <t>ロウデン</t>
    </rPh>
    <phoneticPr fontId="2"/>
  </si>
  <si>
    <t>配電BOX に固定</t>
    <rPh sb="7" eb="9">
      <t>コテイ</t>
    </rPh>
    <phoneticPr fontId="2"/>
  </si>
  <si>
    <t>配電ＢＯＸ</t>
    <rPh sb="0" eb="2">
      <t>ハイデン</t>
    </rPh>
    <phoneticPr fontId="2"/>
  </si>
  <si>
    <t>A8110</t>
    <phoneticPr fontId="2"/>
  </si>
  <si>
    <t>MKBシリーズ　止め金具【10個入り】</t>
    <phoneticPr fontId="2"/>
  </si>
  <si>
    <t>MKS9L-10P</t>
    <phoneticPr fontId="2"/>
  </si>
  <si>
    <t>Web設計ボックス</t>
    <rPh sb="3" eb="5">
      <t>セッケイ</t>
    </rPh>
    <phoneticPr fontId="2"/>
  </si>
  <si>
    <t xml:space="preserve">DR30D0L-H9W </t>
    <phoneticPr fontId="2"/>
  </si>
  <si>
    <t>φ30 コマンドスイッチ DR30 表示灯</t>
    <phoneticPr fontId="2"/>
  </si>
  <si>
    <t>37103-3101-000FL-8P</t>
    <phoneticPr fontId="2"/>
  </si>
  <si>
    <t>37303-3101-000FL-8P</t>
    <phoneticPr fontId="2"/>
  </si>
  <si>
    <t>捨て打ちBOX</t>
    <rPh sb="0" eb="1">
      <t>ス</t>
    </rPh>
    <rPh sb="2" eb="3">
      <t>ウ</t>
    </rPh>
    <phoneticPr fontId="2"/>
  </si>
  <si>
    <t>浸け置きカップ</t>
    <rPh sb="0" eb="1">
      <t>ツ</t>
    </rPh>
    <rPh sb="2" eb="3">
      <t>オ</t>
    </rPh>
    <phoneticPr fontId="2"/>
  </si>
  <si>
    <t>配電ＢＯＸ　　https://www.monotaro.com/p/5017/7452/?t.mpn=dr30d0l-h9w</t>
    <rPh sb="0" eb="2">
      <t>ハイデン</t>
    </rPh>
    <phoneticPr fontId="2"/>
  </si>
  <si>
    <t>制御機材</t>
    <rPh sb="0" eb="4">
      <t>セイギョキザイ</t>
    </rPh>
    <phoneticPr fontId="2"/>
  </si>
  <si>
    <t>1日目</t>
    <rPh sb="1" eb="3">
      <t>ヒメ</t>
    </rPh>
    <phoneticPr fontId="2"/>
  </si>
  <si>
    <t>ﾜｺﾞ</t>
    <phoneticPr fontId="2"/>
  </si>
  <si>
    <t>2000-1301</t>
    <phoneticPr fontId="2"/>
  </si>
  <si>
    <t>2000-1391</t>
    <phoneticPr fontId="2"/>
  </si>
  <si>
    <t>2000-404</t>
    <phoneticPr fontId="2"/>
  </si>
  <si>
    <t>オムロン</t>
    <phoneticPr fontId="2"/>
  </si>
  <si>
    <t>制御機材</t>
    <rPh sb="0" eb="2">
      <t>セイギョ</t>
    </rPh>
    <rPh sb="2" eb="4">
      <t>キザイ</t>
    </rPh>
    <phoneticPr fontId="2"/>
  </si>
  <si>
    <t>S8VS-12024</t>
    <phoneticPr fontId="2"/>
  </si>
  <si>
    <t>8日目</t>
    <rPh sb="1" eb="3">
      <t>ヒメ</t>
    </rPh>
    <phoneticPr fontId="2"/>
  </si>
  <si>
    <t>10日間</t>
    <rPh sb="2" eb="3">
      <t>ヒ</t>
    </rPh>
    <rPh sb="3" eb="4">
      <t>カン</t>
    </rPh>
    <phoneticPr fontId="2"/>
  </si>
  <si>
    <t>モノタロウ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</si>
  <si>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13"/>
  </si>
  <si>
    <t>納期</t>
    <rPh sb="0" eb="2">
      <t>ノウキ</t>
    </rPh>
    <phoneticPr fontId="13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</si>
  <si>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</si>
  <si>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</si>
  <si>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</si>
  <si>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</si>
  <si>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</si>
  <si>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</si>
  <si>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</si>
  <si>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</si>
  <si>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</si>
  <si>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</si>
  <si>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</si>
  <si>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</si>
  <si>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</si>
  <si>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</si>
  <si>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</si>
  <si>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</si>
  <si>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</si>
  <si>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</si>
  <si>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MVSHM-ZZ99000000000-JPA243U9A111AB</t>
    <phoneticPr fontId="2"/>
  </si>
  <si>
    <t>SETB-0012-Z05 ｶｯﾌﾟﾎﾙﾀﾞｰ</t>
    <phoneticPr fontId="2"/>
  </si>
  <si>
    <t>SCB4-16</t>
    <phoneticPr fontId="2"/>
  </si>
  <si>
    <t>SCB4-10</t>
    <phoneticPr fontId="2"/>
  </si>
  <si>
    <t>IO-M用コネクタ端子台</t>
    <rPh sb="4" eb="5">
      <t>ヨウ</t>
    </rPh>
    <rPh sb="9" eb="11">
      <t>タンシ</t>
    </rPh>
    <rPh sb="11" eb="12">
      <t>ダイ</t>
    </rPh>
    <phoneticPr fontId="2"/>
  </si>
  <si>
    <t>パワーサプライ   5A</t>
    <phoneticPr fontId="2"/>
  </si>
  <si>
    <t>MWS-DS37A-HT37</t>
    <phoneticPr fontId="2"/>
  </si>
  <si>
    <t>MWSシリーズ（バネアップ）,DINレール取付、ネジ取付両対応</t>
    <phoneticPr fontId="2"/>
  </si>
  <si>
    <t>5日目</t>
    <rPh sb="1" eb="3">
      <t>ヒメ</t>
    </rPh>
    <phoneticPr fontId="2"/>
  </si>
  <si>
    <t>グロメット　　2個</t>
    <rPh sb="8" eb="9">
      <t>コ</t>
    </rPh>
    <phoneticPr fontId="2"/>
  </si>
  <si>
    <t>2002-1301</t>
    <phoneticPr fontId="2"/>
  </si>
  <si>
    <t>2002-1307</t>
    <phoneticPr fontId="2"/>
  </si>
  <si>
    <t>2002-1391</t>
    <phoneticPr fontId="2"/>
  </si>
  <si>
    <t>TBS-22</t>
    <phoneticPr fontId="2"/>
  </si>
  <si>
    <r>
      <t>端子カバー　</t>
    </r>
    <r>
      <rPr>
        <b/>
        <sz val="11"/>
        <rFont val="ＭＳ Ｐゴシック"/>
        <family val="3"/>
        <charset val="128"/>
      </rPr>
      <t>　</t>
    </r>
    <phoneticPr fontId="2"/>
  </si>
  <si>
    <t>配電ＢＯＸ　</t>
    <rPh sb="0" eb="2">
      <t>ハイデン</t>
    </rPh>
    <phoneticPr fontId="2"/>
  </si>
  <si>
    <t>CP30FM-2P005 5A</t>
    <phoneticPr fontId="2"/>
  </si>
  <si>
    <t>CP30FM-2P007 7A</t>
    <phoneticPr fontId="2"/>
  </si>
  <si>
    <t>圧着端子　　絶縁付圧着端子 専用棒端子　　1個</t>
    <phoneticPr fontId="2"/>
  </si>
  <si>
    <t>AGW20   0.5sq</t>
    <phoneticPr fontId="2"/>
  </si>
  <si>
    <t>AGW16   1.5sq</t>
    <phoneticPr fontId="2"/>
  </si>
  <si>
    <t>AI0.75-10GY</t>
    <phoneticPr fontId="2"/>
  </si>
  <si>
    <t>AGW18   0.75sq</t>
    <phoneticPr fontId="2"/>
  </si>
  <si>
    <t>e-CON　ソケットコネクタ　　3端子　　　2個</t>
    <phoneticPr fontId="2"/>
  </si>
  <si>
    <t>山形カシオ株式会社</t>
    <rPh sb="0" eb="2">
      <t>ヤマガタ</t>
    </rPh>
    <rPh sb="5" eb="9">
      <t>カブシキガイシャ</t>
    </rPh>
    <phoneticPr fontId="2"/>
  </si>
  <si>
    <t>岸</t>
    <rPh sb="0" eb="1">
      <t>キシ</t>
    </rPh>
    <phoneticPr fontId="13"/>
  </si>
  <si>
    <t>eco600先端受けｽﾘ割部締め付け用</t>
    <rPh sb="12" eb="13">
      <t>ワ</t>
    </rPh>
    <rPh sb="13" eb="14">
      <t>ブ</t>
    </rPh>
    <rPh sb="14" eb="15">
      <t>シ</t>
    </rPh>
    <rPh sb="16" eb="17">
      <t>ツ</t>
    </rPh>
    <rPh sb="18" eb="19">
      <t>ヨウ</t>
    </rPh>
    <phoneticPr fontId="2"/>
  </si>
  <si>
    <t>SETB-0004-Y04とSETB-0004-Y01　固定用</t>
    <rPh sb="28" eb="30">
      <t>コテイ</t>
    </rPh>
    <rPh sb="30" eb="31">
      <t>ヨウ</t>
    </rPh>
    <phoneticPr fontId="2"/>
  </si>
  <si>
    <t xml:space="preserve">CBSST5-12 </t>
    <phoneticPr fontId="2"/>
  </si>
  <si>
    <t>極低頭六角穴付ボルト-単品・</t>
    <phoneticPr fontId="2"/>
  </si>
  <si>
    <t>円柱とSETB-0004-Y01　固定用</t>
    <rPh sb="0" eb="2">
      <t>エンチュウ</t>
    </rPh>
    <rPh sb="17" eb="19">
      <t>コテイ</t>
    </rPh>
    <rPh sb="19" eb="20">
      <t>ヨウ</t>
    </rPh>
    <phoneticPr fontId="2"/>
  </si>
  <si>
    <t>マーカーピン　六角穴付タイプ</t>
    <phoneticPr fontId="2"/>
  </si>
  <si>
    <t>ﾛﾎﾞｯﾄ側ﾂｰﾙ治具位置決め用</t>
    <rPh sb="5" eb="6">
      <t>ガワ</t>
    </rPh>
    <rPh sb="9" eb="11">
      <t>ジグ</t>
    </rPh>
    <rPh sb="11" eb="13">
      <t>イチ</t>
    </rPh>
    <rPh sb="13" eb="14">
      <t>ギ</t>
    </rPh>
    <rPh sb="15" eb="16">
      <t>ヨウ</t>
    </rPh>
    <phoneticPr fontId="2"/>
  </si>
  <si>
    <t>リニアボールXＹZ軸ステージ</t>
    <rPh sb="9" eb="10">
      <t>ジク</t>
    </rPh>
    <phoneticPr fontId="2"/>
  </si>
  <si>
    <t>石鍋</t>
    <rPh sb="0" eb="2">
      <t>イシナベ</t>
    </rPh>
    <phoneticPr fontId="2"/>
  </si>
  <si>
    <t>SCB3-8</t>
    <phoneticPr fontId="2"/>
  </si>
  <si>
    <t>SSE2B10-175固定、CCDｶﾒﾗ固定、155180-Y004と155180-Y002LMﾌﾞﾛｯｸ固定゛</t>
    <rPh sb="11" eb="13">
      <t>コテイ</t>
    </rPh>
    <rPh sb="53" eb="55">
      <t>コテイ</t>
    </rPh>
    <phoneticPr fontId="2"/>
  </si>
  <si>
    <t>SCB3-10</t>
    <phoneticPr fontId="2"/>
  </si>
  <si>
    <t>パイプスペーサ、</t>
    <phoneticPr fontId="2"/>
  </si>
  <si>
    <t>スライドガイド　　ＣＣＤ側</t>
    <rPh sb="12" eb="13">
      <t>ガワ</t>
    </rPh>
    <phoneticPr fontId="2"/>
  </si>
  <si>
    <t>SP-S3-5</t>
    <phoneticPr fontId="2"/>
  </si>
  <si>
    <t>六角穴付きﾎﾞﾙﾄ　 (M4×16)　　2本</t>
    <rPh sb="21" eb="22">
      <t>ホン</t>
    </rPh>
    <phoneticPr fontId="2"/>
  </si>
  <si>
    <t>ﾐﾆｶｯﾌﾟ（30cc）　NO.30</t>
    <phoneticPr fontId="2"/>
  </si>
  <si>
    <t>ﾐｽﾐ</t>
    <phoneticPr fontId="2"/>
  </si>
  <si>
    <t>SCB4-5</t>
    <phoneticPr fontId="2"/>
  </si>
  <si>
    <t>六角穴付きﾎﾞﾙﾄ　M4×5mm　　　　2本</t>
    <rPh sb="21" eb="22">
      <t>ホン</t>
    </rPh>
    <phoneticPr fontId="2"/>
  </si>
  <si>
    <t>ﾜｰｸ回転ﾃｰﾌﾞﾙ冶具</t>
    <rPh sb="3" eb="5">
      <t>カイテン</t>
    </rPh>
    <rPh sb="10" eb="12">
      <t>ジグ</t>
    </rPh>
    <phoneticPr fontId="2"/>
  </si>
  <si>
    <t>ｱﾙｲﾝｺ</t>
    <phoneticPr fontId="2"/>
  </si>
  <si>
    <t>DM-305MV</t>
    <phoneticPr fontId="2"/>
  </si>
  <si>
    <t>都機工</t>
    <rPh sb="0" eb="1">
      <t>ミヤコ</t>
    </rPh>
    <rPh sb="1" eb="3">
      <t>キコウ</t>
    </rPh>
    <phoneticPr fontId="2"/>
  </si>
  <si>
    <t>送料</t>
    <phoneticPr fontId="2"/>
  </si>
  <si>
    <t>直流安定化電源</t>
    <rPh sb="0" eb="2">
      <t>チョクリュウ</t>
    </rPh>
    <rPh sb="2" eb="4">
      <t>アンテイ</t>
    </rPh>
    <rPh sb="4" eb="5">
      <t>カ</t>
    </rPh>
    <rPh sb="5" eb="7">
      <t>デンゲン</t>
    </rPh>
    <phoneticPr fontId="2"/>
  </si>
  <si>
    <t>ﾘｷｯﾄｼｽﾃﾑ</t>
    <phoneticPr fontId="2"/>
  </si>
  <si>
    <t>30ccｼﾘﾝｼﾞ撹拌ﾕﾆｯﾄ</t>
    <phoneticPr fontId="2"/>
  </si>
  <si>
    <t>列19</t>
  </si>
  <si>
    <t>kg</t>
    <phoneticPr fontId="2"/>
  </si>
  <si>
    <t>MS4-8</t>
    <phoneticPr fontId="2"/>
  </si>
  <si>
    <t>SCB3-12</t>
    <phoneticPr fontId="2"/>
  </si>
  <si>
    <t>六角穴付きﾎﾞﾙﾄ　 (M3×12)　　4本</t>
    <rPh sb="21" eb="22">
      <t>ホン</t>
    </rPh>
    <phoneticPr fontId="2"/>
  </si>
  <si>
    <t>MS3-10</t>
    <phoneticPr fontId="2"/>
  </si>
  <si>
    <t>六角穴付きﾎﾞﾙﾄ　 (M4×16)　2本</t>
    <rPh sb="20" eb="21">
      <t>ホン</t>
    </rPh>
    <phoneticPr fontId="2"/>
  </si>
  <si>
    <t>SCB3-6</t>
    <phoneticPr fontId="2"/>
  </si>
  <si>
    <t>六角穴付きﾎﾞﾙﾄ　 (M4×8)　2本</t>
    <rPh sb="19" eb="20">
      <t>ホン</t>
    </rPh>
    <phoneticPr fontId="2"/>
  </si>
  <si>
    <t>六角穴付きﾎﾞﾙﾄ　 (M3×6)　2本</t>
    <rPh sb="19" eb="20">
      <t>ホン</t>
    </rPh>
    <phoneticPr fontId="2"/>
  </si>
  <si>
    <t>六角穴付きﾎﾞﾙﾄ　 (M3×8)　4本</t>
    <rPh sb="19" eb="20">
      <t>ホン</t>
    </rPh>
    <phoneticPr fontId="2"/>
  </si>
  <si>
    <t>ﾉｯｸﾋﾟﾝ　φ3mm-10mm　2本</t>
    <rPh sb="18" eb="19">
      <t>ホン</t>
    </rPh>
    <phoneticPr fontId="2"/>
  </si>
  <si>
    <t>ﾉｯｸﾋﾟﾝ　φ3mm-10mm　4本</t>
    <rPh sb="18" eb="19">
      <t>ホン</t>
    </rPh>
    <phoneticPr fontId="2"/>
  </si>
  <si>
    <t>CRKB4-20</t>
    <phoneticPr fontId="2"/>
  </si>
  <si>
    <t>HGBSR6-12-62-6</t>
    <phoneticPr fontId="2"/>
  </si>
  <si>
    <t>SCLBK5-20.2-FC4</t>
    <phoneticPr fontId="2"/>
  </si>
  <si>
    <t>SHCDG6-20</t>
    <phoneticPr fontId="2"/>
  </si>
  <si>
    <t>蝶ナット</t>
    <phoneticPr fontId="2"/>
  </si>
  <si>
    <t>ヒンジボルト</t>
    <phoneticPr fontId="2"/>
  </si>
  <si>
    <t>ヒンジピン</t>
    <phoneticPr fontId="2"/>
  </si>
  <si>
    <t>HHPSNC5</t>
    <phoneticPr fontId="2"/>
  </si>
  <si>
    <t>ﾉｯｸﾋﾟﾝ　φ3mm-10mm　7本</t>
    <rPh sb="18" eb="19">
      <t>ホン</t>
    </rPh>
    <phoneticPr fontId="2"/>
  </si>
  <si>
    <t>PKWS2</t>
    <phoneticPr fontId="2"/>
  </si>
  <si>
    <t>六角穴付きﾎﾞﾙﾄ　 (M4×10)　4本</t>
    <rPh sb="20" eb="21">
      <t>ホン</t>
    </rPh>
    <phoneticPr fontId="2"/>
  </si>
  <si>
    <t>SFB3-8</t>
    <phoneticPr fontId="2"/>
  </si>
  <si>
    <t>SETB-0004-Z01　ｶｯﾌﾟﾎﾙﾀﾞｰﾍﾞｰｽＬ字ﾌﾞﾗｹｯﾄ</t>
    <phoneticPr fontId="2"/>
  </si>
  <si>
    <t>SETB-0004-Z02　ｶｯﾌﾟﾎﾙﾀﾞｰＬ字ﾌﾞﾗｹｯﾄ</t>
    <phoneticPr fontId="2"/>
  </si>
  <si>
    <t>MVSHM-3N02052011016-JPA2269FF111AA</t>
    <phoneticPr fontId="2"/>
  </si>
  <si>
    <t>MVSHM-3N02050006021-JPA245LFH111AA</t>
    <phoneticPr fontId="2"/>
  </si>
  <si>
    <t xml:space="preserve">5-079-04　  </t>
    <phoneticPr fontId="2"/>
  </si>
  <si>
    <t>ｼﾘﾝｼﾞレギュレーター</t>
    <phoneticPr fontId="2"/>
  </si>
  <si>
    <t>30ccｼﾘﾝｼﾞ撹拌取り置きﾕﾆｯﾄ</t>
    <phoneticPr fontId="2"/>
  </si>
  <si>
    <t>SCB4-6</t>
    <phoneticPr fontId="2"/>
  </si>
  <si>
    <t>六角穴付きﾎﾞﾙﾄ　M4×6mm　　　　2本</t>
    <rPh sb="21" eb="22">
      <t>ホン</t>
    </rPh>
    <phoneticPr fontId="2"/>
  </si>
  <si>
    <t>APMTSL-G1-N1-L20</t>
    <phoneticPr fontId="2"/>
  </si>
  <si>
    <t>5日目</t>
    <rPh sb="1" eb="2">
      <t>ヒ</t>
    </rPh>
    <rPh sb="2" eb="3">
      <t>メ</t>
    </rPh>
    <phoneticPr fontId="2"/>
  </si>
  <si>
    <t>ﾉｯｸﾋﾟﾝ　φ3mm-10mm　　6本</t>
    <rPh sb="19" eb="20">
      <t>ホン</t>
    </rPh>
    <phoneticPr fontId="2"/>
  </si>
  <si>
    <t>樹脂ローレット付ねじ-単品</t>
    <phoneticPr fontId="2"/>
  </si>
  <si>
    <t>アルミ蝶番　ショートタイプ</t>
    <phoneticPr fontId="2"/>
  </si>
  <si>
    <t>スナップ錠　PKWS</t>
    <phoneticPr fontId="2"/>
  </si>
  <si>
    <t>六角穴付皿ボルト　－ステンレス 4本</t>
    <rPh sb="17" eb="18">
      <t>ホン</t>
    </rPh>
    <phoneticPr fontId="2"/>
  </si>
  <si>
    <t>4日目</t>
    <rPh sb="1" eb="2">
      <t>ヒ</t>
    </rPh>
    <rPh sb="2" eb="3">
      <t>メ</t>
    </rPh>
    <phoneticPr fontId="2"/>
  </si>
  <si>
    <t>六角穴付きﾎﾞﾙﾄ　 (M4×8)　4本</t>
    <rPh sb="19" eb="20">
      <t>ホン</t>
    </rPh>
    <phoneticPr fontId="2"/>
  </si>
  <si>
    <t>六角穴付きﾎﾞﾙﾄ　 (M4×10)　8本</t>
    <rPh sb="20" eb="21">
      <t>ホン</t>
    </rPh>
    <phoneticPr fontId="2"/>
  </si>
  <si>
    <t xml:space="preserve">ＡETGRS10-62-SC10 </t>
    <phoneticPr fontId="2"/>
  </si>
  <si>
    <t>PDDJ-PS-JS-37-3</t>
    <phoneticPr fontId="2"/>
  </si>
  <si>
    <t>6日目</t>
    <rPh sb="1" eb="3">
      <t>ヒメ</t>
    </rPh>
    <phoneticPr fontId="2"/>
  </si>
  <si>
    <t>MWS-MDR50-HT50</t>
    <phoneticPr fontId="2"/>
  </si>
  <si>
    <t>MWSシリーズ（バネアップ）,対応圧着端子：Y端子/丸端子</t>
    <phoneticPr fontId="2"/>
  </si>
  <si>
    <t>3VC-3</t>
    <phoneticPr fontId="2"/>
  </si>
  <si>
    <t>ACコード 固定長（PSE） 片側切り落としタイププラグ</t>
    <phoneticPr fontId="2"/>
  </si>
  <si>
    <r>
      <t>707-8255　</t>
    </r>
    <r>
      <rPr>
        <sz val="11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2"/>
  </si>
  <si>
    <t>三沢電線</t>
    <rPh sb="0" eb="2">
      <t>ミサワ</t>
    </rPh>
    <rPh sb="2" eb="4">
      <t>デンセン</t>
    </rPh>
    <phoneticPr fontId="2"/>
  </si>
  <si>
    <t>UL1007-20AWG-BE-10</t>
    <phoneticPr fontId="2"/>
  </si>
  <si>
    <t>UL1007-18AWG-R-10</t>
    <phoneticPr fontId="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</si>
  <si>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</si>
  <si>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UL1007-18AWG-BK-10</t>
    <phoneticPr fontId="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</si>
  <si>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</si>
  <si>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UL1007-18AWG-Y-10</t>
    <phoneticPr fontId="2"/>
  </si>
  <si>
    <t>UL1007-18AWG-GN-10</t>
    <phoneticPr fontId="2"/>
  </si>
  <si>
    <t>UL1007-16AWG-Y-10</t>
    <phoneticPr fontId="2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</si>
  <si>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</si>
  <si>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UL1007-16AWG-GN-10</t>
    <phoneticPr fontId="2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</si>
  <si>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</si>
  <si>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アメリカン電機</t>
    <rPh sb="5" eb="7">
      <t>デンキ</t>
    </rPh>
    <phoneticPr fontId="2"/>
  </si>
  <si>
    <t>SS300UCRSB-23-3-20</t>
    <phoneticPr fontId="2"/>
  </si>
  <si>
    <t>SS300UCR UL/CE対応（シールド有(３芯）</t>
    <rPh sb="24" eb="25">
      <t>シン</t>
    </rPh>
    <phoneticPr fontId="2"/>
  </si>
  <si>
    <t>タキゲン製造</t>
    <rPh sb="4" eb="6">
      <t>セイゾウ</t>
    </rPh>
    <phoneticPr fontId="2"/>
  </si>
  <si>
    <r>
      <t>配電ＢＯＸ　</t>
    </r>
    <r>
      <rPr>
        <sz val="11"/>
        <color indexed="10"/>
        <rFont val="ＭＳ Ｐゴシック"/>
        <family val="3"/>
        <charset val="128"/>
      </rPr>
      <t>　</t>
    </r>
    <rPh sb="0" eb="2">
      <t>ハイデン</t>
    </rPh>
    <phoneticPr fontId="2"/>
  </si>
  <si>
    <t>DINレール用中継端子台 2002シリーズ　ｸﾞﾚｰ色　　6個</t>
    <rPh sb="26" eb="27">
      <t>ショク</t>
    </rPh>
    <rPh sb="30" eb="31">
      <t>コ</t>
    </rPh>
    <phoneticPr fontId="2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</si>
  <si>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2"/>
  </si>
  <si>
    <t>中継用端子台 差込型ジャンパ（絶縁） 2002シリーズ用　3個</t>
    <rPh sb="30" eb="31">
      <t>コ</t>
    </rPh>
    <phoneticPr fontId="2"/>
  </si>
  <si>
    <t>中継用端子台用エンドプレート　　4個</t>
    <rPh sb="17" eb="18">
      <t>コ</t>
    </rPh>
    <phoneticPr fontId="2"/>
  </si>
  <si>
    <t>ﾌｴﾆｯｸｽ・ｺﾝﾀｸﾄ</t>
    <phoneticPr fontId="2"/>
  </si>
  <si>
    <t>【スリーエムジャパン】e-CON　プラグコネクタ　赤色　　3端子　　2個</t>
    <rPh sb="25" eb="26">
      <t>アカ</t>
    </rPh>
    <rPh sb="26" eb="27">
      <t>イロ</t>
    </rPh>
    <phoneticPr fontId="2"/>
  </si>
  <si>
    <t>DINレール用中継端子台 2000シリーズ　ｸﾞﾚｰ色　　16個</t>
    <rPh sb="26" eb="27">
      <t>ショク</t>
    </rPh>
    <rPh sb="31" eb="32">
      <t>コ</t>
    </rPh>
    <phoneticPr fontId="2"/>
  </si>
  <si>
    <t>中継用端子台用エンドプレート  ｸﾞﾚｰ色　4枚</t>
    <rPh sb="23" eb="24">
      <t>マイ</t>
    </rPh>
    <phoneticPr fontId="2"/>
  </si>
  <si>
    <t>中継用端子台 差込型ジャンパ（絶縁）　　4個</t>
    <rPh sb="21" eb="22">
      <t>コ</t>
    </rPh>
    <phoneticPr fontId="2"/>
  </si>
  <si>
    <t>MVBLK-AMW-396-95PHS</t>
    <phoneticPr fontId="2"/>
  </si>
  <si>
    <t>MVBLK-AMW-396-H3F7E</t>
    <phoneticPr fontId="2"/>
  </si>
  <si>
    <r>
      <rPr>
        <b/>
        <sz val="11"/>
        <rFont val="ＭＳ Ｐゴシック"/>
        <family val="3"/>
        <charset val="128"/>
      </rPr>
      <t>SETB-0164-Y01</t>
    </r>
    <r>
      <rPr>
        <sz val="11"/>
        <rFont val="ＭＳ Ｐゴシック"/>
        <family val="3"/>
        <charset val="128"/>
      </rPr>
      <t>　eco300+画像　ﾂｰﾙﾍﾞｰｽ</t>
    </r>
    <phoneticPr fontId="2"/>
  </si>
  <si>
    <r>
      <rPr>
        <b/>
        <sz val="11"/>
        <color indexed="8"/>
        <rFont val="ＭＳ Ｐゴシック"/>
        <family val="3"/>
        <charset val="128"/>
      </rPr>
      <t>SETB0164-Y005</t>
    </r>
    <r>
      <rPr>
        <sz val="11"/>
        <color indexed="8"/>
        <rFont val="ＭＳ Ｐゴシック"/>
        <family val="3"/>
        <charset val="128"/>
      </rPr>
      <t xml:space="preserve"> LEDリング照明取付板金</t>
    </r>
    <rPh sb="20" eb="22">
      <t>ショウメイ</t>
    </rPh>
    <rPh sb="22" eb="24">
      <t>トリツケ</t>
    </rPh>
    <rPh sb="24" eb="26">
      <t>バンキン</t>
    </rPh>
    <phoneticPr fontId="2"/>
  </si>
  <si>
    <r>
      <rPr>
        <b/>
        <sz val="11"/>
        <color indexed="8"/>
        <rFont val="ＭＳ Ｐゴシック"/>
        <family val="3"/>
        <charset val="128"/>
      </rPr>
      <t>SETB0164-Y006</t>
    </r>
    <r>
      <rPr>
        <sz val="11"/>
        <color indexed="8"/>
        <rFont val="ＭＳ Ｐゴシック"/>
        <family val="3"/>
        <charset val="128"/>
      </rPr>
      <t xml:space="preserve"> CCDｶﾒﾗ取付ﾌﾟﾚｰﾄ</t>
    </r>
    <rPh sb="20" eb="22">
      <t>トリツケ</t>
    </rPh>
    <phoneticPr fontId="2"/>
  </si>
  <si>
    <r>
      <rPr>
        <b/>
        <sz val="11"/>
        <color indexed="8"/>
        <rFont val="ＭＳ Ｐゴシック"/>
        <family val="3"/>
        <charset val="128"/>
      </rPr>
      <t>SETB-0164-Y08</t>
    </r>
    <r>
      <rPr>
        <sz val="11"/>
        <color theme="1"/>
        <rFont val="ＭＳ Ｐゴシック"/>
        <family val="3"/>
        <charset val="128"/>
        <scheme val="minor"/>
      </rPr>
      <t xml:space="preserve"> ﾛﾎﾞｯﾄ固定ﾌﾞﾗｹｯﾄ</t>
    </r>
    <phoneticPr fontId="2"/>
  </si>
  <si>
    <r>
      <rPr>
        <b/>
        <sz val="11"/>
        <rFont val="ＭＳ Ｐゴシック"/>
        <family val="3"/>
        <charset val="128"/>
      </rPr>
      <t>SETB0164-Y010</t>
    </r>
    <r>
      <rPr>
        <sz val="11"/>
        <rFont val="ＭＳ Ｐゴシック"/>
        <family val="3"/>
        <charset val="128"/>
      </rPr>
      <t xml:space="preserve"> 薄型XYZ軸リニアボールガイド固定部品　製作品</t>
    </r>
    <phoneticPr fontId="2"/>
  </si>
  <si>
    <r>
      <rPr>
        <b/>
        <sz val="11"/>
        <color indexed="8"/>
        <rFont val="ＭＳ Ｐゴシック"/>
        <family val="3"/>
        <charset val="128"/>
      </rPr>
      <t>SETB0164-Y012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ｶﾞｲﾄﾞﾕﾆｯﾄ1</t>
    </r>
    <phoneticPr fontId="2"/>
  </si>
  <si>
    <r>
      <rPr>
        <b/>
        <sz val="11"/>
        <color indexed="8"/>
        <rFont val="ＭＳ Ｐゴシック"/>
        <family val="3"/>
        <charset val="128"/>
      </rPr>
      <t>SETB0164-Y013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ｶﾞｲﾄﾞﾕﾆｯﾄ2</t>
    </r>
    <phoneticPr fontId="2"/>
  </si>
  <si>
    <r>
      <rPr>
        <b/>
        <sz val="11"/>
        <color indexed="8"/>
        <rFont val="ＭＳ Ｐゴシック"/>
        <family val="3"/>
        <charset val="128"/>
      </rPr>
      <t>SETB0164-Y014</t>
    </r>
    <r>
      <rPr>
        <sz val="11"/>
        <color theme="1"/>
        <rFont val="ＭＳ Ｐゴシック"/>
        <family val="3"/>
        <charset val="128"/>
        <scheme val="minor"/>
      </rPr>
      <t xml:space="preserve"> 30ccｼﾘﾝｼﾞ撹拌機　ｶﾞｲﾄﾞﾕﾆｯﾄ3</t>
    </r>
    <phoneticPr fontId="2"/>
  </si>
  <si>
    <t>JPLRM4-P8-B7</t>
    <phoneticPr fontId="2"/>
  </si>
  <si>
    <t>MVSHM-3N03000-3FW-A6HRA</t>
    <phoneticPr fontId="2"/>
  </si>
  <si>
    <t>MVBLK-AMW-3FW-L5WNW</t>
    <phoneticPr fontId="2"/>
  </si>
  <si>
    <t>MVBLK-AMW-3FW-WG4C8</t>
    <phoneticPr fontId="2"/>
  </si>
  <si>
    <t>MVBLK-AMW-3FW-NWBMK</t>
    <phoneticPr fontId="2"/>
  </si>
  <si>
    <t>MVBLK-AMW-3FW-RW683</t>
    <phoneticPr fontId="2"/>
  </si>
  <si>
    <t>MVSHM-3N02050-3FW-Y8HDK</t>
    <phoneticPr fontId="2"/>
  </si>
  <si>
    <t>MVBLK-AMW-3FW-D7D9S</t>
    <phoneticPr fontId="2"/>
  </si>
  <si>
    <t>8日目</t>
    <rPh sb="1" eb="2">
      <t>ヒ</t>
    </rPh>
    <rPh sb="2" eb="3">
      <t>メ</t>
    </rPh>
    <phoneticPr fontId="2"/>
  </si>
  <si>
    <t>MVBLK-AMW-3FW-S1XMS</t>
    <phoneticPr fontId="2"/>
  </si>
  <si>
    <t>ﾉｯｸﾋﾟﾝ　φ3mm-10mm　　10本</t>
    <rPh sb="20" eb="21">
      <t>ホン</t>
    </rPh>
    <phoneticPr fontId="2"/>
  </si>
  <si>
    <t>六角穴付きﾎﾞﾙﾄ　 (M3×10)　　2本</t>
    <rPh sb="21" eb="22">
      <t>ホン</t>
    </rPh>
    <phoneticPr fontId="2"/>
  </si>
  <si>
    <t>SCB4-12</t>
    <phoneticPr fontId="2"/>
  </si>
  <si>
    <t>ﾉｯｸﾋﾟﾝ　φ4mm-8mm　　2本</t>
    <rPh sb="18" eb="19">
      <t>ホン</t>
    </rPh>
    <phoneticPr fontId="2"/>
  </si>
  <si>
    <t>MS2-8</t>
    <phoneticPr fontId="2"/>
  </si>
  <si>
    <t>六角穴付きﾎﾞﾙﾄ　 (M4×8)　3本</t>
    <rPh sb="19" eb="20">
      <t>ホン</t>
    </rPh>
    <phoneticPr fontId="2"/>
  </si>
  <si>
    <t>六角穴付きﾎﾞﾙﾄ　 (M3×8)　2本</t>
    <rPh sb="19" eb="20">
      <t>ホン</t>
    </rPh>
    <phoneticPr fontId="2"/>
  </si>
  <si>
    <t>MS3-25</t>
    <phoneticPr fontId="2"/>
  </si>
  <si>
    <t>六角穴付きﾎﾞﾙﾄ　 (M4×8)　1本</t>
    <rPh sb="19" eb="20">
      <t>ホン</t>
    </rPh>
    <phoneticPr fontId="2"/>
  </si>
  <si>
    <t>MVBLK-AMW-392-C5ZB6</t>
    <phoneticPr fontId="2"/>
  </si>
  <si>
    <t>MVBLK-AMW-392-PNJN4</t>
    <phoneticPr fontId="2"/>
  </si>
  <si>
    <t>SCB5-12</t>
    <phoneticPr fontId="2"/>
  </si>
  <si>
    <t>六角穴付きﾎﾞﾙﾄ　 (M5×12)　　2本</t>
    <rPh sb="21" eb="22">
      <t>ホン</t>
    </rPh>
    <phoneticPr fontId="2"/>
  </si>
  <si>
    <t>ﾉｯｸﾋﾟﾝ　φ3mm-10mm　　4本</t>
    <rPh sb="19" eb="20">
      <t>ホン</t>
    </rPh>
    <phoneticPr fontId="2"/>
  </si>
  <si>
    <t>3日目</t>
    <rPh sb="1" eb="3">
      <t>ヒメ</t>
    </rPh>
    <phoneticPr fontId="2"/>
  </si>
  <si>
    <t>MVBLK-AMW-3L1-142BS</t>
  </si>
  <si>
    <t>MVSHM-3N03004-3L1-7AHM1</t>
    <phoneticPr fontId="17"/>
  </si>
  <si>
    <t>MVBLK-AMW-3L1-M9NJW</t>
    <phoneticPr fontId="2"/>
  </si>
  <si>
    <t>MVBLK-AMW-3L1-LCU7H</t>
  </si>
  <si>
    <t>SFB3-6</t>
    <phoneticPr fontId="17"/>
  </si>
  <si>
    <t>六角穴付皿ボルト　－ステンレス</t>
    <phoneticPr fontId="17"/>
  </si>
  <si>
    <t>ﾉｯｸﾋﾟﾝ　φ2mm-8mm　12本</t>
    <rPh sb="18" eb="19">
      <t>ホン</t>
    </rPh>
    <phoneticPr fontId="2"/>
  </si>
  <si>
    <t>ﾉｯｸﾋﾟﾝ　φ2mm-8mm　6本</t>
    <rPh sb="17" eb="18">
      <t>ホン</t>
    </rPh>
    <phoneticPr fontId="2"/>
  </si>
  <si>
    <t>SBCB5-8</t>
    <phoneticPr fontId="17"/>
  </si>
  <si>
    <t>六角穴付ボタンボルト 4本</t>
    <rPh sb="12" eb="13">
      <t>ホン</t>
    </rPh>
    <phoneticPr fontId="17"/>
  </si>
  <si>
    <t>六角穴付ボタンボルト　2本</t>
    <rPh sb="12" eb="13">
      <t>ホン</t>
    </rPh>
    <phoneticPr fontId="17"/>
  </si>
  <si>
    <t>ワッシャ</t>
    <phoneticPr fontId="17"/>
  </si>
  <si>
    <t>SETGS10-69.5-SC15-M4-N4</t>
    <phoneticPr fontId="17"/>
  </si>
  <si>
    <t>SFPBA5-P7.95-L5-B4</t>
    <phoneticPr fontId="17"/>
  </si>
  <si>
    <t>ALSBG12-68-M4-N4</t>
    <phoneticPr fontId="17"/>
  </si>
  <si>
    <t>六角支柱－片端おねじ片端めねじ</t>
    <phoneticPr fontId="17"/>
  </si>
  <si>
    <t>円形支柱－片端おねじ片端めねじ</t>
    <phoneticPr fontId="17"/>
  </si>
  <si>
    <t>位置決めピン　大頭テーパタイプ　－圧入－</t>
    <phoneticPr fontId="17"/>
  </si>
  <si>
    <t>AETGS8-47-SC20-M4-N4</t>
    <phoneticPr fontId="17"/>
  </si>
  <si>
    <t>SCB6-18</t>
    <phoneticPr fontId="17"/>
  </si>
  <si>
    <t>六角穴付きﾎﾞﾙﾄ　 (M6×18)　4本</t>
    <rPh sb="20" eb="21">
      <t>ホン</t>
    </rPh>
    <phoneticPr fontId="2"/>
  </si>
  <si>
    <t>MPSCS2540-60-16-S</t>
    <phoneticPr fontId="2"/>
  </si>
  <si>
    <t>ケーブルキャリア　低発塵／低騒音タイプ</t>
    <phoneticPr fontId="2"/>
  </si>
  <si>
    <t>六角穴付ボタンボルト　－ステンレス</t>
    <phoneticPr fontId="17"/>
  </si>
  <si>
    <t>SETB0164-Z05　ｹｰﾌﾞﾙﾍﾞｱ下板</t>
    <phoneticPr fontId="2"/>
  </si>
  <si>
    <t>8日目</t>
    <rPh sb="1" eb="2">
      <t>ヒ</t>
    </rPh>
    <rPh sb="2" eb="3">
      <t>メ</t>
    </rPh>
    <phoneticPr fontId="11"/>
  </si>
  <si>
    <t>MVBLK-AMW-3L4-USUYT</t>
    <phoneticPr fontId="2"/>
  </si>
  <si>
    <t>MVSHM-3N02052-3L4-6HLS6</t>
    <phoneticPr fontId="17"/>
  </si>
  <si>
    <t>SBCB4-14</t>
    <phoneticPr fontId="17"/>
  </si>
  <si>
    <t>SPWF4</t>
    <phoneticPr fontId="17"/>
  </si>
  <si>
    <t>MPSCS1520-28-29-S</t>
    <phoneticPr fontId="17"/>
  </si>
  <si>
    <t>ケーブルキャリア　低発塵／低騒音タイプ</t>
    <phoneticPr fontId="17"/>
  </si>
  <si>
    <t>MVSHM-3N03052-3L4-DJYE3</t>
    <phoneticPr fontId="17"/>
  </si>
  <si>
    <t>SBCB4-6</t>
    <phoneticPr fontId="17"/>
  </si>
  <si>
    <t>MVSHM-3N03002-3L4-69X97</t>
    <phoneticPr fontId="17"/>
  </si>
  <si>
    <t xml:space="preserve">SPWF4 </t>
    <phoneticPr fontId="17"/>
  </si>
  <si>
    <r>
      <rPr>
        <b/>
        <sz val="11"/>
        <color indexed="8"/>
        <rFont val="ＭＳ Ｐゴシック"/>
        <family val="3"/>
        <charset val="128"/>
      </rPr>
      <t>SETB0164-Y03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color theme="1"/>
        <rFont val="ＭＳ Ｐゴシック"/>
        <family val="3"/>
        <charset val="128"/>
        <scheme val="minor"/>
      </rPr>
      <t>　Aバルブベース　eco300ﾎﾙﾀﾞ</t>
    </r>
    <phoneticPr fontId="2"/>
  </si>
  <si>
    <t>MVSHM-3N03002-3FX-FXLYR</t>
    <phoneticPr fontId="2"/>
  </si>
  <si>
    <t>SETB0164-Y15タップシート</t>
    <phoneticPr fontId="2"/>
  </si>
  <si>
    <t>WP43D52CA500</t>
    <phoneticPr fontId="2"/>
  </si>
  <si>
    <t>六角穴付きﾎﾞﾙﾄ　 (M3×8)　　10本</t>
    <rPh sb="21" eb="22">
      <t>ホン</t>
    </rPh>
    <phoneticPr fontId="2"/>
  </si>
  <si>
    <t>SSE2B10-195</t>
    <phoneticPr fontId="2"/>
  </si>
  <si>
    <t>ﾉｯｸﾋﾟﾝ　φ2mm-8mm　　4本</t>
    <rPh sb="18" eb="19">
      <t>ホン</t>
    </rPh>
    <phoneticPr fontId="2"/>
  </si>
  <si>
    <t>六角穴付きﾎﾞﾙﾄ　 (M3×8)　　7本</t>
    <rPh sb="20" eb="21">
      <t>ホン</t>
    </rPh>
    <phoneticPr fontId="2"/>
  </si>
  <si>
    <t>NKOSC4-10-12</t>
    <phoneticPr fontId="17"/>
  </si>
  <si>
    <t>DBSY4-3-6</t>
    <phoneticPr fontId="17"/>
  </si>
  <si>
    <t>NKOSC4-6-12</t>
    <phoneticPr fontId="17"/>
  </si>
  <si>
    <t>六角穴付きﾎﾞﾙﾄ　 (M4×8)　2本×2</t>
    <rPh sb="19" eb="20">
      <t>ホン</t>
    </rPh>
    <phoneticPr fontId="2"/>
  </si>
  <si>
    <t>ﾉｯｸﾋﾟﾝ　φ3mm-10mm　　2本</t>
    <rPh sb="19" eb="20">
      <t>ホン</t>
    </rPh>
    <phoneticPr fontId="2"/>
  </si>
  <si>
    <t>BSS16-40C</t>
    <phoneticPr fontId="17"/>
  </si>
  <si>
    <t>MVSHM-3N03052-3L5-WTHKG</t>
    <phoneticPr fontId="17"/>
  </si>
  <si>
    <t>SETB0164-Z06　ｹｰﾌﾞﾙﾍﾞｱ横板金</t>
    <phoneticPr fontId="17"/>
  </si>
  <si>
    <t>MVSHM-3N02050-3L5-LWY3T</t>
  </si>
  <si>
    <t>六角穴付きﾎﾞﾙﾄ　M4×6mm　　　　2本＋2本</t>
    <phoneticPr fontId="2"/>
  </si>
  <si>
    <t>MVBLK-AMW-3L5-AU7PX</t>
    <phoneticPr fontId="17"/>
  </si>
  <si>
    <t>MVBLK-AMW-3L5-ZS9YG</t>
  </si>
  <si>
    <t>段付ボルト</t>
    <phoneticPr fontId="17"/>
  </si>
  <si>
    <t>小径ローレットノブ</t>
    <phoneticPr fontId="17"/>
  </si>
  <si>
    <r>
      <rPr>
        <b/>
        <sz val="11"/>
        <color indexed="8"/>
        <rFont val="ＭＳ Ｐゴシック"/>
        <family val="3"/>
        <charset val="128"/>
      </rPr>
      <t>SETB0164-Y21</t>
    </r>
    <r>
      <rPr>
        <sz val="11"/>
        <color theme="1"/>
        <rFont val="ＭＳ Ｐゴシック"/>
        <family val="3"/>
        <charset val="128"/>
        <scheme val="minor"/>
      </rPr>
      <t>　ﾊﾞﾙﾌﾞ固定背板用ﾌﾞﾗｹｯﾄ</t>
    </r>
    <phoneticPr fontId="17"/>
  </si>
  <si>
    <r>
      <rPr>
        <b/>
        <sz val="11"/>
        <color indexed="8"/>
        <rFont val="ＭＳ Ｐゴシック"/>
        <family val="3"/>
        <charset val="128"/>
      </rPr>
      <t>SETB0164-Y018</t>
    </r>
    <r>
      <rPr>
        <sz val="11"/>
        <color theme="1"/>
        <rFont val="ＭＳ Ｐゴシック"/>
        <family val="3"/>
        <charset val="128"/>
        <scheme val="minor"/>
      </rPr>
      <t>　eco300　ﾂｰﾙﾍﾞｰｽ2　ｶﾞｲﾄﾞ　</t>
    </r>
    <phoneticPr fontId="17"/>
  </si>
  <si>
    <r>
      <rPr>
        <b/>
        <sz val="11"/>
        <color indexed="8"/>
        <rFont val="ＭＳ Ｐゴシック"/>
        <family val="3"/>
        <charset val="128"/>
      </rPr>
      <t>SETB0164-Y019</t>
    </r>
    <r>
      <rPr>
        <sz val="11"/>
        <color theme="1"/>
        <rFont val="ＭＳ Ｐゴシック"/>
        <family val="3"/>
        <charset val="128"/>
        <scheme val="minor"/>
      </rPr>
      <t>　ﾂｰﾙﾍﾞｰｽﾕﾆｯﾄ　ｶﾞｲﾄﾞ　</t>
    </r>
    <phoneticPr fontId="17"/>
  </si>
  <si>
    <r>
      <rPr>
        <b/>
        <sz val="11"/>
        <color indexed="8"/>
        <rFont val="ＭＳ Ｐゴシック"/>
        <family val="3"/>
        <charset val="128"/>
      </rPr>
      <t>SETB0164-Y20</t>
    </r>
    <r>
      <rPr>
        <sz val="11"/>
        <color theme="1"/>
        <rFont val="ＭＳ Ｐゴシック"/>
        <family val="3"/>
        <charset val="128"/>
        <scheme val="minor"/>
      </rPr>
      <t xml:space="preserve"> 3軸ﾏｲｸﾛﾌﾞﾗｹｯﾄ 1個＋</t>
    </r>
    <r>
      <rPr>
        <b/>
        <sz val="11"/>
        <color indexed="30"/>
        <rFont val="ＭＳ Ｐゴシック"/>
        <family val="3"/>
        <charset val="128"/>
      </rPr>
      <t>浸け置き側</t>
    </r>
    <r>
      <rPr>
        <b/>
        <sz val="11"/>
        <color indexed="10"/>
        <rFont val="ＭＳ Ｐゴシック"/>
        <family val="3"/>
        <charset val="128"/>
      </rPr>
      <t>1個</t>
    </r>
    <rPh sb="27" eb="28">
      <t>コ</t>
    </rPh>
    <rPh sb="29" eb="30">
      <t>ツ</t>
    </rPh>
    <rPh sb="31" eb="32">
      <t>オ</t>
    </rPh>
    <rPh sb="33" eb="34">
      <t>ガワ</t>
    </rPh>
    <rPh sb="35" eb="36">
      <t>コ</t>
    </rPh>
    <phoneticPr fontId="17"/>
  </si>
  <si>
    <t>MVSHM-3N03000-3KW-97LDA</t>
    <phoneticPr fontId="17"/>
  </si>
  <si>
    <r>
      <rPr>
        <b/>
        <sz val="11"/>
        <color indexed="8"/>
        <rFont val="ＭＳ Ｐゴシック"/>
        <family val="3"/>
        <charset val="128"/>
      </rPr>
      <t>155180-Y004</t>
    </r>
    <r>
      <rPr>
        <sz val="11"/>
        <color indexed="8"/>
        <rFont val="ＭＳ Ｐゴシック"/>
        <family val="3"/>
        <charset val="128"/>
      </rPr>
      <t xml:space="preserve"> LED照明ｽﾗｲﾄﾞﾌﾟﾚｰﾄ</t>
    </r>
    <rPh sb="15" eb="17">
      <t>ショウメイ</t>
    </rPh>
    <phoneticPr fontId="2"/>
  </si>
  <si>
    <r>
      <rPr>
        <b/>
        <sz val="11"/>
        <color indexed="8"/>
        <rFont val="ＭＳ Ｐゴシック"/>
        <family val="3"/>
        <charset val="128"/>
      </rPr>
      <t>155180-Y002</t>
    </r>
    <r>
      <rPr>
        <sz val="11"/>
        <color indexed="8"/>
        <rFont val="ＭＳ Ｐゴシック"/>
        <family val="3"/>
        <charset val="128"/>
      </rPr>
      <t xml:space="preserve"> 2.0M用CCD取付板</t>
    </r>
    <rPh sb="16" eb="17">
      <t>ヨウ</t>
    </rPh>
    <rPh sb="20" eb="22">
      <t>トリツケ</t>
    </rPh>
    <rPh sb="22" eb="23">
      <t>イタ</t>
    </rPh>
    <phoneticPr fontId="2"/>
  </si>
  <si>
    <r>
      <rPr>
        <b/>
        <sz val="11"/>
        <rFont val="ＭＳ Ｐゴシック"/>
        <family val="3"/>
        <charset val="128"/>
      </rPr>
      <t>SETB-0004-Y02</t>
    </r>
    <r>
      <rPr>
        <sz val="11"/>
        <rFont val="ＭＳ Ｐゴシック"/>
        <family val="3"/>
        <charset val="128"/>
      </rPr>
      <t xml:space="preserve"> eco600ﾂｰﾙﾍﾞｰｽ補強</t>
    </r>
    <phoneticPr fontId="2"/>
  </si>
  <si>
    <r>
      <rPr>
        <b/>
        <sz val="11"/>
        <rFont val="ＭＳ Ｐゴシック"/>
        <family val="3"/>
        <charset val="128"/>
      </rPr>
      <t>SETB-0004-Y03</t>
    </r>
    <r>
      <rPr>
        <sz val="11"/>
        <rFont val="ＭＳ Ｐゴシック"/>
        <family val="3"/>
        <charset val="128"/>
      </rPr>
      <t xml:space="preserve"> eco600　ﾂｰﾙﾍﾞｰｽ補強　2</t>
    </r>
    <phoneticPr fontId="2"/>
  </si>
  <si>
    <r>
      <t>SETB0164－Z01</t>
    </r>
    <r>
      <rPr>
        <b/>
        <sz val="11"/>
        <color indexed="10"/>
        <rFont val="ＭＳ Ｐゴシック"/>
        <family val="3"/>
        <charset val="128"/>
      </rPr>
      <t>-1　</t>
    </r>
    <r>
      <rPr>
        <sz val="11"/>
        <color theme="1"/>
        <rFont val="ＭＳ Ｐゴシック"/>
        <family val="3"/>
        <charset val="128"/>
        <scheme val="minor"/>
      </rPr>
      <t>レギュレーター取付板金</t>
    </r>
    <phoneticPr fontId="2"/>
  </si>
  <si>
    <r>
      <t>SETB0164-Z0</t>
    </r>
    <r>
      <rPr>
        <b/>
        <sz val="11"/>
        <color indexed="10"/>
        <rFont val="ＭＳ Ｐゴシック"/>
        <family val="3"/>
        <charset val="128"/>
      </rPr>
      <t>7</t>
    </r>
    <r>
      <rPr>
        <sz val="11"/>
        <color indexed="8"/>
        <rFont val="ＭＳ Ｐゴシック"/>
        <family val="3"/>
        <charset val="128"/>
      </rPr>
      <t xml:space="preserve"> ｼﾘﾝｼﾞ撹拌取り置きｽﾃｰ</t>
    </r>
    <phoneticPr fontId="2"/>
  </si>
  <si>
    <t>MVBLK-AMW-3H3-8DM57</t>
  </si>
  <si>
    <t>MVSHM-3N02000-3H3-EN8HC</t>
    <phoneticPr fontId="17"/>
  </si>
  <si>
    <t>MVSHM-3N02000-3H3-BTJD6</t>
    <phoneticPr fontId="17"/>
  </si>
  <si>
    <t>MVBLK-AMW-3H3-2FFBA</t>
    <phoneticPr fontId="17"/>
  </si>
  <si>
    <t>ALSBWF7-57.5　</t>
    <phoneticPr fontId="2"/>
  </si>
  <si>
    <r>
      <t>MVBLK-AMW-3GC-4JGFA　</t>
    </r>
    <r>
      <rPr>
        <b/>
        <sz val="11"/>
        <color indexed="30"/>
        <rFont val="ＭＳ Ｐゴシック"/>
        <family val="3"/>
        <charset val="128"/>
      </rPr>
      <t>　修正済み　精度変更</t>
    </r>
    <rPh sb="21" eb="23">
      <t>シュウセイ</t>
    </rPh>
    <rPh sb="23" eb="24">
      <t>ズ</t>
    </rPh>
    <rPh sb="26" eb="28">
      <t>セイド</t>
    </rPh>
    <rPh sb="28" eb="30">
      <t>ヘンコウ</t>
    </rPh>
    <phoneticPr fontId="2"/>
  </si>
  <si>
    <r>
      <rPr>
        <b/>
        <sz val="11"/>
        <rFont val="ＭＳ Ｐゴシック"/>
        <family val="3"/>
        <charset val="128"/>
      </rPr>
      <t>SETB-01</t>
    </r>
    <r>
      <rPr>
        <b/>
        <sz val="11"/>
        <color indexed="30"/>
        <rFont val="ＭＳ Ｐゴシック"/>
        <family val="3"/>
        <charset val="128"/>
      </rPr>
      <t>64</t>
    </r>
    <r>
      <rPr>
        <b/>
        <sz val="11"/>
        <rFont val="ＭＳ Ｐゴシック"/>
        <family val="3"/>
        <charset val="128"/>
      </rPr>
      <t>-Y04</t>
    </r>
    <r>
      <rPr>
        <b/>
        <sz val="11"/>
        <color indexed="10"/>
        <rFont val="ＭＳ Ｐゴシック"/>
        <family val="3"/>
        <charset val="128"/>
      </rPr>
      <t>-1</t>
    </r>
    <r>
      <rPr>
        <b/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eco300+画像　ﾛﾎﾞｯﾄ固定ﾌﾞﾗｹｯﾄ</t>
    </r>
    <phoneticPr fontId="2"/>
  </si>
  <si>
    <t>六角穴付きﾎﾞﾙﾄ　 (M4×12)　3本+3本</t>
    <rPh sb="20" eb="21">
      <t>ホン</t>
    </rPh>
    <rPh sb="23" eb="24">
      <t>ホン</t>
    </rPh>
    <phoneticPr fontId="2"/>
  </si>
  <si>
    <r>
      <rPr>
        <b/>
        <sz val="11"/>
        <color indexed="8"/>
        <rFont val="ＭＳ Ｐゴシック"/>
        <family val="3"/>
        <charset val="128"/>
      </rPr>
      <t>SETB0164-Y02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color indexed="10"/>
        <rFont val="ＭＳ Ｐゴシック"/>
        <family val="3"/>
        <charset val="128"/>
      </rPr>
      <t>　</t>
    </r>
    <r>
      <rPr>
        <sz val="11"/>
        <color theme="1"/>
        <rFont val="ＭＳ Ｐゴシック"/>
        <family val="3"/>
        <charset val="128"/>
        <scheme val="minor"/>
      </rPr>
      <t>Aバルブクランプ　eco300ﾎﾙﾀﾞ</t>
    </r>
    <phoneticPr fontId="2"/>
  </si>
  <si>
    <t>六角支柱 4本</t>
    <rPh sb="0" eb="2">
      <t>ロッカク</t>
    </rPh>
    <rPh sb="2" eb="4">
      <t>シチュウ</t>
    </rPh>
    <rPh sb="6" eb="7">
      <t>ホン</t>
    </rPh>
    <phoneticPr fontId="2"/>
  </si>
  <si>
    <t>蝶ナット　1個</t>
    <rPh sb="6" eb="7">
      <t>コ</t>
    </rPh>
    <phoneticPr fontId="2"/>
  </si>
  <si>
    <t>ヒンジボルト　1個</t>
    <rPh sb="8" eb="9">
      <t>コ</t>
    </rPh>
    <phoneticPr fontId="2"/>
  </si>
  <si>
    <t>ヒンジピン　1個</t>
    <rPh sb="7" eb="8">
      <t>コ</t>
    </rPh>
    <phoneticPr fontId="2"/>
  </si>
  <si>
    <t>ヒンジピン　１個</t>
    <rPh sb="7" eb="8">
      <t>コ</t>
    </rPh>
    <phoneticPr fontId="2"/>
  </si>
  <si>
    <t>円形支柱－片端おねじ片端めねじ　4本</t>
    <rPh sb="17" eb="18">
      <t>ホン</t>
    </rPh>
    <phoneticPr fontId="2"/>
  </si>
  <si>
    <t>パイプスペーサ　2個</t>
    <rPh sb="9" eb="10">
      <t>コ</t>
    </rPh>
    <phoneticPr fontId="2"/>
  </si>
  <si>
    <r>
      <t>SETB0164-A01　JR3303-H100+</t>
    </r>
    <r>
      <rPr>
        <sz val="20"/>
        <color indexed="10"/>
        <rFont val="ＭＳ Ｐゴシック"/>
        <family val="3"/>
        <charset val="128"/>
      </rPr>
      <t>ecoPEN300</t>
    </r>
    <r>
      <rPr>
        <sz val="20"/>
        <color indexed="8"/>
        <rFont val="ＭＳ Ｐゴシック"/>
        <family val="3"/>
        <charset val="128"/>
      </rPr>
      <t>+30cc撹拌ｼﾘﾝｼﾞ+ﾜｰｸ回転ﾃｰﾌﾞﾙ+浸け置き+配電BOX</t>
    </r>
    <phoneticPr fontId="2"/>
  </si>
  <si>
    <t>ecoPEN300の場合</t>
    <rPh sb="10" eb="12">
      <t>バアイ</t>
    </rPh>
    <phoneticPr fontId="17"/>
  </si>
  <si>
    <r>
      <rPr>
        <b/>
        <sz val="11"/>
        <color indexed="8"/>
        <rFont val="ＭＳ Ｐゴシック"/>
        <family val="3"/>
        <charset val="128"/>
      </rPr>
      <t>SETB0164-Y07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color theme="1"/>
        <rFont val="ＭＳ Ｐゴシック"/>
        <family val="3"/>
        <charset val="128"/>
        <scheme val="minor"/>
      </rPr>
      <t xml:space="preserve"> eco300　ﾂｰﾙﾍﾞｰｽ　2　 </t>
    </r>
    <r>
      <rPr>
        <b/>
        <sz val="11"/>
        <color indexed="30"/>
        <rFont val="ＭＳ Ｐゴシック"/>
        <family val="3"/>
        <charset val="128"/>
      </rPr>
      <t>1個＋浸け置き側1個</t>
    </r>
    <phoneticPr fontId="2"/>
  </si>
  <si>
    <r>
      <rPr>
        <b/>
        <sz val="11"/>
        <color indexed="8"/>
        <rFont val="ＭＳ Ｐゴシック"/>
        <family val="3"/>
        <charset val="128"/>
      </rPr>
      <t>SETB0164-Y09</t>
    </r>
    <r>
      <rPr>
        <b/>
        <sz val="11"/>
        <color indexed="10"/>
        <rFont val="ＭＳ Ｐゴシック"/>
        <family val="3"/>
        <charset val="128"/>
      </rPr>
      <t>-1</t>
    </r>
    <r>
      <rPr>
        <sz val="11"/>
        <color theme="1"/>
        <rFont val="ＭＳ Ｐゴシック"/>
        <family val="3"/>
        <charset val="128"/>
        <scheme val="minor"/>
      </rPr>
      <t>eco300先端受け</t>
    </r>
    <phoneticPr fontId="2"/>
  </si>
  <si>
    <t>MVBLK-AMW-3L6-EEAEX</t>
    <phoneticPr fontId="20"/>
  </si>
  <si>
    <t>MVBLK-AMW-3H3-Z4UT5</t>
    <phoneticPr fontId="17"/>
  </si>
  <si>
    <t>MVBLK-AMW-3L6-EEAEX</t>
    <phoneticPr fontId="17"/>
  </si>
  <si>
    <t>見積もりお願い致します。</t>
    <rPh sb="0" eb="2">
      <t>ミツ</t>
    </rPh>
    <rPh sb="5" eb="6">
      <t>ネガ</t>
    </rPh>
    <rPh sb="7" eb="8">
      <t>イタ</t>
    </rPh>
    <phoneticPr fontId="20"/>
  </si>
  <si>
    <t>②</t>
    <phoneticPr fontId="20"/>
  </si>
  <si>
    <r>
      <t>BSS73-40CU　　</t>
    </r>
    <r>
      <rPr>
        <b/>
        <sz val="11"/>
        <color rgb="FFFFC000"/>
        <rFont val="ＭＳ Ｐゴシック"/>
        <family val="3"/>
        <charset val="128"/>
      </rPr>
      <t>本来は　BSS73-40C次回から</t>
    </r>
    <phoneticPr fontId="2"/>
  </si>
  <si>
    <r>
      <rPr>
        <b/>
        <sz val="11"/>
        <rFont val="ＭＳ Ｐゴシック"/>
        <family val="3"/>
        <charset val="128"/>
      </rPr>
      <t>SETB0164</t>
    </r>
    <r>
      <rPr>
        <b/>
        <sz val="11"/>
        <color rgb="FFFF0000"/>
        <rFont val="ＭＳ Ｐゴシック"/>
        <family val="3"/>
        <charset val="128"/>
      </rPr>
      <t>-Y22　</t>
    </r>
    <r>
      <rPr>
        <sz val="11"/>
        <rFont val="ＭＳ Ｐゴシック"/>
        <family val="3"/>
        <charset val="128"/>
      </rPr>
      <t>ｶﾒﾗｽﾗｲﾄﾞﾌﾟﾚｰﾄ固定ﾌﾟﾚｰﾄ</t>
    </r>
    <rPh sb="26" eb="30">
      <t>プレート</t>
    </rPh>
    <phoneticPr fontId="2"/>
  </si>
  <si>
    <t>PC401</t>
    <phoneticPr fontId="20"/>
  </si>
  <si>
    <t>10日目</t>
    <rPh sb="2" eb="3">
      <t>ヒ</t>
    </rPh>
    <rPh sb="3" eb="4">
      <t>メ</t>
    </rPh>
    <phoneticPr fontId="2"/>
  </si>
  <si>
    <t>エアタック</t>
    <phoneticPr fontId="20"/>
  </si>
  <si>
    <t>ﾉｯｸﾋﾟﾝ　φ2mm-8mm　4本</t>
    <rPh sb="17" eb="18">
      <t>ホン</t>
    </rPh>
    <phoneticPr fontId="2"/>
  </si>
  <si>
    <r>
      <rPr>
        <b/>
        <sz val="11"/>
        <color theme="1"/>
        <rFont val="ＭＳ Ｐゴシック"/>
        <family val="3"/>
        <charset val="128"/>
        <scheme val="minor"/>
      </rPr>
      <t>SETB0164-X01</t>
    </r>
    <r>
      <rPr>
        <sz val="11"/>
        <color theme="1"/>
        <rFont val="ＭＳ Ｐゴシック"/>
        <family val="3"/>
        <charset val="128"/>
        <scheme val="minor"/>
      </rPr>
      <t>　ﾏｰｷﾝｸﾞﾌﾟﾚｰﾄ</t>
    </r>
    <phoneticPr fontId="17"/>
  </si>
  <si>
    <r>
      <rPr>
        <b/>
        <sz val="11"/>
        <color theme="1"/>
        <rFont val="ＭＳ Ｐゴシック"/>
        <family val="3"/>
        <charset val="128"/>
        <scheme val="minor"/>
      </rPr>
      <t>SETB0164-X04　</t>
    </r>
    <r>
      <rPr>
        <sz val="11"/>
        <color theme="1"/>
        <rFont val="ＭＳ Ｐゴシック"/>
        <family val="3"/>
        <charset val="128"/>
        <scheme val="minor"/>
      </rPr>
      <t>ﾜｰｸﾃｰﾌﾞﾙﾍﾞｰｽ</t>
    </r>
    <phoneticPr fontId="17"/>
  </si>
  <si>
    <r>
      <rPr>
        <b/>
        <sz val="11"/>
        <color theme="1"/>
        <rFont val="ＭＳ Ｐゴシック"/>
        <family val="3"/>
        <charset val="128"/>
        <scheme val="minor"/>
      </rPr>
      <t>SETB0164-X05</t>
    </r>
    <r>
      <rPr>
        <sz val="11"/>
        <color theme="1"/>
        <rFont val="ＭＳ Ｐゴシック"/>
        <family val="3"/>
        <charset val="128"/>
        <scheme val="minor"/>
      </rPr>
      <t>　ﾓﾀｰ受けﾃｰﾌﾞﾙ</t>
    </r>
    <phoneticPr fontId="17"/>
  </si>
  <si>
    <r>
      <rPr>
        <b/>
        <sz val="11"/>
        <color theme="1"/>
        <rFont val="ＭＳ Ｐゴシック"/>
        <family val="3"/>
        <charset val="128"/>
        <scheme val="minor"/>
      </rPr>
      <t>SETB0164-X03</t>
    </r>
    <r>
      <rPr>
        <sz val="11"/>
        <color theme="1"/>
        <rFont val="ＭＳ Ｐゴシック"/>
        <family val="3"/>
        <charset val="128"/>
        <scheme val="minor"/>
      </rPr>
      <t>　ﾜｰｸﾃｰﾌﾞﾙｹｰﾌﾞﾙﾍﾞｱｽﾃｰ　2</t>
    </r>
    <phoneticPr fontId="17"/>
  </si>
  <si>
    <r>
      <rPr>
        <b/>
        <sz val="11"/>
        <color theme="1"/>
        <rFont val="ＭＳ Ｐゴシック"/>
        <family val="3"/>
        <charset val="128"/>
        <scheme val="minor"/>
      </rPr>
      <t>SETB0164-X06</t>
    </r>
    <r>
      <rPr>
        <sz val="11"/>
        <color theme="1"/>
        <rFont val="ＭＳ Ｐゴシック"/>
        <family val="3"/>
        <charset val="128"/>
        <scheme val="minor"/>
      </rPr>
      <t>　位置決め捨て射ちｽﾃｰｼﾞ</t>
    </r>
    <phoneticPr fontId="17"/>
  </si>
  <si>
    <r>
      <rPr>
        <b/>
        <sz val="11"/>
        <color theme="1"/>
        <rFont val="ＭＳ Ｐゴシック"/>
        <family val="3"/>
        <charset val="128"/>
        <scheme val="minor"/>
      </rPr>
      <t>SETB0164-X02</t>
    </r>
    <r>
      <rPr>
        <sz val="11"/>
        <color theme="1"/>
        <rFont val="ＭＳ Ｐゴシック"/>
        <family val="3"/>
        <charset val="128"/>
        <scheme val="minor"/>
      </rPr>
      <t>　ﾜｰｸﾃｰﾌﾞﾙｹｰﾌﾞﾙﾍﾞｱｽﾃｰ　1</t>
    </r>
    <phoneticPr fontId="17"/>
  </si>
  <si>
    <r>
      <t>CHN1T-SUS-M　6終了の為</t>
    </r>
    <r>
      <rPr>
        <b/>
        <sz val="11"/>
        <color rgb="FF0070C0"/>
        <rFont val="ＭＳ Ｐゴシック"/>
        <family val="3"/>
        <charset val="128"/>
        <scheme val="minor"/>
      </rPr>
      <t>　⇒CHNS6</t>
    </r>
    <rPh sb="13" eb="15">
      <t>シュウリョウ</t>
    </rPh>
    <rPh sb="16" eb="17">
      <t>タメ</t>
    </rPh>
    <phoneticPr fontId="2"/>
  </si>
  <si>
    <t>駿河精機</t>
    <rPh sb="0" eb="2">
      <t>スルガ</t>
    </rPh>
    <rPh sb="2" eb="4">
      <t>セイキ</t>
    </rPh>
    <phoneticPr fontId="20"/>
  </si>
  <si>
    <t>SBCB6-8</t>
    <phoneticPr fontId="20"/>
  </si>
  <si>
    <t>NO.211329</t>
    <phoneticPr fontId="2"/>
  </si>
  <si>
    <t>DR30B5-EB</t>
    <phoneticPr fontId="20"/>
  </si>
  <si>
    <t>φ30 コマンドスイッチ DR30形　　ブザー</t>
    <phoneticPr fontId="20"/>
  </si>
  <si>
    <t>富士電機機器制御</t>
    <rPh sb="0" eb="2">
      <t>フジ</t>
    </rPh>
    <rPh sb="2" eb="4">
      <t>デンキ</t>
    </rPh>
    <rPh sb="4" eb="8">
      <t>キキセイギョ</t>
    </rPh>
    <phoneticPr fontId="2"/>
  </si>
  <si>
    <t>S8VS-18024</t>
    <phoneticPr fontId="20"/>
  </si>
  <si>
    <t>配電BOX に固定　　7A用ｻﾌﾟﾗｲﾔｰ用</t>
    <rPh sb="7" eb="9">
      <t>コテイ</t>
    </rPh>
    <rPh sb="13" eb="14">
      <t>ヨウ</t>
    </rPh>
    <rPh sb="21" eb="22">
      <t>ヨウ</t>
    </rPh>
    <phoneticPr fontId="2"/>
  </si>
  <si>
    <t>配電BOX に固定　　5A用ｻﾌﾟﾗｲﾔｰ用とA8110 OAタップ用</t>
    <rPh sb="7" eb="9">
      <t>コテイ</t>
    </rPh>
    <rPh sb="34" eb="35">
      <t>ヨウ</t>
    </rPh>
    <phoneticPr fontId="2"/>
  </si>
  <si>
    <t>EBS-32FB-15A</t>
    <phoneticPr fontId="2"/>
  </si>
  <si>
    <t>パワーサプライ   7.5A</t>
    <phoneticPr fontId="2"/>
  </si>
  <si>
    <t>BDR-362</t>
    <phoneticPr fontId="2"/>
  </si>
  <si>
    <t>2002-404</t>
    <phoneticPr fontId="2"/>
  </si>
  <si>
    <t>2000-405</t>
    <phoneticPr fontId="2"/>
  </si>
  <si>
    <t>MRB-340</t>
    <phoneticPr fontId="2"/>
  </si>
  <si>
    <t>https://www.monotaro.com/p/4128/8066/</t>
    <phoneticPr fontId="20"/>
  </si>
  <si>
    <r>
      <t>707-8906　</t>
    </r>
    <r>
      <rPr>
        <sz val="11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2"/>
  </si>
  <si>
    <t>https://www.monotaro.com/p/4090/5017/?t.q=RS%20Pro%20%92Y%91f%94%E7%96%8C%92%EF%8DR%8A%ED%20RS%83V%83%8A%81%5B%83Y%2010k%83%B6</t>
    <phoneticPr fontId="20"/>
  </si>
  <si>
    <t>炭素皮膜抵抗器　10kΩ　在庫使用　2個</t>
    <rPh sb="13" eb="15">
      <t>ザイコ</t>
    </rPh>
    <rPh sb="15" eb="17">
      <t>シヨウ</t>
    </rPh>
    <rPh sb="19" eb="20">
      <t>コ</t>
    </rPh>
    <phoneticPr fontId="2"/>
  </si>
  <si>
    <t>炭素皮膜抵抗器　　2.2kΩ在庫使用　2個</t>
    <rPh sb="14" eb="16">
      <t>ザイコ</t>
    </rPh>
    <rPh sb="16" eb="18">
      <t>シヨウ</t>
    </rPh>
    <rPh sb="20" eb="21">
      <t>コ</t>
    </rPh>
    <phoneticPr fontId="2"/>
  </si>
  <si>
    <t>MVSHM-3N02050-3M2-G6HWL</t>
    <phoneticPr fontId="20"/>
  </si>
  <si>
    <r>
      <rPr>
        <b/>
        <sz val="11"/>
        <color theme="1"/>
        <rFont val="ＭＳ Ｐゴシック"/>
        <family val="3"/>
        <charset val="128"/>
        <scheme val="minor"/>
      </rPr>
      <t>SETB0164-Z08</t>
    </r>
    <r>
      <rPr>
        <sz val="11"/>
        <color theme="1"/>
        <rFont val="ＭＳ Ｐゴシック"/>
        <family val="3"/>
        <charset val="128"/>
        <scheme val="minor"/>
      </rPr>
      <t>　ブザー取付板金</t>
    </r>
    <phoneticPr fontId="20"/>
  </si>
  <si>
    <t>六角穴付ボルト　　6本 在庫使用</t>
    <rPh sb="10" eb="11">
      <t>ホン</t>
    </rPh>
    <phoneticPr fontId="2"/>
  </si>
  <si>
    <r>
      <t xml:space="preserve">RSAU-PS-500-330-200-K-WB2204120331 </t>
    </r>
    <r>
      <rPr>
        <b/>
        <sz val="11"/>
        <color rgb="FFFF0000"/>
        <rFont val="ＭＳ Ｐゴシック"/>
        <family val="3"/>
        <charset val="128"/>
        <scheme val="minor"/>
      </rPr>
      <t xml:space="preserve">  設計中</t>
    </r>
    <rPh sb="37" eb="39">
      <t>セッケイ</t>
    </rPh>
    <rPh sb="39" eb="40">
      <t>チュウ</t>
    </rPh>
    <phoneticPr fontId="2"/>
  </si>
  <si>
    <t>CHNS6</t>
    <phoneticPr fontId="2"/>
  </si>
  <si>
    <t>ワンタッチ継手　ブラインドプラグ</t>
  </si>
  <si>
    <t>BSLG6</t>
    <phoneticPr fontId="2"/>
  </si>
  <si>
    <t>見積№22-23-01544A</t>
    <rPh sb="0" eb="3">
      <t>ミツモリナンバー</t>
    </rPh>
    <phoneticPr fontId="43"/>
  </si>
  <si>
    <r>
      <t xml:space="preserve">SBCB4-14 </t>
    </r>
    <r>
      <rPr>
        <sz val="11"/>
        <color rgb="FFFF0000"/>
        <rFont val="ＭＳ Ｐゴシック"/>
        <family val="3"/>
        <charset val="128"/>
      </rPr>
      <t>➡SBCB4-15</t>
    </r>
    <phoneticPr fontId="17"/>
  </si>
  <si>
    <t>7日間</t>
    <rPh sb="1" eb="2">
      <t>ヒ</t>
    </rPh>
    <rPh sb="2" eb="3">
      <t>カン</t>
    </rPh>
    <phoneticPr fontId="2"/>
  </si>
  <si>
    <t>RWAU-PS-800-400-270-K-WB2312190217</t>
    <phoneticPr fontId="2"/>
  </si>
  <si>
    <t>WP4400945B00</t>
    <phoneticPr fontId="43"/>
  </si>
  <si>
    <t>ﾜﾝﾀｯﾁﾂｷﾞﾃ PCｼﾘｰｽﾞ</t>
    <phoneticPr fontId="43"/>
  </si>
  <si>
    <t>仙台1/17</t>
    <rPh sb="0" eb="2">
      <t>センダイ</t>
    </rPh>
    <phoneticPr fontId="43"/>
  </si>
  <si>
    <t>SS300R-22-6-2</t>
    <phoneticPr fontId="43"/>
  </si>
  <si>
    <t>SS300R　UL規格　小径 6本　TYPE　　eco-CONTROL
EC200 2.0とﾛﾎﾞｯﾄ接続用</t>
    <rPh sb="16" eb="17">
      <t>ホン</t>
    </rPh>
    <rPh sb="51" eb="53">
      <t>セツゾク</t>
    </rPh>
    <rPh sb="53" eb="54">
      <t>ヨウ</t>
    </rPh>
    <phoneticPr fontId="43"/>
  </si>
  <si>
    <t>WP4407ECDB00</t>
    <phoneticPr fontId="43"/>
  </si>
  <si>
    <t>SS300R-22-8-2</t>
    <phoneticPr fontId="43"/>
  </si>
  <si>
    <t>SS300R　UL規格　小径 8本　TYPE　　eco-CONTROL
EC200 2.0とﾛﾎﾞｯﾄ接続用</t>
    <phoneticPr fontId="43"/>
  </si>
  <si>
    <t>WP440C08E500</t>
    <phoneticPr fontId="43"/>
  </si>
  <si>
    <t>MVBLK-AMW-3NE-RXMZ9</t>
    <phoneticPr fontId="43"/>
  </si>
  <si>
    <t>SETB-0164-Y08-1　ﾛﾎﾞｯﾄ固定ﾌﾞﾗｹｯﾄ</t>
    <phoneticPr fontId="43"/>
  </si>
  <si>
    <t>MVBLK-AMW-3P9-YNSMN</t>
    <phoneticPr fontId="2"/>
  </si>
  <si>
    <r>
      <rPr>
        <b/>
        <sz val="11"/>
        <color indexed="8"/>
        <rFont val="ＭＳ Ｐゴシック"/>
        <family val="3"/>
        <charset val="128"/>
      </rPr>
      <t>SETB0164-Y21</t>
    </r>
    <r>
      <rPr>
        <b/>
        <sz val="11"/>
        <color rgb="FFFF0000"/>
        <rFont val="ＭＳ Ｐゴシック"/>
        <family val="3"/>
        <charset val="128"/>
      </rPr>
      <t>-1</t>
    </r>
    <r>
      <rPr>
        <sz val="11"/>
        <color theme="1"/>
        <rFont val="ＭＳ Ｐゴシック"/>
        <family val="3"/>
        <charset val="128"/>
        <scheme val="minor"/>
      </rPr>
      <t>　ﾊﾞﾙﾌﾞ固定背板用ﾌﾞﾗｹｯﾄ</t>
    </r>
    <phoneticPr fontId="2"/>
  </si>
  <si>
    <t>AB23452933</t>
    <phoneticPr fontId="43"/>
  </si>
  <si>
    <t>DBSY4-3-6</t>
    <phoneticPr fontId="2"/>
  </si>
  <si>
    <t>段付ボルト</t>
    <phoneticPr fontId="2"/>
  </si>
  <si>
    <t>MVSHM-3N02000-3P9-JKXJ3</t>
    <phoneticPr fontId="2"/>
  </si>
  <si>
    <r>
      <rPr>
        <b/>
        <sz val="11"/>
        <color theme="1"/>
        <rFont val="ＭＳ Ｐゴシック"/>
        <family val="3"/>
        <charset val="128"/>
        <scheme val="minor"/>
      </rPr>
      <t>SETB0164-Y019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rgb="FFFF0000"/>
        <rFont val="ＭＳ Ｐゴシック"/>
        <family val="3"/>
        <charset val="128"/>
        <scheme val="minor"/>
      </rPr>
      <t>　</t>
    </r>
    <r>
      <rPr>
        <sz val="11"/>
        <color theme="1"/>
        <rFont val="ＭＳ Ｐゴシック"/>
        <family val="3"/>
        <charset val="128"/>
        <scheme val="minor"/>
      </rPr>
      <t>ﾂｰﾙﾍﾞｰｽﾕﾆｯﾄ　ｶﾞｲﾄﾞ　</t>
    </r>
    <phoneticPr fontId="2"/>
  </si>
  <si>
    <t>AB234979DC</t>
    <phoneticPr fontId="43"/>
  </si>
  <si>
    <t>MVSHM-3N02050-3PG-F4J1T</t>
    <phoneticPr fontId="43"/>
  </si>
  <si>
    <t>SETB0164-Z07-1 ｼﾘﾝｼﾞ撹拌取り置きｽﾃｰ</t>
    <phoneticPr fontId="43"/>
  </si>
  <si>
    <t>B19-2</t>
    <phoneticPr fontId="43"/>
  </si>
  <si>
    <t>ｸﾞﾛﾒｯﾄ</t>
    <phoneticPr fontId="43"/>
  </si>
  <si>
    <r>
      <rPr>
        <b/>
        <sz val="11"/>
        <color theme="1"/>
        <rFont val="ＭＳ Ｐゴシック"/>
        <family val="3"/>
        <charset val="128"/>
        <scheme val="minor"/>
      </rPr>
      <t>SETB0164-X01-1</t>
    </r>
    <r>
      <rPr>
        <sz val="11"/>
        <color theme="1"/>
        <rFont val="ＭＳ Ｐゴシック"/>
        <family val="3"/>
        <charset val="128"/>
        <scheme val="minor"/>
      </rPr>
      <t>　ﾏｰｷﾝｸﾞﾌﾟﾚｰﾄ</t>
    </r>
    <phoneticPr fontId="2"/>
  </si>
  <si>
    <t>AB234C5222</t>
    <phoneticPr fontId="43"/>
  </si>
  <si>
    <t>MVSHM-3N03004-3PL-HBE67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</si>
</sst>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0_ ;[Red]\-0\ "/>
    <numFmt numFmtId="183" formatCode="#,##0_ "/>
  </numFmts>
  <fonts count="4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sz val="20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7030A0"/>
      <name val="ＭＳ Ｐゴシック"/>
      <family val="3"/>
      <charset val="128"/>
      <scheme val="minor"/>
    </font>
    <font>
      <b/>
      <sz val="11"/>
      <color rgb="FF7030A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sz val="11"/>
      <color rgb="FFFFC000"/>
      <name val="ＭＳ Ｐゴシック"/>
      <family val="3"/>
      <charset val="128"/>
    </font>
    <font>
      <b/>
      <sz val="11"/>
      <color rgb="FFFFC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0"/>
      <name val="ＭＳ Ｐゴシック"/>
      <family val="3"/>
      <charset val="128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</cellStyleXfs>
  <cellXfs count="3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24" fillId="3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76" fontId="0" fillId="0" borderId="2" xfId="0" applyNumberFormat="1" applyBorder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25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5" fillId="0" borderId="2" xfId="0" applyFont="1" applyBorder="1" applyAlignment="1">
      <alignment horizontal="center" vertical="center"/>
    </xf>
    <xf numFmtId="0" fontId="6" fillId="0" borderId="2" xfId="3" applyBorder="1" applyAlignment="1">
      <alignment horizontal="left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0" fontId="0" fillId="4" borderId="2" xfId="0" applyFill="1" applyBorder="1">
      <alignment vertical="center"/>
    </xf>
    <xf numFmtId="3" fontId="0" fillId="5" borderId="2" xfId="0" applyNumberFormat="1" applyFill="1" applyBorder="1" applyAlignment="1">
      <alignment horizontal="center" vertical="center"/>
    </xf>
    <xf numFmtId="0" fontId="25" fillId="0" borderId="2" xfId="0" applyFont="1" applyBorder="1">
      <alignment vertical="center"/>
    </xf>
    <xf numFmtId="176" fontId="26" fillId="3" borderId="2" xfId="0" applyNumberFormat="1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176" fontId="27" fillId="0" borderId="2" xfId="0" applyNumberFormat="1" applyFont="1" applyBorder="1" applyAlignment="1">
      <alignment horizontal="center" vertical="center"/>
    </xf>
    <xf numFmtId="183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3" fontId="22" fillId="7" borderId="2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8" fillId="7" borderId="2" xfId="0" applyFont="1" applyFill="1" applyBorder="1">
      <alignment vertical="center"/>
    </xf>
    <xf numFmtId="176" fontId="22" fillId="7" borderId="2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76" fontId="29" fillId="3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38" fontId="0" fillId="0" borderId="2" xfId="0" applyNumberFormat="1" applyBorder="1">
      <alignment vertical="center"/>
    </xf>
    <xf numFmtId="0" fontId="0" fillId="6" borderId="2" xfId="0" applyFill="1" applyBorder="1" applyAlignment="1">
      <alignment horizontal="left" vertical="center"/>
    </xf>
    <xf numFmtId="176" fontId="0" fillId="0" borderId="2" xfId="0" applyNumberFormat="1" applyBorder="1" applyAlignment="1"/>
    <xf numFmtId="0" fontId="0" fillId="6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30" fillId="0" borderId="2" xfId="0" applyFont="1" applyBorder="1" applyAlignment="1">
      <alignment vertical="center" shrinkToFit="1"/>
    </xf>
    <xf numFmtId="0" fontId="31" fillId="0" borderId="2" xfId="0" applyFont="1" applyBorder="1">
      <alignment vertical="center"/>
    </xf>
    <xf numFmtId="176" fontId="25" fillId="8" borderId="2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/>
    </xf>
    <xf numFmtId="176" fontId="1" fillId="0" borderId="1" xfId="0" applyNumberFormat="1" applyFon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/>
    </xf>
    <xf numFmtId="176" fontId="25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3" fontId="28" fillId="7" borderId="5" xfId="0" applyNumberFormat="1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left" vertical="center"/>
    </xf>
    <xf numFmtId="0" fontId="22" fillId="7" borderId="6" xfId="0" applyFont="1" applyFill="1" applyBorder="1" applyAlignment="1">
      <alignment horizontal="center" vertical="center"/>
    </xf>
    <xf numFmtId="176" fontId="29" fillId="0" borderId="2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25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3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6" fillId="5" borderId="2" xfId="3" applyFill="1" applyBorder="1" applyAlignment="1">
      <alignment horizontal="center" vertical="center"/>
    </xf>
    <xf numFmtId="0" fontId="0" fillId="0" borderId="2" xfId="0" applyBorder="1" applyAlignment="1">
      <alignment vertical="center" shrinkToFit="1"/>
    </xf>
    <xf numFmtId="176" fontId="0" fillId="5" borderId="2" xfId="0" applyNumberForma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3" fontId="1" fillId="0" borderId="2" xfId="0" applyNumberFormat="1" applyFont="1" applyBorder="1" applyAlignment="1">
      <alignment horizontal="left" vertical="center"/>
    </xf>
    <xf numFmtId="0" fontId="25" fillId="5" borderId="2" xfId="0" applyFont="1" applyFill="1" applyBorder="1">
      <alignment vertical="center"/>
    </xf>
    <xf numFmtId="0" fontId="22" fillId="7" borderId="5" xfId="0" applyFont="1" applyFill="1" applyBorder="1" applyAlignment="1">
      <alignment horizontal="center" vertical="center"/>
    </xf>
    <xf numFmtId="38" fontId="25" fillId="0" borderId="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" fontId="24" fillId="9" borderId="1" xfId="0" applyNumberFormat="1" applyFont="1" applyFill="1" applyBorder="1" applyAlignment="1">
      <alignment horizontal="center" vertical="center"/>
    </xf>
    <xf numFmtId="3" fontId="24" fillId="9" borderId="4" xfId="0" applyNumberFormat="1" applyFont="1" applyFill="1" applyBorder="1" applyAlignment="1">
      <alignment horizontal="center" vertical="center"/>
    </xf>
    <xf numFmtId="3" fontId="24" fillId="9" borderId="3" xfId="0" applyNumberFormat="1" applyFont="1" applyFill="1" applyBorder="1" applyAlignment="1">
      <alignment horizontal="center" vertical="center"/>
    </xf>
    <xf numFmtId="5" fontId="27" fillId="0" borderId="2" xfId="0" applyNumberFormat="1" applyFont="1" applyBorder="1">
      <alignment vertical="center"/>
    </xf>
    <xf numFmtId="0" fontId="21" fillId="0" borderId="2" xfId="1" applyBorder="1" applyAlignment="1">
      <alignment horizontal="center" vertical="center"/>
    </xf>
    <xf numFmtId="49" fontId="25" fillId="0" borderId="2" xfId="0" applyNumberFormat="1" applyFont="1" applyBorder="1" applyAlignment="1">
      <alignment horizontal="left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0" fontId="27" fillId="0" borderId="2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6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3" fontId="9" fillId="0" borderId="2" xfId="3" applyNumberFormat="1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76" fontId="0" fillId="0" borderId="1" xfId="0" applyNumberFormat="1" applyBorder="1" applyAlignment="1"/>
    <xf numFmtId="3" fontId="1" fillId="8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2" xfId="0" applyNumberFormat="1" applyFont="1" applyBorder="1" applyAlignment="1"/>
    <xf numFmtId="176" fontId="8" fillId="0" borderId="2" xfId="0" applyNumberFormat="1" applyFont="1" applyBorder="1">
      <alignment vertical="center"/>
    </xf>
    <xf numFmtId="176" fontId="8" fillId="0" borderId="2" xfId="0" applyNumberFormat="1" applyFont="1" applyBorder="1" applyAlignment="1"/>
    <xf numFmtId="0" fontId="9" fillId="0" borderId="2" xfId="3" applyFont="1" applyBorder="1" applyAlignment="1">
      <alignment horizontal="left" vertical="center"/>
    </xf>
    <xf numFmtId="176" fontId="29" fillId="0" borderId="2" xfId="0" applyNumberFormat="1" applyFont="1" applyBorder="1" applyAlignment="1">
      <alignment horizontal="left" vertical="center"/>
    </xf>
    <xf numFmtId="3" fontId="24" fillId="9" borderId="1" xfId="0" applyNumberFormat="1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8" fillId="10" borderId="2" xfId="0" applyFont="1" applyFill="1" applyBorder="1" applyAlignment="1">
      <alignment horizontal="center" vertical="center"/>
    </xf>
    <xf numFmtId="176" fontId="22" fillId="7" borderId="2" xfId="0" applyNumberFormat="1" applyFont="1" applyFill="1" applyBorder="1">
      <alignment vertical="center"/>
    </xf>
    <xf numFmtId="176" fontId="1" fillId="0" borderId="2" xfId="0" applyNumberFormat="1" applyFont="1" applyBorder="1" applyAlignment="1">
      <alignment horizontal="center"/>
    </xf>
    <xf numFmtId="182" fontId="0" fillId="0" borderId="2" xfId="0" applyNumberForma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11" borderId="2" xfId="0" applyNumberFormat="1" applyFon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/>
    <xf numFmtId="0" fontId="25" fillId="0" borderId="7" xfId="0" applyFont="1" applyBorder="1" applyAlignment="1">
      <alignment vertical="center" shrinkToFit="1"/>
    </xf>
    <xf numFmtId="3" fontId="0" fillId="9" borderId="2" xfId="0" applyNumberFormat="1" applyFill="1" applyBorder="1" applyAlignment="1">
      <alignment horizontal="center" vertical="center"/>
    </xf>
    <xf numFmtId="176" fontId="29" fillId="9" borderId="2" xfId="0" applyNumberFormat="1" applyFont="1" applyFill="1" applyBorder="1" applyAlignment="1">
      <alignment horizontal="left" vertical="center"/>
    </xf>
    <xf numFmtId="3" fontId="1" fillId="0" borderId="2" xfId="0" applyNumberFormat="1" applyFont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3" fontId="29" fillId="9" borderId="1" xfId="0" applyNumberFormat="1" applyFont="1" applyFill="1" applyBorder="1" applyAlignment="1">
      <alignment horizontal="left" vertical="center"/>
    </xf>
    <xf numFmtId="3" fontId="29" fillId="9" borderId="4" xfId="0" applyNumberFormat="1" applyFont="1" applyFill="1" applyBorder="1" applyAlignment="1">
      <alignment horizontal="center" vertical="center"/>
    </xf>
    <xf numFmtId="3" fontId="29" fillId="9" borderId="3" xfId="0" applyNumberFormat="1" applyFont="1" applyFill="1" applyBorder="1" applyAlignment="1">
      <alignment horizontal="center" vertical="center"/>
    </xf>
    <xf numFmtId="3" fontId="1" fillId="10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left" vertical="center"/>
    </xf>
    <xf numFmtId="176" fontId="1" fillId="10" borderId="2" xfId="0" applyNumberFormat="1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176" fontId="22" fillId="0" borderId="2" xfId="0" applyNumberFormat="1" applyFont="1" applyBorder="1">
      <alignment vertical="center"/>
    </xf>
    <xf numFmtId="0" fontId="28" fillId="7" borderId="2" xfId="3" applyFont="1" applyFill="1" applyBorder="1" applyAlignment="1">
      <alignment horizontal="left"/>
    </xf>
    <xf numFmtId="0" fontId="33" fillId="7" borderId="2" xfId="0" applyFont="1" applyFill="1" applyBorder="1" applyAlignment="1">
      <alignment horizontal="center" vertical="center"/>
    </xf>
    <xf numFmtId="181" fontId="25" fillId="6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3" fontId="25" fillId="13" borderId="2" xfId="0" applyNumberFormat="1" applyFont="1" applyFill="1" applyBorder="1" applyAlignment="1">
      <alignment horizontal="center" vertical="center"/>
    </xf>
    <xf numFmtId="181" fontId="22" fillId="7" borderId="5" xfId="0" applyNumberFormat="1" applyFont="1" applyFill="1" applyBorder="1" applyAlignment="1">
      <alignment horizontal="center" vertical="center"/>
    </xf>
    <xf numFmtId="176" fontId="22" fillId="7" borderId="5" xfId="0" applyNumberFormat="1" applyFont="1" applyFill="1" applyBorder="1" applyAlignment="1">
      <alignment horizontal="center" vertical="center"/>
    </xf>
    <xf numFmtId="181" fontId="6" fillId="0" borderId="2" xfId="0" applyNumberFormat="1" applyFont="1" applyBorder="1" applyAlignment="1">
      <alignment horizontal="center" vertical="center"/>
    </xf>
    <xf numFmtId="176" fontId="0" fillId="12" borderId="2" xfId="0" applyNumberFormat="1" applyFill="1" applyBorder="1" applyAlignment="1">
      <alignment horizontal="center" vertical="center"/>
    </xf>
    <xf numFmtId="176" fontId="25" fillId="0" borderId="2" xfId="0" applyNumberFormat="1" applyFont="1" applyBorder="1">
      <alignment vertical="center"/>
    </xf>
    <xf numFmtId="0" fontId="36" fillId="0" borderId="2" xfId="3" applyFont="1" applyBorder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/>
    </xf>
    <xf numFmtId="0" fontId="12" fillId="0" borderId="2" xfId="3" applyFont="1" applyBorder="1" applyAlignment="1">
      <alignment horizontal="left" vertical="center"/>
    </xf>
    <xf numFmtId="0" fontId="6" fillId="11" borderId="2" xfId="3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3" fontId="24" fillId="0" borderId="2" xfId="0" applyNumberFormat="1" applyFont="1" applyBorder="1" applyAlignment="1">
      <alignment horizontal="center" vertical="center"/>
    </xf>
    <xf numFmtId="3" fontId="24" fillId="0" borderId="2" xfId="0" applyNumberFormat="1" applyFont="1" applyBorder="1" applyAlignment="1">
      <alignment horizontal="left" vertical="center"/>
    </xf>
    <xf numFmtId="38" fontId="0" fillId="11" borderId="2" xfId="0" applyNumberForma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left" vertical="center"/>
    </xf>
    <xf numFmtId="176" fontId="9" fillId="0" borderId="2" xfId="0" applyNumberFormat="1" applyFont="1" applyBorder="1">
      <alignment vertical="center"/>
    </xf>
    <xf numFmtId="0" fontId="37" fillId="0" borderId="2" xfId="0" applyFont="1" applyBorder="1" applyAlignment="1">
      <alignment horizontal="left" vertical="center"/>
    </xf>
    <xf numFmtId="0" fontId="35" fillId="0" borderId="2" xfId="0" applyFont="1" applyBorder="1">
      <alignment vertical="center"/>
    </xf>
    <xf numFmtId="0" fontId="0" fillId="10" borderId="0" xfId="0" applyFill="1" applyAlignment="1">
      <alignment horizontal="center" vertical="center"/>
    </xf>
    <xf numFmtId="0" fontId="25" fillId="12" borderId="2" xfId="0" applyFont="1" applyFill="1" applyBorder="1">
      <alignment vertical="center"/>
    </xf>
    <xf numFmtId="0" fontId="34" fillId="0" borderId="2" xfId="0" applyFont="1" applyBorder="1" applyAlignment="1">
      <alignment horizontal="left" vertical="center" shrinkToFit="1"/>
    </xf>
    <xf numFmtId="181" fontId="1" fillId="10" borderId="2" xfId="0" applyNumberFormat="1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181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6" fillId="7" borderId="2" xfId="3" applyFill="1" applyBorder="1" applyAlignment="1">
      <alignment horizontal="center" vertical="center"/>
    </xf>
    <xf numFmtId="181" fontId="6" fillId="7" borderId="2" xfId="3" applyNumberFormat="1" applyFill="1" applyBorder="1" applyAlignment="1">
      <alignment horizontal="center" vertical="center"/>
    </xf>
    <xf numFmtId="3" fontId="32" fillId="9" borderId="3" xfId="0" applyNumberFormat="1" applyFont="1" applyFill="1" applyBorder="1" applyAlignment="1">
      <alignment horizontal="center" vertical="center"/>
    </xf>
    <xf numFmtId="0" fontId="6" fillId="15" borderId="2" xfId="3" applyFill="1" applyBorder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0" fillId="15" borderId="2" xfId="0" applyFill="1" applyBorder="1" applyAlignment="1">
      <alignment horizontal="left" vertical="center"/>
    </xf>
    <xf numFmtId="0" fontId="28" fillId="15" borderId="2" xfId="3" applyFont="1" applyFill="1" applyBorder="1" applyAlignment="1">
      <alignment horizontal="left"/>
    </xf>
    <xf numFmtId="0" fontId="28" fillId="15" borderId="2" xfId="0" applyFont="1" applyFill="1" applyBorder="1" applyAlignment="1">
      <alignment horizontal="left" vertical="center"/>
    </xf>
    <xf numFmtId="0" fontId="0" fillId="15" borderId="2" xfId="0" applyFill="1" applyBorder="1">
      <alignment vertical="center"/>
    </xf>
    <xf numFmtId="0" fontId="6" fillId="15" borderId="2" xfId="0" applyFont="1" applyFill="1" applyBorder="1">
      <alignment vertical="center"/>
    </xf>
    <xf numFmtId="0" fontId="6" fillId="15" borderId="2" xfId="3" applyFill="1" applyBorder="1" applyAlignment="1">
      <alignment horizontal="left"/>
    </xf>
    <xf numFmtId="0" fontId="28" fillId="15" borderId="2" xfId="0" applyFont="1" applyFill="1" applyBorder="1">
      <alignment vertical="center"/>
    </xf>
    <xf numFmtId="0" fontId="0" fillId="15" borderId="3" xfId="0" applyFill="1" applyBorder="1">
      <alignment vertical="center"/>
    </xf>
    <xf numFmtId="0" fontId="1" fillId="15" borderId="2" xfId="0" applyFont="1" applyFill="1" applyBorder="1">
      <alignment vertical="center"/>
    </xf>
    <xf numFmtId="0" fontId="25" fillId="15" borderId="2" xfId="0" applyFont="1" applyFill="1" applyBorder="1">
      <alignment vertical="center"/>
    </xf>
    <xf numFmtId="0" fontId="40" fillId="15" borderId="2" xfId="3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3" fontId="1" fillId="5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left" vertical="center"/>
    </xf>
    <xf numFmtId="182" fontId="22" fillId="7" borderId="2" xfId="0" applyNumberFormat="1" applyFont="1" applyFill="1" applyBorder="1" applyAlignment="1">
      <alignment horizontal="center" vertical="center"/>
    </xf>
    <xf numFmtId="38" fontId="22" fillId="7" borderId="2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left"/>
    </xf>
    <xf numFmtId="0" fontId="25" fillId="0" borderId="8" xfId="0" applyFont="1" applyBorder="1" applyAlignment="1">
      <alignment vertical="center" shrinkToFit="1"/>
    </xf>
    <xf numFmtId="0" fontId="6" fillId="5" borderId="2" xfId="3" applyFill="1" applyBorder="1" applyAlignment="1">
      <alignment vertical="center"/>
    </xf>
    <xf numFmtId="0" fontId="33" fillId="7" borderId="2" xfId="3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76" fontId="25" fillId="11" borderId="2" xfId="0" applyNumberFormat="1" applyFont="1" applyFill="1" applyBorder="1" applyAlignment="1">
      <alignment horizontal="center" vertical="center"/>
    </xf>
    <xf numFmtId="0" fontId="9" fillId="11" borderId="2" xfId="3" applyFont="1" applyFill="1" applyBorder="1" applyAlignment="1">
      <alignment horizontal="center" vertical="center"/>
    </xf>
    <xf numFmtId="181" fontId="6" fillId="7" borderId="2" xfId="0" applyNumberFormat="1" applyFont="1" applyFill="1" applyBorder="1" applyAlignment="1">
      <alignment horizontal="center" vertical="center"/>
    </xf>
    <xf numFmtId="181" fontId="6" fillId="0" borderId="2" xfId="3" applyNumberFormat="1" applyBorder="1" applyAlignment="1">
      <alignment horizontal="center" vertical="center"/>
    </xf>
    <xf numFmtId="181" fontId="1" fillId="8" borderId="2" xfId="0" applyNumberFormat="1" applyFont="1" applyFill="1" applyBorder="1" applyAlignment="1">
      <alignment horizontal="center" vertical="center"/>
    </xf>
    <xf numFmtId="181" fontId="25" fillId="4" borderId="2" xfId="0" applyNumberFormat="1" applyFont="1" applyFill="1" applyBorder="1" applyAlignment="1">
      <alignment horizontal="center" vertical="center"/>
    </xf>
    <xf numFmtId="180" fontId="25" fillId="0" borderId="2" xfId="0" applyNumberFormat="1" applyFont="1" applyBorder="1" applyAlignment="1">
      <alignment horizontal="center" vertical="center"/>
    </xf>
    <xf numFmtId="181" fontId="25" fillId="0" borderId="2" xfId="0" applyNumberFormat="1" applyFont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81" fontId="1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left" vertical="center"/>
    </xf>
    <xf numFmtId="181" fontId="0" fillId="5" borderId="2" xfId="0" applyNumberFormat="1" applyFill="1" applyBorder="1" applyAlignment="1">
      <alignment horizontal="center" vertical="center"/>
    </xf>
    <xf numFmtId="38" fontId="25" fillId="5" borderId="2" xfId="0" applyNumberFormat="1" applyFont="1" applyFill="1" applyBorder="1" applyAlignment="1">
      <alignment horizontal="center" vertical="center"/>
    </xf>
    <xf numFmtId="0" fontId="0" fillId="5" borderId="3" xfId="0" applyFill="1" applyBorder="1">
      <alignment vertical="center"/>
    </xf>
    <xf numFmtId="38" fontId="0" fillId="5" borderId="2" xfId="0" applyNumberFormat="1" applyFill="1" applyBorder="1" applyAlignment="1">
      <alignment horizontal="center" vertical="center"/>
    </xf>
    <xf numFmtId="0" fontId="6" fillId="5" borderId="2" xfId="3" applyFill="1" applyBorder="1" applyAlignment="1">
      <alignment horizontal="left"/>
    </xf>
    <xf numFmtId="0" fontId="9" fillId="5" borderId="2" xfId="0" applyFont="1" applyFill="1" applyBorder="1" applyAlignment="1">
      <alignment horizontal="center" vertical="center"/>
    </xf>
    <xf numFmtId="176" fontId="33" fillId="7" borderId="2" xfId="0" applyNumberFormat="1" applyFont="1" applyFill="1" applyBorder="1">
      <alignment vertical="center"/>
    </xf>
    <xf numFmtId="0" fontId="22" fillId="7" borderId="1" xfId="0" applyFont="1" applyFill="1" applyBorder="1" applyAlignment="1">
      <alignment horizontal="center" vertical="center"/>
    </xf>
    <xf numFmtId="0" fontId="9" fillId="5" borderId="2" xfId="3" applyFont="1" applyFill="1" applyBorder="1" applyAlignment="1">
      <alignment vertical="center"/>
    </xf>
    <xf numFmtId="0" fontId="6" fillId="5" borderId="2" xfId="0" applyFont="1" applyFill="1" applyBorder="1">
      <alignment vertical="center"/>
    </xf>
    <xf numFmtId="0" fontId="6" fillId="5" borderId="2" xfId="0" applyFont="1" applyFill="1" applyBorder="1" applyAlignment="1">
      <alignment horizontal="center" vertical="center"/>
    </xf>
    <xf numFmtId="176" fontId="2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>
      <alignment vertical="center"/>
    </xf>
    <xf numFmtId="0" fontId="6" fillId="5" borderId="2" xfId="0" applyFont="1" applyFill="1" applyBorder="1" applyAlignment="1">
      <alignment horizontal="left" vertical="center"/>
    </xf>
    <xf numFmtId="181" fontId="6" fillId="5" borderId="2" xfId="0" applyNumberFormat="1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25" fillId="5" borderId="3" xfId="0" applyFont="1" applyFill="1" applyBorder="1">
      <alignment vertical="center"/>
    </xf>
    <xf numFmtId="0" fontId="25" fillId="5" borderId="2" xfId="0" applyFont="1" applyFill="1" applyBorder="1" applyAlignment="1">
      <alignment horizontal="left" vertical="center"/>
    </xf>
    <xf numFmtId="0" fontId="22" fillId="7" borderId="2" xfId="0" applyFont="1" applyFill="1" applyBorder="1">
      <alignment vertical="center"/>
    </xf>
    <xf numFmtId="0" fontId="6" fillId="5" borderId="2" xfId="3" applyFill="1" applyBorder="1" applyAlignment="1">
      <alignment horizontal="left" vertical="center"/>
    </xf>
    <xf numFmtId="181" fontId="6" fillId="5" borderId="2" xfId="3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left" vertical="center"/>
    </xf>
    <xf numFmtId="176" fontId="0" fillId="5" borderId="2" xfId="0" applyNumberFormat="1" applyFill="1" applyBorder="1" applyAlignment="1">
      <alignment horizontal="left" vertical="center"/>
    </xf>
    <xf numFmtId="182" fontId="0" fillId="5" borderId="2" xfId="0" applyNumberForma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left" vertical="center" shrinkToFit="1"/>
    </xf>
    <xf numFmtId="3" fontId="0" fillId="5" borderId="2" xfId="0" applyNumberFormat="1" applyFill="1" applyBorder="1" applyAlignment="1">
      <alignment horizontal="left" vertical="center"/>
    </xf>
    <xf numFmtId="49" fontId="25" fillId="5" borderId="2" xfId="0" applyNumberFormat="1" applyFont="1" applyFill="1" applyBorder="1" applyAlignment="1">
      <alignment horizontal="left" vertical="center"/>
    </xf>
    <xf numFmtId="181" fontId="25" fillId="5" borderId="2" xfId="0" applyNumberFormat="1" applyFont="1" applyFill="1" applyBorder="1" applyAlignment="1">
      <alignment horizontal="center" vertical="center"/>
    </xf>
    <xf numFmtId="180" fontId="6" fillId="5" borderId="2" xfId="0" applyNumberFormat="1" applyFont="1" applyFill="1" applyBorder="1" applyAlignment="1">
      <alignment horizontal="center" vertical="center"/>
    </xf>
    <xf numFmtId="176" fontId="6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>
      <alignment vertical="center"/>
    </xf>
    <xf numFmtId="0" fontId="38" fillId="5" borderId="0" xfId="0" applyFont="1" applyFill="1">
      <alignment vertical="center"/>
    </xf>
    <xf numFmtId="0" fontId="1" fillId="5" borderId="2" xfId="0" applyFont="1" applyFill="1" applyBorder="1" applyAlignment="1">
      <alignment horizontal="left" vertical="center"/>
    </xf>
    <xf numFmtId="38" fontId="25" fillId="0" borderId="2" xfId="0" applyNumberFormat="1" applyFont="1" applyBorder="1">
      <alignment vertical="center"/>
    </xf>
    <xf numFmtId="38" fontId="22" fillId="7" borderId="2" xfId="0" applyNumberFormat="1" applyFont="1" applyFill="1" applyBorder="1">
      <alignment vertical="center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>
      <alignment vertical="center"/>
    </xf>
    <xf numFmtId="0" fontId="25" fillId="5" borderId="2" xfId="0" applyFont="1" applyFill="1" applyBorder="1" applyAlignment="1">
      <alignment vertical="center" wrapText="1"/>
    </xf>
    <xf numFmtId="0" fontId="1" fillId="5" borderId="2" xfId="3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27" fillId="0" borderId="2" xfId="0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9" fillId="0" borderId="2" xfId="3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5" fillId="0" borderId="3" xfId="0" applyFont="1" applyBorder="1">
      <alignment vertical="center"/>
    </xf>
    <xf numFmtId="49" fontId="0" fillId="0" borderId="2" xfId="0" applyNumberFormat="1" applyBorder="1" applyAlignment="1">
      <alignment horizontal="left" vertical="center" shrinkToFit="1"/>
    </xf>
    <xf numFmtId="3" fontId="0" fillId="0" borderId="2" xfId="0" applyNumberFormat="1" applyBorder="1" applyAlignment="1">
      <alignment horizontal="left" vertical="center"/>
    </xf>
    <xf numFmtId="180" fontId="6" fillId="0" borderId="2" xfId="0" applyNumberFormat="1" applyFont="1" applyBorder="1" applyAlignment="1">
      <alignment horizontal="center" vertical="center"/>
    </xf>
    <xf numFmtId="0" fontId="27" fillId="0" borderId="2" xfId="0" applyFont="1" applyBorder="1">
      <alignment vertical="center"/>
    </xf>
    <xf numFmtId="0" fontId="38" fillId="0" borderId="0" xfId="0" applyFont="1">
      <alignment vertical="center"/>
    </xf>
    <xf numFmtId="0" fontId="6" fillId="0" borderId="1" xfId="0" applyFont="1" applyBorder="1">
      <alignment vertical="center"/>
    </xf>
    <xf numFmtId="0" fontId="0" fillId="0" borderId="2" xfId="0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1" fillId="0" borderId="2" xfId="3" applyFont="1" applyBorder="1" applyAlignment="1">
      <alignment horizontal="left" vertical="center"/>
    </xf>
    <xf numFmtId="38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5" fillId="10" borderId="2" xfId="0" applyFont="1" applyFill="1" applyBorder="1">
      <alignment vertical="center"/>
    </xf>
    <xf numFmtId="176" fontId="0" fillId="10" borderId="2" xfId="0" applyNumberFormat="1" applyFill="1" applyBorder="1" applyAlignment="1">
      <alignment horizontal="center" vertical="center"/>
    </xf>
    <xf numFmtId="49" fontId="44" fillId="0" borderId="2" xfId="1" applyNumberFormat="1" applyFont="1" applyBorder="1" applyAlignment="1">
      <alignment horizontal="center" vertical="center"/>
    </xf>
    <xf numFmtId="0" fontId="25" fillId="4" borderId="2" xfId="0" applyFont="1" applyFill="1" applyBorder="1" applyAlignment="1">
      <alignment horizontal="left" vertical="center"/>
    </xf>
    <xf numFmtId="181" fontId="0" fillId="4" borderId="2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38" fontId="0" fillId="10" borderId="2" xfId="0" applyNumberForma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center" vertical="center"/>
    </xf>
    <xf numFmtId="0" fontId="6" fillId="4" borderId="2" xfId="3" applyFill="1" applyBorder="1" applyAlignment="1">
      <alignment horizontal="left" vertical="center"/>
    </xf>
    <xf numFmtId="181" fontId="6" fillId="4" borderId="2" xfId="3" applyNumberFormat="1" applyFill="1" applyBorder="1" applyAlignment="1">
      <alignment horizontal="center" vertical="center"/>
    </xf>
    <xf numFmtId="0" fontId="6" fillId="4" borderId="2" xfId="3" applyFill="1" applyBorder="1" applyAlignment="1">
      <alignment horizontal="center" vertical="center"/>
    </xf>
    <xf numFmtId="176" fontId="0" fillId="4" borderId="2" xfId="0" applyNumberFormat="1" applyFill="1" applyBorder="1">
      <alignment vertical="center"/>
    </xf>
    <xf numFmtId="176" fontId="0" fillId="4" borderId="1" xfId="0" applyNumberForma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181" fontId="6" fillId="10" borderId="2" xfId="0" applyNumberFormat="1" applyFont="1" applyFill="1" applyBorder="1" applyAlignment="1">
      <alignment horizontal="center" vertical="center"/>
    </xf>
    <xf numFmtId="176" fontId="25" fillId="10" borderId="2" xfId="0" applyNumberFormat="1" applyFont="1" applyFill="1" applyBorder="1" applyAlignment="1">
      <alignment horizontal="center" vertical="center"/>
    </xf>
    <xf numFmtId="176" fontId="0" fillId="10" borderId="2" xfId="0" applyNumberFormat="1" applyFill="1" applyBorder="1">
      <alignment vertical="center"/>
    </xf>
    <xf numFmtId="176" fontId="0" fillId="10" borderId="1" xfId="0" applyNumberFormat="1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25" fillId="10" borderId="2" xfId="0" applyFont="1" applyFill="1" applyBorder="1" applyAlignment="1">
      <alignment horizontal="left" vertical="center"/>
    </xf>
    <xf numFmtId="181" fontId="0" fillId="10" borderId="2" xfId="0" applyNumberFormat="1" applyFill="1" applyBorder="1" applyAlignment="1">
      <alignment horizontal="center" vertical="center"/>
    </xf>
    <xf numFmtId="38" fontId="0" fillId="10" borderId="2" xfId="0" applyNumberFormat="1" applyFill="1" applyBorder="1">
      <alignment vertical="center"/>
    </xf>
    <xf numFmtId="0" fontId="0" fillId="10" borderId="1" xfId="0" applyFill="1" applyBorder="1" applyAlignment="1">
      <alignment horizontal="left" vertical="center"/>
    </xf>
    <xf numFmtId="0" fontId="0" fillId="11" borderId="4" xfId="0" applyFill="1" applyBorder="1" applyAlignment="1">
      <alignment horizontal="center" vertical="center"/>
    </xf>
    <xf numFmtId="176" fontId="1" fillId="10" borderId="1" xfId="0" applyNumberFormat="1" applyFont="1" applyFill="1" applyBorder="1" applyAlignment="1">
      <alignment horizontal="left" vertical="center"/>
    </xf>
    <xf numFmtId="0" fontId="1" fillId="10" borderId="2" xfId="0" applyFont="1" applyFill="1" applyBorder="1">
      <alignment vertical="center"/>
    </xf>
    <xf numFmtId="0" fontId="0" fillId="21" borderId="2" xfId="0" applyFill="1" applyBorder="1" applyAlignment="1">
      <alignment horizontal="center" vertical="center"/>
    </xf>
    <xf numFmtId="49" fontId="0" fillId="10" borderId="2" xfId="0" applyNumberForma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9" fillId="8" borderId="0" xfId="0" applyFont="1" applyFill="1" applyAlignment="1">
      <alignment horizontal="left" vertical="center"/>
    </xf>
    <xf numFmtId="0" fontId="39" fillId="0" borderId="9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44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1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1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4E2BF-108C-40C7-A64F-D5CA75B41452}" name="テーブル11928292" displayName="テーブル11928292" ref="A8:S344" totalsRowShown="0" dataDxfId="42" headerRowBorderDxfId="43" tableBorderDxfId="41">
  <autoFilter ref="A8:S344" xr:uid="{00000000-0009-0000-0100-00001C000000}"/>
  <tableColumns count="19">
    <tableColumn id="1" xr3:uid="{D76ADBAB-8462-4002-8E35-E795133BA6CD}" name="列1" dataDxfId="40"/>
    <tableColumn id="19" xr3:uid="{448714D1-1391-4A66-9942-EC1E156E8D98}" name="列19" dataDxfId="39"/>
    <tableColumn id="2" xr3:uid="{E7E98174-E903-4A0E-A29B-7918622406A3}" name="列2" dataDxfId="38"/>
    <tableColumn id="3" xr3:uid="{2F194DFF-E0E3-4909-A0F7-B5AA0D460852}" name="列3" dataDxfId="37"/>
    <tableColumn id="4" xr3:uid="{D13AF1FC-9BD8-4BC4-BD3F-D11E2019D9E7}" name="列4" dataDxfId="36"/>
    <tableColumn id="5" xr3:uid="{657C4CC4-B90D-402B-9EBE-355117A0D493}" name="列5" dataDxfId="35"/>
    <tableColumn id="6" xr3:uid="{3EE32941-0F55-4E6E-98E4-30397AD8D215}" name="列6" dataDxfId="34"/>
    <tableColumn id="7" xr3:uid="{F1A9FE2B-03E7-4955-9115-BE372CB7D326}" name="列7" dataDxfId="33"/>
    <tableColumn id="8" xr3:uid="{92A2AC3A-6E88-4A2A-8665-7EA428CB91BD}" name="列8" dataDxfId="32"/>
    <tableColumn id="9" xr3:uid="{0FC3C332-3E4E-4E68-B052-F4582C770642}" name="列9" dataDxfId="31"/>
    <tableColumn id="10" xr3:uid="{65C37F09-F65E-4295-A75C-A9697917BF8E}" name="列10" dataDxfId="30"/>
    <tableColumn id="11" xr3:uid="{49769379-383D-4DC6-9A92-B64B8DBE6467}" name="列11" dataDxfId="29"/>
    <tableColumn id="12" xr3:uid="{39510556-3B0E-4CEE-9BF8-D7237A614244}" name="列12" dataDxfId="28"/>
    <tableColumn id="13" xr3:uid="{88F6B06A-0D25-41EB-B2D8-14CC4B3F50F2}" name="列13" dataDxfId="27"/>
    <tableColumn id="14" xr3:uid="{3242B612-1E93-40CB-A689-665615D1BD0B}" name="列14" dataDxfId="26"/>
    <tableColumn id="15" xr3:uid="{16906626-3641-4DB8-B0D3-EF9A9470BA1F}" name="列15" dataDxfId="25"/>
    <tableColumn id="16" xr3:uid="{8B72B279-BC03-42CC-AE4A-50F5B1287A39}" name="列16" dataDxfId="24"/>
    <tableColumn id="17" xr3:uid="{4164D4A3-A335-4D3F-A2CE-0CE8EF692E53}" name="列17" dataDxfId="23"/>
    <tableColumn id="18" xr3:uid="{DC876BF0-7124-4B24-A85A-02A9CB1DC24A}" name="列18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テーブル1192829" displayName="テーブル1192829" ref="A8:S452" totalsRowShown="0" dataDxfId="20" headerRowBorderDxfId="21" tableBorderDxfId="19">
  <autoFilter ref="A8:S452" xr:uid="{00000000-0009-0000-0100-00001C000000}"/>
  <tableColumns count="19">
    <tableColumn id="1" xr3:uid="{00000000-0010-0000-0000-000001000000}" name="列1" dataDxfId="18"/>
    <tableColumn id="19" xr3:uid="{00000000-0010-0000-0000-000013000000}" name="列19" dataDxfId="17"/>
    <tableColumn id="2" xr3:uid="{00000000-0010-0000-0000-000002000000}" name="列2" dataDxfId="16"/>
    <tableColumn id="3" xr3:uid="{00000000-0010-0000-0000-000003000000}" name="列3" dataDxfId="15"/>
    <tableColumn id="4" xr3:uid="{00000000-0010-0000-0000-000004000000}" name="列4" dataDxfId="14"/>
    <tableColumn id="5" xr3:uid="{00000000-0010-0000-0000-000005000000}" name="列5" dataDxfId="13"/>
    <tableColumn id="6" xr3:uid="{00000000-0010-0000-0000-000006000000}" name="列6" dataDxfId="12"/>
    <tableColumn id="7" xr3:uid="{00000000-0010-0000-0000-000007000000}" name="列7" dataDxfId="11"/>
    <tableColumn id="8" xr3:uid="{00000000-0010-0000-0000-000008000000}" name="列8" dataDxfId="10"/>
    <tableColumn id="9" xr3:uid="{00000000-0010-0000-0000-000009000000}" name="列9" dataDxfId="9"/>
    <tableColumn id="10" xr3:uid="{00000000-0010-0000-0000-00000A000000}" name="列10" dataDxfId="8"/>
    <tableColumn id="11" xr3:uid="{00000000-0010-0000-0000-00000B000000}" name="列11" dataDxfId="7"/>
    <tableColumn id="12" xr3:uid="{00000000-0010-0000-0000-00000C000000}" name="列12" dataDxfId="6"/>
    <tableColumn id="13" xr3:uid="{00000000-0010-0000-0000-00000D000000}" name="列13" dataDxfId="5"/>
    <tableColumn id="14" xr3:uid="{00000000-0010-0000-0000-00000E000000}" name="列14" dataDxfId="4"/>
    <tableColumn id="15" xr3:uid="{00000000-0010-0000-0000-00000F000000}" name="列15" dataDxfId="3"/>
    <tableColumn id="16" xr3:uid="{00000000-0010-0000-0000-000010000000}" name="列16" dataDxfId="2"/>
    <tableColumn id="17" xr3:uid="{00000000-0010-0000-0000-000011000000}" name="列17" dataDxfId="1"/>
    <tableColumn id="18" xr3:uid="{00000000-0010-0000-0000-000012000000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p/4090/5017/?t.q=RS%20Pro%20%92Y%91f%94%E7%96%8C%92%EF%8DR%8A%ED%20RS%83V%83%8A%81%5B%83Y%2010k%83%B6" TargetMode="External"/><Relationship Id="rId1" Type="http://schemas.openxmlformats.org/officeDocument/2006/relationships/hyperlink" Target="https://www.monotaro.com/p/4128/8066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monotaro.com/p/4090/5017/?t.q=RS%20Pro%20%92Y%91f%94%E7%96%8C%92%EF%8DR%8A%ED%20RS%83V%83%8A%81%5B%83Y%2010k%83%B6" TargetMode="External"/><Relationship Id="rId1" Type="http://schemas.openxmlformats.org/officeDocument/2006/relationships/hyperlink" Target="https://www.monotaro.com/p/4128/8066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52D4-B8F8-4A6A-BE57-C6F5BC0E505C}">
  <sheetPr>
    <tabColor rgb="FF00B0F0"/>
  </sheetPr>
  <dimension ref="A2:S345"/>
  <sheetViews>
    <sheetView tabSelected="1" zoomScale="85" zoomScaleNormal="85" workbookViewId="0">
      <pane xSplit="12" ySplit="8" topLeftCell="M44" activePane="bottomRight" state="frozen"/>
      <selection pane="topRight" activeCell="K1" sqref="K1"/>
      <selection pane="bottomLeft" activeCell="A9" sqref="A9"/>
      <selection pane="bottomRight" activeCell="F61" sqref="F61"/>
    </sheetView>
  </sheetViews>
  <sheetFormatPr defaultRowHeight="13.2" x14ac:dyDescent="0.2"/>
  <cols>
    <col min="3" max="3" width="9.109375" customWidth="1"/>
    <col min="4" max="4" width="6.21875" style="2" customWidth="1"/>
    <col min="5" max="6" width="15.88671875" customWidth="1"/>
    <col min="7" max="7" width="64.109375" customWidth="1"/>
    <col min="8" max="8" width="6.21875" style="2" customWidth="1"/>
    <col min="9" max="10" width="9.88671875" style="2" bestFit="1" customWidth="1"/>
    <col min="11" max="11" width="7.33203125" style="68" customWidth="1"/>
    <col min="12" max="12" width="47.88671875" customWidth="1"/>
    <col min="13" max="13" width="66.8867187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325" t="s">
        <v>11</v>
      </c>
      <c r="E2" s="325"/>
      <c r="F2" s="325"/>
      <c r="G2" s="7" t="s">
        <v>158</v>
      </c>
      <c r="I2" s="326" t="s">
        <v>14</v>
      </c>
      <c r="J2" s="327"/>
      <c r="K2" s="328"/>
      <c r="L2" s="5">
        <f>SUM(J:J)</f>
        <v>561867</v>
      </c>
    </row>
    <row r="3" spans="1:19" ht="20.100000000000001" customHeight="1" x14ac:dyDescent="0.2">
      <c r="D3" s="325" t="s">
        <v>10</v>
      </c>
      <c r="E3" s="325"/>
      <c r="F3" s="325"/>
      <c r="G3" s="3" t="s">
        <v>159</v>
      </c>
      <c r="J3" s="329" t="s">
        <v>386</v>
      </c>
      <c r="K3" s="329"/>
      <c r="L3" s="329"/>
      <c r="M3" s="329"/>
    </row>
    <row r="4" spans="1:19" ht="20.100000000000001" customHeight="1" x14ac:dyDescent="0.2">
      <c r="D4" s="325" t="s">
        <v>21</v>
      </c>
      <c r="E4" s="325"/>
      <c r="F4" s="325"/>
      <c r="G4" s="3" t="s">
        <v>410</v>
      </c>
      <c r="I4" s="330" t="s">
        <v>394</v>
      </c>
      <c r="J4" s="329"/>
      <c r="K4" s="329"/>
      <c r="L4" s="329"/>
      <c r="M4" s="329"/>
    </row>
    <row r="5" spans="1:19" ht="20.100000000000001" customHeight="1" x14ac:dyDescent="0.2">
      <c r="D5" s="325" t="s">
        <v>12</v>
      </c>
      <c r="E5" s="325"/>
      <c r="F5" s="325"/>
      <c r="G5" s="4">
        <v>45324</v>
      </c>
      <c r="I5" s="331"/>
      <c r="J5" s="99"/>
    </row>
    <row r="6" spans="1:19" ht="20.100000000000001" customHeight="1" x14ac:dyDescent="0.2">
      <c r="D6" s="325" t="s">
        <v>13</v>
      </c>
      <c r="E6" s="325"/>
      <c r="F6" s="325"/>
      <c r="G6" s="4">
        <v>45327</v>
      </c>
      <c r="J6" s="68"/>
    </row>
    <row r="8" spans="1:19" s="2" customFormat="1" ht="19.649999999999999" customHeight="1" x14ac:dyDescent="0.2">
      <c r="A8" s="79" t="s">
        <v>116</v>
      </c>
      <c r="B8" s="79" t="s">
        <v>188</v>
      </c>
      <c r="C8" s="79" t="s">
        <v>117</v>
      </c>
      <c r="D8" s="109" t="s">
        <v>118</v>
      </c>
      <c r="E8" s="109" t="s">
        <v>119</v>
      </c>
      <c r="F8" s="109" t="s">
        <v>120</v>
      </c>
      <c r="G8" s="79" t="s">
        <v>121</v>
      </c>
      <c r="H8" s="79" t="s">
        <v>122</v>
      </c>
      <c r="I8" s="79" t="s">
        <v>123</v>
      </c>
      <c r="J8" s="110" t="s">
        <v>124</v>
      </c>
      <c r="K8" s="111" t="s">
        <v>125</v>
      </c>
      <c r="L8" s="79" t="s">
        <v>126</v>
      </c>
      <c r="M8" s="79" t="s">
        <v>127</v>
      </c>
      <c r="N8" s="79" t="s">
        <v>128</v>
      </c>
      <c r="O8" s="112" t="s">
        <v>129</v>
      </c>
      <c r="P8" s="109" t="s">
        <v>130</v>
      </c>
      <c r="Q8" s="79" t="s">
        <v>131</v>
      </c>
      <c r="R8" s="112" t="s">
        <v>132</v>
      </c>
      <c r="S8" s="113" t="s">
        <v>133</v>
      </c>
    </row>
    <row r="9" spans="1:19" s="2" customFormat="1" ht="19.649999999999999" customHeight="1" x14ac:dyDescent="0.2">
      <c r="A9" s="21" t="s">
        <v>115</v>
      </c>
      <c r="B9" s="21"/>
      <c r="C9" s="21" t="s">
        <v>114</v>
      </c>
      <c r="D9" s="20" t="s">
        <v>4</v>
      </c>
      <c r="E9" s="20" t="s">
        <v>9</v>
      </c>
      <c r="F9" s="20" t="s">
        <v>5</v>
      </c>
      <c r="G9" s="21" t="s">
        <v>8</v>
      </c>
      <c r="H9" s="21" t="s">
        <v>0</v>
      </c>
      <c r="I9" s="21" t="s">
        <v>1</v>
      </c>
      <c r="J9" s="1" t="s">
        <v>2</v>
      </c>
      <c r="K9" s="69" t="s">
        <v>17</v>
      </c>
      <c r="L9" s="21" t="s">
        <v>3</v>
      </c>
      <c r="M9" s="21" t="s">
        <v>16</v>
      </c>
      <c r="N9" s="21" t="s">
        <v>15</v>
      </c>
      <c r="O9" s="8" t="s">
        <v>6</v>
      </c>
      <c r="P9" s="20" t="s">
        <v>18</v>
      </c>
      <c r="Q9" s="21" t="s">
        <v>7</v>
      </c>
      <c r="R9" s="8" t="s">
        <v>19</v>
      </c>
      <c r="S9" s="108" t="s">
        <v>20</v>
      </c>
    </row>
    <row r="10" spans="1:19" s="2" customFormat="1" ht="19.649999999999999" customHeight="1" x14ac:dyDescent="0.2">
      <c r="D10" s="20"/>
      <c r="E10" s="20"/>
      <c r="F10" s="20"/>
      <c r="G10" s="21"/>
      <c r="H10" s="21"/>
      <c r="I10" s="21"/>
      <c r="J10" s="1"/>
      <c r="K10" s="69"/>
      <c r="L10" s="21"/>
      <c r="M10" s="21"/>
      <c r="N10" s="21"/>
      <c r="O10" s="8"/>
      <c r="P10" s="20"/>
      <c r="Q10" s="21"/>
      <c r="R10" s="8"/>
      <c r="S10" s="108"/>
    </row>
    <row r="11" spans="1:19" s="2" customFormat="1" ht="19.649999999999999" customHeight="1" x14ac:dyDescent="0.2">
      <c r="D11" s="20"/>
      <c r="E11" s="24"/>
      <c r="F11" s="53"/>
      <c r="G11" s="52"/>
      <c r="H11" s="21"/>
      <c r="I11" s="21"/>
      <c r="J11" s="1"/>
      <c r="K11" s="69"/>
      <c r="L11" s="21"/>
      <c r="M11" s="21"/>
      <c r="N11" s="21"/>
      <c r="O11" s="8"/>
      <c r="P11" s="20"/>
      <c r="Q11" s="21"/>
      <c r="R11" s="8"/>
      <c r="S11" s="108"/>
    </row>
    <row r="12" spans="1:19" s="2" customFormat="1" ht="19.649999999999999" customHeight="1" x14ac:dyDescent="0.2">
      <c r="D12" s="20"/>
      <c r="E12" s="24"/>
      <c r="F12" s="53"/>
      <c r="G12" s="52"/>
      <c r="H12" s="21"/>
      <c r="I12" s="21"/>
      <c r="J12" s="1"/>
      <c r="K12" s="69"/>
      <c r="L12" s="21"/>
      <c r="M12" s="21"/>
      <c r="N12" s="21"/>
      <c r="O12" s="8"/>
      <c r="P12" s="20"/>
      <c r="Q12" s="21"/>
      <c r="R12" s="8"/>
      <c r="S12" s="108"/>
    </row>
    <row r="13" spans="1:19" s="2" customFormat="1" ht="19.649999999999999" customHeight="1" x14ac:dyDescent="0.2">
      <c r="D13" s="20"/>
      <c r="E13" s="24"/>
      <c r="F13" s="53"/>
      <c r="G13" s="52"/>
      <c r="H13" s="21"/>
      <c r="I13" s="21"/>
      <c r="J13" s="1"/>
      <c r="K13" s="69"/>
      <c r="L13" s="21"/>
      <c r="M13" s="21"/>
      <c r="N13" s="21"/>
      <c r="O13" s="8"/>
      <c r="P13" s="20"/>
      <c r="Q13" s="21"/>
      <c r="R13" s="8"/>
      <c r="S13" s="108"/>
    </row>
    <row r="14" spans="1:19" s="2" customFormat="1" ht="19.649999999999999" customHeight="1" x14ac:dyDescent="0.2">
      <c r="D14" s="20"/>
      <c r="E14" s="132" t="s">
        <v>30</v>
      </c>
      <c r="F14" s="103"/>
      <c r="G14" s="195" t="s">
        <v>387</v>
      </c>
      <c r="H14" s="21"/>
      <c r="I14" s="21"/>
      <c r="J14" s="1"/>
      <c r="K14" s="69"/>
      <c r="L14" s="21"/>
      <c r="M14" s="21"/>
      <c r="N14" s="21"/>
      <c r="O14" s="8"/>
      <c r="P14" s="20"/>
      <c r="Q14" s="21"/>
      <c r="R14" s="8"/>
      <c r="S14" s="108"/>
    </row>
    <row r="15" spans="1:19" s="2" customFormat="1" ht="19.649999999999999" customHeight="1" x14ac:dyDescent="0.2">
      <c r="A15" s="219" t="s">
        <v>63</v>
      </c>
      <c r="B15" s="84"/>
      <c r="C15" s="277">
        <v>12</v>
      </c>
      <c r="D15" s="20">
        <v>1</v>
      </c>
      <c r="E15" s="148" t="s">
        <v>23</v>
      </c>
      <c r="F15" s="148" t="s">
        <v>23</v>
      </c>
      <c r="G15" s="57" t="s">
        <v>222</v>
      </c>
      <c r="H15" s="281">
        <v>1</v>
      </c>
      <c r="I15" s="40">
        <v>1280</v>
      </c>
      <c r="J15" s="125">
        <f>H15*I15</f>
        <v>1280</v>
      </c>
      <c r="K15" s="74"/>
      <c r="L15" s="57" t="s">
        <v>40</v>
      </c>
      <c r="M15" s="39"/>
      <c r="N15" s="21"/>
      <c r="O15" s="8">
        <v>45281</v>
      </c>
      <c r="P15" s="20"/>
      <c r="Q15" s="21"/>
      <c r="R15" s="8">
        <v>44943</v>
      </c>
      <c r="S15" s="108"/>
    </row>
    <row r="16" spans="1:19" s="2" customFormat="1" ht="19.649999999999999" customHeight="1" x14ac:dyDescent="0.2">
      <c r="A16" s="219" t="s">
        <v>63</v>
      </c>
      <c r="B16" s="84"/>
      <c r="C16" s="277">
        <v>12</v>
      </c>
      <c r="D16" s="20">
        <v>26</v>
      </c>
      <c r="E16" s="141" t="s">
        <v>55</v>
      </c>
      <c r="F16" s="148" t="s">
        <v>177</v>
      </c>
      <c r="G16" s="25" t="s">
        <v>363</v>
      </c>
      <c r="H16" s="21">
        <v>1</v>
      </c>
      <c r="I16" s="21">
        <v>3440</v>
      </c>
      <c r="J16" s="105">
        <f t="shared" ref="J16" si="0">H16*I16</f>
        <v>3440</v>
      </c>
      <c r="K16" s="127"/>
      <c r="L16" s="185" t="s">
        <v>396</v>
      </c>
      <c r="M16" s="58"/>
      <c r="N16" s="21"/>
      <c r="O16" s="8">
        <v>45281</v>
      </c>
      <c r="P16" s="20"/>
      <c r="Q16" s="21"/>
      <c r="R16" s="8">
        <v>44943</v>
      </c>
      <c r="S16" s="108"/>
    </row>
    <row r="17" spans="1:19" s="2" customFormat="1" ht="19.649999999999999" customHeight="1" x14ac:dyDescent="0.2">
      <c r="A17" s="219" t="s">
        <v>284</v>
      </c>
      <c r="B17" s="84"/>
      <c r="C17" s="277">
        <v>12</v>
      </c>
      <c r="D17" s="20">
        <v>29</v>
      </c>
      <c r="E17" s="141" t="s">
        <v>55</v>
      </c>
      <c r="F17" s="148" t="s">
        <v>177</v>
      </c>
      <c r="G17" s="22" t="s">
        <v>355</v>
      </c>
      <c r="H17" s="163">
        <v>1</v>
      </c>
      <c r="I17" s="98">
        <v>5805</v>
      </c>
      <c r="J17" s="58">
        <f>H17*I17</f>
        <v>5805</v>
      </c>
      <c r="K17" s="1"/>
      <c r="L17" s="22" t="s">
        <v>378</v>
      </c>
      <c r="M17" s="39"/>
      <c r="N17" s="21"/>
      <c r="O17" s="8">
        <v>45281</v>
      </c>
      <c r="P17" s="20"/>
      <c r="Q17" s="21"/>
      <c r="R17" s="8">
        <v>44943</v>
      </c>
      <c r="S17" s="108"/>
    </row>
    <row r="18" spans="1:19" s="2" customFormat="1" ht="19.649999999999999" customHeight="1" x14ac:dyDescent="0.2">
      <c r="A18" s="219" t="s">
        <v>284</v>
      </c>
      <c r="B18" s="84"/>
      <c r="C18" s="277">
        <v>12</v>
      </c>
      <c r="D18" s="20">
        <v>30</v>
      </c>
      <c r="E18" s="141" t="s">
        <v>55</v>
      </c>
      <c r="F18" s="148" t="s">
        <v>177</v>
      </c>
      <c r="G18" s="282" t="s">
        <v>356</v>
      </c>
      <c r="H18" s="21">
        <v>1</v>
      </c>
      <c r="I18" s="98">
        <v>9416</v>
      </c>
      <c r="J18" s="58">
        <f>H18*I18</f>
        <v>9416</v>
      </c>
      <c r="K18" s="1"/>
      <c r="L18" s="22" t="s">
        <v>337</v>
      </c>
      <c r="M18" s="39"/>
      <c r="N18" s="21"/>
      <c r="O18" s="8">
        <v>45281</v>
      </c>
      <c r="P18" s="20"/>
      <c r="Q18" s="21"/>
      <c r="R18" s="8">
        <v>44943</v>
      </c>
      <c r="S18" s="108"/>
    </row>
    <row r="19" spans="1:19" s="2" customFormat="1" ht="19.649999999999999" customHeight="1" x14ac:dyDescent="0.2">
      <c r="A19" s="219" t="s">
        <v>64</v>
      </c>
      <c r="B19" s="84"/>
      <c r="C19" s="277">
        <v>12</v>
      </c>
      <c r="D19" s="20">
        <v>31</v>
      </c>
      <c r="E19" s="20" t="s">
        <v>23</v>
      </c>
      <c r="F19" s="20" t="s">
        <v>23</v>
      </c>
      <c r="G19" s="45" t="s">
        <v>432</v>
      </c>
      <c r="H19" s="163">
        <v>1</v>
      </c>
      <c r="I19" s="39">
        <v>97</v>
      </c>
      <c r="J19" s="58">
        <f t="shared" ref="J19:J24" si="1">H19*I19</f>
        <v>97</v>
      </c>
      <c r="K19" s="69"/>
      <c r="L19" s="22" t="s">
        <v>380</v>
      </c>
      <c r="M19" s="39"/>
      <c r="N19" s="21"/>
      <c r="O19" s="8">
        <v>45281</v>
      </c>
      <c r="P19" s="20"/>
      <c r="Q19" s="21"/>
      <c r="R19" s="8">
        <v>44943</v>
      </c>
      <c r="S19" s="108"/>
    </row>
    <row r="20" spans="1:19" s="2" customFormat="1" ht="19.649999999999999" customHeight="1" x14ac:dyDescent="0.2">
      <c r="A20" s="219" t="s">
        <v>223</v>
      </c>
      <c r="B20" s="84"/>
      <c r="C20" s="277">
        <v>12</v>
      </c>
      <c r="D20" s="20">
        <v>32</v>
      </c>
      <c r="E20" s="20" t="s">
        <v>23</v>
      </c>
      <c r="F20" s="20" t="s">
        <v>23</v>
      </c>
      <c r="G20" s="22" t="s">
        <v>202</v>
      </c>
      <c r="H20" s="163">
        <v>1</v>
      </c>
      <c r="I20" s="39">
        <v>4570</v>
      </c>
      <c r="J20" s="58">
        <f t="shared" si="1"/>
        <v>4570</v>
      </c>
      <c r="K20" s="69"/>
      <c r="L20" s="22" t="s">
        <v>381</v>
      </c>
      <c r="M20" s="39"/>
      <c r="N20" s="21"/>
      <c r="O20" s="8">
        <v>45281</v>
      </c>
      <c r="P20" s="20"/>
      <c r="Q20" s="21"/>
      <c r="R20" s="8">
        <v>44943</v>
      </c>
      <c r="S20" s="108"/>
    </row>
    <row r="21" spans="1:19" s="2" customFormat="1" ht="19.649999999999999" customHeight="1" x14ac:dyDescent="0.2">
      <c r="A21" s="219" t="s">
        <v>64</v>
      </c>
      <c r="B21" s="84"/>
      <c r="C21" s="277">
        <v>12</v>
      </c>
      <c r="D21" s="20">
        <v>33</v>
      </c>
      <c r="E21" s="23" t="s">
        <v>23</v>
      </c>
      <c r="F21" s="23" t="s">
        <v>23</v>
      </c>
      <c r="G21" s="12" t="s">
        <v>78</v>
      </c>
      <c r="H21" s="28">
        <v>10</v>
      </c>
      <c r="I21" s="98">
        <v>29</v>
      </c>
      <c r="J21" s="266">
        <f t="shared" si="1"/>
        <v>290</v>
      </c>
      <c r="K21" s="46"/>
      <c r="L21" s="45" t="s">
        <v>87</v>
      </c>
      <c r="M21" s="39"/>
      <c r="N21" s="21"/>
      <c r="O21" s="8">
        <v>45281</v>
      </c>
      <c r="P21" s="20"/>
      <c r="Q21" s="21"/>
      <c r="R21" s="8">
        <v>44943</v>
      </c>
      <c r="S21" s="108"/>
    </row>
    <row r="22" spans="1:19" s="2" customFormat="1" ht="19.649999999999999" customHeight="1" x14ac:dyDescent="0.2">
      <c r="A22" s="219" t="s">
        <v>63</v>
      </c>
      <c r="B22" s="84"/>
      <c r="C22" s="277">
        <v>12</v>
      </c>
      <c r="D22" s="20">
        <v>34</v>
      </c>
      <c r="E22" s="20" t="s">
        <v>23</v>
      </c>
      <c r="F22" s="20" t="s">
        <v>23</v>
      </c>
      <c r="G22" s="22" t="s">
        <v>203</v>
      </c>
      <c r="H22" s="163">
        <v>1</v>
      </c>
      <c r="I22" s="39">
        <v>960</v>
      </c>
      <c r="J22" s="58">
        <f t="shared" si="1"/>
        <v>960</v>
      </c>
      <c r="K22" s="69"/>
      <c r="L22" s="22" t="s">
        <v>382</v>
      </c>
      <c r="M22" s="39"/>
      <c r="N22" s="21"/>
      <c r="O22" s="8">
        <v>45281</v>
      </c>
      <c r="P22" s="20"/>
      <c r="Q22" s="21"/>
      <c r="R22" s="8">
        <v>44943</v>
      </c>
      <c r="S22" s="108"/>
    </row>
    <row r="23" spans="1:19" s="2" customFormat="1" ht="19.649999999999999" customHeight="1" x14ac:dyDescent="0.2">
      <c r="A23" s="219" t="s">
        <v>63</v>
      </c>
      <c r="B23" s="84"/>
      <c r="C23" s="277">
        <v>12</v>
      </c>
      <c r="D23" s="20">
        <v>35</v>
      </c>
      <c r="E23" s="141" t="s">
        <v>55</v>
      </c>
      <c r="F23" s="148" t="s">
        <v>177</v>
      </c>
      <c r="G23" s="22" t="s">
        <v>338</v>
      </c>
      <c r="H23" s="163">
        <v>1</v>
      </c>
      <c r="I23" s="39">
        <v>1760</v>
      </c>
      <c r="J23" s="58">
        <f t="shared" si="1"/>
        <v>1760</v>
      </c>
      <c r="K23" s="69"/>
      <c r="L23" s="181" t="s">
        <v>339</v>
      </c>
      <c r="M23" s="39" t="s">
        <v>340</v>
      </c>
      <c r="N23" s="100"/>
      <c r="O23" s="8">
        <v>45281</v>
      </c>
      <c r="P23" s="8"/>
      <c r="Q23" s="100"/>
      <c r="R23" s="8">
        <v>44943</v>
      </c>
      <c r="S23" s="108"/>
    </row>
    <row r="24" spans="1:19" s="2" customFormat="1" ht="19.649999999999999" customHeight="1" x14ac:dyDescent="0.2">
      <c r="A24" s="219" t="s">
        <v>64</v>
      </c>
      <c r="B24" s="84"/>
      <c r="C24" s="277">
        <v>12</v>
      </c>
      <c r="D24" s="20">
        <v>36</v>
      </c>
      <c r="E24" s="20" t="s">
        <v>23</v>
      </c>
      <c r="F24" s="20" t="s">
        <v>23</v>
      </c>
      <c r="G24" s="22" t="s">
        <v>204</v>
      </c>
      <c r="H24" s="163">
        <v>1</v>
      </c>
      <c r="I24" s="39">
        <v>320</v>
      </c>
      <c r="J24" s="58">
        <f t="shared" si="1"/>
        <v>320</v>
      </c>
      <c r="K24" s="69"/>
      <c r="L24" s="22" t="s">
        <v>383</v>
      </c>
      <c r="M24" s="39"/>
      <c r="N24" s="21"/>
      <c r="O24" s="8">
        <v>45281</v>
      </c>
      <c r="P24" s="20"/>
      <c r="Q24" s="21"/>
      <c r="R24" s="8">
        <v>44943</v>
      </c>
      <c r="S24" s="108"/>
    </row>
    <row r="25" spans="1:19" s="2" customFormat="1" ht="19.649999999999999" customHeight="1" x14ac:dyDescent="0.2">
      <c r="A25" s="219" t="s">
        <v>64</v>
      </c>
      <c r="B25" s="84"/>
      <c r="C25" s="277">
        <v>12</v>
      </c>
      <c r="D25" s="20">
        <v>42</v>
      </c>
      <c r="E25" s="21" t="s">
        <v>23</v>
      </c>
      <c r="F25" s="21" t="s">
        <v>23</v>
      </c>
      <c r="G25" s="29" t="s">
        <v>193</v>
      </c>
      <c r="H25" s="272">
        <v>45</v>
      </c>
      <c r="I25" s="120">
        <v>19</v>
      </c>
      <c r="J25" s="128">
        <f t="shared" ref="J25:J27" si="2">H25*I25</f>
        <v>855</v>
      </c>
      <c r="K25" s="1"/>
      <c r="L25" s="29" t="s">
        <v>286</v>
      </c>
      <c r="M25" s="39"/>
      <c r="N25" s="21"/>
      <c r="O25" s="8">
        <v>45281</v>
      </c>
      <c r="P25" s="20"/>
      <c r="Q25" s="21"/>
      <c r="R25" s="8">
        <v>44943</v>
      </c>
      <c r="S25" s="108"/>
    </row>
    <row r="26" spans="1:19" s="2" customFormat="1" ht="19.649999999999999" customHeight="1" x14ac:dyDescent="0.15">
      <c r="A26" s="219" t="s">
        <v>223</v>
      </c>
      <c r="B26" s="84"/>
      <c r="C26" s="277">
        <v>12</v>
      </c>
      <c r="D26" s="20">
        <v>45</v>
      </c>
      <c r="E26" s="120" t="s">
        <v>31</v>
      </c>
      <c r="F26" s="120" t="s">
        <v>31</v>
      </c>
      <c r="G26" s="283" t="s">
        <v>342</v>
      </c>
      <c r="H26" s="120">
        <v>1</v>
      </c>
      <c r="I26" s="120">
        <v>7780</v>
      </c>
      <c r="J26" s="128">
        <f t="shared" si="2"/>
        <v>7780</v>
      </c>
      <c r="K26" s="129"/>
      <c r="L26" s="130" t="s">
        <v>173</v>
      </c>
      <c r="M26" s="58"/>
      <c r="N26" s="21"/>
      <c r="O26" s="8">
        <v>45281</v>
      </c>
      <c r="P26" s="20"/>
      <c r="Q26" s="21"/>
      <c r="R26" s="8">
        <v>44943</v>
      </c>
      <c r="S26" s="108"/>
    </row>
    <row r="27" spans="1:19" s="2" customFormat="1" ht="19.649999999999999" customHeight="1" x14ac:dyDescent="0.2">
      <c r="A27" s="219" t="s">
        <v>64</v>
      </c>
      <c r="B27" s="84"/>
      <c r="C27" s="277">
        <v>12</v>
      </c>
      <c r="D27" s="20">
        <v>47</v>
      </c>
      <c r="E27" s="20" t="s">
        <v>23</v>
      </c>
      <c r="F27" s="20" t="s">
        <v>23</v>
      </c>
      <c r="G27" s="12" t="s">
        <v>169</v>
      </c>
      <c r="H27" s="284">
        <v>25</v>
      </c>
      <c r="I27" s="77">
        <v>19</v>
      </c>
      <c r="J27" s="19">
        <f t="shared" si="2"/>
        <v>475</v>
      </c>
      <c r="K27" s="19"/>
      <c r="L27" s="22" t="s">
        <v>341</v>
      </c>
      <c r="M27" s="58" t="s">
        <v>170</v>
      </c>
      <c r="N27" s="21"/>
      <c r="O27" s="8">
        <v>45281</v>
      </c>
      <c r="P27" s="20"/>
      <c r="Q27" s="21"/>
      <c r="R27" s="8">
        <v>44943</v>
      </c>
      <c r="S27" s="108"/>
    </row>
    <row r="28" spans="1:19" s="2" customFormat="1" ht="19.649999999999999" customHeight="1" x14ac:dyDescent="0.2">
      <c r="A28" s="219" t="s">
        <v>65</v>
      </c>
      <c r="B28" s="84"/>
      <c r="C28" s="277">
        <v>12</v>
      </c>
      <c r="D28" s="20">
        <v>50</v>
      </c>
      <c r="E28" s="148" t="s">
        <v>23</v>
      </c>
      <c r="F28" s="148" t="s">
        <v>23</v>
      </c>
      <c r="G28" s="13" t="s">
        <v>276</v>
      </c>
      <c r="H28" s="116">
        <v>2</v>
      </c>
      <c r="I28" s="40">
        <v>1100</v>
      </c>
      <c r="J28" s="125">
        <f>H28*I28</f>
        <v>2200</v>
      </c>
      <c r="K28" s="126"/>
      <c r="L28" s="13" t="s">
        <v>165</v>
      </c>
      <c r="M28" s="58" t="s">
        <v>166</v>
      </c>
      <c r="N28" s="21"/>
      <c r="O28" s="8">
        <v>45281</v>
      </c>
      <c r="P28" s="20"/>
      <c r="Q28" s="21"/>
      <c r="R28" s="8">
        <v>44943</v>
      </c>
      <c r="S28" s="108"/>
    </row>
    <row r="29" spans="1:19" s="2" customFormat="1" ht="19.649999999999999" customHeight="1" x14ac:dyDescent="0.2">
      <c r="A29" s="219" t="s">
        <v>284</v>
      </c>
      <c r="B29" s="84"/>
      <c r="C29" s="277">
        <v>12</v>
      </c>
      <c r="D29" s="20">
        <v>55</v>
      </c>
      <c r="E29" s="141" t="s">
        <v>55</v>
      </c>
      <c r="F29" s="148" t="s">
        <v>177</v>
      </c>
      <c r="G29" s="36" t="s">
        <v>390</v>
      </c>
      <c r="H29" s="21">
        <v>1</v>
      </c>
      <c r="I29" s="39">
        <v>13765</v>
      </c>
      <c r="J29" s="58">
        <f t="shared" ref="J29:J36" si="3">H29*I29</f>
        <v>13765</v>
      </c>
      <c r="K29" s="1"/>
      <c r="L29" s="22" t="s">
        <v>388</v>
      </c>
      <c r="M29" s="58"/>
      <c r="N29" s="21"/>
      <c r="O29" s="8">
        <v>45281</v>
      </c>
      <c r="P29" s="20"/>
      <c r="Q29" s="21"/>
      <c r="R29" s="8">
        <v>44943</v>
      </c>
      <c r="S29" s="108"/>
    </row>
    <row r="30" spans="1:19" s="2" customFormat="1" ht="19.649999999999999" customHeight="1" x14ac:dyDescent="0.2">
      <c r="A30" s="219" t="s">
        <v>64</v>
      </c>
      <c r="B30" s="84"/>
      <c r="C30" s="277">
        <v>12</v>
      </c>
      <c r="D30" s="20">
        <v>56</v>
      </c>
      <c r="E30" s="28" t="s">
        <v>23</v>
      </c>
      <c r="F30" s="28" t="s">
        <v>23</v>
      </c>
      <c r="G30" s="29" t="s">
        <v>290</v>
      </c>
      <c r="H30" s="272">
        <v>46</v>
      </c>
      <c r="I30" s="120">
        <v>19</v>
      </c>
      <c r="J30" s="180">
        <f t="shared" si="3"/>
        <v>874</v>
      </c>
      <c r="K30" s="46"/>
      <c r="L30" s="29" t="s">
        <v>343</v>
      </c>
      <c r="M30" s="39"/>
      <c r="N30" s="21"/>
      <c r="O30" s="8">
        <v>45281</v>
      </c>
      <c r="P30" s="20"/>
      <c r="Q30" s="21"/>
      <c r="R30" s="8">
        <v>44943</v>
      </c>
      <c r="S30" s="108"/>
    </row>
    <row r="31" spans="1:19" s="2" customFormat="1" ht="19.649999999999999" customHeight="1" x14ac:dyDescent="0.2">
      <c r="A31" s="219" t="s">
        <v>64</v>
      </c>
      <c r="B31" s="84"/>
      <c r="C31" s="277">
        <v>12</v>
      </c>
      <c r="D31" s="20">
        <v>61</v>
      </c>
      <c r="E31" s="20" t="s">
        <v>23</v>
      </c>
      <c r="F31" s="20" t="s">
        <v>23</v>
      </c>
      <c r="G31" s="32" t="s">
        <v>345</v>
      </c>
      <c r="H31" s="168">
        <v>1</v>
      </c>
      <c r="I31" s="77">
        <v>618</v>
      </c>
      <c r="J31" s="19">
        <f t="shared" si="3"/>
        <v>618</v>
      </c>
      <c r="K31" s="72"/>
      <c r="L31" s="22" t="s">
        <v>358</v>
      </c>
      <c r="M31" s="39"/>
      <c r="N31" s="21"/>
      <c r="O31" s="8">
        <v>45281</v>
      </c>
      <c r="P31" s="20"/>
      <c r="Q31" s="21"/>
      <c r="R31" s="8">
        <v>44943</v>
      </c>
      <c r="S31" s="108"/>
    </row>
    <row r="32" spans="1:19" s="2" customFormat="1" ht="19.649999999999999" customHeight="1" x14ac:dyDescent="0.2">
      <c r="A32" s="219" t="s">
        <v>284</v>
      </c>
      <c r="B32" s="84"/>
      <c r="C32" s="277">
        <v>12</v>
      </c>
      <c r="D32" s="20">
        <v>62</v>
      </c>
      <c r="E32" s="141" t="s">
        <v>55</v>
      </c>
      <c r="F32" s="148" t="s">
        <v>177</v>
      </c>
      <c r="G32" s="32" t="s">
        <v>370</v>
      </c>
      <c r="H32" s="168">
        <v>1</v>
      </c>
      <c r="I32" s="77">
        <v>7323</v>
      </c>
      <c r="J32" s="19">
        <f t="shared" si="3"/>
        <v>7323</v>
      </c>
      <c r="K32" s="72"/>
      <c r="L32" s="22" t="s">
        <v>359</v>
      </c>
      <c r="M32" s="39"/>
      <c r="N32" s="21"/>
      <c r="O32" s="8">
        <v>45281</v>
      </c>
      <c r="P32" s="20"/>
      <c r="Q32" s="21"/>
      <c r="R32" s="8">
        <v>44943</v>
      </c>
      <c r="S32" s="108"/>
    </row>
    <row r="33" spans="1:19" s="2" customFormat="1" ht="19.649999999999999" customHeight="1" x14ac:dyDescent="0.2">
      <c r="A33" s="219" t="s">
        <v>284</v>
      </c>
      <c r="B33" s="84"/>
      <c r="C33" s="277">
        <v>12</v>
      </c>
      <c r="D33" s="20">
        <f>+D32+1</f>
        <v>63</v>
      </c>
      <c r="E33" s="141" t="s">
        <v>55</v>
      </c>
      <c r="F33" s="141" t="s">
        <v>177</v>
      </c>
      <c r="G33" s="310" t="s">
        <v>450</v>
      </c>
      <c r="H33" s="311">
        <v>1</v>
      </c>
      <c r="I33" s="312">
        <v>6796</v>
      </c>
      <c r="J33" s="313">
        <f t="shared" si="3"/>
        <v>6796</v>
      </c>
      <c r="K33" s="314"/>
      <c r="L33" s="315" t="s">
        <v>451</v>
      </c>
      <c r="M33" s="21" t="s">
        <v>452</v>
      </c>
      <c r="N33" s="21"/>
      <c r="O33" s="8">
        <v>45348</v>
      </c>
      <c r="P33" s="20"/>
      <c r="Q33" s="21"/>
      <c r="R33" s="8">
        <v>45359</v>
      </c>
      <c r="S33" s="108"/>
    </row>
    <row r="34" spans="1:19" s="2" customFormat="1" ht="19.649999999999999" customHeight="1" x14ac:dyDescent="0.2">
      <c r="A34" s="219" t="s">
        <v>64</v>
      </c>
      <c r="B34" s="84"/>
      <c r="C34" s="277">
        <v>12</v>
      </c>
      <c r="D34" s="20">
        <f t="shared" ref="D34" si="4">+D33+1</f>
        <v>64</v>
      </c>
      <c r="E34" s="20" t="s">
        <v>23</v>
      </c>
      <c r="F34" s="20" t="s">
        <v>23</v>
      </c>
      <c r="G34" s="310" t="s">
        <v>453</v>
      </c>
      <c r="H34" s="311">
        <v>2</v>
      </c>
      <c r="I34" s="312">
        <v>460</v>
      </c>
      <c r="J34" s="313">
        <f t="shared" si="3"/>
        <v>920</v>
      </c>
      <c r="K34" s="314"/>
      <c r="L34" s="315" t="s">
        <v>454</v>
      </c>
      <c r="M34" s="21" t="s">
        <v>452</v>
      </c>
      <c r="N34" s="21"/>
      <c r="O34" s="8">
        <v>45348</v>
      </c>
      <c r="P34" s="20"/>
      <c r="Q34" s="21"/>
      <c r="R34" s="8">
        <v>45359</v>
      </c>
      <c r="S34" s="108"/>
    </row>
    <row r="35" spans="1:19" s="2" customFormat="1" ht="19.649999999999999" customHeight="1" x14ac:dyDescent="0.2">
      <c r="A35" s="219" t="s">
        <v>64</v>
      </c>
      <c r="B35" s="84"/>
      <c r="C35" s="277">
        <v>12</v>
      </c>
      <c r="D35" s="20">
        <v>63</v>
      </c>
      <c r="E35" s="20" t="s">
        <v>23</v>
      </c>
      <c r="F35" s="20" t="s">
        <v>23</v>
      </c>
      <c r="G35" s="32" t="s">
        <v>346</v>
      </c>
      <c r="H35" s="168">
        <v>2</v>
      </c>
      <c r="I35" s="77">
        <v>460</v>
      </c>
      <c r="J35" s="19">
        <f t="shared" si="3"/>
        <v>920</v>
      </c>
      <c r="K35" s="72"/>
      <c r="L35" s="22" t="s">
        <v>357</v>
      </c>
      <c r="M35" s="39"/>
      <c r="N35" s="21"/>
      <c r="O35" s="8">
        <v>45281</v>
      </c>
      <c r="P35" s="20"/>
      <c r="Q35" s="21"/>
      <c r="R35" s="8">
        <v>44943</v>
      </c>
      <c r="S35" s="108"/>
    </row>
    <row r="36" spans="1:19" s="2" customFormat="1" ht="19.649999999999999" customHeight="1" x14ac:dyDescent="0.2">
      <c r="A36" s="219" t="s">
        <v>64</v>
      </c>
      <c r="B36" s="84"/>
      <c r="C36" s="277">
        <v>12</v>
      </c>
      <c r="D36" s="20">
        <v>64</v>
      </c>
      <c r="E36" s="20" t="s">
        <v>23</v>
      </c>
      <c r="F36" s="20" t="s">
        <v>23</v>
      </c>
      <c r="G36" s="32" t="s">
        <v>347</v>
      </c>
      <c r="H36" s="168">
        <v>2</v>
      </c>
      <c r="I36" s="77">
        <v>618</v>
      </c>
      <c r="J36" s="19">
        <f t="shared" si="3"/>
        <v>1236</v>
      </c>
      <c r="K36" s="72"/>
      <c r="L36" s="22" t="s">
        <v>358</v>
      </c>
      <c r="M36" s="39"/>
      <c r="N36" s="21"/>
      <c r="O36" s="8">
        <v>45281</v>
      </c>
      <c r="P36" s="20"/>
      <c r="Q36" s="21"/>
      <c r="R36" s="8">
        <v>44943</v>
      </c>
      <c r="S36" s="108"/>
    </row>
    <row r="37" spans="1:19" s="2" customFormat="1" ht="19.649999999999999" customHeight="1" x14ac:dyDescent="0.2">
      <c r="A37" s="219" t="s">
        <v>284</v>
      </c>
      <c r="B37" s="228"/>
      <c r="C37" s="277">
        <v>12</v>
      </c>
      <c r="D37" s="20">
        <v>65</v>
      </c>
      <c r="E37" s="141" t="s">
        <v>55</v>
      </c>
      <c r="F37" s="148" t="s">
        <v>177</v>
      </c>
      <c r="G37" s="285" t="s">
        <v>391</v>
      </c>
      <c r="H37" s="21">
        <v>1</v>
      </c>
      <c r="I37" s="39">
        <v>12200</v>
      </c>
      <c r="J37" s="58">
        <f t="shared" ref="J37:J47" si="5">H37*I37</f>
        <v>12200</v>
      </c>
      <c r="K37" s="1"/>
      <c r="L37" s="22" t="s">
        <v>389</v>
      </c>
      <c r="M37" s="58" t="s">
        <v>160</v>
      </c>
      <c r="N37" s="21"/>
      <c r="O37" s="8">
        <v>45281</v>
      </c>
      <c r="P37" s="20"/>
      <c r="Q37" s="21"/>
      <c r="R37" s="8">
        <v>44943</v>
      </c>
      <c r="S37" s="108"/>
    </row>
    <row r="38" spans="1:19" s="2" customFormat="1" ht="19.649999999999999" customHeight="1" x14ac:dyDescent="0.2">
      <c r="A38" s="219" t="s">
        <v>64</v>
      </c>
      <c r="B38" s="84"/>
      <c r="C38" s="277">
        <v>12</v>
      </c>
      <c r="D38" s="20">
        <v>66</v>
      </c>
      <c r="E38" s="20" t="s">
        <v>23</v>
      </c>
      <c r="F38" s="20" t="s">
        <v>23</v>
      </c>
      <c r="G38" s="45" t="s">
        <v>201</v>
      </c>
      <c r="H38" s="163">
        <v>1</v>
      </c>
      <c r="I38" s="39">
        <v>101</v>
      </c>
      <c r="J38" s="58">
        <f t="shared" si="5"/>
        <v>101</v>
      </c>
      <c r="K38" s="69"/>
      <c r="L38" s="22" t="s">
        <v>225</v>
      </c>
      <c r="M38" s="39"/>
      <c r="N38" s="21"/>
      <c r="O38" s="8">
        <v>45281</v>
      </c>
      <c r="P38" s="20"/>
      <c r="Q38" s="21"/>
      <c r="R38" s="8">
        <v>44943</v>
      </c>
      <c r="S38" s="108"/>
    </row>
    <row r="39" spans="1:19" s="2" customFormat="1" ht="19.649999999999999" customHeight="1" x14ac:dyDescent="0.2">
      <c r="A39" s="219" t="s">
        <v>64</v>
      </c>
      <c r="B39" s="84"/>
      <c r="C39" s="277">
        <v>12</v>
      </c>
      <c r="D39" s="20">
        <v>67</v>
      </c>
      <c r="E39" s="20" t="s">
        <v>23</v>
      </c>
      <c r="F39" s="20" t="s">
        <v>23</v>
      </c>
      <c r="G39" s="45" t="s">
        <v>347</v>
      </c>
      <c r="H39" s="163">
        <v>2</v>
      </c>
      <c r="I39" s="39">
        <v>618</v>
      </c>
      <c r="J39" s="58">
        <f t="shared" si="5"/>
        <v>1236</v>
      </c>
      <c r="K39" s="69"/>
      <c r="L39" s="22" t="s">
        <v>358</v>
      </c>
      <c r="M39" s="39"/>
      <c r="N39" s="21"/>
      <c r="O39" s="8">
        <v>45281</v>
      </c>
      <c r="P39" s="20"/>
      <c r="Q39" s="21"/>
      <c r="R39" s="8">
        <v>44943</v>
      </c>
      <c r="S39" s="108"/>
    </row>
    <row r="40" spans="1:19" s="2" customFormat="1" ht="19.649999999999999" customHeight="1" x14ac:dyDescent="0.2">
      <c r="A40" s="219" t="s">
        <v>63</v>
      </c>
      <c r="B40" s="84"/>
      <c r="C40" s="277">
        <v>12</v>
      </c>
      <c r="D40" s="20">
        <v>68</v>
      </c>
      <c r="E40" s="141" t="s">
        <v>55</v>
      </c>
      <c r="F40" s="148" t="s">
        <v>177</v>
      </c>
      <c r="G40" s="45" t="s">
        <v>372</v>
      </c>
      <c r="H40" s="163">
        <v>2</v>
      </c>
      <c r="I40" s="39">
        <v>1640</v>
      </c>
      <c r="J40" s="58">
        <f t="shared" si="5"/>
        <v>3280</v>
      </c>
      <c r="K40" s="69"/>
      <c r="L40" s="22" t="s">
        <v>360</v>
      </c>
      <c r="M40" s="39"/>
      <c r="N40" s="21"/>
      <c r="O40" s="8">
        <v>45281</v>
      </c>
      <c r="P40" s="20"/>
      <c r="Q40" s="21"/>
      <c r="R40" s="8">
        <v>44943</v>
      </c>
      <c r="S40" s="108"/>
    </row>
    <row r="41" spans="1:19" s="2" customFormat="1" ht="19.649999999999999" customHeight="1" x14ac:dyDescent="0.2">
      <c r="A41" s="219" t="s">
        <v>63</v>
      </c>
      <c r="B41" s="84"/>
      <c r="C41" s="277">
        <v>12</v>
      </c>
      <c r="D41" s="20">
        <v>70</v>
      </c>
      <c r="E41" s="141" t="s">
        <v>55</v>
      </c>
      <c r="F41" s="148" t="s">
        <v>177</v>
      </c>
      <c r="G41" s="45" t="s">
        <v>371</v>
      </c>
      <c r="H41" s="163">
        <v>2</v>
      </c>
      <c r="I41" s="39">
        <v>1500</v>
      </c>
      <c r="J41" s="58">
        <f t="shared" si="5"/>
        <v>3000</v>
      </c>
      <c r="K41" s="69"/>
      <c r="L41" s="22" t="s">
        <v>361</v>
      </c>
      <c r="M41" s="39"/>
      <c r="N41" s="21"/>
      <c r="O41" s="8">
        <v>45281</v>
      </c>
      <c r="P41" s="20"/>
      <c r="Q41" s="21"/>
      <c r="R41" s="8">
        <v>44943</v>
      </c>
      <c r="S41" s="108"/>
    </row>
    <row r="42" spans="1:19" s="2" customFormat="1" ht="19.649999999999999" customHeight="1" x14ac:dyDescent="0.2">
      <c r="A42" s="175" t="s">
        <v>63</v>
      </c>
      <c r="B42" s="209"/>
      <c r="C42" s="277">
        <v>12</v>
      </c>
      <c r="D42" s="20">
        <f>+D41+1</f>
        <v>71</v>
      </c>
      <c r="E42" s="141" t="s">
        <v>55</v>
      </c>
      <c r="F42" s="141" t="s">
        <v>177</v>
      </c>
      <c r="G42" s="316" t="s">
        <v>455</v>
      </c>
      <c r="H42" s="317">
        <v>2</v>
      </c>
      <c r="I42" s="303">
        <v>1520</v>
      </c>
      <c r="J42" s="318">
        <f>H42*I42</f>
        <v>3040</v>
      </c>
      <c r="K42" s="319"/>
      <c r="L42" s="315" t="s">
        <v>456</v>
      </c>
      <c r="M42" s="21" t="s">
        <v>452</v>
      </c>
      <c r="N42" s="21"/>
      <c r="O42" s="8">
        <v>45348</v>
      </c>
      <c r="P42" s="20"/>
      <c r="Q42" s="21"/>
      <c r="R42" s="8">
        <v>45359</v>
      </c>
      <c r="S42" s="108"/>
    </row>
    <row r="43" spans="1:19" s="2" customFormat="1" ht="19.649999999999999" customHeight="1" x14ac:dyDescent="0.2">
      <c r="A43" s="219" t="s">
        <v>284</v>
      </c>
      <c r="B43" s="84"/>
      <c r="C43" s="277">
        <v>12</v>
      </c>
      <c r="D43" s="20">
        <v>72</v>
      </c>
      <c r="E43" s="141" t="s">
        <v>55</v>
      </c>
      <c r="F43" s="148" t="s">
        <v>177</v>
      </c>
      <c r="G43" s="45" t="s">
        <v>373</v>
      </c>
      <c r="H43" s="163">
        <v>1</v>
      </c>
      <c r="I43" s="39">
        <v>6660</v>
      </c>
      <c r="J43" s="58">
        <f t="shared" si="5"/>
        <v>6660</v>
      </c>
      <c r="K43" s="69"/>
      <c r="L43" s="22" t="s">
        <v>362</v>
      </c>
      <c r="M43" s="39"/>
      <c r="N43" s="21"/>
      <c r="O43" s="8">
        <v>45281</v>
      </c>
      <c r="P43" s="20"/>
      <c r="Q43" s="21"/>
      <c r="R43" s="8">
        <v>44943</v>
      </c>
      <c r="S43" s="108"/>
    </row>
    <row r="44" spans="1:19" s="2" customFormat="1" ht="19.649999999999999" customHeight="1" x14ac:dyDescent="0.2">
      <c r="A44" s="219" t="s">
        <v>64</v>
      </c>
      <c r="B44" s="84"/>
      <c r="C44" s="277">
        <v>12</v>
      </c>
      <c r="D44" s="20">
        <v>75</v>
      </c>
      <c r="E44" s="28" t="s">
        <v>23</v>
      </c>
      <c r="F44" s="28" t="s">
        <v>23</v>
      </c>
      <c r="G44" s="29" t="s">
        <v>190</v>
      </c>
      <c r="H44" s="272">
        <v>2</v>
      </c>
      <c r="I44" s="120">
        <v>319</v>
      </c>
      <c r="J44" s="180">
        <f t="shared" si="5"/>
        <v>638</v>
      </c>
      <c r="K44" s="46"/>
      <c r="L44" s="29" t="s">
        <v>289</v>
      </c>
      <c r="M44" s="39"/>
      <c r="N44" s="21"/>
      <c r="O44" s="8">
        <v>45281</v>
      </c>
      <c r="P44" s="20"/>
      <c r="Q44" s="21"/>
      <c r="R44" s="8">
        <v>44943</v>
      </c>
      <c r="S44" s="108"/>
    </row>
    <row r="45" spans="1:19" s="2" customFormat="1" ht="19.649999999999999" customHeight="1" x14ac:dyDescent="0.2">
      <c r="A45" s="219" t="s">
        <v>64</v>
      </c>
      <c r="B45" s="84"/>
      <c r="C45" s="277">
        <v>12</v>
      </c>
      <c r="D45" s="20">
        <v>76</v>
      </c>
      <c r="E45" s="20" t="s">
        <v>23</v>
      </c>
      <c r="F45" s="20" t="s">
        <v>23</v>
      </c>
      <c r="G45" s="12" t="s">
        <v>191</v>
      </c>
      <c r="H45" s="284">
        <v>10</v>
      </c>
      <c r="I45" s="77">
        <v>25</v>
      </c>
      <c r="J45" s="19">
        <f t="shared" si="5"/>
        <v>250</v>
      </c>
      <c r="K45" s="19"/>
      <c r="L45" s="22" t="s">
        <v>192</v>
      </c>
      <c r="M45" s="39"/>
      <c r="N45" s="21"/>
      <c r="O45" s="8">
        <v>45281</v>
      </c>
      <c r="P45" s="20"/>
      <c r="Q45" s="21"/>
      <c r="R45" s="8">
        <v>44943</v>
      </c>
      <c r="S45" s="108"/>
    </row>
    <row r="46" spans="1:19" s="2" customFormat="1" ht="19.649999999999999" customHeight="1" x14ac:dyDescent="0.2">
      <c r="A46" s="219" t="s">
        <v>64</v>
      </c>
      <c r="B46" s="84"/>
      <c r="C46" s="277">
        <v>12</v>
      </c>
      <c r="D46" s="20">
        <v>79</v>
      </c>
      <c r="E46" s="121" t="s">
        <v>408</v>
      </c>
      <c r="F46" s="120" t="s">
        <v>31</v>
      </c>
      <c r="G46" s="31" t="s">
        <v>350</v>
      </c>
      <c r="H46" s="223">
        <v>1</v>
      </c>
      <c r="I46" s="30">
        <v>18441</v>
      </c>
      <c r="J46" s="19">
        <f t="shared" si="5"/>
        <v>18441</v>
      </c>
      <c r="K46" s="72"/>
      <c r="L46" s="31"/>
      <c r="M46" s="39"/>
      <c r="N46" s="21"/>
      <c r="O46" s="8">
        <v>45281</v>
      </c>
      <c r="P46" s="20"/>
      <c r="Q46" s="21"/>
      <c r="R46" s="8">
        <v>44943</v>
      </c>
      <c r="S46" s="108"/>
    </row>
    <row r="47" spans="1:19" s="2" customFormat="1" ht="19.649999999999999" customHeight="1" x14ac:dyDescent="0.2">
      <c r="A47" s="219" t="s">
        <v>284</v>
      </c>
      <c r="B47" s="84"/>
      <c r="C47" s="277">
        <v>12</v>
      </c>
      <c r="D47" s="20"/>
      <c r="E47" s="141" t="s">
        <v>55</v>
      </c>
      <c r="F47" s="304" t="s">
        <v>177</v>
      </c>
      <c r="G47" s="305" t="s">
        <v>448</v>
      </c>
      <c r="H47" s="306">
        <v>1</v>
      </c>
      <c r="I47" s="307">
        <v>19690</v>
      </c>
      <c r="J47" s="308">
        <f t="shared" si="5"/>
        <v>19690</v>
      </c>
      <c r="K47" s="309"/>
      <c r="L47" s="305" t="s">
        <v>449</v>
      </c>
      <c r="M47" s="303" t="s">
        <v>447</v>
      </c>
      <c r="N47" s="21"/>
      <c r="O47" s="8">
        <v>45322</v>
      </c>
      <c r="P47" s="20"/>
      <c r="Q47" s="21"/>
      <c r="R47" s="8">
        <v>45332</v>
      </c>
      <c r="S47" s="108"/>
    </row>
    <row r="48" spans="1:19" s="2" customFormat="1" ht="19.649999999999999" customHeight="1" x14ac:dyDescent="0.2">
      <c r="D48" s="20"/>
      <c r="E48" s="20"/>
      <c r="F48" s="20"/>
      <c r="G48" s="22"/>
      <c r="H48" s="21"/>
      <c r="I48" s="21"/>
      <c r="J48" s="1"/>
      <c r="K48" s="69"/>
      <c r="L48" s="21"/>
      <c r="M48" s="21"/>
      <c r="N48" s="21"/>
      <c r="O48" s="8"/>
      <c r="P48" s="20"/>
      <c r="Q48" s="21"/>
      <c r="R48" s="8"/>
      <c r="S48" s="108"/>
    </row>
    <row r="49" spans="1:19" s="2" customFormat="1" ht="19.649999999999999" customHeight="1" x14ac:dyDescent="0.2">
      <c r="D49" s="20"/>
      <c r="E49" s="20"/>
      <c r="F49" s="20"/>
      <c r="G49" s="54">
        <f>SUM(J14:J48)</f>
        <v>140236</v>
      </c>
      <c r="H49" s="21"/>
      <c r="I49" s="21"/>
      <c r="J49" s="1"/>
      <c r="K49" s="69"/>
      <c r="L49" s="21"/>
      <c r="M49" s="21"/>
      <c r="N49" s="21"/>
      <c r="O49" s="8"/>
      <c r="P49" s="20"/>
      <c r="Q49" s="21"/>
      <c r="R49" s="8"/>
      <c r="S49" s="108"/>
    </row>
    <row r="50" spans="1:19" s="2" customFormat="1" ht="19.649999999999999" customHeight="1" x14ac:dyDescent="0.2">
      <c r="D50" s="20"/>
      <c r="E50" s="20"/>
      <c r="F50" s="20"/>
      <c r="G50" s="83"/>
      <c r="H50" s="21"/>
      <c r="I50" s="21"/>
      <c r="J50" s="1"/>
      <c r="K50" s="69"/>
      <c r="L50" s="21"/>
      <c r="M50" s="21"/>
      <c r="N50" s="21"/>
      <c r="O50" s="8"/>
      <c r="P50" s="20"/>
      <c r="Q50" s="21"/>
      <c r="R50" s="8"/>
      <c r="S50" s="108"/>
    </row>
    <row r="51" spans="1:19" s="2" customFormat="1" ht="19.649999999999999" customHeight="1" x14ac:dyDescent="0.2">
      <c r="D51" s="20"/>
      <c r="E51" s="20"/>
      <c r="F51" s="20"/>
      <c r="G51" s="131"/>
      <c r="H51" s="163"/>
      <c r="I51" s="21"/>
      <c r="J51" s="26"/>
      <c r="K51" s="69"/>
      <c r="L51" s="22"/>
      <c r="M51" s="21"/>
      <c r="N51" s="21"/>
      <c r="O51" s="8"/>
      <c r="P51" s="20"/>
      <c r="Q51" s="21"/>
      <c r="R51" s="8"/>
      <c r="S51" s="108"/>
    </row>
    <row r="52" spans="1:19" s="2" customFormat="1" ht="19.649999999999999" customHeight="1" x14ac:dyDescent="0.2">
      <c r="D52" s="20"/>
      <c r="E52" s="20"/>
      <c r="F52" s="20"/>
      <c r="G52" s="131"/>
      <c r="H52" s="163"/>
      <c r="I52" s="21"/>
      <c r="J52" s="26"/>
      <c r="K52" s="69"/>
      <c r="L52" s="22"/>
      <c r="M52" s="21"/>
      <c r="N52" s="21"/>
      <c r="O52" s="8"/>
      <c r="P52" s="20"/>
      <c r="Q52" s="21"/>
      <c r="R52" s="8"/>
      <c r="S52" s="108"/>
    </row>
    <row r="53" spans="1:19" s="2" customFormat="1" ht="19.649999999999999" customHeight="1" x14ac:dyDescent="0.2">
      <c r="D53" s="20"/>
      <c r="E53" s="20"/>
      <c r="F53" s="20"/>
      <c r="G53" s="131"/>
      <c r="H53" s="163"/>
      <c r="I53" s="21"/>
      <c r="J53" s="26"/>
      <c r="K53" s="69"/>
      <c r="L53" s="22"/>
      <c r="M53" s="21"/>
      <c r="N53" s="21"/>
      <c r="O53" s="8"/>
      <c r="P53" s="20"/>
      <c r="Q53" s="21"/>
      <c r="R53" s="8"/>
      <c r="S53" s="108"/>
    </row>
    <row r="54" spans="1:19" s="2" customFormat="1" ht="19.649999999999999" customHeight="1" x14ac:dyDescent="0.2">
      <c r="D54" s="20"/>
      <c r="E54" s="132" t="s">
        <v>180</v>
      </c>
      <c r="F54" s="146"/>
      <c r="G54" s="147"/>
      <c r="H54" s="163"/>
      <c r="I54" s="21"/>
      <c r="J54" s="26"/>
      <c r="K54" s="69"/>
      <c r="L54" s="22"/>
      <c r="M54" s="21"/>
      <c r="N54" s="21"/>
      <c r="O54" s="8"/>
      <c r="P54" s="20"/>
      <c r="Q54" s="21"/>
      <c r="R54" s="8"/>
      <c r="S54" s="108"/>
    </row>
    <row r="55" spans="1:19" s="2" customFormat="1" ht="19.649999999999999" customHeight="1" x14ac:dyDescent="0.2">
      <c r="A55" s="219" t="s">
        <v>64</v>
      </c>
      <c r="B55" s="84"/>
      <c r="C55" s="280">
        <v>13</v>
      </c>
      <c r="D55" s="20">
        <v>85</v>
      </c>
      <c r="E55" s="28" t="s">
        <v>23</v>
      </c>
      <c r="F55" s="20" t="s">
        <v>23</v>
      </c>
      <c r="G55" s="29" t="s">
        <v>331</v>
      </c>
      <c r="H55" s="40">
        <v>1</v>
      </c>
      <c r="I55" s="30">
        <v>8810</v>
      </c>
      <c r="J55" s="40">
        <f t="shared" ref="J55:J67" si="6">H55*I55</f>
        <v>8810</v>
      </c>
      <c r="K55" s="137"/>
      <c r="L55" s="29" t="s">
        <v>332</v>
      </c>
      <c r="M55" s="21"/>
      <c r="N55" s="21"/>
      <c r="O55" s="8">
        <v>45281</v>
      </c>
      <c r="P55" s="20"/>
      <c r="Q55" s="21"/>
      <c r="R55" s="8">
        <v>44943</v>
      </c>
      <c r="S55" s="108"/>
    </row>
    <row r="56" spans="1:19" s="2" customFormat="1" ht="19.649999999999999" customHeight="1" x14ac:dyDescent="0.2">
      <c r="A56" s="219" t="s">
        <v>300</v>
      </c>
      <c r="B56" s="84"/>
      <c r="C56" s="280">
        <v>13</v>
      </c>
      <c r="D56" s="20">
        <v>86</v>
      </c>
      <c r="E56" s="141" t="s">
        <v>55</v>
      </c>
      <c r="F56" s="148" t="s">
        <v>23</v>
      </c>
      <c r="G56" s="78" t="s">
        <v>302</v>
      </c>
      <c r="H56" s="163">
        <v>1</v>
      </c>
      <c r="I56" s="39">
        <v>2180</v>
      </c>
      <c r="J56" s="58">
        <f t="shared" si="6"/>
        <v>2180</v>
      </c>
      <c r="K56" s="69"/>
      <c r="L56" s="22" t="s">
        <v>401</v>
      </c>
      <c r="M56" s="21"/>
      <c r="N56" s="21"/>
      <c r="O56" s="8">
        <v>45281</v>
      </c>
      <c r="P56" s="20"/>
      <c r="Q56" s="21"/>
      <c r="R56" s="8">
        <v>44943</v>
      </c>
      <c r="S56" s="108"/>
    </row>
    <row r="57" spans="1:19" s="2" customFormat="1" ht="19.649999999999999" customHeight="1" x14ac:dyDescent="0.2">
      <c r="A57" s="219" t="s">
        <v>300</v>
      </c>
      <c r="B57" s="84"/>
      <c r="C57" s="323">
        <v>14</v>
      </c>
      <c r="D57" s="20">
        <v>86</v>
      </c>
      <c r="E57" s="141" t="s">
        <v>55</v>
      </c>
      <c r="F57" s="148" t="s">
        <v>23</v>
      </c>
      <c r="G57" s="324" t="s">
        <v>464</v>
      </c>
      <c r="H57" s="317">
        <v>1</v>
      </c>
      <c r="I57" s="303">
        <v>2180</v>
      </c>
      <c r="J57" s="58">
        <f t="shared" si="6"/>
        <v>2180</v>
      </c>
      <c r="K57" s="69"/>
      <c r="L57" s="22" t="s">
        <v>462</v>
      </c>
      <c r="M57" s="21" t="s">
        <v>463</v>
      </c>
      <c r="N57" s="21"/>
      <c r="O57" s="8">
        <v>45359</v>
      </c>
      <c r="P57" s="20"/>
      <c r="Q57" s="100">
        <v>45364</v>
      </c>
      <c r="R57" s="8"/>
      <c r="S57" s="108"/>
    </row>
    <row r="58" spans="1:19" s="2" customFormat="1" ht="19.649999999999999" customHeight="1" x14ac:dyDescent="0.2">
      <c r="A58" s="219" t="s">
        <v>103</v>
      </c>
      <c r="B58" s="84"/>
      <c r="C58" s="280">
        <v>13</v>
      </c>
      <c r="D58" s="20">
        <v>87</v>
      </c>
      <c r="E58" s="20" t="s">
        <v>23</v>
      </c>
      <c r="F58" s="20" t="s">
        <v>23</v>
      </c>
      <c r="G58" s="78" t="s">
        <v>305</v>
      </c>
      <c r="H58" s="163">
        <v>4</v>
      </c>
      <c r="I58" s="39">
        <v>104</v>
      </c>
      <c r="J58" s="58">
        <f t="shared" si="6"/>
        <v>416</v>
      </c>
      <c r="K58" s="69"/>
      <c r="L58" s="22" t="s">
        <v>306</v>
      </c>
      <c r="M58" s="21"/>
      <c r="N58" s="21"/>
      <c r="O58" s="8">
        <v>45281</v>
      </c>
      <c r="P58" s="20"/>
      <c r="Q58" s="21"/>
      <c r="R58" s="8">
        <v>44943</v>
      </c>
      <c r="S58" s="108"/>
    </row>
    <row r="59" spans="1:19" s="2" customFormat="1" ht="19.649999999999999" customHeight="1" x14ac:dyDescent="0.2">
      <c r="A59" s="219" t="s">
        <v>300</v>
      </c>
      <c r="B59" s="84"/>
      <c r="C59" s="280">
        <v>13</v>
      </c>
      <c r="D59" s="20">
        <v>88</v>
      </c>
      <c r="E59" s="141" t="s">
        <v>55</v>
      </c>
      <c r="F59" s="148" t="s">
        <v>23</v>
      </c>
      <c r="G59" s="75" t="s">
        <v>333</v>
      </c>
      <c r="H59" s="163">
        <v>1</v>
      </c>
      <c r="I59" s="21">
        <v>3160</v>
      </c>
      <c r="J59" s="58">
        <f t="shared" si="6"/>
        <v>3160</v>
      </c>
      <c r="K59" s="69"/>
      <c r="L59" s="22" t="s">
        <v>406</v>
      </c>
      <c r="M59" s="21"/>
      <c r="N59" s="21"/>
      <c r="O59" s="8">
        <v>45281</v>
      </c>
      <c r="P59" s="20"/>
      <c r="Q59" s="21"/>
      <c r="R59" s="8">
        <v>44943</v>
      </c>
      <c r="S59" s="108"/>
    </row>
    <row r="60" spans="1:19" s="2" customFormat="1" ht="19.649999999999999" customHeight="1" x14ac:dyDescent="0.2">
      <c r="A60" s="219" t="s">
        <v>64</v>
      </c>
      <c r="B60" s="84"/>
      <c r="C60" s="280">
        <v>13</v>
      </c>
      <c r="D60" s="20">
        <v>90</v>
      </c>
      <c r="E60" s="28" t="s">
        <v>23</v>
      </c>
      <c r="F60" s="28" t="s">
        <v>23</v>
      </c>
      <c r="G60" s="75" t="s">
        <v>334</v>
      </c>
      <c r="H60" s="163">
        <v>4</v>
      </c>
      <c r="I60" s="21">
        <v>43</v>
      </c>
      <c r="J60" s="128">
        <f t="shared" si="6"/>
        <v>172</v>
      </c>
      <c r="K60" s="69"/>
      <c r="L60" s="22" t="s">
        <v>310</v>
      </c>
      <c r="M60" s="21"/>
      <c r="N60" s="21"/>
      <c r="O60" s="8">
        <v>45281</v>
      </c>
      <c r="P60" s="20"/>
      <c r="Q60" s="21"/>
      <c r="R60" s="8">
        <v>44943</v>
      </c>
      <c r="S60" s="108"/>
    </row>
    <row r="61" spans="1:19" s="2" customFormat="1" ht="19.649999999999999" customHeight="1" x14ac:dyDescent="0.2">
      <c r="A61" s="219" t="s">
        <v>64</v>
      </c>
      <c r="B61" s="84"/>
      <c r="C61" s="280">
        <v>13</v>
      </c>
      <c r="D61" s="20">
        <v>91</v>
      </c>
      <c r="E61" s="28" t="s">
        <v>23</v>
      </c>
      <c r="F61" s="28" t="s">
        <v>23</v>
      </c>
      <c r="G61" s="75" t="s">
        <v>309</v>
      </c>
      <c r="H61" s="163">
        <v>2</v>
      </c>
      <c r="I61" s="21">
        <v>41</v>
      </c>
      <c r="J61" s="128">
        <f t="shared" si="6"/>
        <v>82</v>
      </c>
      <c r="K61" s="69"/>
      <c r="L61" s="22" t="s">
        <v>311</v>
      </c>
      <c r="M61" s="21"/>
      <c r="N61" s="21"/>
      <c r="O61" s="8">
        <v>45281</v>
      </c>
      <c r="P61" s="20"/>
      <c r="Q61" s="21"/>
      <c r="R61" s="8">
        <v>44943</v>
      </c>
      <c r="S61" s="108"/>
    </row>
    <row r="62" spans="1:19" s="2" customFormat="1" ht="19.649999999999999" customHeight="1" x14ac:dyDescent="0.2">
      <c r="A62" s="219" t="s">
        <v>64</v>
      </c>
      <c r="B62" s="84"/>
      <c r="C62" s="280">
        <v>13</v>
      </c>
      <c r="D62" s="20">
        <v>92</v>
      </c>
      <c r="E62" s="28" t="s">
        <v>23</v>
      </c>
      <c r="F62" s="28" t="s">
        <v>23</v>
      </c>
      <c r="G62" s="75" t="s">
        <v>330</v>
      </c>
      <c r="H62" s="163">
        <v>4</v>
      </c>
      <c r="I62" s="21">
        <v>92</v>
      </c>
      <c r="J62" s="128">
        <f t="shared" si="6"/>
        <v>368</v>
      </c>
      <c r="K62" s="69"/>
      <c r="L62" s="22" t="s">
        <v>312</v>
      </c>
      <c r="M62" s="21"/>
      <c r="N62" s="21"/>
      <c r="O62" s="8">
        <v>45281</v>
      </c>
      <c r="P62" s="20"/>
      <c r="Q62" s="21"/>
      <c r="R62" s="8">
        <v>44943</v>
      </c>
      <c r="S62" s="108"/>
    </row>
    <row r="63" spans="1:19" s="2" customFormat="1" ht="19.649999999999999" customHeight="1" x14ac:dyDescent="0.2">
      <c r="A63" s="219" t="s">
        <v>300</v>
      </c>
      <c r="B63" s="84"/>
      <c r="C63" s="280">
        <v>13</v>
      </c>
      <c r="D63" s="20">
        <v>93</v>
      </c>
      <c r="E63" s="141" t="s">
        <v>55</v>
      </c>
      <c r="F63" s="148" t="s">
        <v>23</v>
      </c>
      <c r="G63" s="75" t="s">
        <v>335</v>
      </c>
      <c r="H63" s="163">
        <v>1</v>
      </c>
      <c r="I63" s="21">
        <v>3160</v>
      </c>
      <c r="J63" s="58">
        <f t="shared" si="6"/>
        <v>3160</v>
      </c>
      <c r="K63" s="69"/>
      <c r="L63" s="22" t="s">
        <v>404</v>
      </c>
      <c r="M63" s="21"/>
      <c r="N63" s="21"/>
      <c r="O63" s="8">
        <v>45281</v>
      </c>
      <c r="P63" s="20"/>
      <c r="Q63" s="21"/>
      <c r="R63" s="8">
        <v>44943</v>
      </c>
      <c r="S63" s="108"/>
    </row>
    <row r="64" spans="1:19" s="2" customFormat="1" ht="19.649999999999999" customHeight="1" x14ac:dyDescent="0.2">
      <c r="A64" s="219" t="s">
        <v>64</v>
      </c>
      <c r="B64" s="273"/>
      <c r="C64" s="280">
        <v>13</v>
      </c>
      <c r="D64" s="20">
        <v>95</v>
      </c>
      <c r="E64" s="20" t="s">
        <v>23</v>
      </c>
      <c r="F64" s="20" t="s">
        <v>23</v>
      </c>
      <c r="G64" s="78" t="s">
        <v>26</v>
      </c>
      <c r="H64" s="21">
        <v>2</v>
      </c>
      <c r="I64" s="138">
        <v>72</v>
      </c>
      <c r="J64" s="39">
        <f t="shared" si="6"/>
        <v>144</v>
      </c>
      <c r="K64" s="1"/>
      <c r="L64" s="25" t="s">
        <v>27</v>
      </c>
      <c r="M64" s="21"/>
      <c r="N64" s="21"/>
      <c r="O64" s="8">
        <v>45281</v>
      </c>
      <c r="P64" s="20"/>
      <c r="Q64" s="21"/>
      <c r="R64" s="8">
        <v>44943</v>
      </c>
      <c r="S64" s="108"/>
    </row>
    <row r="65" spans="1:19" s="2" customFormat="1" ht="19.649999999999999" customHeight="1" x14ac:dyDescent="0.2">
      <c r="A65" s="219" t="s">
        <v>64</v>
      </c>
      <c r="B65" s="273"/>
      <c r="C65" s="280">
        <v>13</v>
      </c>
      <c r="D65" s="20">
        <v>96</v>
      </c>
      <c r="E65" s="20" t="s">
        <v>23</v>
      </c>
      <c r="F65" s="20" t="s">
        <v>23</v>
      </c>
      <c r="G65" s="78" t="s">
        <v>28</v>
      </c>
      <c r="H65" s="21">
        <v>2</v>
      </c>
      <c r="I65" s="138">
        <v>31</v>
      </c>
      <c r="J65" s="39">
        <f t="shared" si="6"/>
        <v>62</v>
      </c>
      <c r="K65" s="1"/>
      <c r="L65" s="25" t="s">
        <v>29</v>
      </c>
      <c r="M65" s="21"/>
      <c r="N65" s="21"/>
      <c r="O65" s="8">
        <v>45281</v>
      </c>
      <c r="P65" s="20"/>
      <c r="Q65" s="21"/>
      <c r="R65" s="8">
        <v>44943</v>
      </c>
      <c r="S65" s="108"/>
    </row>
    <row r="66" spans="1:19" s="2" customFormat="1" ht="19.649999999999999" customHeight="1" x14ac:dyDescent="0.2">
      <c r="A66" s="219" t="s">
        <v>64</v>
      </c>
      <c r="B66" s="273"/>
      <c r="C66" s="280">
        <v>13</v>
      </c>
      <c r="D66" s="20">
        <v>97</v>
      </c>
      <c r="E66" s="28" t="s">
        <v>23</v>
      </c>
      <c r="F66" s="28" t="s">
        <v>23</v>
      </c>
      <c r="G66" s="75" t="s">
        <v>334</v>
      </c>
      <c r="H66" s="163">
        <v>4</v>
      </c>
      <c r="I66" s="21">
        <v>29</v>
      </c>
      <c r="J66" s="128">
        <f t="shared" si="6"/>
        <v>116</v>
      </c>
      <c r="K66" s="69"/>
      <c r="L66" s="22" t="s">
        <v>310</v>
      </c>
      <c r="M66" s="21"/>
      <c r="N66" s="21"/>
      <c r="O66" s="8">
        <v>45281</v>
      </c>
      <c r="P66" s="20"/>
      <c r="Q66" s="21"/>
      <c r="R66" s="8">
        <v>44943</v>
      </c>
      <c r="S66" s="108"/>
    </row>
    <row r="67" spans="1:19" s="2" customFormat="1" ht="19.649999999999999" customHeight="1" x14ac:dyDescent="0.2">
      <c r="A67" s="219" t="s">
        <v>64</v>
      </c>
      <c r="B67" s="273"/>
      <c r="C67" s="280">
        <v>13</v>
      </c>
      <c r="D67" s="20">
        <v>98</v>
      </c>
      <c r="E67" s="28" t="s">
        <v>23</v>
      </c>
      <c r="F67" s="28" t="s">
        <v>23</v>
      </c>
      <c r="G67" s="75" t="s">
        <v>336</v>
      </c>
      <c r="H67" s="163">
        <v>4</v>
      </c>
      <c r="I67" s="21">
        <v>92</v>
      </c>
      <c r="J67" s="128">
        <f t="shared" si="6"/>
        <v>368</v>
      </c>
      <c r="K67" s="69"/>
      <c r="L67" s="22" t="s">
        <v>312</v>
      </c>
      <c r="M67" s="21"/>
      <c r="N67" s="21"/>
      <c r="O67" s="8">
        <v>45281</v>
      </c>
      <c r="P67" s="20"/>
      <c r="Q67" s="21"/>
      <c r="R67" s="8">
        <v>44943</v>
      </c>
      <c r="S67" s="108"/>
    </row>
    <row r="68" spans="1:19" s="2" customFormat="1" ht="19.2" customHeight="1" x14ac:dyDescent="0.2">
      <c r="A68" s="219" t="s">
        <v>111</v>
      </c>
      <c r="B68" s="273"/>
      <c r="C68" s="280">
        <v>13</v>
      </c>
      <c r="D68" s="20">
        <v>99</v>
      </c>
      <c r="E68" s="141" t="s">
        <v>55</v>
      </c>
      <c r="F68" s="148" t="s">
        <v>23</v>
      </c>
      <c r="G68" s="75" t="s">
        <v>303</v>
      </c>
      <c r="H68" s="163">
        <v>1</v>
      </c>
      <c r="I68" s="21">
        <v>13097</v>
      </c>
      <c r="J68" s="58">
        <f>H68*I68</f>
        <v>13097</v>
      </c>
      <c r="K68" s="69"/>
      <c r="L68" s="22" t="s">
        <v>402</v>
      </c>
      <c r="M68" s="21"/>
      <c r="N68" s="21"/>
      <c r="O68" s="8">
        <v>45281</v>
      </c>
      <c r="P68" s="20"/>
      <c r="Q68" s="21"/>
      <c r="R68" s="8">
        <v>44943</v>
      </c>
      <c r="S68" s="108"/>
    </row>
    <row r="69" spans="1:19" s="2" customFormat="1" ht="19.2" customHeight="1" x14ac:dyDescent="0.2">
      <c r="A69" s="219" t="s">
        <v>142</v>
      </c>
      <c r="B69" s="273"/>
      <c r="C69" s="280">
        <v>13</v>
      </c>
      <c r="D69" s="20">
        <v>100</v>
      </c>
      <c r="E69" s="28" t="s">
        <v>23</v>
      </c>
      <c r="F69" s="28" t="s">
        <v>23</v>
      </c>
      <c r="G69" s="75" t="s">
        <v>315</v>
      </c>
      <c r="H69" s="163">
        <v>4</v>
      </c>
      <c r="I69" s="21">
        <v>1180</v>
      </c>
      <c r="J69" s="58">
        <f>H69*I69</f>
        <v>4720</v>
      </c>
      <c r="K69" s="69"/>
      <c r="L69" s="22" t="s">
        <v>316</v>
      </c>
      <c r="M69" s="21"/>
      <c r="N69" s="21"/>
      <c r="O69" s="8">
        <v>45281</v>
      </c>
      <c r="P69" s="20"/>
      <c r="Q69" s="21"/>
      <c r="R69" s="8">
        <v>44943</v>
      </c>
      <c r="S69" s="108"/>
    </row>
    <row r="70" spans="1:19" s="2" customFormat="1" ht="19.2" customHeight="1" x14ac:dyDescent="0.2">
      <c r="A70" s="219" t="s">
        <v>65</v>
      </c>
      <c r="B70" s="273"/>
      <c r="C70" s="280">
        <v>13</v>
      </c>
      <c r="D70" s="20">
        <v>102</v>
      </c>
      <c r="E70" s="28" t="s">
        <v>23</v>
      </c>
      <c r="F70" s="28" t="s">
        <v>23</v>
      </c>
      <c r="G70" s="75" t="s">
        <v>313</v>
      </c>
      <c r="H70" s="163">
        <v>2</v>
      </c>
      <c r="I70" s="21">
        <v>1190</v>
      </c>
      <c r="J70" s="19">
        <f t="shared" ref="J70:J75" si="7">H70*I70</f>
        <v>2380</v>
      </c>
      <c r="K70" s="69"/>
      <c r="L70" s="22" t="s">
        <v>317</v>
      </c>
      <c r="M70" s="21"/>
      <c r="N70" s="21"/>
      <c r="O70" s="8">
        <v>45281</v>
      </c>
      <c r="P70" s="20"/>
      <c r="Q70" s="21"/>
      <c r="R70" s="8">
        <v>44943</v>
      </c>
      <c r="S70" s="108"/>
    </row>
    <row r="71" spans="1:19" s="2" customFormat="1" ht="19.2" customHeight="1" x14ac:dyDescent="0.2">
      <c r="A71" s="219" t="s">
        <v>65</v>
      </c>
      <c r="B71" s="273"/>
      <c r="C71" s="280">
        <v>13</v>
      </c>
      <c r="D71" s="20">
        <v>103</v>
      </c>
      <c r="E71" s="28" t="s">
        <v>23</v>
      </c>
      <c r="F71" s="28" t="s">
        <v>23</v>
      </c>
      <c r="G71" s="45" t="s">
        <v>314</v>
      </c>
      <c r="H71" s="28">
        <v>2</v>
      </c>
      <c r="I71" s="21">
        <v>1330</v>
      </c>
      <c r="J71" s="19">
        <f t="shared" si="7"/>
        <v>2660</v>
      </c>
      <c r="K71" s="69"/>
      <c r="L71" s="22" t="s">
        <v>318</v>
      </c>
      <c r="M71" s="21"/>
      <c r="N71" s="21"/>
      <c r="O71" s="8">
        <v>45281</v>
      </c>
      <c r="P71" s="20"/>
      <c r="Q71" s="21"/>
      <c r="R71" s="8">
        <v>44943</v>
      </c>
      <c r="S71" s="108"/>
    </row>
    <row r="72" spans="1:19" s="2" customFormat="1" ht="19.649999999999999" customHeight="1" x14ac:dyDescent="0.2">
      <c r="A72" s="219" t="s">
        <v>111</v>
      </c>
      <c r="B72" s="273"/>
      <c r="C72" s="280">
        <v>13</v>
      </c>
      <c r="D72" s="20">
        <v>104</v>
      </c>
      <c r="E72" s="141" t="s">
        <v>55</v>
      </c>
      <c r="F72" s="148" t="s">
        <v>23</v>
      </c>
      <c r="G72" s="75" t="s">
        <v>301</v>
      </c>
      <c r="H72" s="163">
        <v>1</v>
      </c>
      <c r="I72" s="21">
        <v>19334</v>
      </c>
      <c r="J72" s="19">
        <f t="shared" si="7"/>
        <v>19334</v>
      </c>
      <c r="K72" s="69"/>
      <c r="L72" s="22" t="s">
        <v>403</v>
      </c>
      <c r="M72" s="21"/>
      <c r="N72" s="21"/>
      <c r="O72" s="8">
        <v>45281</v>
      </c>
      <c r="P72" s="20"/>
      <c r="Q72" s="21"/>
      <c r="R72" s="8">
        <v>44943</v>
      </c>
      <c r="S72" s="108"/>
    </row>
    <row r="73" spans="1:19" s="2" customFormat="1" ht="19.649999999999999" customHeight="1" x14ac:dyDescent="0.2">
      <c r="A73" s="219" t="s">
        <v>223</v>
      </c>
      <c r="B73" s="273"/>
      <c r="C73" s="280">
        <v>13</v>
      </c>
      <c r="D73" s="20">
        <v>105</v>
      </c>
      <c r="E73" s="28" t="s">
        <v>23</v>
      </c>
      <c r="F73" s="28" t="s">
        <v>23</v>
      </c>
      <c r="G73" s="75" t="s">
        <v>319</v>
      </c>
      <c r="H73" s="163">
        <v>2</v>
      </c>
      <c r="I73" s="21">
        <v>1200</v>
      </c>
      <c r="J73" s="19">
        <f t="shared" si="7"/>
        <v>2400</v>
      </c>
      <c r="K73" s="69"/>
      <c r="L73" s="22" t="s">
        <v>317</v>
      </c>
      <c r="M73" s="21"/>
      <c r="N73" s="21"/>
      <c r="O73" s="8">
        <v>45281</v>
      </c>
      <c r="P73" s="20"/>
      <c r="Q73" s="21"/>
      <c r="R73" s="8">
        <v>44943</v>
      </c>
      <c r="S73" s="108"/>
    </row>
    <row r="74" spans="1:19" s="2" customFormat="1" ht="19.649999999999999" customHeight="1" x14ac:dyDescent="0.2">
      <c r="A74" s="219" t="s">
        <v>64</v>
      </c>
      <c r="B74" s="273"/>
      <c r="C74" s="280">
        <v>13</v>
      </c>
      <c r="D74" s="20">
        <v>108</v>
      </c>
      <c r="E74" s="28" t="s">
        <v>23</v>
      </c>
      <c r="F74" s="28" t="s">
        <v>23</v>
      </c>
      <c r="G74" s="75" t="s">
        <v>320</v>
      </c>
      <c r="H74" s="163">
        <v>10</v>
      </c>
      <c r="I74" s="21">
        <v>26</v>
      </c>
      <c r="J74" s="19">
        <f t="shared" si="7"/>
        <v>260</v>
      </c>
      <c r="K74" s="69"/>
      <c r="L74" s="22" t="s">
        <v>321</v>
      </c>
      <c r="M74" s="21"/>
      <c r="N74" s="21"/>
      <c r="O74" s="8">
        <v>45281</v>
      </c>
      <c r="P74" s="20"/>
      <c r="Q74" s="21"/>
      <c r="R74" s="8">
        <v>44943</v>
      </c>
      <c r="S74" s="108"/>
    </row>
    <row r="75" spans="1:19" s="2" customFormat="1" ht="19.649999999999999" customHeight="1" x14ac:dyDescent="0.2">
      <c r="A75" s="219" t="s">
        <v>111</v>
      </c>
      <c r="B75" s="273"/>
      <c r="C75" s="280">
        <v>13</v>
      </c>
      <c r="D75" s="20">
        <v>109</v>
      </c>
      <c r="E75" s="141" t="s">
        <v>55</v>
      </c>
      <c r="F75" s="148" t="s">
        <v>23</v>
      </c>
      <c r="G75" s="78" t="s">
        <v>304</v>
      </c>
      <c r="H75" s="163">
        <v>1</v>
      </c>
      <c r="I75" s="39">
        <v>12313</v>
      </c>
      <c r="J75" s="58">
        <f t="shared" si="7"/>
        <v>12313</v>
      </c>
      <c r="K75" s="69"/>
      <c r="L75" s="22" t="s">
        <v>405</v>
      </c>
      <c r="M75" s="21"/>
      <c r="N75" s="21"/>
      <c r="O75" s="8">
        <v>45281</v>
      </c>
      <c r="P75" s="20"/>
      <c r="Q75" s="21"/>
      <c r="R75" s="8">
        <v>44943</v>
      </c>
      <c r="S75" s="108"/>
    </row>
    <row r="76" spans="1:19" s="2" customFormat="1" ht="19.2" customHeight="1" x14ac:dyDescent="0.2">
      <c r="A76" s="21"/>
      <c r="B76" s="21"/>
      <c r="C76" s="21"/>
      <c r="D76" s="20"/>
      <c r="E76" s="148"/>
      <c r="F76" s="148"/>
      <c r="G76" s="75"/>
      <c r="H76" s="163"/>
      <c r="I76" s="21"/>
      <c r="J76" s="58"/>
      <c r="K76" s="69"/>
      <c r="L76" s="22"/>
      <c r="M76" s="21"/>
      <c r="N76" s="21"/>
      <c r="O76" s="8"/>
      <c r="P76" s="20"/>
      <c r="Q76" s="21"/>
      <c r="R76" s="8"/>
      <c r="S76" s="108"/>
    </row>
    <row r="77" spans="1:19" s="2" customFormat="1" ht="19.649999999999999" customHeight="1" x14ac:dyDescent="0.2">
      <c r="D77" s="20"/>
      <c r="E77" s="20"/>
      <c r="F77" s="20"/>
      <c r="G77" s="131"/>
      <c r="H77" s="163"/>
      <c r="I77" s="21"/>
      <c r="J77" s="26"/>
      <c r="K77" s="69"/>
      <c r="L77" s="22"/>
      <c r="M77" s="21"/>
      <c r="N77" s="21"/>
      <c r="O77" s="8"/>
      <c r="P77" s="20"/>
      <c r="Q77" s="21"/>
      <c r="R77" s="8"/>
      <c r="S77" s="108"/>
    </row>
    <row r="78" spans="1:19" s="2" customFormat="1" ht="19.649999999999999" customHeight="1" x14ac:dyDescent="0.2">
      <c r="D78" s="20"/>
      <c r="E78" s="20"/>
      <c r="F78" s="20"/>
      <c r="G78" s="37">
        <f>SUM(J55:J76)</f>
        <v>78382</v>
      </c>
      <c r="H78" s="163"/>
      <c r="I78" s="21"/>
      <c r="J78" s="26"/>
      <c r="K78" s="69"/>
      <c r="L78" s="22"/>
      <c r="M78" s="21"/>
      <c r="N78" s="21"/>
      <c r="O78" s="8"/>
      <c r="P78" s="20"/>
      <c r="Q78" s="21"/>
      <c r="R78" s="8"/>
      <c r="S78" s="108"/>
    </row>
    <row r="79" spans="1:19" s="2" customFormat="1" ht="19.649999999999999" customHeight="1" x14ac:dyDescent="0.2">
      <c r="D79" s="20"/>
      <c r="E79" s="20"/>
      <c r="F79" s="20"/>
      <c r="G79" s="131"/>
      <c r="H79" s="163"/>
      <c r="I79" s="21"/>
      <c r="J79" s="26"/>
      <c r="K79" s="69"/>
      <c r="L79" s="22"/>
      <c r="M79" s="21"/>
      <c r="N79" s="21"/>
      <c r="O79" s="8"/>
      <c r="P79" s="20"/>
      <c r="Q79" s="21"/>
      <c r="R79" s="8"/>
      <c r="S79" s="108"/>
    </row>
    <row r="80" spans="1:19" s="2" customFormat="1" ht="19.649999999999999" customHeight="1" x14ac:dyDescent="0.2">
      <c r="D80" s="20"/>
      <c r="E80" s="20"/>
      <c r="F80" s="20"/>
      <c r="G80" s="131"/>
      <c r="H80" s="163"/>
      <c r="I80" s="21"/>
      <c r="J80" s="26"/>
      <c r="K80" s="69"/>
      <c r="L80" s="22"/>
      <c r="M80" s="21"/>
      <c r="N80" s="21"/>
      <c r="O80" s="8"/>
      <c r="P80" s="20"/>
      <c r="Q80" s="21"/>
      <c r="R80" s="8"/>
      <c r="S80" s="108"/>
    </row>
    <row r="81" spans="1:19" s="2" customFormat="1" ht="19.649999999999999" customHeight="1" x14ac:dyDescent="0.2">
      <c r="D81" s="20"/>
      <c r="E81" s="20"/>
      <c r="F81" s="20"/>
      <c r="G81" s="21"/>
      <c r="H81" s="21"/>
      <c r="I81" s="21"/>
      <c r="J81" s="1"/>
      <c r="K81" s="69"/>
      <c r="L81" s="21"/>
      <c r="M81" s="21"/>
      <c r="N81" s="21"/>
      <c r="O81" s="8"/>
      <c r="P81" s="20"/>
      <c r="Q81" s="21"/>
      <c r="R81" s="8"/>
      <c r="S81" s="108"/>
    </row>
    <row r="82" spans="1:19" s="2" customFormat="1" ht="19.649999999999999" customHeight="1" x14ac:dyDescent="0.2">
      <c r="D82" s="20"/>
      <c r="E82" s="132" t="s">
        <v>81</v>
      </c>
      <c r="F82" s="103"/>
      <c r="G82" s="104"/>
      <c r="H82" s="21"/>
      <c r="I82" s="21"/>
      <c r="J82" s="1"/>
      <c r="K82" s="69"/>
      <c r="L82" s="21"/>
      <c r="M82" s="21"/>
      <c r="N82" s="21"/>
      <c r="O82" s="8"/>
      <c r="P82" s="20"/>
      <c r="Q82" s="21"/>
      <c r="R82" s="8"/>
      <c r="S82" s="108"/>
    </row>
    <row r="83" spans="1:19" s="2" customFormat="1" ht="19.649999999999999" customHeight="1" x14ac:dyDescent="0.2">
      <c r="A83" s="219" t="s">
        <v>63</v>
      </c>
      <c r="B83" s="84"/>
      <c r="C83" s="279">
        <v>15</v>
      </c>
      <c r="D83" s="20">
        <v>113</v>
      </c>
      <c r="E83" s="20" t="s">
        <v>23</v>
      </c>
      <c r="F83" s="20" t="s">
        <v>23</v>
      </c>
      <c r="G83" s="78" t="s">
        <v>26</v>
      </c>
      <c r="H83" s="21">
        <v>2</v>
      </c>
      <c r="I83" s="138">
        <v>72</v>
      </c>
      <c r="J83" s="39">
        <f t="shared" ref="J83:J91" si="8">H83*I83</f>
        <v>144</v>
      </c>
      <c r="K83" s="1"/>
      <c r="L83" s="25" t="s">
        <v>27</v>
      </c>
      <c r="M83" s="95" t="s">
        <v>99</v>
      </c>
      <c r="N83" s="21"/>
      <c r="O83" s="8">
        <v>45281</v>
      </c>
      <c r="P83" s="20"/>
      <c r="Q83" s="21"/>
      <c r="R83" s="8">
        <v>44943</v>
      </c>
      <c r="S83" s="108"/>
    </row>
    <row r="84" spans="1:19" s="2" customFormat="1" ht="19.649999999999999" customHeight="1" x14ac:dyDescent="0.2">
      <c r="A84" s="219" t="s">
        <v>63</v>
      </c>
      <c r="B84" s="84"/>
      <c r="C84" s="279">
        <v>15</v>
      </c>
      <c r="D84" s="20">
        <v>114</v>
      </c>
      <c r="E84" s="21" t="s">
        <v>23</v>
      </c>
      <c r="F84" s="21" t="s">
        <v>23</v>
      </c>
      <c r="G84" s="44" t="s">
        <v>42</v>
      </c>
      <c r="H84" s="119">
        <v>4</v>
      </c>
      <c r="I84" s="120">
        <v>70</v>
      </c>
      <c r="J84" s="55">
        <f t="shared" si="8"/>
        <v>280</v>
      </c>
      <c r="K84" s="1"/>
      <c r="L84" s="44" t="s">
        <v>43</v>
      </c>
      <c r="M84" s="95" t="s">
        <v>100</v>
      </c>
      <c r="N84" s="21"/>
      <c r="O84" s="8">
        <v>45281</v>
      </c>
      <c r="P84" s="20"/>
      <c r="Q84" s="21"/>
      <c r="R84" s="8">
        <v>44943</v>
      </c>
      <c r="S84" s="108"/>
    </row>
    <row r="85" spans="1:19" s="2" customFormat="1" ht="19.649999999999999" customHeight="1" x14ac:dyDescent="0.2">
      <c r="A85" s="219" t="s">
        <v>64</v>
      </c>
      <c r="B85" s="84"/>
      <c r="C85" s="279">
        <v>15</v>
      </c>
      <c r="D85" s="20">
        <v>116</v>
      </c>
      <c r="E85" s="20" t="s">
        <v>23</v>
      </c>
      <c r="F85" s="20" t="s">
        <v>23</v>
      </c>
      <c r="G85" s="78" t="s">
        <v>28</v>
      </c>
      <c r="H85" s="21">
        <v>2</v>
      </c>
      <c r="I85" s="138">
        <v>31</v>
      </c>
      <c r="J85" s="39">
        <f t="shared" si="8"/>
        <v>62</v>
      </c>
      <c r="K85" s="1"/>
      <c r="L85" s="25" t="s">
        <v>29</v>
      </c>
      <c r="M85" s="95" t="s">
        <v>100</v>
      </c>
      <c r="N85" s="21"/>
      <c r="O85" s="8">
        <v>45281</v>
      </c>
      <c r="P85" s="20"/>
      <c r="Q85" s="21"/>
      <c r="R85" s="8">
        <v>44943</v>
      </c>
      <c r="S85" s="108"/>
    </row>
    <row r="86" spans="1:19" s="2" customFormat="1" ht="19.649999999999999" customHeight="1" x14ac:dyDescent="0.2">
      <c r="A86" s="219" t="s">
        <v>63</v>
      </c>
      <c r="B86" s="84"/>
      <c r="C86" s="279">
        <v>15</v>
      </c>
      <c r="D86" s="20">
        <v>117</v>
      </c>
      <c r="E86" s="23" t="s">
        <v>23</v>
      </c>
      <c r="F86" s="23" t="s">
        <v>23</v>
      </c>
      <c r="G86" s="36" t="s">
        <v>178</v>
      </c>
      <c r="H86" s="46">
        <v>10</v>
      </c>
      <c r="I86" s="98">
        <v>32</v>
      </c>
      <c r="J86" s="98">
        <f t="shared" si="8"/>
        <v>320</v>
      </c>
      <c r="K86" s="46"/>
      <c r="L86" s="36" t="s">
        <v>179</v>
      </c>
      <c r="M86" s="95" t="s">
        <v>100</v>
      </c>
      <c r="N86" s="21"/>
      <c r="O86" s="8">
        <v>45281</v>
      </c>
      <c r="P86" s="20"/>
      <c r="Q86" s="21"/>
      <c r="R86" s="8">
        <v>44943</v>
      </c>
      <c r="S86" s="108"/>
    </row>
    <row r="87" spans="1:19" s="2" customFormat="1" ht="19.649999999999999" customHeight="1" x14ac:dyDescent="0.2">
      <c r="A87" s="219" t="s">
        <v>63</v>
      </c>
      <c r="B87" s="84"/>
      <c r="C87" s="279">
        <v>15</v>
      </c>
      <c r="D87" s="20">
        <v>118</v>
      </c>
      <c r="E87" s="141" t="s">
        <v>55</v>
      </c>
      <c r="F87" s="148" t="s">
        <v>23</v>
      </c>
      <c r="G87" s="286" t="s">
        <v>134</v>
      </c>
      <c r="H87" s="30">
        <v>1</v>
      </c>
      <c r="I87" s="26">
        <v>4500</v>
      </c>
      <c r="J87" s="26">
        <f t="shared" si="8"/>
        <v>4500</v>
      </c>
      <c r="K87" s="117"/>
      <c r="L87" s="33" t="s">
        <v>135</v>
      </c>
      <c r="M87" s="95" t="s">
        <v>100</v>
      </c>
      <c r="N87" s="21"/>
      <c r="O87" s="8">
        <v>45281</v>
      </c>
      <c r="P87" s="20"/>
      <c r="Q87" s="21"/>
      <c r="R87" s="8">
        <v>44943</v>
      </c>
      <c r="S87" s="108"/>
    </row>
    <row r="88" spans="1:19" s="2" customFormat="1" ht="19.649999999999999" customHeight="1" x14ac:dyDescent="0.2">
      <c r="A88" s="219" t="s">
        <v>63</v>
      </c>
      <c r="B88" s="84"/>
      <c r="C88" s="279">
        <v>15</v>
      </c>
      <c r="D88" s="20">
        <v>119</v>
      </c>
      <c r="E88" s="142" t="s">
        <v>55</v>
      </c>
      <c r="F88" s="20" t="s">
        <v>23</v>
      </c>
      <c r="G88" s="287" t="s">
        <v>215</v>
      </c>
      <c r="H88" s="21">
        <v>1</v>
      </c>
      <c r="I88" s="21">
        <v>2520</v>
      </c>
      <c r="J88" s="26">
        <f t="shared" si="8"/>
        <v>2520</v>
      </c>
      <c r="K88" s="1"/>
      <c r="L88" s="22" t="s">
        <v>213</v>
      </c>
      <c r="M88" s="95" t="s">
        <v>100</v>
      </c>
      <c r="N88" s="21"/>
      <c r="O88" s="8">
        <v>45281</v>
      </c>
      <c r="P88" s="20"/>
      <c r="Q88" s="21"/>
      <c r="R88" s="8">
        <v>44943</v>
      </c>
      <c r="S88" s="108"/>
    </row>
    <row r="89" spans="1:19" s="2" customFormat="1" ht="19.649999999999999" customHeight="1" x14ac:dyDescent="0.2">
      <c r="A89" s="219" t="s">
        <v>63</v>
      </c>
      <c r="B89" s="84"/>
      <c r="C89" s="279">
        <v>15</v>
      </c>
      <c r="D89" s="20">
        <v>120</v>
      </c>
      <c r="E89" s="142" t="s">
        <v>55</v>
      </c>
      <c r="F89" s="20" t="s">
        <v>23</v>
      </c>
      <c r="G89" s="107" t="s">
        <v>216</v>
      </c>
      <c r="H89" s="227">
        <v>1</v>
      </c>
      <c r="I89" s="98">
        <v>2530</v>
      </c>
      <c r="J89" s="139">
        <f t="shared" si="8"/>
        <v>2530</v>
      </c>
      <c r="K89" s="140"/>
      <c r="L89" s="45" t="s">
        <v>214</v>
      </c>
      <c r="M89" s="95" t="s">
        <v>99</v>
      </c>
      <c r="N89" s="21"/>
      <c r="O89" s="8">
        <v>45281</v>
      </c>
      <c r="P89" s="20"/>
      <c r="Q89" s="21"/>
      <c r="R89" s="8">
        <v>44943</v>
      </c>
      <c r="S89" s="108"/>
    </row>
    <row r="90" spans="1:19" s="2" customFormat="1" ht="19.649999999999999" customHeight="1" x14ac:dyDescent="0.2">
      <c r="A90" s="219" t="s">
        <v>64</v>
      </c>
      <c r="B90" s="84"/>
      <c r="C90" s="279">
        <v>15</v>
      </c>
      <c r="D90" s="20">
        <v>121</v>
      </c>
      <c r="E90" s="56" t="s">
        <v>23</v>
      </c>
      <c r="F90" s="56" t="s">
        <v>23</v>
      </c>
      <c r="G90" s="12" t="s">
        <v>46</v>
      </c>
      <c r="H90" s="288">
        <v>1</v>
      </c>
      <c r="I90" s="143">
        <v>830</v>
      </c>
      <c r="J90" s="143">
        <f t="shared" si="8"/>
        <v>830</v>
      </c>
      <c r="K90" s="144"/>
      <c r="L90" s="118" t="s">
        <v>47</v>
      </c>
      <c r="M90" s="145"/>
      <c r="N90" s="21"/>
      <c r="O90" s="8">
        <v>45281</v>
      </c>
      <c r="P90" s="20"/>
      <c r="Q90" s="21"/>
      <c r="R90" s="8">
        <v>44943</v>
      </c>
      <c r="S90" s="108"/>
    </row>
    <row r="91" spans="1:19" s="2" customFormat="1" ht="19.649999999999999" customHeight="1" x14ac:dyDescent="0.2">
      <c r="A91" s="219" t="s">
        <v>64</v>
      </c>
      <c r="B91" s="84"/>
      <c r="C91" s="279">
        <v>15</v>
      </c>
      <c r="D91" s="20">
        <v>122</v>
      </c>
      <c r="E91" s="56" t="s">
        <v>23</v>
      </c>
      <c r="F91" s="56" t="s">
        <v>23</v>
      </c>
      <c r="G91" s="12" t="s">
        <v>25</v>
      </c>
      <c r="H91" s="288">
        <v>1</v>
      </c>
      <c r="I91" s="143">
        <v>1350</v>
      </c>
      <c r="J91" s="143">
        <f t="shared" si="8"/>
        <v>1350</v>
      </c>
      <c r="K91" s="144"/>
      <c r="L91" s="118" t="s">
        <v>47</v>
      </c>
      <c r="M91" s="145"/>
      <c r="N91" s="21"/>
      <c r="O91" s="8">
        <v>45281</v>
      </c>
      <c r="P91" s="20"/>
      <c r="Q91" s="21"/>
      <c r="R91" s="8">
        <v>44943</v>
      </c>
      <c r="S91" s="108"/>
    </row>
    <row r="92" spans="1:19" s="2" customFormat="1" ht="19.649999999999999" customHeight="1" x14ac:dyDescent="0.2">
      <c r="A92" s="21"/>
      <c r="B92" s="162"/>
      <c r="C92" s="162"/>
      <c r="D92" s="20"/>
      <c r="E92" s="56"/>
      <c r="F92" s="56"/>
      <c r="G92" s="32"/>
      <c r="H92" s="168"/>
      <c r="I92" s="77"/>
      <c r="J92" s="39"/>
      <c r="K92" s="215"/>
      <c r="L92" s="118"/>
      <c r="M92" s="216"/>
      <c r="N92" s="21"/>
      <c r="O92" s="8"/>
      <c r="P92" s="20"/>
      <c r="Q92" s="21"/>
      <c r="R92" s="8"/>
      <c r="S92" s="108"/>
    </row>
    <row r="93" spans="1:19" s="2" customFormat="1" ht="19.649999999999999" customHeight="1" x14ac:dyDescent="0.2">
      <c r="D93" s="20"/>
      <c r="E93" s="56"/>
      <c r="F93" s="56"/>
      <c r="G93" s="22"/>
      <c r="H93" s="21"/>
      <c r="I93" s="26"/>
      <c r="J93" s="26"/>
      <c r="K93" s="69"/>
      <c r="L93" s="57"/>
      <c r="M93" s="17"/>
      <c r="N93" s="21"/>
      <c r="O93" s="8"/>
      <c r="P93" s="20"/>
      <c r="Q93" s="21"/>
      <c r="R93" s="8"/>
      <c r="S93" s="108"/>
    </row>
    <row r="94" spans="1:19" s="2" customFormat="1" ht="19.649999999999999" customHeight="1" x14ac:dyDescent="0.2">
      <c r="D94" s="20"/>
      <c r="E94" s="15"/>
      <c r="F94" s="15"/>
      <c r="G94" s="54">
        <f>SUM(J83:J93)</f>
        <v>12536</v>
      </c>
      <c r="H94" s="225"/>
      <c r="I94" s="17"/>
      <c r="J94" s="26"/>
      <c r="K94" s="71"/>
      <c r="L94" s="18"/>
      <c r="M94" s="17"/>
      <c r="N94" s="21"/>
      <c r="O94" s="8"/>
      <c r="P94" s="20"/>
      <c r="Q94" s="21"/>
      <c r="R94" s="8"/>
      <c r="S94" s="108"/>
    </row>
    <row r="95" spans="1:19" s="2" customFormat="1" ht="19.649999999999999" customHeight="1" x14ac:dyDescent="0.2">
      <c r="D95" s="20"/>
      <c r="E95" s="20"/>
      <c r="F95" s="20"/>
      <c r="G95" s="21"/>
      <c r="H95" s="21"/>
      <c r="I95" s="21"/>
      <c r="J95" s="1"/>
      <c r="K95" s="69"/>
      <c r="L95" s="21"/>
      <c r="M95" s="21"/>
      <c r="N95" s="21"/>
      <c r="O95" s="8"/>
      <c r="P95" s="20"/>
      <c r="Q95" s="21"/>
      <c r="R95" s="8"/>
      <c r="S95" s="108"/>
    </row>
    <row r="96" spans="1:19" s="2" customFormat="1" ht="19.649999999999999" customHeight="1" x14ac:dyDescent="0.2">
      <c r="D96" s="20"/>
      <c r="E96" s="20"/>
      <c r="F96" s="20"/>
      <c r="G96" s="21"/>
      <c r="H96" s="21"/>
      <c r="I96" s="21"/>
      <c r="J96" s="1"/>
      <c r="K96" s="69"/>
      <c r="L96" s="21"/>
      <c r="M96" s="21"/>
      <c r="N96" s="21"/>
      <c r="O96" s="8"/>
      <c r="P96" s="20"/>
      <c r="Q96" s="21"/>
      <c r="R96" s="8"/>
      <c r="S96" s="108"/>
    </row>
    <row r="97" spans="1:19" s="2" customFormat="1" ht="19.649999999999999" customHeight="1" x14ac:dyDescent="0.2">
      <c r="D97" s="20"/>
      <c r="E97" s="20"/>
      <c r="F97" s="20"/>
      <c r="G97" s="21"/>
      <c r="H97" s="21"/>
      <c r="I97" s="21"/>
      <c r="J97" s="1"/>
      <c r="K97" s="69"/>
      <c r="L97" s="21"/>
      <c r="M97" s="21"/>
      <c r="N97" s="21"/>
      <c r="O97" s="8"/>
      <c r="P97" s="20"/>
      <c r="Q97" s="21"/>
      <c r="R97" s="8"/>
      <c r="S97" s="108"/>
    </row>
    <row r="98" spans="1:19" s="2" customFormat="1" ht="19.649999999999999" customHeight="1" x14ac:dyDescent="0.2">
      <c r="D98" s="20"/>
      <c r="E98" s="20"/>
      <c r="F98" s="20"/>
      <c r="G98" s="21"/>
      <c r="H98" s="21"/>
      <c r="I98" s="21"/>
      <c r="J98" s="1"/>
      <c r="K98" s="69"/>
      <c r="L98" s="21"/>
      <c r="M98" s="21"/>
      <c r="N98" s="21"/>
      <c r="O98" s="8"/>
      <c r="P98" s="20"/>
      <c r="Q98" s="21"/>
      <c r="R98" s="8"/>
      <c r="S98" s="108"/>
    </row>
    <row r="99" spans="1:19" s="2" customFormat="1" ht="19.649999999999999" customHeight="1" x14ac:dyDescent="0.2">
      <c r="D99" s="20"/>
      <c r="E99" s="150" t="s">
        <v>51</v>
      </c>
      <c r="F99" s="151"/>
      <c r="G99" s="152"/>
      <c r="H99" s="30"/>
      <c r="I99" s="30"/>
      <c r="J99" s="26"/>
      <c r="K99" s="69"/>
      <c r="L99" s="31"/>
      <c r="M99" s="21"/>
      <c r="N99" s="21"/>
      <c r="O99" s="8"/>
      <c r="P99" s="20"/>
      <c r="Q99" s="21"/>
      <c r="R99" s="8"/>
      <c r="S99" s="108"/>
    </row>
    <row r="100" spans="1:19" s="2" customFormat="1" ht="19.649999999999999" customHeight="1" x14ac:dyDescent="0.2">
      <c r="A100" s="219" t="s">
        <v>73</v>
      </c>
      <c r="B100" s="84"/>
      <c r="C100" s="278">
        <v>16</v>
      </c>
      <c r="D100" s="20">
        <v>123</v>
      </c>
      <c r="E100" s="142" t="s">
        <v>55</v>
      </c>
      <c r="F100" s="20" t="s">
        <v>23</v>
      </c>
      <c r="G100" s="289" t="s">
        <v>328</v>
      </c>
      <c r="H100" s="21">
        <v>1</v>
      </c>
      <c r="I100" s="21">
        <v>3890</v>
      </c>
      <c r="J100" s="21">
        <f t="shared" ref="J100:J105" si="9">H100*I100</f>
        <v>3890</v>
      </c>
      <c r="K100" s="94"/>
      <c r="L100" s="25" t="s">
        <v>352</v>
      </c>
      <c r="M100" s="22" t="s">
        <v>79</v>
      </c>
      <c r="N100" s="21"/>
      <c r="O100" s="8">
        <v>45281</v>
      </c>
      <c r="P100" s="20"/>
      <c r="Q100" s="21"/>
      <c r="R100" s="8">
        <v>44943</v>
      </c>
      <c r="S100" s="108"/>
    </row>
    <row r="101" spans="1:19" s="2" customFormat="1" ht="19.649999999999999" customHeight="1" x14ac:dyDescent="0.2">
      <c r="A101" s="219" t="s">
        <v>326</v>
      </c>
      <c r="B101" s="84"/>
      <c r="C101" s="278">
        <v>16</v>
      </c>
      <c r="D101" s="20">
        <v>124</v>
      </c>
      <c r="E101" s="142" t="s">
        <v>55</v>
      </c>
      <c r="F101" s="20" t="s">
        <v>23</v>
      </c>
      <c r="G101" s="289" t="s">
        <v>327</v>
      </c>
      <c r="H101" s="21">
        <v>1</v>
      </c>
      <c r="I101" s="21">
        <v>12537</v>
      </c>
      <c r="J101" s="21">
        <f t="shared" si="9"/>
        <v>12537</v>
      </c>
      <c r="K101" s="94"/>
      <c r="L101" s="25" t="s">
        <v>325</v>
      </c>
      <c r="M101" s="22" t="s">
        <v>80</v>
      </c>
      <c r="N101" s="21"/>
      <c r="O101" s="8">
        <v>45281</v>
      </c>
      <c r="P101" s="20"/>
      <c r="Q101" s="21"/>
      <c r="R101" s="8">
        <v>44943</v>
      </c>
      <c r="S101" s="108"/>
    </row>
    <row r="102" spans="1:19" s="2" customFormat="1" ht="19.649999999999999" customHeight="1" x14ac:dyDescent="0.2">
      <c r="A102" s="219" t="s">
        <v>72</v>
      </c>
      <c r="B102" s="84"/>
      <c r="C102" s="278">
        <v>16</v>
      </c>
      <c r="D102" s="20">
        <v>125</v>
      </c>
      <c r="E102" s="20" t="s">
        <v>23</v>
      </c>
      <c r="F102" s="20" t="s">
        <v>23</v>
      </c>
      <c r="G102" s="29" t="s">
        <v>322</v>
      </c>
      <c r="H102" s="40">
        <v>1</v>
      </c>
      <c r="I102" s="30">
        <v>8150</v>
      </c>
      <c r="J102" s="40">
        <f t="shared" si="9"/>
        <v>8150</v>
      </c>
      <c r="K102" s="137"/>
      <c r="L102" s="29" t="s">
        <v>323</v>
      </c>
      <c r="M102" s="21"/>
      <c r="N102" s="21"/>
      <c r="O102" s="8">
        <v>45281</v>
      </c>
      <c r="P102" s="20"/>
      <c r="Q102" s="21"/>
      <c r="R102" s="8">
        <v>44943</v>
      </c>
      <c r="S102" s="108"/>
    </row>
    <row r="103" spans="1:19" s="2" customFormat="1" ht="19.649999999999999" customHeight="1" x14ac:dyDescent="0.2">
      <c r="A103" s="219" t="s">
        <v>72</v>
      </c>
      <c r="B103" s="84"/>
      <c r="C103" s="278">
        <v>16</v>
      </c>
      <c r="D103" s="20">
        <v>126</v>
      </c>
      <c r="E103" s="20" t="s">
        <v>23</v>
      </c>
      <c r="F103" s="20" t="s">
        <v>23</v>
      </c>
      <c r="G103" s="290" t="s">
        <v>409</v>
      </c>
      <c r="H103" s="281">
        <v>4</v>
      </c>
      <c r="I103" s="30">
        <v>47</v>
      </c>
      <c r="J103" s="40">
        <f t="shared" si="9"/>
        <v>188</v>
      </c>
      <c r="K103" s="74"/>
      <c r="L103" s="31" t="s">
        <v>324</v>
      </c>
      <c r="M103" s="21"/>
      <c r="N103" s="21"/>
      <c r="O103" s="8">
        <v>45281</v>
      </c>
      <c r="P103" s="20"/>
      <c r="Q103" s="21"/>
      <c r="R103" s="8">
        <v>44943</v>
      </c>
      <c r="S103" s="108"/>
    </row>
    <row r="104" spans="1:19" s="2" customFormat="1" ht="19.649999999999999" customHeight="1" x14ac:dyDescent="0.2">
      <c r="A104" s="219" t="s">
        <v>72</v>
      </c>
      <c r="B104" s="84"/>
      <c r="C104" s="278">
        <v>16</v>
      </c>
      <c r="D104" s="20">
        <v>128</v>
      </c>
      <c r="E104" s="20" t="s">
        <v>23</v>
      </c>
      <c r="F104" s="20" t="s">
        <v>23</v>
      </c>
      <c r="G104" s="290" t="s">
        <v>436</v>
      </c>
      <c r="H104" s="281">
        <v>2</v>
      </c>
      <c r="I104" s="30">
        <v>29</v>
      </c>
      <c r="J104" s="40">
        <f t="shared" si="9"/>
        <v>58</v>
      </c>
      <c r="K104" s="74"/>
      <c r="L104" s="31" t="s">
        <v>324</v>
      </c>
      <c r="M104" s="21"/>
      <c r="N104" s="21"/>
      <c r="O104" s="8">
        <v>45281</v>
      </c>
      <c r="P104" s="20"/>
      <c r="Q104" s="21"/>
      <c r="R104" s="8">
        <v>44943</v>
      </c>
      <c r="S104" s="108"/>
    </row>
    <row r="105" spans="1:19" s="2" customFormat="1" ht="19.649999999999999" customHeight="1" x14ac:dyDescent="0.2">
      <c r="A105" s="219" t="s">
        <v>64</v>
      </c>
      <c r="B105" s="84"/>
      <c r="C105" s="278">
        <v>16</v>
      </c>
      <c r="D105" s="20">
        <v>129</v>
      </c>
      <c r="E105" s="28" t="s">
        <v>23</v>
      </c>
      <c r="F105" s="28" t="s">
        <v>23</v>
      </c>
      <c r="G105" s="75" t="s">
        <v>330</v>
      </c>
      <c r="H105" s="163">
        <v>2</v>
      </c>
      <c r="I105" s="21">
        <v>92</v>
      </c>
      <c r="J105" s="128">
        <f t="shared" si="9"/>
        <v>184</v>
      </c>
      <c r="K105" s="69"/>
      <c r="L105" s="22" t="s">
        <v>312</v>
      </c>
      <c r="M105" s="21"/>
      <c r="N105" s="21"/>
      <c r="O105" s="8">
        <v>45281</v>
      </c>
      <c r="P105" s="20"/>
      <c r="Q105" s="21"/>
      <c r="R105" s="8">
        <v>44943</v>
      </c>
      <c r="S105" s="108"/>
    </row>
    <row r="106" spans="1:19" s="2" customFormat="1" ht="19.649999999999999" customHeight="1" x14ac:dyDescent="0.2">
      <c r="D106" s="20"/>
      <c r="E106" s="20"/>
      <c r="F106" s="20"/>
      <c r="G106" s="22"/>
      <c r="H106" s="163"/>
      <c r="I106" s="26"/>
      <c r="J106" s="26"/>
      <c r="K106" s="72"/>
      <c r="L106" s="22"/>
      <c r="M106" s="21"/>
      <c r="N106" s="21"/>
      <c r="O106" s="8"/>
      <c r="P106" s="20"/>
      <c r="Q106" s="21"/>
      <c r="R106" s="8"/>
      <c r="S106" s="108"/>
    </row>
    <row r="107" spans="1:19" s="2" customFormat="1" ht="19.649999999999999" customHeight="1" x14ac:dyDescent="0.2">
      <c r="D107" s="20"/>
      <c r="E107" s="20"/>
      <c r="F107" s="20"/>
      <c r="G107" s="54">
        <f>SUM(J100:J105)</f>
        <v>25007</v>
      </c>
      <c r="H107" s="21"/>
      <c r="I107" s="26"/>
      <c r="J107" s="26"/>
      <c r="K107" s="72"/>
      <c r="L107" s="25"/>
      <c r="M107" s="21"/>
      <c r="N107" s="21"/>
      <c r="O107" s="8"/>
      <c r="P107" s="20"/>
      <c r="Q107" s="21"/>
      <c r="R107" s="8"/>
      <c r="S107" s="108"/>
    </row>
    <row r="108" spans="1:19" s="2" customFormat="1" ht="19.649999999999999" customHeight="1" x14ac:dyDescent="0.2">
      <c r="D108" s="20"/>
      <c r="E108" s="20"/>
      <c r="F108" s="20"/>
      <c r="G108" s="27"/>
      <c r="H108" s="21"/>
      <c r="I108" s="26"/>
      <c r="J108" s="26"/>
      <c r="K108" s="72"/>
      <c r="L108" s="25"/>
      <c r="M108" s="21"/>
      <c r="N108" s="21"/>
      <c r="O108" s="8"/>
      <c r="P108" s="20"/>
      <c r="Q108" s="21"/>
      <c r="R108" s="8"/>
      <c r="S108" s="108"/>
    </row>
    <row r="109" spans="1:19" s="2" customFormat="1" ht="19.649999999999999" customHeight="1" x14ac:dyDescent="0.2">
      <c r="D109" s="20"/>
      <c r="E109" s="20"/>
      <c r="F109" s="20"/>
      <c r="G109" s="27"/>
      <c r="H109" s="21"/>
      <c r="I109" s="26"/>
      <c r="J109" s="26"/>
      <c r="K109" s="72"/>
      <c r="L109" s="25"/>
      <c r="M109" s="21"/>
      <c r="N109" s="21"/>
      <c r="O109" s="8"/>
      <c r="P109" s="20"/>
      <c r="Q109" s="21"/>
      <c r="R109" s="8"/>
      <c r="S109" s="108"/>
    </row>
    <row r="110" spans="1:19" s="2" customFormat="1" ht="19.649999999999999" customHeight="1" x14ac:dyDescent="0.2">
      <c r="D110" s="20"/>
      <c r="E110" s="20"/>
      <c r="F110" s="20"/>
      <c r="G110" s="27"/>
      <c r="H110" s="21"/>
      <c r="I110" s="26"/>
      <c r="J110" s="26"/>
      <c r="K110" s="72"/>
      <c r="L110" s="25"/>
      <c r="M110" s="21"/>
      <c r="N110" s="21"/>
      <c r="O110" s="8"/>
      <c r="P110" s="20"/>
      <c r="Q110" s="21"/>
      <c r="R110" s="8"/>
      <c r="S110" s="108"/>
    </row>
    <row r="111" spans="1:19" s="2" customFormat="1" ht="19.649999999999999" customHeight="1" x14ac:dyDescent="0.2">
      <c r="D111" s="20"/>
      <c r="E111" s="150" t="s">
        <v>218</v>
      </c>
      <c r="F111" s="151"/>
      <c r="G111" s="152"/>
      <c r="H111" s="226"/>
      <c r="I111" s="98"/>
      <c r="J111" s="19"/>
      <c r="K111" s="70"/>
      <c r="L111" s="36"/>
      <c r="M111" s="21"/>
      <c r="N111" s="21"/>
      <c r="O111" s="8"/>
      <c r="P111" s="20"/>
      <c r="Q111" s="21"/>
      <c r="R111" s="8"/>
      <c r="S111" s="108"/>
    </row>
    <row r="112" spans="1:19" s="2" customFormat="1" ht="19.649999999999999" customHeight="1" x14ac:dyDescent="0.2">
      <c r="A112" s="175" t="s">
        <v>73</v>
      </c>
      <c r="B112" s="84"/>
      <c r="C112" s="164">
        <v>17</v>
      </c>
      <c r="D112" s="20">
        <v>130</v>
      </c>
      <c r="E112" s="142" t="s">
        <v>59</v>
      </c>
      <c r="F112" s="20" t="s">
        <v>60</v>
      </c>
      <c r="G112" s="22" t="s">
        <v>61</v>
      </c>
      <c r="H112" s="21">
        <v>1</v>
      </c>
      <c r="I112" s="21">
        <v>2320</v>
      </c>
      <c r="J112" s="26">
        <f t="shared" ref="J112:J121" si="10">H112*I112</f>
        <v>2320</v>
      </c>
      <c r="K112" s="69"/>
      <c r="L112" s="22" t="s">
        <v>62</v>
      </c>
      <c r="M112" s="21"/>
      <c r="N112" s="21"/>
      <c r="O112" s="8">
        <v>45281</v>
      </c>
      <c r="P112" s="20"/>
      <c r="Q112" s="21"/>
      <c r="R112" s="8">
        <v>44943</v>
      </c>
      <c r="S112" s="108"/>
    </row>
    <row r="113" spans="1:19" s="2" customFormat="1" ht="19.649999999999999" customHeight="1" x14ac:dyDescent="0.2">
      <c r="A113" s="219" t="s">
        <v>64</v>
      </c>
      <c r="B113" s="84"/>
      <c r="C113" s="164">
        <v>17</v>
      </c>
      <c r="D113" s="20">
        <v>131</v>
      </c>
      <c r="E113" s="21" t="s">
        <v>23</v>
      </c>
      <c r="F113" s="21" t="s">
        <v>23</v>
      </c>
      <c r="G113" s="25" t="s">
        <v>39</v>
      </c>
      <c r="H113" s="21">
        <v>1</v>
      </c>
      <c r="I113" s="21">
        <v>990</v>
      </c>
      <c r="J113" s="43">
        <f>H113*I113</f>
        <v>990</v>
      </c>
      <c r="K113" s="22"/>
      <c r="L113" s="25" t="s">
        <v>24</v>
      </c>
      <c r="M113" s="21"/>
      <c r="N113" s="21"/>
      <c r="O113" s="8">
        <v>45281</v>
      </c>
      <c r="P113" s="20"/>
      <c r="Q113" s="21"/>
      <c r="R113" s="8">
        <v>44943</v>
      </c>
      <c r="S113" s="108"/>
    </row>
    <row r="114" spans="1:19" s="2" customFormat="1" ht="19.649999999999999" customHeight="1" x14ac:dyDescent="0.2">
      <c r="A114" s="219" t="s">
        <v>64</v>
      </c>
      <c r="B114" s="84"/>
      <c r="C114" s="164">
        <v>17</v>
      </c>
      <c r="D114" s="20">
        <v>132</v>
      </c>
      <c r="E114" s="20" t="s">
        <v>23</v>
      </c>
      <c r="F114" s="20" t="s">
        <v>23</v>
      </c>
      <c r="G114" s="78" t="s">
        <v>26</v>
      </c>
      <c r="H114" s="21">
        <v>2</v>
      </c>
      <c r="I114" s="138">
        <v>72</v>
      </c>
      <c r="J114" s="39">
        <f t="shared" si="10"/>
        <v>144</v>
      </c>
      <c r="K114" s="69"/>
      <c r="L114" s="25" t="s">
        <v>27</v>
      </c>
      <c r="M114" s="21"/>
      <c r="N114" s="21"/>
      <c r="O114" s="8">
        <v>45281</v>
      </c>
      <c r="P114" s="20"/>
      <c r="Q114" s="21"/>
      <c r="R114" s="8">
        <v>44943</v>
      </c>
      <c r="S114" s="108" t="s">
        <v>441</v>
      </c>
    </row>
    <row r="115" spans="1:19" s="2" customFormat="1" ht="19.649999999999999" customHeight="1" x14ac:dyDescent="0.2">
      <c r="A115" s="219" t="s">
        <v>398</v>
      </c>
      <c r="B115" s="84"/>
      <c r="C115" s="164">
        <v>17</v>
      </c>
      <c r="D115" s="20">
        <v>133</v>
      </c>
      <c r="E115" s="116" t="s">
        <v>32</v>
      </c>
      <c r="F115" s="275" t="s">
        <v>33</v>
      </c>
      <c r="G115" s="13" t="s">
        <v>38</v>
      </c>
      <c r="H115" s="116">
        <v>1</v>
      </c>
      <c r="I115" s="40">
        <v>10610</v>
      </c>
      <c r="J115" s="42">
        <f>H115*I115</f>
        <v>10610</v>
      </c>
      <c r="K115" s="74"/>
      <c r="L115" s="13" t="s">
        <v>41</v>
      </c>
      <c r="M115" s="21"/>
      <c r="N115" s="21"/>
      <c r="O115" s="8">
        <v>45281</v>
      </c>
      <c r="P115" s="20"/>
      <c r="Q115" s="100"/>
      <c r="R115" s="8">
        <v>44943</v>
      </c>
      <c r="S115" s="108"/>
    </row>
    <row r="116" spans="1:19" s="2" customFormat="1" ht="19.649999999999999" customHeight="1" x14ac:dyDescent="0.2">
      <c r="A116" s="219" t="s">
        <v>64</v>
      </c>
      <c r="B116" s="84"/>
      <c r="C116" s="164">
        <v>17</v>
      </c>
      <c r="D116" s="20">
        <v>134</v>
      </c>
      <c r="E116" s="148" t="s">
        <v>399</v>
      </c>
      <c r="F116" s="20" t="s">
        <v>23</v>
      </c>
      <c r="G116" s="57" t="s">
        <v>397</v>
      </c>
      <c r="H116" s="281">
        <v>1</v>
      </c>
      <c r="I116" s="40">
        <v>149</v>
      </c>
      <c r="J116" s="42">
        <f>H116*I116</f>
        <v>149</v>
      </c>
      <c r="K116" s="74"/>
      <c r="L116" s="57" t="s">
        <v>440</v>
      </c>
      <c r="M116" s="21"/>
      <c r="N116" s="21"/>
      <c r="O116" s="8">
        <v>45281</v>
      </c>
      <c r="P116" s="20"/>
      <c r="Q116" s="100"/>
      <c r="R116" s="8">
        <v>44943</v>
      </c>
      <c r="S116" s="108"/>
    </row>
    <row r="117" spans="1:19" s="2" customFormat="1" ht="19.649999999999999" customHeight="1" x14ac:dyDescent="0.2">
      <c r="A117" s="219" t="s">
        <v>64</v>
      </c>
      <c r="B117" s="84"/>
      <c r="C117" s="164">
        <v>17</v>
      </c>
      <c r="D117" s="20">
        <v>135</v>
      </c>
      <c r="E117" s="20" t="s">
        <v>23</v>
      </c>
      <c r="F117" s="20" t="s">
        <v>23</v>
      </c>
      <c r="G117" s="78" t="s">
        <v>28</v>
      </c>
      <c r="H117" s="21">
        <v>2</v>
      </c>
      <c r="I117" s="138">
        <v>31</v>
      </c>
      <c r="J117" s="39">
        <f t="shared" si="10"/>
        <v>62</v>
      </c>
      <c r="K117" s="69"/>
      <c r="L117" s="25" t="s">
        <v>29</v>
      </c>
      <c r="M117" s="21"/>
      <c r="N117" s="21"/>
      <c r="O117" s="8">
        <v>45281</v>
      </c>
      <c r="P117" s="20"/>
      <c r="Q117" s="21"/>
      <c r="R117" s="8">
        <v>44943</v>
      </c>
      <c r="S117" s="108"/>
    </row>
    <row r="118" spans="1:19" s="2" customFormat="1" ht="19.649999999999999" customHeight="1" x14ac:dyDescent="0.2">
      <c r="A118" s="219" t="s">
        <v>64</v>
      </c>
      <c r="B118" s="84"/>
      <c r="C118" s="164">
        <v>17</v>
      </c>
      <c r="D118" s="20">
        <v>136</v>
      </c>
      <c r="E118" s="119" t="s">
        <v>23</v>
      </c>
      <c r="F118" s="119" t="s">
        <v>23</v>
      </c>
      <c r="G118" s="31" t="s">
        <v>35</v>
      </c>
      <c r="H118" s="30">
        <v>3</v>
      </c>
      <c r="I118" s="30">
        <v>270</v>
      </c>
      <c r="J118" s="26">
        <f t="shared" si="10"/>
        <v>810</v>
      </c>
      <c r="K118" s="73"/>
      <c r="L118" s="31" t="s">
        <v>36</v>
      </c>
      <c r="M118" s="21"/>
      <c r="N118" s="21"/>
      <c r="O118" s="8">
        <v>45281</v>
      </c>
      <c r="P118" s="20"/>
      <c r="Q118" s="21"/>
      <c r="R118" s="8">
        <v>44943</v>
      </c>
      <c r="S118" s="108"/>
    </row>
    <row r="119" spans="1:19" s="2" customFormat="1" ht="19.649999999999999" customHeight="1" x14ac:dyDescent="0.2">
      <c r="A119" s="219" t="s">
        <v>64</v>
      </c>
      <c r="B119" s="84"/>
      <c r="C119" s="164">
        <v>17</v>
      </c>
      <c r="D119" s="20">
        <v>137</v>
      </c>
      <c r="E119" s="116" t="s">
        <v>23</v>
      </c>
      <c r="F119" s="116" t="s">
        <v>23</v>
      </c>
      <c r="G119" s="25" t="s">
        <v>66</v>
      </c>
      <c r="H119" s="21">
        <v>1</v>
      </c>
      <c r="I119" s="21">
        <v>290</v>
      </c>
      <c r="J119" s="40">
        <f t="shared" si="10"/>
        <v>290</v>
      </c>
      <c r="K119" s="16"/>
      <c r="L119" s="34" t="s">
        <v>52</v>
      </c>
      <c r="M119" s="21"/>
      <c r="N119" s="21"/>
      <c r="O119" s="8">
        <v>45281</v>
      </c>
      <c r="P119" s="20"/>
      <c r="Q119" s="21"/>
      <c r="R119" s="8">
        <v>44943</v>
      </c>
      <c r="S119" s="108"/>
    </row>
    <row r="120" spans="1:19" s="2" customFormat="1" ht="19.649999999999999" customHeight="1" x14ac:dyDescent="0.2">
      <c r="A120" s="219" t="s">
        <v>64</v>
      </c>
      <c r="B120" s="84"/>
      <c r="C120" s="164">
        <v>17</v>
      </c>
      <c r="D120" s="20">
        <v>138</v>
      </c>
      <c r="E120" s="119" t="s">
        <v>23</v>
      </c>
      <c r="F120" s="119" t="s">
        <v>23</v>
      </c>
      <c r="G120" s="31" t="s">
        <v>53</v>
      </c>
      <c r="H120" s="30">
        <v>3</v>
      </c>
      <c r="I120" s="30">
        <v>210</v>
      </c>
      <c r="J120" s="26">
        <f t="shared" si="10"/>
        <v>630</v>
      </c>
      <c r="K120" s="73"/>
      <c r="L120" s="31" t="s">
        <v>54</v>
      </c>
      <c r="M120" s="21"/>
      <c r="N120" s="21"/>
      <c r="O120" s="8">
        <v>45281</v>
      </c>
      <c r="P120" s="20"/>
      <c r="Q120" s="21"/>
      <c r="R120" s="8">
        <v>44943</v>
      </c>
      <c r="S120" s="108"/>
    </row>
    <row r="121" spans="1:19" s="2" customFormat="1" ht="19.649999999999999" customHeight="1" x14ac:dyDescent="0.2">
      <c r="A121" s="219" t="s">
        <v>64</v>
      </c>
      <c r="B121" s="84"/>
      <c r="C121" s="164">
        <v>17</v>
      </c>
      <c r="D121" s="20">
        <v>139</v>
      </c>
      <c r="E121" s="119" t="s">
        <v>23</v>
      </c>
      <c r="F121" s="23" t="s">
        <v>23</v>
      </c>
      <c r="G121" s="291" t="s">
        <v>434</v>
      </c>
      <c r="H121" s="116">
        <v>1</v>
      </c>
      <c r="I121" s="40">
        <v>130</v>
      </c>
      <c r="J121" s="43">
        <f t="shared" si="10"/>
        <v>130</v>
      </c>
      <c r="K121" s="74"/>
      <c r="L121" s="13" t="s">
        <v>433</v>
      </c>
      <c r="M121" s="21"/>
      <c r="N121" s="21"/>
      <c r="O121" s="8">
        <v>45281</v>
      </c>
      <c r="P121" s="20"/>
      <c r="Q121" s="21"/>
      <c r="R121" s="8">
        <v>44943</v>
      </c>
      <c r="S121" s="108"/>
    </row>
    <row r="122" spans="1:19" s="2" customFormat="1" ht="19.649999999999999" customHeight="1" x14ac:dyDescent="0.2">
      <c r="A122" s="219" t="s">
        <v>64</v>
      </c>
      <c r="B122" s="84"/>
      <c r="C122" s="164">
        <v>17</v>
      </c>
      <c r="D122" s="20">
        <v>140</v>
      </c>
      <c r="E122" s="23" t="s">
        <v>23</v>
      </c>
      <c r="F122" s="23" t="s">
        <v>23</v>
      </c>
      <c r="G122" s="36" t="s">
        <v>220</v>
      </c>
      <c r="H122" s="46">
        <v>10</v>
      </c>
      <c r="I122" s="98">
        <v>32</v>
      </c>
      <c r="J122" s="98">
        <f>H122*I122</f>
        <v>320</v>
      </c>
      <c r="K122" s="46"/>
      <c r="L122" s="36" t="s">
        <v>221</v>
      </c>
      <c r="M122" s="21"/>
      <c r="N122" s="21"/>
      <c r="O122" s="8">
        <v>45281</v>
      </c>
      <c r="P122" s="20"/>
      <c r="Q122" s="21"/>
      <c r="R122" s="8">
        <v>44943</v>
      </c>
      <c r="S122" s="108"/>
    </row>
    <row r="123" spans="1:19" s="2" customFormat="1" ht="19.649999999999999" customHeight="1" x14ac:dyDescent="0.2">
      <c r="D123" s="20"/>
      <c r="E123" s="23"/>
      <c r="F123" s="23"/>
      <c r="G123" s="22"/>
      <c r="H123" s="227"/>
      <c r="I123" s="21"/>
      <c r="J123" s="26"/>
      <c r="K123" s="69"/>
      <c r="L123" s="36"/>
      <c r="M123" s="21"/>
      <c r="N123" s="21"/>
      <c r="O123" s="8"/>
      <c r="P123" s="20"/>
      <c r="Q123" s="21"/>
      <c r="R123" s="8"/>
      <c r="S123" s="108"/>
    </row>
    <row r="124" spans="1:19" s="2" customFormat="1" ht="19.649999999999999" customHeight="1" x14ac:dyDescent="0.2">
      <c r="D124" s="20"/>
      <c r="E124" s="23"/>
      <c r="F124" s="23"/>
      <c r="G124" s="22"/>
      <c r="H124" s="227"/>
      <c r="I124" s="21"/>
      <c r="J124" s="26"/>
      <c r="K124" s="69"/>
      <c r="L124" s="45"/>
      <c r="M124" s="21"/>
      <c r="N124" s="21"/>
      <c r="O124" s="8"/>
      <c r="P124" s="20"/>
      <c r="Q124" s="21"/>
      <c r="R124" s="8"/>
      <c r="S124" s="108"/>
    </row>
    <row r="125" spans="1:19" s="2" customFormat="1" ht="19.649999999999999" customHeight="1" x14ac:dyDescent="0.2">
      <c r="D125" s="20"/>
      <c r="E125" s="20"/>
      <c r="F125" s="20"/>
      <c r="G125" s="54">
        <f>SUM(J112:J123)</f>
        <v>16455</v>
      </c>
      <c r="H125" s="41"/>
      <c r="I125" s="41"/>
      <c r="J125" s="41"/>
      <c r="K125" s="75"/>
      <c r="L125" s="25"/>
      <c r="M125" s="21"/>
      <c r="N125" s="21"/>
      <c r="O125" s="8"/>
      <c r="P125" s="20"/>
      <c r="Q125" s="21"/>
      <c r="R125" s="8"/>
      <c r="S125" s="108"/>
    </row>
    <row r="126" spans="1:19" s="2" customFormat="1" ht="19.649999999999999" customHeight="1" x14ac:dyDescent="0.2">
      <c r="D126" s="20"/>
      <c r="E126" s="20"/>
      <c r="F126" s="20"/>
      <c r="G126" s="21"/>
      <c r="H126" s="21"/>
      <c r="I126" s="21"/>
      <c r="J126" s="1"/>
      <c r="K126" s="69"/>
      <c r="L126" s="21"/>
      <c r="M126" s="21"/>
      <c r="N126" s="21"/>
      <c r="O126" s="8"/>
      <c r="P126" s="20"/>
      <c r="Q126" s="21"/>
      <c r="R126" s="8"/>
      <c r="S126" s="108"/>
    </row>
    <row r="127" spans="1:19" s="2" customFormat="1" ht="19.649999999999999" customHeight="1" x14ac:dyDescent="0.2">
      <c r="D127" s="20"/>
      <c r="E127" s="20"/>
      <c r="F127" s="20"/>
      <c r="G127" s="22"/>
      <c r="H127" s="163"/>
      <c r="I127" s="21"/>
      <c r="J127" s="26"/>
      <c r="K127" s="69"/>
      <c r="L127" s="22"/>
      <c r="M127" s="21"/>
      <c r="N127" s="21"/>
      <c r="O127" s="8"/>
      <c r="P127" s="20"/>
      <c r="Q127" s="21"/>
      <c r="R127" s="8"/>
      <c r="S127" s="108"/>
    </row>
    <row r="128" spans="1:19" s="2" customFormat="1" ht="19.649999999999999" customHeight="1" x14ac:dyDescent="0.2">
      <c r="D128" s="20"/>
      <c r="E128" s="20"/>
      <c r="F128" s="20"/>
      <c r="G128" s="22"/>
      <c r="H128" s="163"/>
      <c r="I128" s="21"/>
      <c r="J128" s="26"/>
      <c r="K128" s="69"/>
      <c r="L128" s="22"/>
      <c r="M128" s="21"/>
      <c r="N128" s="21"/>
      <c r="O128" s="8"/>
      <c r="P128" s="20"/>
      <c r="Q128" s="21"/>
      <c r="R128" s="8"/>
      <c r="S128" s="108"/>
    </row>
    <row r="129" spans="1:19" s="2" customFormat="1" ht="19.649999999999999" customHeight="1" x14ac:dyDescent="0.2">
      <c r="B129" s="209"/>
      <c r="D129" s="20"/>
      <c r="E129" s="150" t="s">
        <v>219</v>
      </c>
      <c r="F129" s="151"/>
      <c r="G129" s="152"/>
      <c r="H129" s="226"/>
      <c r="I129" s="98"/>
      <c r="J129" s="19"/>
      <c r="K129" s="70"/>
      <c r="L129" s="36"/>
      <c r="M129" s="21"/>
      <c r="N129" s="21"/>
      <c r="O129" s="8"/>
      <c r="P129" s="20"/>
      <c r="Q129" s="21"/>
      <c r="R129" s="8"/>
      <c r="S129" s="108"/>
    </row>
    <row r="130" spans="1:19" s="2" customFormat="1" ht="19.649999999999999" customHeight="1" x14ac:dyDescent="0.2">
      <c r="A130" s="219" t="s">
        <v>63</v>
      </c>
      <c r="B130" s="84"/>
      <c r="C130" s="277">
        <v>12</v>
      </c>
      <c r="D130" s="20">
        <v>141</v>
      </c>
      <c r="E130" s="142" t="s">
        <v>59</v>
      </c>
      <c r="F130" s="20" t="s">
        <v>60</v>
      </c>
      <c r="G130" s="231" t="s">
        <v>351</v>
      </c>
      <c r="H130" s="84">
        <v>1</v>
      </c>
      <c r="I130" s="84">
        <v>4380</v>
      </c>
      <c r="J130" s="26">
        <f t="shared" ref="J130:J133" si="11">H130*I130</f>
        <v>4380</v>
      </c>
      <c r="K130" s="69"/>
      <c r="L130" s="22" t="s">
        <v>368</v>
      </c>
      <c r="M130" s="21"/>
      <c r="N130" s="21"/>
      <c r="O130" s="8">
        <v>45281</v>
      </c>
      <c r="P130" s="20"/>
      <c r="Q130" s="21"/>
      <c r="R130" s="8">
        <v>44943</v>
      </c>
      <c r="S130" s="108"/>
    </row>
    <row r="131" spans="1:19" s="2" customFormat="1" ht="19.649999999999999" customHeight="1" x14ac:dyDescent="0.2">
      <c r="A131" s="219" t="s">
        <v>63</v>
      </c>
      <c r="B131" s="84"/>
      <c r="C131" s="277">
        <v>12</v>
      </c>
      <c r="D131" s="20">
        <v>142</v>
      </c>
      <c r="E131" s="142" t="s">
        <v>59</v>
      </c>
      <c r="F131" s="20" t="s">
        <v>60</v>
      </c>
      <c r="G131" s="32" t="s">
        <v>353</v>
      </c>
      <c r="H131" s="281">
        <v>1</v>
      </c>
      <c r="I131" s="40">
        <v>2580</v>
      </c>
      <c r="J131" s="43">
        <f t="shared" si="11"/>
        <v>2580</v>
      </c>
      <c r="K131" s="74"/>
      <c r="L131" s="57" t="s">
        <v>369</v>
      </c>
      <c r="M131" s="21"/>
      <c r="N131" s="21"/>
      <c r="O131" s="8">
        <v>45281</v>
      </c>
      <c r="P131" s="20"/>
      <c r="Q131" s="21"/>
      <c r="R131" s="8">
        <v>44943</v>
      </c>
      <c r="S131" s="108"/>
    </row>
    <row r="132" spans="1:19" s="2" customFormat="1" ht="19.649999999999999" customHeight="1" x14ac:dyDescent="0.2">
      <c r="A132" s="219" t="s">
        <v>64</v>
      </c>
      <c r="B132" s="84"/>
      <c r="C132" s="277">
        <v>12</v>
      </c>
      <c r="D132" s="20">
        <v>144</v>
      </c>
      <c r="E132" s="20" t="s">
        <v>23</v>
      </c>
      <c r="F132" s="20" t="s">
        <v>23</v>
      </c>
      <c r="G132" s="78" t="s">
        <v>26</v>
      </c>
      <c r="H132" s="21">
        <v>2</v>
      </c>
      <c r="I132" s="138">
        <v>72</v>
      </c>
      <c r="J132" s="39">
        <f t="shared" si="11"/>
        <v>144</v>
      </c>
      <c r="K132" s="69"/>
      <c r="L132" s="25" t="s">
        <v>27</v>
      </c>
      <c r="M132" s="21"/>
      <c r="N132" s="21"/>
      <c r="O132" s="8">
        <v>45281</v>
      </c>
      <c r="P132" s="20"/>
      <c r="Q132" s="21"/>
      <c r="R132" s="8">
        <v>44943</v>
      </c>
      <c r="S132" s="108"/>
    </row>
    <row r="133" spans="1:19" s="2" customFormat="1" ht="19.649999999999999" customHeight="1" x14ac:dyDescent="0.2">
      <c r="A133" s="219" t="s">
        <v>64</v>
      </c>
      <c r="B133" s="84"/>
      <c r="C133" s="277">
        <v>12</v>
      </c>
      <c r="D133" s="20">
        <v>145</v>
      </c>
      <c r="E133" s="20" t="s">
        <v>23</v>
      </c>
      <c r="F133" s="20" t="s">
        <v>23</v>
      </c>
      <c r="G133" s="78" t="s">
        <v>28</v>
      </c>
      <c r="H133" s="21">
        <v>2</v>
      </c>
      <c r="I133" s="138">
        <v>31</v>
      </c>
      <c r="J133" s="39">
        <f t="shared" si="11"/>
        <v>62</v>
      </c>
      <c r="K133" s="69"/>
      <c r="L133" s="25" t="s">
        <v>29</v>
      </c>
      <c r="M133" s="21"/>
      <c r="N133" s="21"/>
      <c r="O133" s="8">
        <v>45281</v>
      </c>
      <c r="P133" s="20"/>
      <c r="Q133" s="21"/>
      <c r="R133" s="8">
        <v>44943</v>
      </c>
      <c r="S133" s="108"/>
    </row>
    <row r="134" spans="1:19" s="2" customFormat="1" ht="19.649999999999999" customHeight="1" x14ac:dyDescent="0.2">
      <c r="A134" s="219" t="s">
        <v>63</v>
      </c>
      <c r="B134" s="84"/>
      <c r="C134" s="277">
        <v>12</v>
      </c>
      <c r="D134" s="20">
        <v>147</v>
      </c>
      <c r="E134" s="148" t="s">
        <v>23</v>
      </c>
      <c r="F134" s="148" t="s">
        <v>23</v>
      </c>
      <c r="G134" s="57" t="s">
        <v>222</v>
      </c>
      <c r="H134" s="281">
        <v>2</v>
      </c>
      <c r="I134" s="40">
        <v>1280</v>
      </c>
      <c r="J134" s="125">
        <f>H134*I134</f>
        <v>2560</v>
      </c>
      <c r="K134" s="74"/>
      <c r="L134" s="57" t="s">
        <v>40</v>
      </c>
      <c r="M134" s="21"/>
      <c r="N134" s="21"/>
      <c r="O134" s="8">
        <v>45281</v>
      </c>
      <c r="P134" s="20"/>
      <c r="Q134" s="21"/>
      <c r="R134" s="8">
        <v>44943</v>
      </c>
      <c r="S134" s="108"/>
    </row>
    <row r="135" spans="1:19" s="2" customFormat="1" ht="19.649999999999999" customHeight="1" x14ac:dyDescent="0.2">
      <c r="A135" s="219" t="s">
        <v>284</v>
      </c>
      <c r="B135" s="84"/>
      <c r="C135" s="277">
        <v>12</v>
      </c>
      <c r="D135" s="20">
        <v>148</v>
      </c>
      <c r="E135" s="141" t="s">
        <v>55</v>
      </c>
      <c r="F135" s="148" t="s">
        <v>177</v>
      </c>
      <c r="G135" s="22" t="s">
        <v>279</v>
      </c>
      <c r="H135" s="163">
        <v>1</v>
      </c>
      <c r="I135" s="39">
        <v>6617</v>
      </c>
      <c r="J135" s="19">
        <f t="shared" ref="J135:J141" si="12">H135*I135</f>
        <v>6617</v>
      </c>
      <c r="K135" s="69"/>
      <c r="L135" s="22" t="s">
        <v>273</v>
      </c>
      <c r="M135" s="21"/>
      <c r="N135" s="21"/>
      <c r="O135" s="8">
        <v>45281</v>
      </c>
      <c r="P135" s="20"/>
      <c r="Q135" s="21"/>
      <c r="R135" s="8">
        <v>44943</v>
      </c>
      <c r="S135" s="108"/>
    </row>
    <row r="136" spans="1:19" s="2" customFormat="1" ht="19.649999999999999" customHeight="1" x14ac:dyDescent="0.2">
      <c r="A136" s="219" t="s">
        <v>284</v>
      </c>
      <c r="B136" s="84"/>
      <c r="C136" s="277">
        <v>12</v>
      </c>
      <c r="D136" s="20">
        <v>149</v>
      </c>
      <c r="E136" s="141" t="s">
        <v>55</v>
      </c>
      <c r="F136" s="148" t="s">
        <v>177</v>
      </c>
      <c r="G136" s="22" t="s">
        <v>280</v>
      </c>
      <c r="H136" s="163">
        <v>1</v>
      </c>
      <c r="I136" s="39">
        <v>7567</v>
      </c>
      <c r="J136" s="19">
        <f t="shared" si="12"/>
        <v>7567</v>
      </c>
      <c r="K136" s="69"/>
      <c r="L136" s="22" t="s">
        <v>274</v>
      </c>
      <c r="M136" s="21"/>
      <c r="N136" s="21"/>
      <c r="O136" s="8">
        <v>45281</v>
      </c>
      <c r="P136" s="20"/>
      <c r="Q136" s="21"/>
      <c r="R136" s="8">
        <v>44943</v>
      </c>
      <c r="S136" s="108"/>
    </row>
    <row r="137" spans="1:19" s="2" customFormat="1" ht="19.649999999999999" customHeight="1" x14ac:dyDescent="0.2">
      <c r="A137" s="219" t="s">
        <v>63</v>
      </c>
      <c r="B137" s="84"/>
      <c r="C137" s="277">
        <v>12</v>
      </c>
      <c r="D137" s="20">
        <v>150</v>
      </c>
      <c r="E137" s="141" t="s">
        <v>55</v>
      </c>
      <c r="F137" s="148" t="s">
        <v>177</v>
      </c>
      <c r="G137" s="22" t="s">
        <v>277</v>
      </c>
      <c r="H137" s="163">
        <v>1</v>
      </c>
      <c r="I137" s="39">
        <v>2520</v>
      </c>
      <c r="J137" s="19">
        <f t="shared" si="12"/>
        <v>2520</v>
      </c>
      <c r="K137" s="69"/>
      <c r="L137" s="22" t="s">
        <v>275</v>
      </c>
      <c r="M137" s="21"/>
      <c r="N137" s="21"/>
      <c r="O137" s="8">
        <v>45281</v>
      </c>
      <c r="P137" s="20"/>
      <c r="Q137" s="21"/>
      <c r="R137" s="8">
        <v>44943</v>
      </c>
      <c r="S137" s="108"/>
    </row>
    <row r="138" spans="1:19" s="2" customFormat="1" ht="19.649999999999999" customHeight="1" x14ac:dyDescent="0.2">
      <c r="A138" s="219" t="s">
        <v>64</v>
      </c>
      <c r="B138" s="84"/>
      <c r="C138" s="277">
        <v>12</v>
      </c>
      <c r="D138" s="20">
        <v>151</v>
      </c>
      <c r="E138" s="20" t="s">
        <v>23</v>
      </c>
      <c r="F138" s="20" t="s">
        <v>23</v>
      </c>
      <c r="G138" s="22" t="s">
        <v>208</v>
      </c>
      <c r="H138" s="163">
        <v>1</v>
      </c>
      <c r="I138" s="39">
        <v>410</v>
      </c>
      <c r="J138" s="19">
        <f t="shared" si="12"/>
        <v>410</v>
      </c>
      <c r="K138" s="69"/>
      <c r="L138" s="22" t="s">
        <v>226</v>
      </c>
      <c r="M138" s="21"/>
      <c r="N138" s="21"/>
      <c r="O138" s="8">
        <v>45281</v>
      </c>
      <c r="P138" s="20"/>
      <c r="Q138" s="21"/>
      <c r="R138" s="8">
        <v>44943</v>
      </c>
      <c r="S138" s="108"/>
    </row>
    <row r="139" spans="1:19" s="2" customFormat="1" ht="19.649999999999999" customHeight="1" x14ac:dyDescent="0.2">
      <c r="A139" s="219" t="s">
        <v>64</v>
      </c>
      <c r="B139" s="84"/>
      <c r="C139" s="277">
        <v>12</v>
      </c>
      <c r="D139" s="20">
        <v>153</v>
      </c>
      <c r="E139" s="20" t="s">
        <v>23</v>
      </c>
      <c r="F139" s="20" t="s">
        <v>23</v>
      </c>
      <c r="G139" s="22" t="s">
        <v>210</v>
      </c>
      <c r="H139" s="163">
        <v>1</v>
      </c>
      <c r="I139" s="39">
        <v>197</v>
      </c>
      <c r="J139" s="19">
        <f t="shared" si="12"/>
        <v>197</v>
      </c>
      <c r="K139" s="69"/>
      <c r="L139" s="22" t="s">
        <v>227</v>
      </c>
      <c r="M139" s="21"/>
      <c r="N139" s="21"/>
      <c r="O139" s="8">
        <v>45281</v>
      </c>
      <c r="P139" s="20"/>
      <c r="Q139" s="21"/>
      <c r="R139" s="8">
        <v>44943</v>
      </c>
      <c r="S139" s="108"/>
    </row>
    <row r="140" spans="1:19" s="2" customFormat="1" ht="19.649999999999999" customHeight="1" x14ac:dyDescent="0.2">
      <c r="A140" s="219" t="s">
        <v>64</v>
      </c>
      <c r="B140" s="84"/>
      <c r="C140" s="277">
        <v>12</v>
      </c>
      <c r="D140" s="20">
        <v>155</v>
      </c>
      <c r="E140" s="20" t="s">
        <v>23</v>
      </c>
      <c r="F140" s="20" t="s">
        <v>23</v>
      </c>
      <c r="G140" s="22" t="s">
        <v>212</v>
      </c>
      <c r="H140" s="163">
        <v>10</v>
      </c>
      <c r="I140" s="39">
        <v>54</v>
      </c>
      <c r="J140" s="19">
        <f t="shared" si="12"/>
        <v>540</v>
      </c>
      <c r="K140" s="69"/>
      <c r="L140" s="22" t="s">
        <v>228</v>
      </c>
      <c r="M140" s="21"/>
      <c r="N140" s="21"/>
      <c r="O140" s="8">
        <v>45281</v>
      </c>
      <c r="P140" s="20"/>
      <c r="Q140" s="21"/>
      <c r="R140" s="8">
        <v>44943</v>
      </c>
      <c r="S140" s="108"/>
    </row>
    <row r="141" spans="1:19" s="2" customFormat="1" ht="19.649999999999999" customHeight="1" x14ac:dyDescent="0.2">
      <c r="A141" s="219" t="s">
        <v>64</v>
      </c>
      <c r="B141" s="84"/>
      <c r="C141" s="277">
        <v>12</v>
      </c>
      <c r="D141" s="20">
        <v>156</v>
      </c>
      <c r="E141" s="20" t="s">
        <v>23</v>
      </c>
      <c r="F141" s="20" t="s">
        <v>23</v>
      </c>
      <c r="G141" s="22" t="s">
        <v>34</v>
      </c>
      <c r="H141" s="163">
        <v>10</v>
      </c>
      <c r="I141" s="39">
        <v>56</v>
      </c>
      <c r="J141" s="19">
        <f t="shared" si="12"/>
        <v>560</v>
      </c>
      <c r="K141" s="69"/>
      <c r="L141" s="22" t="s">
        <v>228</v>
      </c>
      <c r="M141" s="21"/>
      <c r="N141" s="21"/>
      <c r="O141" s="8">
        <v>45281</v>
      </c>
      <c r="P141" s="20"/>
      <c r="Q141" s="21"/>
      <c r="R141" s="8">
        <v>44943</v>
      </c>
      <c r="S141" s="108"/>
    </row>
    <row r="142" spans="1:19" s="2" customFormat="1" ht="19.649999999999999" customHeight="1" x14ac:dyDescent="0.2">
      <c r="A142" s="219" t="s">
        <v>284</v>
      </c>
      <c r="B142" s="84"/>
      <c r="C142" s="277">
        <v>12</v>
      </c>
      <c r="D142" s="20">
        <v>157</v>
      </c>
      <c r="E142" s="141" t="s">
        <v>55</v>
      </c>
      <c r="F142" s="148" t="s">
        <v>177</v>
      </c>
      <c r="G142" s="22" t="s">
        <v>355</v>
      </c>
      <c r="H142" s="163">
        <v>1</v>
      </c>
      <c r="I142" s="98">
        <v>5805</v>
      </c>
      <c r="J142" s="58">
        <f>H142*I142</f>
        <v>5805</v>
      </c>
      <c r="K142" s="1"/>
      <c r="L142" s="22" t="s">
        <v>378</v>
      </c>
      <c r="M142" s="39"/>
      <c r="N142" s="21"/>
      <c r="O142" s="8">
        <v>45281</v>
      </c>
      <c r="P142" s="20"/>
      <c r="Q142" s="21"/>
      <c r="R142" s="8">
        <v>44943</v>
      </c>
      <c r="S142" s="108"/>
    </row>
    <row r="143" spans="1:19" s="2" customFormat="1" ht="19.649999999999999" customHeight="1" x14ac:dyDescent="0.2">
      <c r="A143" s="219" t="s">
        <v>284</v>
      </c>
      <c r="B143" s="84"/>
      <c r="C143" s="277">
        <v>12</v>
      </c>
      <c r="D143" s="20">
        <v>158</v>
      </c>
      <c r="E143" s="141" t="s">
        <v>55</v>
      </c>
      <c r="F143" s="148" t="s">
        <v>177</v>
      </c>
      <c r="G143" s="282" t="s">
        <v>356</v>
      </c>
      <c r="H143" s="21">
        <v>1</v>
      </c>
      <c r="I143" s="98">
        <v>9416</v>
      </c>
      <c r="J143" s="58">
        <f>H143*I143</f>
        <v>9416</v>
      </c>
      <c r="K143" s="1"/>
      <c r="L143" s="22" t="s">
        <v>337</v>
      </c>
      <c r="M143" s="39"/>
      <c r="N143" s="21"/>
      <c r="O143" s="8">
        <v>45281</v>
      </c>
      <c r="P143" s="20"/>
      <c r="Q143" s="21"/>
      <c r="R143" s="8">
        <v>44943</v>
      </c>
      <c r="S143" s="108"/>
    </row>
    <row r="144" spans="1:19" s="2" customFormat="1" ht="19.649999999999999" customHeight="1" x14ac:dyDescent="0.2">
      <c r="A144" s="219" t="s">
        <v>64</v>
      </c>
      <c r="B144" s="84"/>
      <c r="C144" s="277">
        <v>12</v>
      </c>
      <c r="D144" s="20">
        <v>159</v>
      </c>
      <c r="E144" s="20" t="s">
        <v>23</v>
      </c>
      <c r="F144" s="20" t="s">
        <v>23</v>
      </c>
      <c r="G144" s="45" t="s">
        <v>432</v>
      </c>
      <c r="H144" s="163">
        <v>1</v>
      </c>
      <c r="I144" s="39">
        <v>97</v>
      </c>
      <c r="J144" s="58">
        <f t="shared" ref="J144:J148" si="13">H144*I144</f>
        <v>97</v>
      </c>
      <c r="K144" s="69"/>
      <c r="L144" s="22" t="s">
        <v>205</v>
      </c>
      <c r="M144" s="39"/>
      <c r="N144" s="21"/>
      <c r="O144" s="8">
        <v>45281</v>
      </c>
      <c r="P144" s="20"/>
      <c r="Q144" s="21"/>
      <c r="R144" s="8">
        <v>44943</v>
      </c>
      <c r="S144" s="108"/>
    </row>
    <row r="145" spans="1:19" s="2" customFormat="1" ht="19.649999999999999" customHeight="1" x14ac:dyDescent="0.2">
      <c r="A145" s="219" t="s">
        <v>223</v>
      </c>
      <c r="B145" s="84"/>
      <c r="C145" s="277">
        <v>12</v>
      </c>
      <c r="D145" s="20">
        <v>160</v>
      </c>
      <c r="E145" s="20" t="s">
        <v>23</v>
      </c>
      <c r="F145" s="20" t="s">
        <v>23</v>
      </c>
      <c r="G145" s="22" t="s">
        <v>202</v>
      </c>
      <c r="H145" s="163">
        <v>1</v>
      </c>
      <c r="I145" s="39">
        <v>4570</v>
      </c>
      <c r="J145" s="58">
        <f t="shared" si="13"/>
        <v>4570</v>
      </c>
      <c r="K145" s="69"/>
      <c r="L145" s="22" t="s">
        <v>206</v>
      </c>
      <c r="M145" s="39"/>
      <c r="N145" s="21"/>
      <c r="O145" s="8">
        <v>45281</v>
      </c>
      <c r="P145" s="20"/>
      <c r="Q145" s="21"/>
      <c r="R145" s="8">
        <v>44943</v>
      </c>
      <c r="S145" s="108"/>
    </row>
    <row r="146" spans="1:19" s="2" customFormat="1" ht="19.649999999999999" customHeight="1" x14ac:dyDescent="0.2">
      <c r="A146" s="219" t="s">
        <v>63</v>
      </c>
      <c r="B146" s="84"/>
      <c r="C146" s="277">
        <v>12</v>
      </c>
      <c r="D146" s="20">
        <v>162</v>
      </c>
      <c r="E146" s="20" t="s">
        <v>23</v>
      </c>
      <c r="F146" s="20" t="s">
        <v>23</v>
      </c>
      <c r="G146" s="22" t="s">
        <v>203</v>
      </c>
      <c r="H146" s="163">
        <v>1</v>
      </c>
      <c r="I146" s="39">
        <v>960</v>
      </c>
      <c r="J146" s="58">
        <f t="shared" si="13"/>
        <v>960</v>
      </c>
      <c r="K146" s="69"/>
      <c r="L146" s="22" t="s">
        <v>207</v>
      </c>
      <c r="M146" s="39"/>
      <c r="N146" s="21"/>
      <c r="O146" s="8">
        <v>45281</v>
      </c>
      <c r="P146" s="20"/>
      <c r="Q146" s="21"/>
      <c r="R146" s="8">
        <v>44943</v>
      </c>
      <c r="S146" s="108"/>
    </row>
    <row r="147" spans="1:19" s="2" customFormat="1" ht="19.649999999999999" customHeight="1" x14ac:dyDescent="0.2">
      <c r="A147" s="219" t="s">
        <v>63</v>
      </c>
      <c r="B147" s="84"/>
      <c r="C147" s="277">
        <v>12</v>
      </c>
      <c r="D147" s="20">
        <v>163</v>
      </c>
      <c r="E147" s="141" t="s">
        <v>55</v>
      </c>
      <c r="F147" s="148" t="s">
        <v>177</v>
      </c>
      <c r="G147" s="22" t="s">
        <v>338</v>
      </c>
      <c r="H147" s="163">
        <v>1</v>
      </c>
      <c r="I147" s="39">
        <v>1760</v>
      </c>
      <c r="J147" s="58">
        <f t="shared" si="13"/>
        <v>1760</v>
      </c>
      <c r="K147" s="69"/>
      <c r="L147" s="181" t="s">
        <v>339</v>
      </c>
      <c r="M147" s="39" t="s">
        <v>340</v>
      </c>
      <c r="N147" s="100"/>
      <c r="O147" s="8">
        <v>45281</v>
      </c>
      <c r="P147" s="20"/>
      <c r="Q147" s="21"/>
      <c r="R147" s="8">
        <v>44943</v>
      </c>
      <c r="S147" s="108"/>
    </row>
    <row r="148" spans="1:19" s="2" customFormat="1" ht="19.649999999999999" customHeight="1" x14ac:dyDescent="0.2">
      <c r="A148" s="219" t="s">
        <v>64</v>
      </c>
      <c r="B148" s="84"/>
      <c r="C148" s="277">
        <v>12</v>
      </c>
      <c r="D148" s="20">
        <v>164</v>
      </c>
      <c r="E148" s="20" t="s">
        <v>23</v>
      </c>
      <c r="F148" s="20" t="s">
        <v>23</v>
      </c>
      <c r="G148" s="22" t="s">
        <v>204</v>
      </c>
      <c r="H148" s="163">
        <v>1</v>
      </c>
      <c r="I148" s="39">
        <v>320</v>
      </c>
      <c r="J148" s="58">
        <f t="shared" si="13"/>
        <v>320</v>
      </c>
      <c r="K148" s="69"/>
      <c r="L148" s="22" t="s">
        <v>207</v>
      </c>
      <c r="M148" s="39"/>
      <c r="N148" s="21"/>
      <c r="O148" s="8">
        <v>45281</v>
      </c>
      <c r="P148" s="20"/>
      <c r="Q148" s="21"/>
      <c r="R148" s="8">
        <v>44943</v>
      </c>
      <c r="S148" s="108"/>
    </row>
    <row r="149" spans="1:19" s="2" customFormat="1" ht="19.649999999999999" customHeight="1" x14ac:dyDescent="0.2">
      <c r="A149" s="219" t="s">
        <v>284</v>
      </c>
      <c r="B149" s="84"/>
      <c r="C149" s="277">
        <v>12</v>
      </c>
      <c r="D149" s="20">
        <v>165</v>
      </c>
      <c r="E149" s="141" t="s">
        <v>55</v>
      </c>
      <c r="F149" s="148" t="s">
        <v>177</v>
      </c>
      <c r="G149" s="36" t="s">
        <v>392</v>
      </c>
      <c r="H149" s="21">
        <v>1</v>
      </c>
      <c r="I149" s="39">
        <v>13765</v>
      </c>
      <c r="J149" s="58">
        <f t="shared" ref="J149:J150" si="14">H149*I149</f>
        <v>13765</v>
      </c>
      <c r="K149" s="1"/>
      <c r="L149" s="22" t="s">
        <v>388</v>
      </c>
      <c r="M149" s="21"/>
      <c r="N149" s="21"/>
      <c r="O149" s="8">
        <v>45281</v>
      </c>
      <c r="P149" s="20"/>
      <c r="Q149" s="21"/>
      <c r="R149" s="8">
        <v>44943</v>
      </c>
      <c r="S149" s="108"/>
    </row>
    <row r="150" spans="1:19" s="2" customFormat="1" ht="19.649999999999999" customHeight="1" x14ac:dyDescent="0.2">
      <c r="A150" s="219" t="s">
        <v>64</v>
      </c>
      <c r="B150" s="84"/>
      <c r="C150" s="277">
        <v>12</v>
      </c>
      <c r="D150" s="20">
        <v>171</v>
      </c>
      <c r="E150" s="20" t="s">
        <v>23</v>
      </c>
      <c r="F150" s="20" t="s">
        <v>23</v>
      </c>
      <c r="G150" s="32" t="s">
        <v>345</v>
      </c>
      <c r="H150" s="168">
        <v>1</v>
      </c>
      <c r="I150" s="77">
        <v>618</v>
      </c>
      <c r="J150" s="19">
        <f t="shared" si="14"/>
        <v>618</v>
      </c>
      <c r="K150" s="72"/>
      <c r="L150" s="22" t="s">
        <v>358</v>
      </c>
      <c r="M150" s="21"/>
      <c r="N150" s="21"/>
      <c r="O150" s="8">
        <v>45281</v>
      </c>
      <c r="P150" s="20"/>
      <c r="Q150" s="21"/>
      <c r="R150" s="8">
        <v>44943</v>
      </c>
      <c r="S150" s="108"/>
    </row>
    <row r="151" spans="1:19" s="2" customFormat="1" ht="19.649999999999999" customHeight="1" x14ac:dyDescent="0.2">
      <c r="A151" s="219" t="s">
        <v>284</v>
      </c>
      <c r="B151" s="84"/>
      <c r="C151" s="277">
        <v>12</v>
      </c>
      <c r="D151" s="20">
        <v>172</v>
      </c>
      <c r="E151" s="141" t="s">
        <v>55</v>
      </c>
      <c r="F151" s="148" t="s">
        <v>177</v>
      </c>
      <c r="G151" s="32" t="s">
        <v>370</v>
      </c>
      <c r="H151" s="168">
        <v>1</v>
      </c>
      <c r="I151" s="77">
        <v>7323</v>
      </c>
      <c r="J151" s="19">
        <f t="shared" ref="J151:J158" si="15">H151*I151</f>
        <v>7323</v>
      </c>
      <c r="K151" s="72"/>
      <c r="L151" s="22" t="s">
        <v>359</v>
      </c>
      <c r="M151" s="21"/>
      <c r="N151" s="21"/>
      <c r="O151" s="8">
        <v>45281</v>
      </c>
      <c r="P151" s="20"/>
      <c r="Q151" s="21"/>
      <c r="R151" s="8">
        <v>44943</v>
      </c>
      <c r="S151" s="108"/>
    </row>
    <row r="152" spans="1:19" s="2" customFormat="1" ht="19.649999999999999" customHeight="1" x14ac:dyDescent="0.2">
      <c r="A152" s="320" t="s">
        <v>284</v>
      </c>
      <c r="B152" s="84"/>
      <c r="C152" s="277">
        <v>12</v>
      </c>
      <c r="D152" s="20">
        <f>+D151+1</f>
        <v>173</v>
      </c>
      <c r="E152" s="141" t="s">
        <v>55</v>
      </c>
      <c r="F152" s="141" t="s">
        <v>177</v>
      </c>
      <c r="G152" s="310" t="s">
        <v>450</v>
      </c>
      <c r="H152" s="311">
        <v>1</v>
      </c>
      <c r="I152" s="312">
        <v>6796</v>
      </c>
      <c r="J152" s="313">
        <f t="shared" si="15"/>
        <v>6796</v>
      </c>
      <c r="K152" s="314"/>
      <c r="L152" s="315" t="s">
        <v>451</v>
      </c>
      <c r="M152" s="21" t="s">
        <v>452</v>
      </c>
      <c r="N152" s="21"/>
      <c r="O152" s="8">
        <v>45348</v>
      </c>
      <c r="P152" s="20"/>
      <c r="Q152" s="21"/>
      <c r="R152" s="8">
        <v>45359</v>
      </c>
      <c r="S152" s="108"/>
    </row>
    <row r="153" spans="1:19" s="2" customFormat="1" ht="19.649999999999999" customHeight="1" x14ac:dyDescent="0.2">
      <c r="A153" s="175" t="s">
        <v>64</v>
      </c>
      <c r="B153" s="84"/>
      <c r="C153" s="277">
        <v>12</v>
      </c>
      <c r="D153" s="20">
        <f t="shared" ref="D153" si="16">+D152+1</f>
        <v>174</v>
      </c>
      <c r="E153" s="20" t="s">
        <v>23</v>
      </c>
      <c r="F153" s="20" t="s">
        <v>23</v>
      </c>
      <c r="G153" s="310" t="s">
        <v>453</v>
      </c>
      <c r="H153" s="311">
        <v>2</v>
      </c>
      <c r="I153" s="312">
        <v>460</v>
      </c>
      <c r="J153" s="313">
        <f t="shared" si="15"/>
        <v>920</v>
      </c>
      <c r="K153" s="314"/>
      <c r="L153" s="315" t="s">
        <v>454</v>
      </c>
      <c r="M153" s="21" t="s">
        <v>452</v>
      </c>
      <c r="N153" s="21"/>
      <c r="O153" s="8">
        <v>45348</v>
      </c>
      <c r="P153" s="20"/>
      <c r="Q153" s="21"/>
      <c r="R153" s="8">
        <v>45359</v>
      </c>
      <c r="S153" s="108"/>
    </row>
    <row r="154" spans="1:19" s="2" customFormat="1" ht="19.649999999999999" customHeight="1" x14ac:dyDescent="0.2">
      <c r="A154" s="219" t="s">
        <v>64</v>
      </c>
      <c r="B154" s="84"/>
      <c r="C154" s="277">
        <v>12</v>
      </c>
      <c r="D154" s="20">
        <v>173</v>
      </c>
      <c r="E154" s="20" t="s">
        <v>23</v>
      </c>
      <c r="F154" s="20" t="s">
        <v>23</v>
      </c>
      <c r="G154" s="32" t="s">
        <v>346</v>
      </c>
      <c r="H154" s="168">
        <v>2</v>
      </c>
      <c r="I154" s="77">
        <v>460</v>
      </c>
      <c r="J154" s="19">
        <f t="shared" si="15"/>
        <v>920</v>
      </c>
      <c r="K154" s="72"/>
      <c r="L154" s="22" t="s">
        <v>357</v>
      </c>
      <c r="M154" s="21"/>
      <c r="N154" s="21"/>
      <c r="O154" s="8">
        <v>45281</v>
      </c>
      <c r="P154" s="20"/>
      <c r="Q154" s="21"/>
      <c r="R154" s="8">
        <v>44943</v>
      </c>
      <c r="S154" s="108"/>
    </row>
    <row r="155" spans="1:19" s="2" customFormat="1" ht="19.649999999999999" customHeight="1" x14ac:dyDescent="0.2">
      <c r="A155" s="219" t="s">
        <v>64</v>
      </c>
      <c r="B155" s="84"/>
      <c r="C155" s="277">
        <v>12</v>
      </c>
      <c r="D155" s="20">
        <v>174</v>
      </c>
      <c r="E155" s="20" t="s">
        <v>23</v>
      </c>
      <c r="F155" s="20" t="s">
        <v>23</v>
      </c>
      <c r="G155" s="32" t="s">
        <v>347</v>
      </c>
      <c r="H155" s="168">
        <v>2</v>
      </c>
      <c r="I155" s="77">
        <v>618</v>
      </c>
      <c r="J155" s="19">
        <f t="shared" si="15"/>
        <v>1236</v>
      </c>
      <c r="K155" s="72"/>
      <c r="L155" s="22" t="s">
        <v>358</v>
      </c>
      <c r="M155" s="21"/>
      <c r="N155" s="21"/>
      <c r="O155" s="8">
        <v>45281</v>
      </c>
      <c r="P155" s="20"/>
      <c r="Q155" s="21"/>
      <c r="R155" s="8">
        <v>44943</v>
      </c>
      <c r="S155" s="108"/>
    </row>
    <row r="156" spans="1:19" s="2" customFormat="1" ht="19.649999999999999" customHeight="1" x14ac:dyDescent="0.2">
      <c r="A156" s="219" t="s">
        <v>284</v>
      </c>
      <c r="B156" s="84"/>
      <c r="C156" s="277">
        <v>12</v>
      </c>
      <c r="D156" s="20">
        <v>175</v>
      </c>
      <c r="E156" s="141" t="s">
        <v>55</v>
      </c>
      <c r="F156" s="148" t="s">
        <v>177</v>
      </c>
      <c r="G156" s="285" t="s">
        <v>391</v>
      </c>
      <c r="H156" s="21">
        <v>1</v>
      </c>
      <c r="I156" s="39">
        <v>12200</v>
      </c>
      <c r="J156" s="58">
        <f t="shared" si="15"/>
        <v>12200</v>
      </c>
      <c r="K156" s="1"/>
      <c r="L156" s="22" t="s">
        <v>389</v>
      </c>
      <c r="M156" s="21"/>
      <c r="N156" s="21"/>
      <c r="O156" s="8">
        <v>45281</v>
      </c>
      <c r="P156" s="20"/>
      <c r="Q156" s="21"/>
      <c r="R156" s="8">
        <v>44943</v>
      </c>
      <c r="S156" s="108"/>
    </row>
    <row r="157" spans="1:19" s="2" customFormat="1" ht="19.649999999999999" customHeight="1" x14ac:dyDescent="0.2">
      <c r="A157" s="219" t="s">
        <v>64</v>
      </c>
      <c r="B157" s="84"/>
      <c r="C157" s="277">
        <v>12</v>
      </c>
      <c r="D157" s="20">
        <v>176</v>
      </c>
      <c r="E157" s="20" t="s">
        <v>23</v>
      </c>
      <c r="F157" s="20" t="s">
        <v>23</v>
      </c>
      <c r="G157" s="45" t="s">
        <v>201</v>
      </c>
      <c r="H157" s="163">
        <v>1</v>
      </c>
      <c r="I157" s="39">
        <v>101</v>
      </c>
      <c r="J157" s="58">
        <f t="shared" si="15"/>
        <v>101</v>
      </c>
      <c r="K157" s="69"/>
      <c r="L157" s="22" t="s">
        <v>225</v>
      </c>
      <c r="M157" s="21"/>
      <c r="N157" s="21"/>
      <c r="O157" s="8">
        <v>45281</v>
      </c>
      <c r="P157" s="20"/>
      <c r="Q157" s="21"/>
      <c r="R157" s="8">
        <v>44943</v>
      </c>
      <c r="S157" s="108"/>
    </row>
    <row r="158" spans="1:19" s="2" customFormat="1" ht="19.649999999999999" customHeight="1" x14ac:dyDescent="0.2">
      <c r="A158" s="219" t="s">
        <v>64</v>
      </c>
      <c r="B158" s="84"/>
      <c r="C158" s="277">
        <v>12</v>
      </c>
      <c r="D158" s="20">
        <v>177</v>
      </c>
      <c r="E158" s="20" t="s">
        <v>23</v>
      </c>
      <c r="F158" s="20" t="s">
        <v>23</v>
      </c>
      <c r="G158" s="45" t="s">
        <v>347</v>
      </c>
      <c r="H158" s="163">
        <v>2</v>
      </c>
      <c r="I158" s="39">
        <v>618</v>
      </c>
      <c r="J158" s="58">
        <f t="shared" si="15"/>
        <v>1236</v>
      </c>
      <c r="K158" s="69"/>
      <c r="L158" s="22" t="s">
        <v>358</v>
      </c>
      <c r="M158" s="21"/>
      <c r="N158" s="21"/>
      <c r="O158" s="8">
        <v>45281</v>
      </c>
      <c r="P158" s="20"/>
      <c r="Q158" s="21"/>
      <c r="R158" s="8">
        <v>44943</v>
      </c>
      <c r="S158" s="108"/>
    </row>
    <row r="159" spans="1:19" s="2" customFormat="1" ht="19.649999999999999" customHeight="1" x14ac:dyDescent="0.2">
      <c r="A159" s="219" t="s">
        <v>63</v>
      </c>
      <c r="B159" s="84"/>
      <c r="C159" s="277">
        <v>12</v>
      </c>
      <c r="D159" s="20">
        <v>178</v>
      </c>
      <c r="E159" s="141" t="s">
        <v>55</v>
      </c>
      <c r="F159" s="148" t="s">
        <v>177</v>
      </c>
      <c r="G159" s="45" t="s">
        <v>372</v>
      </c>
      <c r="H159" s="163">
        <v>2</v>
      </c>
      <c r="I159" s="39">
        <v>1640</v>
      </c>
      <c r="J159" s="58">
        <f t="shared" ref="J159:J162" si="17">H159*I159</f>
        <v>3280</v>
      </c>
      <c r="K159" s="69"/>
      <c r="L159" s="22" t="s">
        <v>360</v>
      </c>
      <c r="M159" s="21"/>
      <c r="N159" s="21"/>
      <c r="O159" s="8">
        <v>45281</v>
      </c>
      <c r="P159" s="20"/>
      <c r="Q159" s="21"/>
      <c r="R159" s="8">
        <v>44943</v>
      </c>
      <c r="S159" s="108"/>
    </row>
    <row r="160" spans="1:19" s="2" customFormat="1" ht="19.649999999999999" customHeight="1" x14ac:dyDescent="0.2">
      <c r="A160" s="219" t="s">
        <v>63</v>
      </c>
      <c r="B160" s="84"/>
      <c r="C160" s="277">
        <v>12</v>
      </c>
      <c r="D160" s="20">
        <v>180</v>
      </c>
      <c r="E160" s="141" t="s">
        <v>55</v>
      </c>
      <c r="F160" s="148" t="s">
        <v>177</v>
      </c>
      <c r="G160" s="45" t="s">
        <v>371</v>
      </c>
      <c r="H160" s="163">
        <v>2</v>
      </c>
      <c r="I160" s="39">
        <v>1500</v>
      </c>
      <c r="J160" s="58">
        <f t="shared" si="17"/>
        <v>3000</v>
      </c>
      <c r="K160" s="69"/>
      <c r="L160" s="22" t="s">
        <v>361</v>
      </c>
      <c r="M160" s="21"/>
      <c r="N160" s="21"/>
      <c r="O160" s="8">
        <v>45281</v>
      </c>
      <c r="P160" s="20"/>
      <c r="Q160" s="21"/>
      <c r="R160" s="8">
        <v>44943</v>
      </c>
      <c r="S160" s="108"/>
    </row>
    <row r="161" spans="1:19" s="2" customFormat="1" ht="19.649999999999999" customHeight="1" x14ac:dyDescent="0.2">
      <c r="A161" s="175" t="s">
        <v>63</v>
      </c>
      <c r="B161" s="84"/>
      <c r="C161" s="277">
        <v>12</v>
      </c>
      <c r="D161" s="20">
        <f>+D160+1</f>
        <v>181</v>
      </c>
      <c r="E161" s="141" t="s">
        <v>55</v>
      </c>
      <c r="F161" s="141" t="s">
        <v>177</v>
      </c>
      <c r="G161" s="316" t="s">
        <v>455</v>
      </c>
      <c r="H161" s="317">
        <v>2</v>
      </c>
      <c r="I161" s="303">
        <v>1520</v>
      </c>
      <c r="J161" s="318">
        <f>H161*I161</f>
        <v>3040</v>
      </c>
      <c r="K161" s="319"/>
      <c r="L161" s="315" t="s">
        <v>456</v>
      </c>
      <c r="M161" s="21" t="s">
        <v>452</v>
      </c>
      <c r="N161" s="21"/>
      <c r="O161" s="8">
        <v>45348</v>
      </c>
      <c r="P161" s="20"/>
      <c r="Q161" s="21"/>
      <c r="R161" s="8">
        <v>45359</v>
      </c>
      <c r="S161" s="108"/>
    </row>
    <row r="162" spans="1:19" s="2" customFormat="1" ht="19.649999999999999" customHeight="1" x14ac:dyDescent="0.2">
      <c r="A162" s="219" t="s">
        <v>284</v>
      </c>
      <c r="B162" s="84"/>
      <c r="C162" s="277">
        <v>12</v>
      </c>
      <c r="D162" s="20">
        <v>182</v>
      </c>
      <c r="E162" s="141" t="s">
        <v>55</v>
      </c>
      <c r="F162" s="148" t="s">
        <v>177</v>
      </c>
      <c r="G162" s="45" t="s">
        <v>373</v>
      </c>
      <c r="H162" s="163">
        <v>1</v>
      </c>
      <c r="I162" s="39">
        <v>6660</v>
      </c>
      <c r="J162" s="58">
        <f t="shared" si="17"/>
        <v>6660</v>
      </c>
      <c r="K162" s="69"/>
      <c r="L162" s="22" t="s">
        <v>362</v>
      </c>
      <c r="M162" s="21"/>
      <c r="N162" s="21"/>
      <c r="O162" s="8">
        <v>45281</v>
      </c>
      <c r="P162" s="20"/>
      <c r="Q162" s="21"/>
      <c r="R162" s="8">
        <v>44943</v>
      </c>
      <c r="S162" s="108"/>
    </row>
    <row r="163" spans="1:19" s="2" customFormat="1" ht="19.649999999999999" customHeight="1" x14ac:dyDescent="0.2">
      <c r="A163" s="219" t="s">
        <v>64</v>
      </c>
      <c r="B163" s="84"/>
      <c r="C163" s="277">
        <v>12</v>
      </c>
      <c r="D163" s="20">
        <v>186</v>
      </c>
      <c r="E163" s="20" t="s">
        <v>23</v>
      </c>
      <c r="F163" s="20" t="s">
        <v>23</v>
      </c>
      <c r="G163" s="12" t="s">
        <v>191</v>
      </c>
      <c r="H163" s="284">
        <v>10</v>
      </c>
      <c r="I163" s="77">
        <v>26</v>
      </c>
      <c r="J163" s="19">
        <f>H163*I163</f>
        <v>260</v>
      </c>
      <c r="K163" s="19"/>
      <c r="L163" s="22" t="s">
        <v>192</v>
      </c>
      <c r="M163" s="21"/>
      <c r="N163" s="21"/>
      <c r="O163" s="8">
        <v>45281</v>
      </c>
      <c r="P163" s="20"/>
      <c r="Q163" s="21"/>
      <c r="R163" s="8">
        <v>44943</v>
      </c>
      <c r="S163" s="108"/>
    </row>
    <row r="164" spans="1:19" s="2" customFormat="1" ht="19.649999999999999" customHeight="1" x14ac:dyDescent="0.2">
      <c r="A164" s="219" t="s">
        <v>63</v>
      </c>
      <c r="B164" s="84"/>
      <c r="C164" s="277">
        <v>12</v>
      </c>
      <c r="D164" s="20">
        <v>186</v>
      </c>
      <c r="E164" s="141" t="s">
        <v>55</v>
      </c>
      <c r="F164" s="141" t="s">
        <v>177</v>
      </c>
      <c r="G164" s="310" t="s">
        <v>458</v>
      </c>
      <c r="H164" s="311">
        <v>1</v>
      </c>
      <c r="I164" s="312">
        <v>2720</v>
      </c>
      <c r="J164" s="19">
        <f t="shared" ref="J164:J165" si="18">H164*I164</f>
        <v>2720</v>
      </c>
      <c r="K164" s="321"/>
      <c r="L164" s="322" t="s">
        <v>459</v>
      </c>
      <c r="M164" s="22" t="s">
        <v>457</v>
      </c>
      <c r="N164" s="21"/>
      <c r="O164" s="8">
        <v>45355</v>
      </c>
      <c r="P164" s="20"/>
      <c r="Q164" s="21"/>
      <c r="R164" s="8">
        <v>45359</v>
      </c>
      <c r="S164" s="108"/>
    </row>
    <row r="165" spans="1:19" s="2" customFormat="1" ht="19.649999999999999" customHeight="1" x14ac:dyDescent="0.2">
      <c r="A165" s="219" t="s">
        <v>64</v>
      </c>
      <c r="B165" s="84"/>
      <c r="C165" s="277">
        <v>12</v>
      </c>
      <c r="D165" s="20">
        <v>186</v>
      </c>
      <c r="E165" s="20" t="s">
        <v>23</v>
      </c>
      <c r="F165" s="20" t="s">
        <v>23</v>
      </c>
      <c r="G165" s="310" t="s">
        <v>460</v>
      </c>
      <c r="H165" s="311">
        <v>5</v>
      </c>
      <c r="I165" s="312">
        <v>160</v>
      </c>
      <c r="J165" s="19">
        <f t="shared" si="18"/>
        <v>800</v>
      </c>
      <c r="K165" s="321"/>
      <c r="L165" s="154" t="s">
        <v>461</v>
      </c>
      <c r="M165" s="22" t="s">
        <v>457</v>
      </c>
      <c r="N165" s="21"/>
      <c r="O165" s="8">
        <v>45355</v>
      </c>
      <c r="P165" s="20"/>
      <c r="Q165" s="21"/>
      <c r="R165" s="8">
        <v>45359</v>
      </c>
      <c r="S165" s="108"/>
    </row>
    <row r="166" spans="1:19" s="2" customFormat="1" ht="19.649999999999999" customHeight="1" x14ac:dyDescent="0.2">
      <c r="D166" s="20"/>
      <c r="E166" s="23"/>
      <c r="F166" s="23"/>
      <c r="G166" s="22"/>
      <c r="H166" s="227"/>
      <c r="I166" s="21"/>
      <c r="J166" s="26"/>
      <c r="K166" s="69"/>
      <c r="L166" s="36"/>
      <c r="M166" s="21"/>
      <c r="N166" s="21"/>
      <c r="O166" s="8"/>
      <c r="P166" s="20"/>
      <c r="Q166" s="21"/>
      <c r="R166" s="8"/>
      <c r="S166" s="108"/>
    </row>
    <row r="167" spans="1:19" s="2" customFormat="1" ht="19.649999999999999" customHeight="1" x14ac:dyDescent="0.2">
      <c r="D167" s="20"/>
      <c r="E167" s="20"/>
      <c r="F167" s="20"/>
      <c r="G167" s="54">
        <f>SUM(J130:J166)</f>
        <v>115940</v>
      </c>
      <c r="H167" s="41"/>
      <c r="I167" s="41"/>
      <c r="J167" s="41"/>
      <c r="K167" s="75"/>
      <c r="L167" s="25"/>
      <c r="M167" s="21"/>
      <c r="N167" s="21"/>
      <c r="O167" s="8"/>
      <c r="P167" s="20"/>
      <c r="Q167" s="21"/>
      <c r="R167" s="8"/>
      <c r="S167" s="108"/>
    </row>
    <row r="168" spans="1:19" s="2" customFormat="1" ht="19.649999999999999" customHeight="1" x14ac:dyDescent="0.2">
      <c r="D168" s="20"/>
      <c r="E168" s="20"/>
      <c r="F168" s="20"/>
      <c r="G168" s="22"/>
      <c r="H168" s="163"/>
      <c r="I168" s="21"/>
      <c r="J168" s="26"/>
      <c r="K168" s="69"/>
      <c r="L168" s="22"/>
      <c r="M168" s="21"/>
      <c r="N168" s="21"/>
      <c r="O168" s="8"/>
      <c r="P168" s="20"/>
      <c r="Q168" s="21"/>
      <c r="R168" s="8"/>
      <c r="S168" s="108"/>
    </row>
    <row r="169" spans="1:19" s="2" customFormat="1" ht="19.649999999999999" customHeight="1" x14ac:dyDescent="0.2">
      <c r="D169" s="20"/>
      <c r="E169" s="20"/>
      <c r="F169" s="20"/>
      <c r="G169" s="22"/>
      <c r="H169" s="163"/>
      <c r="I169" s="21"/>
      <c r="J169" s="26"/>
      <c r="K169" s="69"/>
      <c r="L169" s="22"/>
      <c r="M169" s="21"/>
      <c r="N169" s="21"/>
      <c r="O169" s="8"/>
      <c r="P169" s="20"/>
      <c r="Q169" s="21"/>
      <c r="R169" s="8"/>
      <c r="S169" s="108"/>
    </row>
    <row r="170" spans="1:19" s="2" customFormat="1" ht="19.649999999999999" customHeight="1" x14ac:dyDescent="0.2">
      <c r="D170" s="20"/>
      <c r="E170" s="20"/>
      <c r="F170" s="20"/>
      <c r="G170" s="21"/>
      <c r="H170" s="21"/>
      <c r="I170" s="21"/>
      <c r="J170" s="1"/>
      <c r="K170" s="69"/>
      <c r="L170" s="21"/>
      <c r="M170" s="21"/>
      <c r="N170" s="21"/>
      <c r="O170" s="8"/>
      <c r="P170" s="20"/>
      <c r="Q170" s="21"/>
      <c r="R170" s="8"/>
      <c r="S170" s="108"/>
    </row>
    <row r="171" spans="1:19" s="2" customFormat="1" ht="19.649999999999999" customHeight="1" x14ac:dyDescent="0.2">
      <c r="D171" s="20"/>
      <c r="E171" s="102" t="s">
        <v>37</v>
      </c>
      <c r="F171" s="103"/>
      <c r="G171" s="104"/>
      <c r="H171" s="225"/>
      <c r="I171" s="17"/>
      <c r="J171" s="26"/>
      <c r="K171" s="71"/>
      <c r="L171" s="18"/>
      <c r="M171" s="21"/>
      <c r="N171" s="21"/>
      <c r="O171" s="8"/>
      <c r="P171" s="20"/>
      <c r="Q171" s="21"/>
      <c r="R171" s="8"/>
      <c r="S171" s="108"/>
    </row>
    <row r="172" spans="1:19" s="2" customFormat="1" ht="19.649999999999999" customHeight="1" x14ac:dyDescent="0.2">
      <c r="A172" s="219" t="s">
        <v>65</v>
      </c>
      <c r="B172" s="84"/>
      <c r="C172" s="276">
        <v>18</v>
      </c>
      <c r="D172" s="20">
        <v>187</v>
      </c>
      <c r="E172" s="120" t="s">
        <v>31</v>
      </c>
      <c r="F172" s="120" t="s">
        <v>31</v>
      </c>
      <c r="G172" s="45" t="s">
        <v>233</v>
      </c>
      <c r="H172" s="26">
        <v>1</v>
      </c>
      <c r="I172" s="26">
        <v>5600</v>
      </c>
      <c r="J172" s="26">
        <f>H172*I172</f>
        <v>5600</v>
      </c>
      <c r="K172" s="76"/>
      <c r="L172" s="33" t="s">
        <v>83</v>
      </c>
      <c r="M172" s="21"/>
      <c r="N172" s="21"/>
      <c r="O172" s="8">
        <v>45281</v>
      </c>
      <c r="P172" s="20"/>
      <c r="Q172" s="21"/>
      <c r="R172" s="8">
        <v>44943</v>
      </c>
      <c r="S172" s="108"/>
    </row>
    <row r="173" spans="1:19" s="2" customFormat="1" ht="19.649999999999999" customHeight="1" x14ac:dyDescent="0.2">
      <c r="A173" s="219" t="s">
        <v>65</v>
      </c>
      <c r="B173" s="84"/>
      <c r="C173" s="276">
        <v>18</v>
      </c>
      <c r="D173" s="20">
        <v>188</v>
      </c>
      <c r="E173" s="20" t="s">
        <v>23</v>
      </c>
      <c r="F173" s="20" t="s">
        <v>23</v>
      </c>
      <c r="G173" s="32" t="s">
        <v>84</v>
      </c>
      <c r="H173" s="28">
        <v>1</v>
      </c>
      <c r="I173" s="30">
        <v>2040</v>
      </c>
      <c r="J173" s="26">
        <f>H173*I173</f>
        <v>2040</v>
      </c>
      <c r="K173" s="19"/>
      <c r="L173" s="91" t="s">
        <v>82</v>
      </c>
      <c r="M173" s="21"/>
      <c r="N173" s="21"/>
      <c r="O173" s="8">
        <v>45281</v>
      </c>
      <c r="P173" s="20"/>
      <c r="Q173" s="21"/>
      <c r="R173" s="8">
        <v>44943</v>
      </c>
      <c r="S173" s="108"/>
    </row>
    <row r="174" spans="1:19" s="2" customFormat="1" ht="19.649999999999999" customHeight="1" x14ac:dyDescent="0.2">
      <c r="D174" s="20"/>
      <c r="E174" s="121"/>
      <c r="F174" s="121"/>
      <c r="G174" s="78"/>
      <c r="H174" s="163"/>
      <c r="I174" s="26"/>
      <c r="J174" s="26"/>
      <c r="K174" s="72"/>
      <c r="L174" s="22"/>
      <c r="M174" s="21"/>
      <c r="N174" s="21"/>
      <c r="O174" s="8"/>
      <c r="P174" s="20"/>
      <c r="Q174" s="21"/>
      <c r="R174" s="8"/>
      <c r="S174" s="108"/>
    </row>
    <row r="175" spans="1:19" s="2" customFormat="1" ht="19.649999999999999" customHeight="1" x14ac:dyDescent="0.2">
      <c r="D175" s="20"/>
      <c r="E175" s="15"/>
      <c r="F175" s="15"/>
      <c r="G175" s="54">
        <f>SUM(J172:J173)</f>
        <v>7640</v>
      </c>
      <c r="H175" s="225"/>
      <c r="I175" s="17"/>
      <c r="J175" s="26"/>
      <c r="K175" s="71"/>
      <c r="L175" s="18"/>
      <c r="M175" s="21"/>
      <c r="N175" s="21"/>
      <c r="O175" s="8"/>
      <c r="P175" s="20"/>
      <c r="Q175" s="21"/>
      <c r="R175" s="8"/>
      <c r="S175" s="108"/>
    </row>
    <row r="176" spans="1:19" s="2" customFormat="1" ht="19.649999999999999" customHeight="1" x14ac:dyDescent="0.2">
      <c r="D176" s="20"/>
      <c r="E176" s="20"/>
      <c r="F176" s="20"/>
      <c r="G176" s="21"/>
      <c r="H176" s="21"/>
      <c r="I176" s="21"/>
      <c r="J176" s="1"/>
      <c r="K176" s="69"/>
      <c r="L176" s="21"/>
      <c r="M176" s="21"/>
      <c r="N176" s="21"/>
      <c r="O176" s="8"/>
      <c r="P176" s="20"/>
      <c r="Q176" s="21"/>
      <c r="R176" s="8"/>
      <c r="S176" s="108"/>
    </row>
    <row r="177" spans="1:19" s="2" customFormat="1" ht="19.649999999999999" customHeight="1" x14ac:dyDescent="0.2">
      <c r="D177" s="20"/>
      <c r="E177" s="20"/>
      <c r="F177" s="20"/>
      <c r="G177" s="21"/>
      <c r="H177" s="21"/>
      <c r="I177" s="21"/>
      <c r="J177" s="1"/>
      <c r="K177" s="69"/>
      <c r="L177" s="21"/>
      <c r="M177" s="21"/>
      <c r="N177" s="21"/>
      <c r="O177" s="8"/>
      <c r="P177" s="20"/>
      <c r="Q177" s="21"/>
      <c r="R177" s="8"/>
      <c r="S177" s="108"/>
    </row>
    <row r="178" spans="1:19" s="2" customFormat="1" ht="19.649999999999999" customHeight="1" x14ac:dyDescent="0.2">
      <c r="D178" s="20"/>
      <c r="E178" s="102" t="s">
        <v>48</v>
      </c>
      <c r="F178" s="103"/>
      <c r="G178" s="104"/>
      <c r="H178" s="21"/>
      <c r="I178" s="21"/>
      <c r="J178" s="1"/>
      <c r="K178" s="69"/>
      <c r="L178" s="21"/>
      <c r="M178" s="21"/>
      <c r="N178" s="21"/>
      <c r="O178" s="8"/>
      <c r="P178" s="20"/>
      <c r="Q178" s="21"/>
      <c r="R178" s="8"/>
      <c r="S178" s="108"/>
    </row>
    <row r="179" spans="1:19" s="2" customFormat="1" ht="19.649999999999999" customHeight="1" x14ac:dyDescent="0.2">
      <c r="A179" s="219" t="s">
        <v>234</v>
      </c>
      <c r="B179" s="84"/>
      <c r="C179" s="276">
        <v>18</v>
      </c>
      <c r="D179" s="20">
        <v>189</v>
      </c>
      <c r="E179" s="20" t="s">
        <v>108</v>
      </c>
      <c r="F179" s="20" t="s">
        <v>109</v>
      </c>
      <c r="G179" s="78" t="s">
        <v>110</v>
      </c>
      <c r="H179" s="21">
        <v>1</v>
      </c>
      <c r="I179" s="39">
        <v>9580</v>
      </c>
      <c r="J179" s="39">
        <f>H179*I179</f>
        <v>9580</v>
      </c>
      <c r="K179" s="1"/>
      <c r="L179" s="25" t="s">
        <v>139</v>
      </c>
      <c r="M179" s="21"/>
      <c r="N179" s="21"/>
      <c r="O179" s="8">
        <v>45282</v>
      </c>
      <c r="P179" s="20"/>
      <c r="Q179" s="100"/>
      <c r="R179" s="8">
        <v>44943</v>
      </c>
      <c r="S179" s="108" t="s">
        <v>441</v>
      </c>
    </row>
    <row r="180" spans="1:19" s="2" customFormat="1" ht="19.649999999999999" customHeight="1" x14ac:dyDescent="0.2">
      <c r="A180" s="219" t="s">
        <v>234</v>
      </c>
      <c r="B180" s="84"/>
      <c r="C180" s="276">
        <v>18</v>
      </c>
      <c r="D180" s="20">
        <v>190</v>
      </c>
      <c r="E180" s="20" t="s">
        <v>108</v>
      </c>
      <c r="F180" s="20" t="s">
        <v>109</v>
      </c>
      <c r="G180" s="78" t="s">
        <v>414</v>
      </c>
      <c r="H180" s="163">
        <v>1</v>
      </c>
      <c r="I180" s="295">
        <v>14790</v>
      </c>
      <c r="J180" s="295">
        <f>H180*I180</f>
        <v>14790</v>
      </c>
      <c r="K180" s="69"/>
      <c r="L180" s="25" t="s">
        <v>418</v>
      </c>
      <c r="M180" s="296" t="s">
        <v>435</v>
      </c>
      <c r="N180" s="21"/>
      <c r="O180" s="8">
        <v>45282</v>
      </c>
      <c r="P180" s="20"/>
      <c r="Q180" s="100"/>
      <c r="R180" s="8">
        <v>44943</v>
      </c>
      <c r="S180" s="108" t="s">
        <v>441</v>
      </c>
    </row>
    <row r="181" spans="1:19" s="2" customFormat="1" ht="19.649999999999999" customHeight="1" x14ac:dyDescent="0.2">
      <c r="A181" s="219" t="s">
        <v>103</v>
      </c>
      <c r="B181" s="84"/>
      <c r="C181" s="276">
        <v>18</v>
      </c>
      <c r="D181" s="20">
        <v>191</v>
      </c>
      <c r="E181" s="20" t="s">
        <v>23</v>
      </c>
      <c r="F181" s="20" t="s">
        <v>23</v>
      </c>
      <c r="G181" s="78" t="s">
        <v>235</v>
      </c>
      <c r="H181" s="163">
        <v>1</v>
      </c>
      <c r="I181" s="39">
        <v>5906</v>
      </c>
      <c r="J181" s="39">
        <f t="shared" ref="J181:J215" si="19">H181*I181</f>
        <v>5906</v>
      </c>
      <c r="K181" s="69"/>
      <c r="L181" s="22" t="s">
        <v>236</v>
      </c>
      <c r="M181" s="21" t="s">
        <v>138</v>
      </c>
      <c r="N181" s="21"/>
      <c r="O181" s="8">
        <v>45281</v>
      </c>
      <c r="P181" s="20"/>
      <c r="Q181" s="100"/>
      <c r="R181" s="8">
        <v>44943</v>
      </c>
      <c r="S181" s="108"/>
    </row>
    <row r="182" spans="1:19" s="2" customFormat="1" ht="19.649999999999999" customHeight="1" x14ac:dyDescent="0.2">
      <c r="A182" s="219" t="s">
        <v>103</v>
      </c>
      <c r="B182" s="84"/>
      <c r="C182" s="276">
        <v>18</v>
      </c>
      <c r="D182" s="20">
        <v>192</v>
      </c>
      <c r="E182" s="20" t="s">
        <v>23</v>
      </c>
      <c r="F182" s="20" t="s">
        <v>23</v>
      </c>
      <c r="G182" s="78" t="s">
        <v>140</v>
      </c>
      <c r="H182" s="163">
        <v>1</v>
      </c>
      <c r="I182" s="39">
        <v>5117</v>
      </c>
      <c r="J182" s="39">
        <f t="shared" si="19"/>
        <v>5117</v>
      </c>
      <c r="K182" s="69"/>
      <c r="L182" s="22" t="s">
        <v>141</v>
      </c>
      <c r="M182" s="21"/>
      <c r="N182" s="21"/>
      <c r="O182" s="8">
        <v>45281</v>
      </c>
      <c r="P182" s="20"/>
      <c r="Q182" s="100"/>
      <c r="R182" s="8">
        <v>44943</v>
      </c>
      <c r="S182" s="108"/>
    </row>
    <row r="183" spans="1:19" s="2" customFormat="1" ht="19.649999999999999" customHeight="1" x14ac:dyDescent="0.2">
      <c r="A183" s="219" t="s">
        <v>103</v>
      </c>
      <c r="B183" s="84"/>
      <c r="C183" s="276">
        <v>18</v>
      </c>
      <c r="D183" s="20">
        <v>193</v>
      </c>
      <c r="E183" s="20" t="s">
        <v>413</v>
      </c>
      <c r="F183" s="20" t="s">
        <v>23</v>
      </c>
      <c r="G183" s="78" t="s">
        <v>411</v>
      </c>
      <c r="H183" s="163">
        <v>1</v>
      </c>
      <c r="I183" s="39">
        <v>3774</v>
      </c>
      <c r="J183" s="39">
        <f t="shared" si="19"/>
        <v>3774</v>
      </c>
      <c r="K183" s="69"/>
      <c r="L183" s="22" t="s">
        <v>412</v>
      </c>
      <c r="M183" s="21"/>
      <c r="N183" s="21"/>
      <c r="O183" s="8">
        <v>45281</v>
      </c>
      <c r="P183" s="20"/>
      <c r="Q183" s="100"/>
      <c r="R183" s="8">
        <v>44943</v>
      </c>
      <c r="S183" s="108"/>
    </row>
    <row r="184" spans="1:19" s="2" customFormat="1" ht="19.649999999999999" customHeight="1" x14ac:dyDescent="0.2">
      <c r="A184" s="219" t="s">
        <v>63</v>
      </c>
      <c r="B184" s="84"/>
      <c r="C184" s="276">
        <v>18</v>
      </c>
      <c r="D184" s="20">
        <v>194</v>
      </c>
      <c r="E184" s="141" t="s">
        <v>55</v>
      </c>
      <c r="F184" s="148" t="s">
        <v>177</v>
      </c>
      <c r="G184" s="78" t="s">
        <v>428</v>
      </c>
      <c r="H184" s="163">
        <v>1</v>
      </c>
      <c r="I184" s="39">
        <v>2270</v>
      </c>
      <c r="J184" s="39">
        <f t="shared" si="19"/>
        <v>2270</v>
      </c>
      <c r="K184" s="69"/>
      <c r="L184" s="22" t="s">
        <v>429</v>
      </c>
      <c r="M184" s="21"/>
      <c r="N184" s="21"/>
      <c r="O184" s="8">
        <v>45281</v>
      </c>
      <c r="P184" s="20"/>
      <c r="Q184" s="100"/>
      <c r="R184" s="8">
        <v>44943</v>
      </c>
      <c r="S184" s="108"/>
    </row>
    <row r="185" spans="1:19" s="2" customFormat="1" ht="19.649999999999999" customHeight="1" x14ac:dyDescent="0.2">
      <c r="A185" s="219" t="s">
        <v>64</v>
      </c>
      <c r="B185" s="84"/>
      <c r="C185" s="276">
        <v>18</v>
      </c>
      <c r="D185" s="20">
        <v>195</v>
      </c>
      <c r="E185" s="23" t="s">
        <v>113</v>
      </c>
      <c r="F185" s="23" t="s">
        <v>113</v>
      </c>
      <c r="G185" s="107" t="s">
        <v>424</v>
      </c>
      <c r="H185" s="28">
        <v>1</v>
      </c>
      <c r="I185" s="98">
        <v>219</v>
      </c>
      <c r="J185" s="98">
        <f t="shared" si="19"/>
        <v>219</v>
      </c>
      <c r="K185" s="46"/>
      <c r="L185" s="36" t="s">
        <v>426</v>
      </c>
      <c r="M185" s="106" t="s">
        <v>425</v>
      </c>
      <c r="N185" s="21"/>
      <c r="O185" s="8">
        <v>45281</v>
      </c>
      <c r="P185" s="20"/>
      <c r="Q185" s="100"/>
      <c r="R185" s="8">
        <v>44943</v>
      </c>
      <c r="S185" s="108">
        <v>45282</v>
      </c>
    </row>
    <row r="186" spans="1:19" s="2" customFormat="1" ht="19.649999999999999" customHeight="1" x14ac:dyDescent="0.2">
      <c r="A186" s="219" t="s">
        <v>64</v>
      </c>
      <c r="B186" s="84"/>
      <c r="C186" s="276">
        <v>18</v>
      </c>
      <c r="D186" s="20">
        <v>196</v>
      </c>
      <c r="E186" s="20" t="s">
        <v>23</v>
      </c>
      <c r="F186" s="20" t="s">
        <v>23</v>
      </c>
      <c r="G186" s="78" t="s">
        <v>26</v>
      </c>
      <c r="H186" s="21">
        <v>2</v>
      </c>
      <c r="I186" s="138">
        <v>72</v>
      </c>
      <c r="J186" s="39">
        <f t="shared" si="19"/>
        <v>144</v>
      </c>
      <c r="K186" s="69"/>
      <c r="L186" s="25" t="s">
        <v>27</v>
      </c>
      <c r="M186" s="21"/>
      <c r="N186" s="21"/>
      <c r="O186" s="8">
        <v>45281</v>
      </c>
      <c r="P186" s="20"/>
      <c r="Q186" s="100"/>
      <c r="R186" s="8">
        <v>44943</v>
      </c>
      <c r="S186" s="108"/>
    </row>
    <row r="187" spans="1:19" s="2" customFormat="1" ht="19.649999999999999" customHeight="1" x14ac:dyDescent="0.2">
      <c r="A187" s="219" t="s">
        <v>64</v>
      </c>
      <c r="B187" s="84"/>
      <c r="C187" s="276">
        <v>18</v>
      </c>
      <c r="D187" s="20">
        <v>197</v>
      </c>
      <c r="E187" s="20" t="s">
        <v>23</v>
      </c>
      <c r="F187" s="20" t="s">
        <v>23</v>
      </c>
      <c r="G187" s="78" t="s">
        <v>28</v>
      </c>
      <c r="H187" s="21">
        <v>2</v>
      </c>
      <c r="I187" s="138">
        <v>31</v>
      </c>
      <c r="J187" s="39">
        <f t="shared" si="19"/>
        <v>62</v>
      </c>
      <c r="K187" s="69"/>
      <c r="L187" s="25" t="s">
        <v>29</v>
      </c>
      <c r="M187" s="21"/>
      <c r="N187" s="21"/>
      <c r="O187" s="8">
        <v>45281</v>
      </c>
      <c r="P187" s="20"/>
      <c r="Q187" s="100"/>
      <c r="R187" s="8">
        <v>44943</v>
      </c>
      <c r="S187" s="108"/>
    </row>
    <row r="188" spans="1:19" s="2" customFormat="1" ht="19.649999999999999" customHeight="1" x14ac:dyDescent="0.2">
      <c r="A188" s="219" t="s">
        <v>64</v>
      </c>
      <c r="B188" s="84"/>
      <c r="C188" s="276">
        <v>18</v>
      </c>
      <c r="D188" s="20">
        <v>198</v>
      </c>
      <c r="E188" s="23" t="s">
        <v>23</v>
      </c>
      <c r="F188" s="23" t="s">
        <v>23</v>
      </c>
      <c r="G188" s="107" t="s">
        <v>237</v>
      </c>
      <c r="H188" s="28">
        <v>1</v>
      </c>
      <c r="I188" s="98">
        <v>894</v>
      </c>
      <c r="J188" s="98">
        <f t="shared" si="19"/>
        <v>894</v>
      </c>
      <c r="K188" s="46"/>
      <c r="L188" s="36" t="s">
        <v>238</v>
      </c>
      <c r="M188" s="21"/>
      <c r="N188" s="21"/>
      <c r="O188" s="8">
        <v>45281</v>
      </c>
      <c r="P188" s="20"/>
      <c r="Q188" s="100"/>
      <c r="R188" s="8">
        <v>44943</v>
      </c>
      <c r="S188" s="108"/>
    </row>
    <row r="189" spans="1:19" s="2" customFormat="1" ht="19.649999999999999" customHeight="1" x14ac:dyDescent="0.2">
      <c r="A189" s="219" t="s">
        <v>64</v>
      </c>
      <c r="B189" s="84"/>
      <c r="C189" s="276">
        <v>18</v>
      </c>
      <c r="D189" s="20">
        <v>199</v>
      </c>
      <c r="E189" s="23" t="s">
        <v>113</v>
      </c>
      <c r="F189" s="23" t="s">
        <v>113</v>
      </c>
      <c r="G189" s="107" t="s">
        <v>239</v>
      </c>
      <c r="H189" s="28">
        <v>1</v>
      </c>
      <c r="I189" s="98">
        <v>249</v>
      </c>
      <c r="J189" s="98">
        <f t="shared" si="19"/>
        <v>249</v>
      </c>
      <c r="K189" s="46"/>
      <c r="L189" s="36" t="s">
        <v>427</v>
      </c>
      <c r="M189" s="106" t="s">
        <v>423</v>
      </c>
      <c r="N189" s="21"/>
      <c r="O189" s="8">
        <v>45281</v>
      </c>
      <c r="P189" s="20"/>
      <c r="Q189" s="100"/>
      <c r="R189" s="8">
        <v>44943</v>
      </c>
      <c r="S189" s="108">
        <v>45282</v>
      </c>
    </row>
    <row r="190" spans="1:19" s="2" customFormat="1" ht="19.649999999999999" customHeight="1" x14ac:dyDescent="0.2">
      <c r="A190" s="219" t="s">
        <v>63</v>
      </c>
      <c r="B190" s="84"/>
      <c r="C190" s="276">
        <v>18</v>
      </c>
      <c r="D190" s="20">
        <v>200</v>
      </c>
      <c r="E190" s="20" t="s">
        <v>23</v>
      </c>
      <c r="F190" s="20" t="s">
        <v>23</v>
      </c>
      <c r="G190" s="45" t="s">
        <v>422</v>
      </c>
      <c r="H190" s="21">
        <v>4</v>
      </c>
      <c r="I190" s="30">
        <v>1474</v>
      </c>
      <c r="J190" s="26">
        <f t="shared" si="19"/>
        <v>5896</v>
      </c>
      <c r="K190" s="72"/>
      <c r="L190" s="25" t="s">
        <v>49</v>
      </c>
      <c r="M190" s="16" t="s">
        <v>90</v>
      </c>
      <c r="N190" s="21"/>
      <c r="O190" s="8">
        <v>45281</v>
      </c>
      <c r="P190" s="20"/>
      <c r="Q190" s="100"/>
      <c r="R190" s="8">
        <v>44943</v>
      </c>
      <c r="S190" s="108"/>
    </row>
    <row r="191" spans="1:19" s="2" customFormat="1" ht="19.649999999999999" customHeight="1" x14ac:dyDescent="0.2">
      <c r="A191" s="219" t="s">
        <v>103</v>
      </c>
      <c r="B191" s="84"/>
      <c r="C191" s="276">
        <v>18</v>
      </c>
      <c r="D191" s="20">
        <v>201</v>
      </c>
      <c r="E191" s="23" t="s">
        <v>23</v>
      </c>
      <c r="F191" s="23" t="s">
        <v>23</v>
      </c>
      <c r="G191" s="36" t="s">
        <v>419</v>
      </c>
      <c r="H191" s="21">
        <v>2</v>
      </c>
      <c r="I191" s="28">
        <v>1958</v>
      </c>
      <c r="J191" s="77">
        <f t="shared" si="19"/>
        <v>3916</v>
      </c>
      <c r="K191" s="70"/>
      <c r="L191" s="36" t="s">
        <v>86</v>
      </c>
      <c r="M191" s="16" t="s">
        <v>90</v>
      </c>
      <c r="N191" s="21"/>
      <c r="O191" s="8">
        <v>45281</v>
      </c>
      <c r="P191" s="20"/>
      <c r="Q191" s="100"/>
      <c r="R191" s="8">
        <v>44943</v>
      </c>
      <c r="S191" s="108"/>
    </row>
    <row r="192" spans="1:19" s="2" customFormat="1" ht="19.649999999999999" customHeight="1" x14ac:dyDescent="0.2">
      <c r="A192" s="219" t="s">
        <v>103</v>
      </c>
      <c r="B192" s="84"/>
      <c r="C192" s="276">
        <v>18</v>
      </c>
      <c r="D192" s="20">
        <v>202</v>
      </c>
      <c r="E192" s="20" t="s">
        <v>240</v>
      </c>
      <c r="F192" s="20" t="s">
        <v>23</v>
      </c>
      <c r="G192" s="292" t="s">
        <v>241</v>
      </c>
      <c r="H192" s="21">
        <v>1</v>
      </c>
      <c r="I192" s="28">
        <v>2380</v>
      </c>
      <c r="J192" s="26">
        <f t="shared" si="19"/>
        <v>2380</v>
      </c>
      <c r="K192" s="72"/>
      <c r="L192" s="25" t="s">
        <v>85</v>
      </c>
      <c r="M192" s="16" t="s">
        <v>90</v>
      </c>
      <c r="N192" s="21"/>
      <c r="O192" s="8">
        <v>45281</v>
      </c>
      <c r="P192" s="20"/>
      <c r="Q192" s="100"/>
      <c r="R192" s="8">
        <v>44943</v>
      </c>
      <c r="S192" s="108"/>
    </row>
    <row r="193" spans="1:19" s="2" customFormat="1" ht="19.649999999999999" customHeight="1" x14ac:dyDescent="0.2">
      <c r="A193" s="219" t="s">
        <v>103</v>
      </c>
      <c r="B193" s="84"/>
      <c r="C193" s="276">
        <v>18</v>
      </c>
      <c r="D193" s="20">
        <v>203</v>
      </c>
      <c r="E193" s="20" t="s">
        <v>240</v>
      </c>
      <c r="F193" s="20" t="s">
        <v>23</v>
      </c>
      <c r="G193" s="45" t="s">
        <v>242</v>
      </c>
      <c r="H193" s="227">
        <v>1</v>
      </c>
      <c r="I193" s="28">
        <v>2700</v>
      </c>
      <c r="J193" s="26">
        <f t="shared" si="19"/>
        <v>2700</v>
      </c>
      <c r="K193" s="72"/>
      <c r="L193" s="25" t="s">
        <v>243</v>
      </c>
      <c r="M193" s="16" t="s">
        <v>90</v>
      </c>
      <c r="N193" s="21"/>
      <c r="O193" s="8">
        <v>45281</v>
      </c>
      <c r="P193" s="20"/>
      <c r="Q193" s="100"/>
      <c r="R193" s="8">
        <v>44943</v>
      </c>
      <c r="S193" s="108"/>
    </row>
    <row r="194" spans="1:19" s="2" customFormat="1" ht="19.649999999999999" customHeight="1" x14ac:dyDescent="0.2">
      <c r="A194" s="219" t="s">
        <v>103</v>
      </c>
      <c r="B194" s="84"/>
      <c r="C194" s="276">
        <v>18</v>
      </c>
      <c r="D194" s="20">
        <v>204</v>
      </c>
      <c r="E194" s="20" t="s">
        <v>240</v>
      </c>
      <c r="F194" s="20" t="s">
        <v>23</v>
      </c>
      <c r="G194" s="45" t="s">
        <v>244</v>
      </c>
      <c r="H194" s="227">
        <v>1</v>
      </c>
      <c r="I194" s="28">
        <v>2700</v>
      </c>
      <c r="J194" s="26">
        <f t="shared" si="19"/>
        <v>2700</v>
      </c>
      <c r="K194" s="72"/>
      <c r="L194" s="25" t="s">
        <v>245</v>
      </c>
      <c r="M194" s="16" t="s">
        <v>90</v>
      </c>
      <c r="N194" s="21"/>
      <c r="O194" s="8">
        <v>45281</v>
      </c>
      <c r="P194" s="20"/>
      <c r="Q194" s="100"/>
      <c r="R194" s="8">
        <v>44943</v>
      </c>
      <c r="S194" s="108"/>
    </row>
    <row r="195" spans="1:19" s="2" customFormat="1" ht="19.649999999999999" customHeight="1" x14ac:dyDescent="0.2">
      <c r="A195" s="219" t="s">
        <v>103</v>
      </c>
      <c r="B195" s="84"/>
      <c r="C195" s="276">
        <v>18</v>
      </c>
      <c r="D195" s="20">
        <v>205</v>
      </c>
      <c r="E195" s="20" t="s">
        <v>240</v>
      </c>
      <c r="F195" s="20" t="s">
        <v>23</v>
      </c>
      <c r="G195" s="45" t="s">
        <v>246</v>
      </c>
      <c r="H195" s="28">
        <v>1</v>
      </c>
      <c r="I195" s="28">
        <v>2700</v>
      </c>
      <c r="J195" s="26">
        <f t="shared" si="19"/>
        <v>2700</v>
      </c>
      <c r="K195" s="72"/>
      <c r="L195" s="25" t="s">
        <v>76</v>
      </c>
      <c r="M195" s="16" t="s">
        <v>90</v>
      </c>
      <c r="N195" s="21"/>
      <c r="O195" s="8">
        <v>45281</v>
      </c>
      <c r="P195" s="20"/>
      <c r="Q195" s="100"/>
      <c r="R195" s="8">
        <v>44943</v>
      </c>
      <c r="S195" s="108"/>
    </row>
    <row r="196" spans="1:19" s="2" customFormat="1" ht="19.649999999999999" customHeight="1" x14ac:dyDescent="0.2">
      <c r="A196" s="219" t="s">
        <v>103</v>
      </c>
      <c r="B196" s="84"/>
      <c r="C196" s="276">
        <v>18</v>
      </c>
      <c r="D196" s="20">
        <v>206</v>
      </c>
      <c r="E196" s="20" t="s">
        <v>240</v>
      </c>
      <c r="F196" s="20" t="s">
        <v>23</v>
      </c>
      <c r="G196" s="45" t="s">
        <v>247</v>
      </c>
      <c r="H196" s="28">
        <v>1</v>
      </c>
      <c r="I196" s="28">
        <v>2700</v>
      </c>
      <c r="J196" s="26">
        <f>H196*I196</f>
        <v>2700</v>
      </c>
      <c r="K196" s="72"/>
      <c r="L196" s="25" t="s">
        <v>77</v>
      </c>
      <c r="M196" s="16" t="s">
        <v>90</v>
      </c>
      <c r="N196" s="21"/>
      <c r="O196" s="8">
        <v>45281</v>
      </c>
      <c r="P196" s="20"/>
      <c r="Q196" s="100"/>
      <c r="R196" s="8">
        <v>44943</v>
      </c>
      <c r="S196" s="108"/>
    </row>
    <row r="197" spans="1:19" s="2" customFormat="1" ht="19.649999999999999" customHeight="1" x14ac:dyDescent="0.2">
      <c r="A197" s="219" t="s">
        <v>103</v>
      </c>
      <c r="B197" s="84"/>
      <c r="C197" s="276">
        <v>18</v>
      </c>
      <c r="D197" s="20">
        <v>207</v>
      </c>
      <c r="E197" s="20" t="s">
        <v>240</v>
      </c>
      <c r="F197" s="20" t="s">
        <v>23</v>
      </c>
      <c r="G197" s="45" t="s">
        <v>248</v>
      </c>
      <c r="H197" s="28">
        <v>1</v>
      </c>
      <c r="I197" s="28">
        <v>3650</v>
      </c>
      <c r="J197" s="26">
        <f>H197*I197</f>
        <v>3650</v>
      </c>
      <c r="K197" s="72"/>
      <c r="L197" s="25" t="s">
        <v>249</v>
      </c>
      <c r="M197" s="16" t="s">
        <v>90</v>
      </c>
      <c r="N197" s="21"/>
      <c r="O197" s="8">
        <v>45281</v>
      </c>
      <c r="P197" s="20"/>
      <c r="Q197" s="100"/>
      <c r="R197" s="8">
        <v>44943</v>
      </c>
      <c r="S197" s="108"/>
    </row>
    <row r="198" spans="1:19" s="2" customFormat="1" ht="19.649999999999999" customHeight="1" x14ac:dyDescent="0.2">
      <c r="A198" s="219" t="s">
        <v>103</v>
      </c>
      <c r="B198" s="84"/>
      <c r="C198" s="276">
        <v>18</v>
      </c>
      <c r="D198" s="20">
        <v>208</v>
      </c>
      <c r="E198" s="20" t="s">
        <v>240</v>
      </c>
      <c r="F198" s="20" t="s">
        <v>23</v>
      </c>
      <c r="G198" s="45" t="s">
        <v>250</v>
      </c>
      <c r="H198" s="28">
        <v>1</v>
      </c>
      <c r="I198" s="28">
        <v>3650</v>
      </c>
      <c r="J198" s="26">
        <f>H198*I198</f>
        <v>3650</v>
      </c>
      <c r="K198" s="72"/>
      <c r="L198" s="25" t="s">
        <v>251</v>
      </c>
      <c r="M198" s="16" t="s">
        <v>90</v>
      </c>
      <c r="N198" s="21"/>
      <c r="O198" s="8">
        <v>45281</v>
      </c>
      <c r="P198" s="20"/>
      <c r="Q198" s="100"/>
      <c r="R198" s="8">
        <v>44943</v>
      </c>
      <c r="S198" s="108"/>
    </row>
    <row r="199" spans="1:19" s="2" customFormat="1" ht="19.649999999999999" customHeight="1" x14ac:dyDescent="0.2">
      <c r="A199" s="219" t="s">
        <v>103</v>
      </c>
      <c r="B199" s="84"/>
      <c r="C199" s="276">
        <v>18</v>
      </c>
      <c r="D199" s="20">
        <v>209</v>
      </c>
      <c r="E199" s="119" t="s">
        <v>252</v>
      </c>
      <c r="F199" s="119" t="s">
        <v>23</v>
      </c>
      <c r="G199" s="13" t="s">
        <v>91</v>
      </c>
      <c r="H199" s="26">
        <v>1</v>
      </c>
      <c r="I199" s="26">
        <v>1989</v>
      </c>
      <c r="J199" s="26">
        <f>H199*I199</f>
        <v>1989</v>
      </c>
      <c r="K199" s="60"/>
      <c r="L199" s="33" t="s">
        <v>50</v>
      </c>
      <c r="M199" s="16" t="s">
        <v>90</v>
      </c>
      <c r="N199" s="21"/>
      <c r="O199" s="8">
        <v>45281</v>
      </c>
      <c r="P199" s="20"/>
      <c r="Q199" s="100"/>
      <c r="R199" s="8">
        <v>44943</v>
      </c>
      <c r="S199" s="108"/>
    </row>
    <row r="200" spans="1:19" s="2" customFormat="1" ht="19.649999999999999" customHeight="1" x14ac:dyDescent="0.2">
      <c r="A200" s="219" t="s">
        <v>103</v>
      </c>
      <c r="B200" s="84"/>
      <c r="C200" s="276">
        <v>18</v>
      </c>
      <c r="D200" s="20">
        <v>210</v>
      </c>
      <c r="E200" s="20" t="s">
        <v>23</v>
      </c>
      <c r="F200" s="20" t="s">
        <v>23</v>
      </c>
      <c r="G200" s="63" t="s">
        <v>253</v>
      </c>
      <c r="H200" s="21">
        <v>1</v>
      </c>
      <c r="I200" s="26">
        <v>12895</v>
      </c>
      <c r="J200" s="26">
        <f t="shared" si="19"/>
        <v>12895</v>
      </c>
      <c r="K200" s="69"/>
      <c r="L200" s="22" t="s">
        <v>254</v>
      </c>
      <c r="M200" s="16" t="s">
        <v>90</v>
      </c>
      <c r="N200" s="21"/>
      <c r="O200" s="8">
        <v>45281</v>
      </c>
      <c r="P200" s="20"/>
      <c r="Q200" s="100"/>
      <c r="R200" s="8">
        <v>44943</v>
      </c>
      <c r="S200" s="108"/>
    </row>
    <row r="201" spans="1:19" s="2" customFormat="1" ht="19.649999999999999" customHeight="1" x14ac:dyDescent="0.2">
      <c r="A201" s="219" t="s">
        <v>142</v>
      </c>
      <c r="B201" s="84"/>
      <c r="C201" s="276">
        <v>18</v>
      </c>
      <c r="D201" s="20">
        <v>211</v>
      </c>
      <c r="E201" s="116" t="s">
        <v>67</v>
      </c>
      <c r="F201" s="20" t="s">
        <v>102</v>
      </c>
      <c r="G201" s="25" t="s">
        <v>95</v>
      </c>
      <c r="H201" s="21">
        <v>1</v>
      </c>
      <c r="I201" s="21">
        <v>850</v>
      </c>
      <c r="J201" s="62">
        <f t="shared" si="19"/>
        <v>850</v>
      </c>
      <c r="K201" s="94"/>
      <c r="L201" s="25" t="s">
        <v>96</v>
      </c>
      <c r="M201" s="16" t="s">
        <v>101</v>
      </c>
      <c r="N201" s="21"/>
      <c r="O201" s="8">
        <v>45282</v>
      </c>
      <c r="P201" s="20"/>
      <c r="Q201" s="100"/>
      <c r="R201" s="8">
        <v>44943</v>
      </c>
      <c r="S201" s="108" t="s">
        <v>441</v>
      </c>
    </row>
    <row r="202" spans="1:19" s="2" customFormat="1" ht="19.649999999999999" customHeight="1" x14ac:dyDescent="0.2">
      <c r="A202" s="219" t="s">
        <v>103</v>
      </c>
      <c r="B202" s="84"/>
      <c r="C202" s="276">
        <v>18</v>
      </c>
      <c r="D202" s="20">
        <v>213</v>
      </c>
      <c r="E202" s="23" t="s">
        <v>255</v>
      </c>
      <c r="F202" s="23" t="s">
        <v>23</v>
      </c>
      <c r="G202" s="107" t="s">
        <v>69</v>
      </c>
      <c r="H202" s="28">
        <v>5</v>
      </c>
      <c r="I202" s="98">
        <v>165</v>
      </c>
      <c r="J202" s="98">
        <f t="shared" si="19"/>
        <v>825</v>
      </c>
      <c r="K202" s="46"/>
      <c r="L202" s="36" t="s">
        <v>143</v>
      </c>
      <c r="M202" s="16" t="s">
        <v>256</v>
      </c>
      <c r="N202" s="21"/>
      <c r="O202" s="8">
        <v>45281</v>
      </c>
      <c r="P202" s="20"/>
      <c r="Q202" s="100"/>
      <c r="R202" s="8">
        <v>44943</v>
      </c>
      <c r="S202" s="108"/>
    </row>
    <row r="203" spans="1:19" s="2" customFormat="1" ht="19.649999999999999" customHeight="1" x14ac:dyDescent="0.2">
      <c r="A203" s="219" t="s">
        <v>63</v>
      </c>
      <c r="B203" s="84"/>
      <c r="C203" s="276">
        <v>18</v>
      </c>
      <c r="D203" s="20">
        <v>214</v>
      </c>
      <c r="E203" s="20" t="s">
        <v>23</v>
      </c>
      <c r="F203" s="20" t="s">
        <v>23</v>
      </c>
      <c r="G203" s="78" t="s">
        <v>70</v>
      </c>
      <c r="H203" s="21">
        <v>6</v>
      </c>
      <c r="I203" s="39">
        <v>280</v>
      </c>
      <c r="J203" s="39">
        <f t="shared" si="19"/>
        <v>1680</v>
      </c>
      <c r="K203" s="1"/>
      <c r="L203" s="25" t="s">
        <v>71</v>
      </c>
      <c r="M203" s="16" t="s">
        <v>90</v>
      </c>
      <c r="N203" s="21"/>
      <c r="O203" s="8">
        <v>45281</v>
      </c>
      <c r="P203" s="20"/>
      <c r="Q203" s="100"/>
      <c r="R203" s="8">
        <v>44943</v>
      </c>
      <c r="S203" s="108"/>
    </row>
    <row r="204" spans="1:19" s="2" customFormat="1" ht="19.649999999999999" customHeight="1" x14ac:dyDescent="0.2">
      <c r="A204" s="219" t="s">
        <v>103</v>
      </c>
      <c r="B204" s="84"/>
      <c r="C204" s="276">
        <v>18</v>
      </c>
      <c r="D204" s="20">
        <v>216</v>
      </c>
      <c r="E204" s="20" t="s">
        <v>23</v>
      </c>
      <c r="F204" s="20" t="s">
        <v>23</v>
      </c>
      <c r="G204" s="293" t="s">
        <v>93</v>
      </c>
      <c r="H204" s="28">
        <v>2</v>
      </c>
      <c r="I204" s="77">
        <v>839</v>
      </c>
      <c r="J204" s="39">
        <f t="shared" si="19"/>
        <v>1678</v>
      </c>
      <c r="K204" s="93"/>
      <c r="L204" s="36" t="s">
        <v>92</v>
      </c>
      <c r="M204" s="16" t="s">
        <v>90</v>
      </c>
      <c r="N204" s="21"/>
      <c r="O204" s="8">
        <v>45281</v>
      </c>
      <c r="P204" s="20"/>
      <c r="Q204" s="100"/>
      <c r="R204" s="8">
        <v>44943</v>
      </c>
      <c r="S204" s="108"/>
    </row>
    <row r="205" spans="1:19" s="2" customFormat="1" ht="19.649999999999999" customHeight="1" x14ac:dyDescent="0.2">
      <c r="A205" s="219" t="s">
        <v>103</v>
      </c>
      <c r="B205" s="84"/>
      <c r="C205" s="276">
        <v>18</v>
      </c>
      <c r="D205" s="20">
        <v>217</v>
      </c>
      <c r="E205" s="20" t="s">
        <v>104</v>
      </c>
      <c r="F205" s="20" t="s">
        <v>31</v>
      </c>
      <c r="G205" s="45" t="s">
        <v>144</v>
      </c>
      <c r="H205" s="21">
        <v>8</v>
      </c>
      <c r="I205" s="21">
        <v>166</v>
      </c>
      <c r="J205" s="39">
        <f t="shared" si="19"/>
        <v>1328</v>
      </c>
      <c r="K205" s="21"/>
      <c r="L205" s="22" t="s">
        <v>257</v>
      </c>
      <c r="M205" s="16" t="s">
        <v>90</v>
      </c>
      <c r="N205" s="21"/>
      <c r="O205" s="8">
        <v>45281</v>
      </c>
      <c r="P205" s="20"/>
      <c r="Q205" s="100"/>
      <c r="R205" s="8">
        <v>44943</v>
      </c>
      <c r="S205" s="108"/>
    </row>
    <row r="206" spans="1:19" s="2" customFormat="1" ht="19.649999999999999" customHeight="1" x14ac:dyDescent="0.2">
      <c r="A206" s="219" t="s">
        <v>103</v>
      </c>
      <c r="B206" s="84"/>
      <c r="C206" s="276">
        <v>18</v>
      </c>
      <c r="D206" s="20">
        <v>218</v>
      </c>
      <c r="E206" s="20" t="s">
        <v>104</v>
      </c>
      <c r="F206" s="20" t="s">
        <v>31</v>
      </c>
      <c r="G206" s="45" t="s">
        <v>145</v>
      </c>
      <c r="H206" s="21">
        <v>4</v>
      </c>
      <c r="I206" s="21">
        <v>574</v>
      </c>
      <c r="J206" s="39">
        <f t="shared" si="19"/>
        <v>2296</v>
      </c>
      <c r="K206" s="21"/>
      <c r="L206" s="22" t="s">
        <v>258</v>
      </c>
      <c r="M206" s="16" t="s">
        <v>90</v>
      </c>
      <c r="N206" s="21"/>
      <c r="O206" s="8">
        <v>45281</v>
      </c>
      <c r="P206" s="20"/>
      <c r="Q206" s="100"/>
      <c r="R206" s="8">
        <v>44943</v>
      </c>
      <c r="S206" s="108"/>
    </row>
    <row r="207" spans="1:19" s="2" customFormat="1" ht="19.649999999999999" customHeight="1" x14ac:dyDescent="0.2">
      <c r="A207" s="219" t="s">
        <v>103</v>
      </c>
      <c r="B207" s="84"/>
      <c r="C207" s="276">
        <v>18</v>
      </c>
      <c r="D207" s="20">
        <v>219</v>
      </c>
      <c r="E207" s="20" t="s">
        <v>104</v>
      </c>
      <c r="F207" s="20" t="s">
        <v>31</v>
      </c>
      <c r="G207" s="45" t="s">
        <v>420</v>
      </c>
      <c r="H207" s="21">
        <v>5</v>
      </c>
      <c r="I207" s="21">
        <v>204</v>
      </c>
      <c r="J207" s="39">
        <f t="shared" si="19"/>
        <v>1020</v>
      </c>
      <c r="K207" s="21"/>
      <c r="L207" s="22" t="s">
        <v>259</v>
      </c>
      <c r="M207" s="16" t="s">
        <v>90</v>
      </c>
      <c r="N207" s="21"/>
      <c r="O207" s="8">
        <v>45281</v>
      </c>
      <c r="P207" s="20"/>
      <c r="Q207" s="100"/>
      <c r="R207" s="8">
        <v>44943</v>
      </c>
      <c r="S207" s="108"/>
    </row>
    <row r="208" spans="1:19" s="2" customFormat="1" ht="19.649999999999999" customHeight="1" x14ac:dyDescent="0.2">
      <c r="A208" s="219" t="s">
        <v>103</v>
      </c>
      <c r="B208" s="84"/>
      <c r="C208" s="276">
        <v>18</v>
      </c>
      <c r="D208" s="20">
        <v>220</v>
      </c>
      <c r="E208" s="20" t="s">
        <v>104</v>
      </c>
      <c r="F208" s="20" t="s">
        <v>31</v>
      </c>
      <c r="G208" s="45" t="s">
        <v>146</v>
      </c>
      <c r="H208" s="21">
        <v>5</v>
      </c>
      <c r="I208" s="21">
        <v>95</v>
      </c>
      <c r="J208" s="39">
        <f t="shared" si="19"/>
        <v>475</v>
      </c>
      <c r="K208" s="21"/>
      <c r="L208" s="22" t="s">
        <v>260</v>
      </c>
      <c r="M208" s="16" t="s">
        <v>90</v>
      </c>
      <c r="N208" s="21"/>
      <c r="O208" s="8">
        <v>45281</v>
      </c>
      <c r="P208" s="20"/>
      <c r="Q208" s="100"/>
      <c r="R208" s="8">
        <v>44943</v>
      </c>
      <c r="S208" s="108"/>
    </row>
    <row r="209" spans="1:19" s="2" customFormat="1" ht="19.649999999999999" customHeight="1" x14ac:dyDescent="0.2">
      <c r="A209" s="219" t="s">
        <v>103</v>
      </c>
      <c r="B209" s="84"/>
      <c r="C209" s="276">
        <v>18</v>
      </c>
      <c r="D209" s="20">
        <v>221</v>
      </c>
      <c r="E209" s="20" t="s">
        <v>23</v>
      </c>
      <c r="F209" s="20" t="s">
        <v>23</v>
      </c>
      <c r="G209" s="294" t="s">
        <v>417</v>
      </c>
      <c r="H209" s="21">
        <v>1</v>
      </c>
      <c r="I209" s="26">
        <v>6070</v>
      </c>
      <c r="J209" s="26">
        <f t="shared" si="19"/>
        <v>6070</v>
      </c>
      <c r="K209" s="1"/>
      <c r="L209" s="22" t="s">
        <v>88</v>
      </c>
      <c r="M209" s="22" t="s">
        <v>89</v>
      </c>
      <c r="N209" s="21"/>
      <c r="O209" s="8">
        <v>45281</v>
      </c>
      <c r="P209" s="20"/>
      <c r="Q209" s="100"/>
      <c r="R209" s="8">
        <v>44943</v>
      </c>
      <c r="S209" s="108"/>
    </row>
    <row r="210" spans="1:19" s="2" customFormat="1" ht="19.649999999999999" customHeight="1" x14ac:dyDescent="0.2">
      <c r="A210" s="219" t="s">
        <v>103</v>
      </c>
      <c r="B210" s="84"/>
      <c r="C210" s="276">
        <v>18</v>
      </c>
      <c r="D210" s="20">
        <v>222</v>
      </c>
      <c r="E210" s="23" t="s">
        <v>23</v>
      </c>
      <c r="F210" s="23" t="s">
        <v>23</v>
      </c>
      <c r="G210" s="107" t="s">
        <v>147</v>
      </c>
      <c r="H210" s="28">
        <v>1</v>
      </c>
      <c r="I210" s="98">
        <v>237</v>
      </c>
      <c r="J210" s="77">
        <f>H210*I210</f>
        <v>237</v>
      </c>
      <c r="K210" s="46"/>
      <c r="L210" s="36" t="s">
        <v>148</v>
      </c>
      <c r="M210" s="16" t="s">
        <v>149</v>
      </c>
      <c r="N210" s="21"/>
      <c r="O210" s="8">
        <v>45281</v>
      </c>
      <c r="P210" s="20"/>
      <c r="Q210" s="100"/>
      <c r="R210" s="8">
        <v>44943</v>
      </c>
      <c r="S210" s="108"/>
    </row>
    <row r="211" spans="1:19" s="2" customFormat="1" ht="19.649999999999999" customHeight="1" x14ac:dyDescent="0.2">
      <c r="A211" s="219" t="s">
        <v>234</v>
      </c>
      <c r="B211" s="84"/>
      <c r="C211" s="276">
        <v>18</v>
      </c>
      <c r="D211" s="20">
        <v>223</v>
      </c>
      <c r="E211" s="20" t="s">
        <v>67</v>
      </c>
      <c r="F211" s="20" t="s">
        <v>102</v>
      </c>
      <c r="G211" s="78" t="s">
        <v>150</v>
      </c>
      <c r="H211" s="21">
        <v>2</v>
      </c>
      <c r="I211" s="39">
        <v>1820</v>
      </c>
      <c r="J211" s="39">
        <f>H211*I211</f>
        <v>3640</v>
      </c>
      <c r="K211" s="1"/>
      <c r="L211" s="25" t="s">
        <v>68</v>
      </c>
      <c r="M211" s="22" t="s">
        <v>416</v>
      </c>
      <c r="N211" s="21"/>
      <c r="O211" s="8">
        <v>45282</v>
      </c>
      <c r="P211" s="20"/>
      <c r="Q211" s="100"/>
      <c r="R211" s="8">
        <v>44943</v>
      </c>
      <c r="S211" s="108" t="s">
        <v>441</v>
      </c>
    </row>
    <row r="212" spans="1:19" s="2" customFormat="1" ht="19.649999999999999" customHeight="1" x14ac:dyDescent="0.2">
      <c r="A212" s="219" t="s">
        <v>234</v>
      </c>
      <c r="B212" s="84"/>
      <c r="C212" s="276">
        <v>18</v>
      </c>
      <c r="D212" s="20">
        <v>224</v>
      </c>
      <c r="E212" s="20" t="s">
        <v>67</v>
      </c>
      <c r="F212" s="20" t="s">
        <v>102</v>
      </c>
      <c r="G212" s="78" t="s">
        <v>151</v>
      </c>
      <c r="H212" s="21">
        <v>1</v>
      </c>
      <c r="I212" s="39">
        <v>1820</v>
      </c>
      <c r="J212" s="39">
        <f>H212*I212</f>
        <v>1820</v>
      </c>
      <c r="K212" s="1"/>
      <c r="L212" s="25" t="s">
        <v>68</v>
      </c>
      <c r="M212" s="22" t="s">
        <v>415</v>
      </c>
      <c r="N212" s="21"/>
      <c r="O212" s="8">
        <v>45282</v>
      </c>
      <c r="P212" s="20"/>
      <c r="Q212" s="100"/>
      <c r="R212" s="8">
        <v>44943</v>
      </c>
      <c r="S212" s="108" t="s">
        <v>441</v>
      </c>
    </row>
    <row r="213" spans="1:19" s="2" customFormat="1" ht="19.649999999999999" customHeight="1" x14ac:dyDescent="0.2">
      <c r="A213" s="219" t="s">
        <v>64</v>
      </c>
      <c r="B213" s="84"/>
      <c r="C213" s="276">
        <v>18</v>
      </c>
      <c r="D213" s="20">
        <v>225</v>
      </c>
      <c r="E213" s="23" t="s">
        <v>261</v>
      </c>
      <c r="F213" s="23" t="s">
        <v>23</v>
      </c>
      <c r="G213" s="107" t="s">
        <v>74</v>
      </c>
      <c r="H213" s="28">
        <v>1</v>
      </c>
      <c r="I213" s="98">
        <v>769</v>
      </c>
      <c r="J213" s="98">
        <f t="shared" si="19"/>
        <v>769</v>
      </c>
      <c r="K213" s="46"/>
      <c r="L213" s="36" t="s">
        <v>152</v>
      </c>
      <c r="M213" s="45" t="s">
        <v>153</v>
      </c>
      <c r="N213" s="21"/>
      <c r="O213" s="8">
        <v>45281</v>
      </c>
      <c r="P213" s="20"/>
      <c r="Q213" s="100"/>
      <c r="R213" s="8">
        <v>44943</v>
      </c>
      <c r="S213" s="108"/>
    </row>
    <row r="214" spans="1:19" s="2" customFormat="1" ht="19.649999999999999" customHeight="1" x14ac:dyDescent="0.2">
      <c r="A214" s="219" t="s">
        <v>64</v>
      </c>
      <c r="B214" s="84"/>
      <c r="C214" s="276">
        <v>18</v>
      </c>
      <c r="D214" s="20">
        <v>226</v>
      </c>
      <c r="E214" s="23" t="s">
        <v>261</v>
      </c>
      <c r="F214" s="23" t="s">
        <v>23</v>
      </c>
      <c r="G214" s="107" t="s">
        <v>75</v>
      </c>
      <c r="H214" s="28">
        <v>1</v>
      </c>
      <c r="I214" s="98">
        <v>1429</v>
      </c>
      <c r="J214" s="98">
        <f t="shared" si="19"/>
        <v>1429</v>
      </c>
      <c r="K214" s="46"/>
      <c r="L214" s="36" t="s">
        <v>152</v>
      </c>
      <c r="M214" s="45" t="s">
        <v>154</v>
      </c>
      <c r="N214" s="21"/>
      <c r="O214" s="8">
        <v>45281</v>
      </c>
      <c r="P214" s="20"/>
      <c r="Q214" s="100"/>
      <c r="R214" s="8">
        <v>44943</v>
      </c>
      <c r="S214" s="108"/>
    </row>
    <row r="215" spans="1:19" s="2" customFormat="1" ht="19.649999999999999" customHeight="1" x14ac:dyDescent="0.2">
      <c r="A215" s="219" t="s">
        <v>64</v>
      </c>
      <c r="B215" s="84"/>
      <c r="C215" s="276">
        <v>18</v>
      </c>
      <c r="D215" s="20">
        <v>227</v>
      </c>
      <c r="E215" s="23" t="s">
        <v>261</v>
      </c>
      <c r="F215" s="23" t="s">
        <v>23</v>
      </c>
      <c r="G215" s="45" t="s">
        <v>155</v>
      </c>
      <c r="H215" s="28">
        <v>1</v>
      </c>
      <c r="I215" s="28">
        <v>1312</v>
      </c>
      <c r="J215" s="46">
        <f t="shared" si="19"/>
        <v>1312</v>
      </c>
      <c r="K215" s="70"/>
      <c r="L215" s="36" t="s">
        <v>152</v>
      </c>
      <c r="M215" s="45" t="s">
        <v>156</v>
      </c>
      <c r="N215" s="21"/>
      <c r="O215" s="8">
        <v>45281</v>
      </c>
      <c r="P215" s="20"/>
      <c r="Q215" s="100"/>
      <c r="R215" s="8">
        <v>44943</v>
      </c>
      <c r="S215" s="108"/>
    </row>
    <row r="216" spans="1:19" s="2" customFormat="1" ht="19.649999999999999" customHeight="1" x14ac:dyDescent="0.2">
      <c r="A216" s="219" t="s">
        <v>103</v>
      </c>
      <c r="B216" s="84"/>
      <c r="C216" s="276">
        <v>18</v>
      </c>
      <c r="D216" s="20">
        <v>230</v>
      </c>
      <c r="E216" s="20" t="s">
        <v>104</v>
      </c>
      <c r="F216" s="20" t="s">
        <v>31</v>
      </c>
      <c r="G216" s="45" t="s">
        <v>105</v>
      </c>
      <c r="H216" s="21">
        <v>20</v>
      </c>
      <c r="I216" s="21">
        <v>119</v>
      </c>
      <c r="J216" s="39">
        <f>H216*I216</f>
        <v>2380</v>
      </c>
      <c r="K216" s="69"/>
      <c r="L216" s="22" t="s">
        <v>263</v>
      </c>
      <c r="M216" s="21"/>
      <c r="N216" s="21"/>
      <c r="O216" s="8">
        <v>45281</v>
      </c>
      <c r="P216" s="20"/>
      <c r="Q216" s="100"/>
      <c r="R216" s="8">
        <v>44943</v>
      </c>
      <c r="S216" s="108"/>
    </row>
    <row r="217" spans="1:19" s="2" customFormat="1" ht="19.649999999999999" customHeight="1" x14ac:dyDescent="0.2">
      <c r="A217" s="219" t="s">
        <v>103</v>
      </c>
      <c r="B217" s="84"/>
      <c r="C217" s="276">
        <v>18</v>
      </c>
      <c r="D217" s="20">
        <v>231</v>
      </c>
      <c r="E217" s="20" t="s">
        <v>104</v>
      </c>
      <c r="F217" s="20" t="s">
        <v>31</v>
      </c>
      <c r="G217" s="45" t="s">
        <v>106</v>
      </c>
      <c r="H217" s="21">
        <v>8</v>
      </c>
      <c r="I217" s="21">
        <v>50</v>
      </c>
      <c r="J217" s="39">
        <f>H217*I217</f>
        <v>400</v>
      </c>
      <c r="K217" s="21"/>
      <c r="L217" s="22" t="s">
        <v>264</v>
      </c>
      <c r="M217" s="21"/>
      <c r="N217" s="21"/>
      <c r="O217" s="8">
        <v>45281</v>
      </c>
      <c r="P217" s="20"/>
      <c r="Q217" s="100"/>
      <c r="R217" s="8">
        <v>44943</v>
      </c>
      <c r="S217" s="108"/>
    </row>
    <row r="218" spans="1:19" s="2" customFormat="1" ht="19.649999999999999" customHeight="1" x14ac:dyDescent="0.2">
      <c r="A218" s="219" t="s">
        <v>103</v>
      </c>
      <c r="B218" s="84"/>
      <c r="C218" s="276">
        <v>18</v>
      </c>
      <c r="D218" s="20">
        <v>232</v>
      </c>
      <c r="E218" s="20" t="s">
        <v>104</v>
      </c>
      <c r="F218" s="20" t="s">
        <v>31</v>
      </c>
      <c r="G218" s="45" t="s">
        <v>107</v>
      </c>
      <c r="H218" s="21">
        <v>4</v>
      </c>
      <c r="I218" s="21">
        <v>177</v>
      </c>
      <c r="J218" s="39">
        <f>H218*I218</f>
        <v>708</v>
      </c>
      <c r="K218" s="69"/>
      <c r="L218" s="22" t="s">
        <v>265</v>
      </c>
      <c r="M218" s="106"/>
      <c r="N218" s="21"/>
      <c r="O218" s="8">
        <v>45281</v>
      </c>
      <c r="P218" s="20"/>
      <c r="Q218" s="100"/>
      <c r="R218" s="8">
        <v>44943</v>
      </c>
      <c r="S218" s="108"/>
    </row>
    <row r="219" spans="1:19" s="2" customFormat="1" ht="19.649999999999999" customHeight="1" x14ac:dyDescent="0.2">
      <c r="A219" s="219" t="s">
        <v>103</v>
      </c>
      <c r="B219" s="84"/>
      <c r="C219" s="276">
        <v>18</v>
      </c>
      <c r="D219" s="20">
        <v>233</v>
      </c>
      <c r="E219" s="20" t="s">
        <v>104</v>
      </c>
      <c r="F219" s="20" t="s">
        <v>31</v>
      </c>
      <c r="G219" s="45" t="s">
        <v>421</v>
      </c>
      <c r="H219" s="21">
        <v>4</v>
      </c>
      <c r="I219" s="21">
        <v>127</v>
      </c>
      <c r="J219" s="39">
        <f>H219*I219</f>
        <v>508</v>
      </c>
      <c r="K219" s="69"/>
      <c r="L219" s="22" t="s">
        <v>265</v>
      </c>
      <c r="M219" s="106"/>
      <c r="N219" s="21"/>
      <c r="O219" s="8"/>
      <c r="P219" s="20"/>
      <c r="Q219" s="100"/>
      <c r="R219" s="8"/>
      <c r="S219" s="108"/>
    </row>
    <row r="220" spans="1:19" s="2" customFormat="1" ht="19.649999999999999" customHeight="1" x14ac:dyDescent="0.2">
      <c r="A220" s="122" t="s">
        <v>437</v>
      </c>
      <c r="B220" s="21"/>
      <c r="C220" s="276">
        <v>18</v>
      </c>
      <c r="D220" s="20">
        <f t="shared" ref="D220:D222" si="20">+D219+1</f>
        <v>234</v>
      </c>
      <c r="E220" s="20" t="s">
        <v>23</v>
      </c>
      <c r="F220" s="20" t="s">
        <v>23</v>
      </c>
      <c r="G220" s="297" t="s">
        <v>438</v>
      </c>
      <c r="H220" s="122">
        <v>1</v>
      </c>
      <c r="I220" s="298">
        <v>45446</v>
      </c>
      <c r="J220" s="26">
        <f t="shared" ref="J220:J222" si="21">H220*I220</f>
        <v>45446</v>
      </c>
      <c r="K220" s="1"/>
      <c r="L220" s="22" t="s">
        <v>94</v>
      </c>
      <c r="M220" s="299" t="s">
        <v>439</v>
      </c>
      <c r="N220" s="21"/>
      <c r="O220" s="8">
        <v>45279</v>
      </c>
      <c r="P220" s="20"/>
      <c r="Q220" s="100">
        <v>45300</v>
      </c>
      <c r="R220" s="8">
        <v>45301</v>
      </c>
      <c r="S220" s="108"/>
    </row>
    <row r="221" spans="1:19" s="2" customFormat="1" ht="19.649999999999999" customHeight="1" x14ac:dyDescent="0.2">
      <c r="A221" s="219" t="s">
        <v>103</v>
      </c>
      <c r="B221" s="84"/>
      <c r="C221" s="276">
        <v>18</v>
      </c>
      <c r="D221" s="20">
        <f t="shared" si="20"/>
        <v>235</v>
      </c>
      <c r="E221" s="20" t="s">
        <v>23</v>
      </c>
      <c r="F221" s="20" t="s">
        <v>23</v>
      </c>
      <c r="G221" s="300" t="s">
        <v>442</v>
      </c>
      <c r="H221" s="301">
        <v>1</v>
      </c>
      <c r="I221" s="302">
        <v>1166</v>
      </c>
      <c r="J221" s="26">
        <f t="shared" si="21"/>
        <v>1166</v>
      </c>
      <c r="K221" s="69"/>
      <c r="L221" s="22" t="s">
        <v>443</v>
      </c>
      <c r="M221" s="299" t="s">
        <v>444</v>
      </c>
      <c r="N221" s="21"/>
      <c r="O221" s="8">
        <v>45309</v>
      </c>
      <c r="P221" s="20"/>
      <c r="Q221" s="100">
        <v>45309</v>
      </c>
      <c r="R221" s="8">
        <v>45310</v>
      </c>
      <c r="S221" s="108"/>
    </row>
    <row r="222" spans="1:19" s="2" customFormat="1" ht="19.649999999999999" customHeight="1" x14ac:dyDescent="0.2">
      <c r="A222" s="219" t="s">
        <v>103</v>
      </c>
      <c r="B222" s="84"/>
      <c r="C222" s="276">
        <v>18</v>
      </c>
      <c r="D222" s="20">
        <f t="shared" si="20"/>
        <v>236</v>
      </c>
      <c r="E222" s="20" t="s">
        <v>23</v>
      </c>
      <c r="F222" s="20" t="s">
        <v>23</v>
      </c>
      <c r="G222" s="300" t="s">
        <v>445</v>
      </c>
      <c r="H222" s="301">
        <v>1</v>
      </c>
      <c r="I222" s="302">
        <v>1453</v>
      </c>
      <c r="J222" s="26">
        <f t="shared" si="21"/>
        <v>1453</v>
      </c>
      <c r="K222" s="69"/>
      <c r="L222" s="22" t="s">
        <v>446</v>
      </c>
      <c r="M222" s="299" t="s">
        <v>444</v>
      </c>
      <c r="N222" s="21"/>
      <c r="O222" s="8">
        <v>45309</v>
      </c>
      <c r="P222" s="20"/>
      <c r="Q222" s="100">
        <v>45309</v>
      </c>
      <c r="R222" s="8">
        <v>45310</v>
      </c>
      <c r="S222" s="108"/>
    </row>
    <row r="223" spans="1:19" s="2" customFormat="1" ht="19.649999999999999" customHeight="1" x14ac:dyDescent="0.2">
      <c r="A223" s="21"/>
      <c r="B223" s="162">
        <v>8</v>
      </c>
      <c r="C223" s="156" t="s">
        <v>189</v>
      </c>
      <c r="D223" s="20"/>
      <c r="E223" s="20"/>
      <c r="F223" s="20"/>
      <c r="G223" s="78"/>
      <c r="H223" s="163"/>
      <c r="I223" s="39"/>
      <c r="J223" s="26"/>
      <c r="K223" s="69"/>
      <c r="L223" s="22"/>
      <c r="M223" s="106"/>
      <c r="N223" s="21"/>
      <c r="O223" s="8"/>
      <c r="P223" s="20"/>
      <c r="Q223" s="100"/>
      <c r="R223" s="8"/>
      <c r="S223" s="108"/>
    </row>
    <row r="224" spans="1:19" s="2" customFormat="1" ht="19.649999999999999" customHeight="1" x14ac:dyDescent="0.2">
      <c r="D224" s="20"/>
      <c r="E224" s="20"/>
      <c r="F224" s="20"/>
      <c r="G224" s="78"/>
      <c r="H224" s="21"/>
      <c r="I224" s="39"/>
      <c r="J224" s="101"/>
      <c r="K224" s="1"/>
      <c r="L224" s="25"/>
      <c r="M224" s="21"/>
      <c r="N224" s="21"/>
      <c r="O224" s="8"/>
      <c r="P224" s="20"/>
      <c r="Q224" s="21"/>
      <c r="R224" s="8"/>
      <c r="S224" s="108"/>
    </row>
    <row r="225" spans="4:19" s="2" customFormat="1" ht="19.649999999999999" customHeight="1" x14ac:dyDescent="0.2">
      <c r="D225" s="20"/>
      <c r="E225" s="20"/>
      <c r="F225" s="20"/>
      <c r="G225" s="54">
        <f>SUM(J179:J223)</f>
        <v>165671</v>
      </c>
      <c r="H225" s="21"/>
      <c r="I225" s="21"/>
      <c r="J225" s="1"/>
      <c r="K225" s="69"/>
      <c r="L225" s="21"/>
      <c r="M225" s="21"/>
      <c r="N225" s="21"/>
      <c r="O225" s="8"/>
      <c r="P225" s="20"/>
      <c r="Q225" s="21"/>
      <c r="R225" s="8"/>
      <c r="S225" s="108"/>
    </row>
    <row r="226" spans="4:19" s="2" customFormat="1" ht="19.649999999999999" customHeight="1" x14ac:dyDescent="0.2">
      <c r="D226" s="20"/>
      <c r="E226" s="20"/>
      <c r="F226" s="20"/>
      <c r="G226" s="21"/>
      <c r="H226" s="21"/>
      <c r="I226" s="21"/>
      <c r="J226" s="1"/>
      <c r="K226" s="69"/>
      <c r="L226" s="21"/>
      <c r="M226" s="21"/>
      <c r="N226" s="21"/>
      <c r="O226" s="8"/>
      <c r="P226" s="20"/>
      <c r="Q226" s="21"/>
      <c r="R226" s="8"/>
      <c r="S226" s="108"/>
    </row>
    <row r="227" spans="4:19" s="2" customFormat="1" ht="19.649999999999999" customHeight="1" x14ac:dyDescent="0.2">
      <c r="D227" s="20"/>
      <c r="E227" s="20"/>
      <c r="F227" s="20"/>
      <c r="G227" s="21"/>
      <c r="H227" s="21"/>
      <c r="I227" s="21"/>
      <c r="J227" s="1"/>
      <c r="K227" s="69"/>
      <c r="L227" s="21"/>
      <c r="M227" s="21"/>
      <c r="N227" s="21"/>
      <c r="O227" s="8"/>
      <c r="P227" s="20"/>
      <c r="Q227" s="21"/>
      <c r="R227" s="8"/>
      <c r="S227" s="108"/>
    </row>
    <row r="228" spans="4:19" s="2" customFormat="1" ht="19.649999999999999" customHeight="1" x14ac:dyDescent="0.2">
      <c r="D228" s="20"/>
      <c r="E228" s="20"/>
      <c r="F228" s="20"/>
      <c r="G228" s="21"/>
      <c r="H228" s="21"/>
      <c r="I228" s="21"/>
      <c r="J228" s="1"/>
      <c r="K228" s="69"/>
      <c r="L228" s="21"/>
      <c r="M228" s="21"/>
      <c r="N228" s="21"/>
      <c r="O228" s="8"/>
      <c r="P228" s="20"/>
      <c r="Q228" s="21"/>
      <c r="R228" s="8"/>
      <c r="S228" s="108"/>
    </row>
    <row r="229" spans="4:19" s="2" customFormat="1" ht="19.649999999999999" customHeight="1" x14ac:dyDescent="0.2">
      <c r="D229" s="20"/>
      <c r="E229" s="38"/>
      <c r="F229" s="38"/>
      <c r="G229" s="59" t="s">
        <v>56</v>
      </c>
      <c r="H229" s="161"/>
      <c r="I229" s="61">
        <v>70000</v>
      </c>
      <c r="J229" s="67">
        <f>H229*I229</f>
        <v>0</v>
      </c>
      <c r="K229" s="69"/>
      <c r="L229" s="21"/>
      <c r="M229" s="21"/>
      <c r="N229" s="21"/>
      <c r="O229" s="8"/>
      <c r="P229" s="20"/>
      <c r="Q229" s="21"/>
      <c r="R229" s="8"/>
      <c r="S229" s="108"/>
    </row>
    <row r="230" spans="4:19" s="2" customFormat="1" ht="19.649999999999999" customHeight="1" x14ac:dyDescent="0.2">
      <c r="D230" s="20"/>
      <c r="E230" s="20"/>
      <c r="F230" s="20"/>
      <c r="G230" s="22" t="s">
        <v>57</v>
      </c>
      <c r="H230" s="21"/>
      <c r="I230" s="21"/>
      <c r="J230" s="1"/>
      <c r="K230" s="69"/>
      <c r="L230" s="21"/>
      <c r="M230" s="21"/>
      <c r="N230" s="21"/>
      <c r="O230" s="8"/>
      <c r="P230" s="20"/>
      <c r="Q230" s="21"/>
      <c r="R230" s="8"/>
      <c r="S230" s="108"/>
    </row>
    <row r="231" spans="4:19" s="2" customFormat="1" ht="19.649999999999999" customHeight="1" x14ac:dyDescent="0.2">
      <c r="D231" s="20"/>
      <c r="E231" s="20"/>
      <c r="F231" s="20"/>
      <c r="G231" s="21"/>
      <c r="H231" s="21"/>
      <c r="I231" s="21"/>
      <c r="J231" s="1"/>
      <c r="K231" s="69"/>
      <c r="L231" s="21"/>
      <c r="M231" s="21"/>
      <c r="N231" s="21"/>
      <c r="O231" s="8"/>
      <c r="P231" s="20"/>
      <c r="Q231" s="21"/>
      <c r="R231" s="8"/>
      <c r="S231" s="108"/>
    </row>
    <row r="232" spans="4:19" s="2" customFormat="1" ht="19.649999999999999" customHeight="1" x14ac:dyDescent="0.2">
      <c r="D232" s="20"/>
      <c r="E232" s="20"/>
      <c r="F232" s="20"/>
      <c r="G232" s="21"/>
      <c r="H232" s="21"/>
      <c r="I232" s="21"/>
      <c r="J232" s="1"/>
      <c r="K232" s="69"/>
      <c r="L232" s="21"/>
      <c r="M232" s="21"/>
      <c r="N232" s="21"/>
      <c r="O232" s="8"/>
      <c r="P232" s="20"/>
      <c r="Q232" s="21"/>
      <c r="R232" s="8"/>
      <c r="S232" s="108"/>
    </row>
    <row r="233" spans="4:19" s="2" customFormat="1" ht="19.649999999999999" customHeight="1" x14ac:dyDescent="0.2">
      <c r="D233" s="20"/>
      <c r="E233" s="20"/>
      <c r="F233" s="20"/>
      <c r="G233" s="21"/>
      <c r="H233" s="21"/>
      <c r="I233" s="21"/>
      <c r="J233" s="1"/>
      <c r="K233" s="69"/>
      <c r="L233" s="21"/>
      <c r="M233" s="21"/>
      <c r="N233" s="21"/>
      <c r="O233" s="8"/>
      <c r="P233" s="20"/>
      <c r="Q233" s="21"/>
      <c r="R233" s="8"/>
      <c r="S233" s="108"/>
    </row>
    <row r="234" spans="4:19" s="2" customFormat="1" ht="19.649999999999999" customHeight="1" x14ac:dyDescent="0.2">
      <c r="D234" s="20"/>
      <c r="E234" s="20"/>
      <c r="F234" s="20"/>
      <c r="G234" s="21"/>
      <c r="H234" s="21"/>
      <c r="I234" s="21"/>
      <c r="J234" s="1"/>
      <c r="K234" s="69"/>
      <c r="L234" s="21"/>
      <c r="M234" s="21"/>
      <c r="N234" s="21"/>
      <c r="O234" s="8"/>
      <c r="P234" s="20"/>
      <c r="Q234" s="21"/>
      <c r="R234" s="8"/>
      <c r="S234" s="108"/>
    </row>
    <row r="235" spans="4:19" s="2" customFormat="1" ht="19.649999999999999" customHeight="1" x14ac:dyDescent="0.2">
      <c r="D235" s="20"/>
      <c r="E235" s="20"/>
      <c r="F235" s="20"/>
      <c r="G235" s="21"/>
      <c r="H235" s="21"/>
      <c r="I235" s="21"/>
      <c r="J235" s="1"/>
      <c r="K235" s="69"/>
      <c r="L235" s="21"/>
      <c r="M235" s="21"/>
      <c r="N235" s="21"/>
      <c r="O235" s="8"/>
      <c r="P235" s="20"/>
      <c r="Q235" s="21"/>
      <c r="R235" s="8"/>
      <c r="S235" s="108"/>
    </row>
    <row r="236" spans="4:19" s="2" customFormat="1" ht="19.649999999999999" customHeight="1" x14ac:dyDescent="0.2">
      <c r="D236" s="20"/>
      <c r="E236" s="20"/>
      <c r="F236" s="20"/>
      <c r="G236" s="21"/>
      <c r="H236" s="21"/>
      <c r="I236" s="21"/>
      <c r="J236" s="1"/>
      <c r="K236" s="69"/>
      <c r="L236" s="21"/>
      <c r="M236" s="21"/>
      <c r="N236" s="21"/>
      <c r="O236" s="8"/>
      <c r="P236" s="20"/>
      <c r="Q236" s="21"/>
      <c r="R236" s="8"/>
      <c r="S236" s="108"/>
    </row>
    <row r="237" spans="4:19" s="2" customFormat="1" ht="19.649999999999999" customHeight="1" x14ac:dyDescent="0.2">
      <c r="D237" s="20"/>
      <c r="E237" s="20"/>
      <c r="F237" s="20"/>
      <c r="G237" s="21"/>
      <c r="H237" s="21"/>
      <c r="I237" s="21"/>
      <c r="J237" s="1"/>
      <c r="K237" s="69"/>
      <c r="L237" s="21"/>
      <c r="M237" s="21"/>
      <c r="N237" s="21"/>
      <c r="O237" s="8"/>
      <c r="P237" s="20"/>
      <c r="Q237" s="21"/>
      <c r="R237" s="8"/>
      <c r="S237" s="108"/>
    </row>
    <row r="238" spans="4:19" s="2" customFormat="1" ht="19.649999999999999" customHeight="1" x14ac:dyDescent="0.2">
      <c r="D238" s="20"/>
      <c r="E238" s="20"/>
      <c r="F238" s="20"/>
      <c r="G238" s="21"/>
      <c r="H238" s="21"/>
      <c r="I238" s="21"/>
      <c r="J238" s="1"/>
      <c r="K238" s="69"/>
      <c r="L238" s="21"/>
      <c r="M238" s="21"/>
      <c r="N238" s="21"/>
      <c r="O238" s="8"/>
      <c r="P238" s="20"/>
      <c r="Q238" s="21"/>
      <c r="R238" s="8"/>
      <c r="S238" s="108"/>
    </row>
    <row r="239" spans="4:19" s="2" customFormat="1" ht="19.649999999999999" customHeight="1" x14ac:dyDescent="0.2">
      <c r="D239" s="20"/>
      <c r="E239" s="20"/>
      <c r="F239" s="20"/>
      <c r="G239" s="21"/>
      <c r="H239" s="21"/>
      <c r="I239" s="21"/>
      <c r="J239" s="1"/>
      <c r="K239" s="69"/>
      <c r="L239" s="21"/>
      <c r="M239" s="21"/>
      <c r="N239" s="21"/>
      <c r="O239" s="8"/>
      <c r="P239" s="20"/>
      <c r="Q239" s="21"/>
      <c r="R239" s="8"/>
      <c r="S239" s="108"/>
    </row>
    <row r="240" spans="4:19" s="2" customFormat="1" ht="19.649999999999999" customHeight="1" x14ac:dyDescent="0.2">
      <c r="D240" s="20"/>
      <c r="E240" s="20"/>
      <c r="F240" s="20"/>
      <c r="G240" s="21"/>
      <c r="H240" s="21"/>
      <c r="I240" s="21"/>
      <c r="J240" s="1"/>
      <c r="K240" s="69"/>
      <c r="L240" s="21"/>
      <c r="M240" s="21"/>
      <c r="N240" s="21"/>
      <c r="O240" s="8"/>
      <c r="P240" s="20"/>
      <c r="Q240" s="21"/>
      <c r="R240" s="8"/>
      <c r="S240" s="108"/>
    </row>
    <row r="241" spans="4:19" s="2" customFormat="1" ht="19.649999999999999" customHeight="1" x14ac:dyDescent="0.2">
      <c r="D241" s="20"/>
      <c r="E241" s="20"/>
      <c r="F241" s="20"/>
      <c r="G241" s="21"/>
      <c r="H241" s="21"/>
      <c r="I241" s="21"/>
      <c r="J241" s="1"/>
      <c r="K241" s="69"/>
      <c r="L241" s="21"/>
      <c r="M241" s="21"/>
      <c r="N241" s="21"/>
      <c r="O241" s="8"/>
      <c r="P241" s="20"/>
      <c r="Q241" s="21"/>
      <c r="R241" s="8"/>
      <c r="S241" s="108"/>
    </row>
    <row r="242" spans="4:19" s="2" customFormat="1" ht="19.649999999999999" customHeight="1" x14ac:dyDescent="0.2">
      <c r="D242" s="20"/>
      <c r="E242" s="20"/>
      <c r="F242" s="20"/>
      <c r="G242" s="21"/>
      <c r="H242" s="21"/>
      <c r="I242" s="21"/>
      <c r="J242" s="1"/>
      <c r="K242" s="69"/>
      <c r="L242" s="21"/>
      <c r="M242" s="21"/>
      <c r="N242" s="21"/>
      <c r="O242" s="8"/>
      <c r="P242" s="20"/>
      <c r="Q242" s="21"/>
      <c r="R242" s="8"/>
      <c r="S242" s="108"/>
    </row>
    <row r="243" spans="4:19" s="2" customFormat="1" ht="19.649999999999999" customHeight="1" x14ac:dyDescent="0.2">
      <c r="D243" s="20"/>
      <c r="E243" s="20"/>
      <c r="F243" s="20"/>
      <c r="G243" s="21"/>
      <c r="H243" s="21"/>
      <c r="I243" s="21"/>
      <c r="J243" s="1"/>
      <c r="K243" s="69"/>
      <c r="L243" s="21"/>
      <c r="M243" s="21"/>
      <c r="N243" s="21"/>
      <c r="O243" s="8"/>
      <c r="P243" s="20"/>
      <c r="Q243" s="21"/>
      <c r="R243" s="8"/>
      <c r="S243" s="108"/>
    </row>
    <row r="244" spans="4:19" s="2" customFormat="1" ht="19.649999999999999" customHeight="1" x14ac:dyDescent="0.2">
      <c r="D244" s="20"/>
      <c r="E244" s="20"/>
      <c r="F244" s="20"/>
      <c r="G244" s="21"/>
      <c r="H244" s="21"/>
      <c r="I244" s="21"/>
      <c r="J244" s="1"/>
      <c r="K244" s="69"/>
      <c r="L244" s="21"/>
      <c r="M244" s="21"/>
      <c r="N244" s="21"/>
      <c r="O244" s="8"/>
      <c r="P244" s="20"/>
      <c r="Q244" s="21"/>
      <c r="R244" s="8"/>
      <c r="S244" s="108"/>
    </row>
    <row r="245" spans="4:19" s="2" customFormat="1" ht="19.649999999999999" customHeight="1" x14ac:dyDescent="0.2">
      <c r="D245" s="20"/>
      <c r="E245" s="20"/>
      <c r="F245" s="20"/>
      <c r="G245" s="21"/>
      <c r="H245" s="21"/>
      <c r="I245" s="21"/>
      <c r="J245" s="1"/>
      <c r="K245" s="69"/>
      <c r="L245" s="21"/>
      <c r="M245" s="21"/>
      <c r="N245" s="21"/>
      <c r="O245" s="8"/>
      <c r="P245" s="20"/>
      <c r="Q245" s="21"/>
      <c r="R245" s="8"/>
      <c r="S245" s="108"/>
    </row>
    <row r="246" spans="4:19" s="2" customFormat="1" ht="19.649999999999999" customHeight="1" x14ac:dyDescent="0.2">
      <c r="D246" s="20"/>
      <c r="E246" s="20"/>
      <c r="F246" s="20"/>
      <c r="G246" s="21"/>
      <c r="H246" s="21"/>
      <c r="I246" s="21"/>
      <c r="J246" s="1"/>
      <c r="K246" s="69"/>
      <c r="L246" s="21"/>
      <c r="M246" s="21"/>
      <c r="N246" s="21"/>
      <c r="O246" s="8"/>
      <c r="P246" s="20"/>
      <c r="Q246" s="21"/>
      <c r="R246" s="8"/>
      <c r="S246" s="108"/>
    </row>
    <row r="247" spans="4:19" s="2" customFormat="1" ht="19.649999999999999" customHeight="1" x14ac:dyDescent="0.2">
      <c r="D247" s="20"/>
      <c r="E247" s="20"/>
      <c r="F247" s="20"/>
      <c r="G247" s="21"/>
      <c r="H247" s="21"/>
      <c r="I247" s="21"/>
      <c r="J247" s="1"/>
      <c r="K247" s="69"/>
      <c r="L247" s="21"/>
      <c r="M247" s="21"/>
      <c r="N247" s="21"/>
      <c r="O247" s="8"/>
      <c r="P247" s="20"/>
      <c r="Q247" s="21"/>
      <c r="R247" s="8"/>
      <c r="S247" s="108"/>
    </row>
    <row r="248" spans="4:19" s="2" customFormat="1" ht="19.649999999999999" customHeight="1" x14ac:dyDescent="0.2">
      <c r="D248" s="20"/>
      <c r="E248" s="20"/>
      <c r="F248" s="20"/>
      <c r="G248" s="21"/>
      <c r="H248" s="21"/>
      <c r="I248" s="21"/>
      <c r="J248" s="1"/>
      <c r="K248" s="69"/>
      <c r="L248" s="21"/>
      <c r="M248" s="21"/>
      <c r="N248" s="21"/>
      <c r="O248" s="8"/>
      <c r="P248" s="20"/>
      <c r="Q248" s="21"/>
      <c r="R248" s="8"/>
      <c r="S248" s="108"/>
    </row>
    <row r="249" spans="4:19" s="2" customFormat="1" ht="19.649999999999999" customHeight="1" x14ac:dyDescent="0.2">
      <c r="D249" s="20"/>
      <c r="E249" s="20"/>
      <c r="F249" s="20"/>
      <c r="G249" s="21"/>
      <c r="H249" s="21"/>
      <c r="I249" s="21"/>
      <c r="J249" s="1"/>
      <c r="K249" s="69"/>
      <c r="L249" s="21"/>
      <c r="M249" s="21"/>
      <c r="N249" s="21"/>
      <c r="O249" s="8"/>
      <c r="P249" s="20"/>
      <c r="Q249" s="21"/>
      <c r="R249" s="8"/>
      <c r="S249" s="108"/>
    </row>
    <row r="250" spans="4:19" s="2" customFormat="1" ht="19.649999999999999" customHeight="1" x14ac:dyDescent="0.2">
      <c r="D250" s="20"/>
      <c r="E250" s="20"/>
      <c r="F250" s="20"/>
      <c r="G250" s="21"/>
      <c r="H250" s="21"/>
      <c r="I250" s="21"/>
      <c r="J250" s="1"/>
      <c r="K250" s="69"/>
      <c r="L250" s="21"/>
      <c r="M250" s="21"/>
      <c r="N250" s="21"/>
      <c r="O250" s="8"/>
      <c r="P250" s="20"/>
      <c r="Q250" s="21"/>
      <c r="R250" s="8"/>
      <c r="S250" s="108"/>
    </row>
    <row r="251" spans="4:19" s="2" customFormat="1" ht="19.649999999999999" customHeight="1" x14ac:dyDescent="0.2">
      <c r="D251" s="20"/>
      <c r="E251" s="20"/>
      <c r="F251" s="20"/>
      <c r="G251" s="21"/>
      <c r="H251" s="21"/>
      <c r="I251" s="21"/>
      <c r="J251" s="1"/>
      <c r="K251" s="69"/>
      <c r="L251" s="21"/>
      <c r="M251" s="21"/>
      <c r="N251" s="21"/>
      <c r="O251" s="8"/>
      <c r="P251" s="20"/>
      <c r="Q251" s="21"/>
      <c r="R251" s="8"/>
      <c r="S251" s="108"/>
    </row>
    <row r="252" spans="4:19" s="2" customFormat="1" ht="19.649999999999999" customHeight="1" x14ac:dyDescent="0.2">
      <c r="D252" s="20"/>
      <c r="E252" s="20"/>
      <c r="F252" s="20"/>
      <c r="G252" s="21"/>
      <c r="H252" s="21"/>
      <c r="I252" s="21"/>
      <c r="J252" s="1"/>
      <c r="K252" s="69"/>
      <c r="L252" s="21"/>
      <c r="M252" s="21"/>
      <c r="N252" s="21"/>
      <c r="O252" s="8"/>
      <c r="P252" s="20"/>
      <c r="Q252" s="21"/>
      <c r="R252" s="8"/>
      <c r="S252" s="108"/>
    </row>
    <row r="253" spans="4:19" s="2" customFormat="1" ht="19.649999999999999" customHeight="1" x14ac:dyDescent="0.2">
      <c r="D253" s="20"/>
      <c r="E253" s="20"/>
      <c r="F253" s="20"/>
      <c r="G253" s="21"/>
      <c r="H253" s="21"/>
      <c r="I253" s="21"/>
      <c r="J253" s="1"/>
      <c r="K253" s="69"/>
      <c r="L253" s="21"/>
      <c r="M253" s="21"/>
      <c r="N253" s="21"/>
      <c r="O253" s="8"/>
      <c r="P253" s="20"/>
      <c r="Q253" s="21"/>
      <c r="R253" s="8"/>
      <c r="S253" s="108"/>
    </row>
    <row r="254" spans="4:19" s="2" customFormat="1" ht="19.649999999999999" customHeight="1" x14ac:dyDescent="0.2">
      <c r="D254" s="20"/>
      <c r="E254" s="20"/>
      <c r="F254" s="20"/>
      <c r="G254" s="21"/>
      <c r="H254" s="21"/>
      <c r="I254" s="21"/>
      <c r="J254" s="1"/>
      <c r="K254" s="69"/>
      <c r="L254" s="21"/>
      <c r="M254" s="21"/>
      <c r="N254" s="21"/>
      <c r="O254" s="8"/>
      <c r="P254" s="20"/>
      <c r="Q254" s="21"/>
      <c r="R254" s="8"/>
      <c r="S254" s="108"/>
    </row>
    <row r="255" spans="4:19" s="2" customFormat="1" ht="19.649999999999999" customHeight="1" x14ac:dyDescent="0.2">
      <c r="D255" s="20"/>
      <c r="E255" s="20"/>
      <c r="F255" s="20"/>
      <c r="G255" s="21"/>
      <c r="H255" s="21"/>
      <c r="I255" s="21"/>
      <c r="J255" s="1"/>
      <c r="K255" s="69"/>
      <c r="L255" s="21"/>
      <c r="M255" s="21"/>
      <c r="N255" s="21"/>
      <c r="O255" s="8"/>
      <c r="P255" s="20"/>
      <c r="Q255" s="21"/>
      <c r="R255" s="8"/>
      <c r="S255" s="108"/>
    </row>
    <row r="256" spans="4:19" s="2" customFormat="1" ht="19.649999999999999" customHeight="1" x14ac:dyDescent="0.2">
      <c r="D256" s="20"/>
      <c r="E256" s="20"/>
      <c r="F256" s="20"/>
      <c r="G256" s="21"/>
      <c r="H256" s="21"/>
      <c r="I256" s="21"/>
      <c r="J256" s="1"/>
      <c r="K256" s="69"/>
      <c r="L256" s="21"/>
      <c r="M256" s="21"/>
      <c r="N256" s="21"/>
      <c r="O256" s="8"/>
      <c r="P256" s="20"/>
      <c r="Q256" s="21"/>
      <c r="R256" s="8"/>
      <c r="S256" s="108"/>
    </row>
    <row r="257" spans="4:19" s="2" customFormat="1" ht="19.649999999999999" customHeight="1" x14ac:dyDescent="0.2">
      <c r="D257" s="20"/>
      <c r="E257" s="20"/>
      <c r="F257" s="20"/>
      <c r="G257" s="21"/>
      <c r="H257" s="21"/>
      <c r="I257" s="21"/>
      <c r="J257" s="1"/>
      <c r="K257" s="69"/>
      <c r="L257" s="21"/>
      <c r="M257" s="21"/>
      <c r="N257" s="21"/>
      <c r="O257" s="8"/>
      <c r="P257" s="20"/>
      <c r="Q257" s="21"/>
      <c r="R257" s="8"/>
      <c r="S257" s="108"/>
    </row>
    <row r="258" spans="4:19" s="2" customFormat="1" ht="19.649999999999999" customHeight="1" x14ac:dyDescent="0.2">
      <c r="D258" s="20"/>
      <c r="E258" s="20"/>
      <c r="F258" s="20"/>
      <c r="G258" s="21"/>
      <c r="H258" s="21"/>
      <c r="I258" s="21"/>
      <c r="J258" s="1"/>
      <c r="K258" s="69"/>
      <c r="L258" s="21"/>
      <c r="M258" s="21"/>
      <c r="N258" s="21"/>
      <c r="O258" s="8"/>
      <c r="P258" s="20"/>
      <c r="Q258" s="21"/>
      <c r="R258" s="8"/>
      <c r="S258" s="108"/>
    </row>
    <row r="259" spans="4:19" s="2" customFormat="1" ht="19.649999999999999" customHeight="1" x14ac:dyDescent="0.2">
      <c r="D259" s="20"/>
      <c r="E259" s="20"/>
      <c r="F259" s="20"/>
      <c r="G259" s="21"/>
      <c r="H259" s="21"/>
      <c r="I259" s="21"/>
      <c r="J259" s="1"/>
      <c r="K259" s="69"/>
      <c r="L259" s="21"/>
      <c r="M259" s="21"/>
      <c r="N259" s="21"/>
      <c r="O259" s="8"/>
      <c r="P259" s="20"/>
      <c r="Q259" s="21"/>
      <c r="R259" s="8"/>
      <c r="S259" s="108"/>
    </row>
    <row r="260" spans="4:19" s="2" customFormat="1" ht="19.649999999999999" customHeight="1" x14ac:dyDescent="0.2">
      <c r="D260" s="20"/>
      <c r="E260" s="20"/>
      <c r="F260" s="20"/>
      <c r="G260" s="21"/>
      <c r="H260" s="21"/>
      <c r="I260" s="21"/>
      <c r="J260" s="1"/>
      <c r="K260" s="69"/>
      <c r="L260" s="21"/>
      <c r="M260" s="21"/>
      <c r="N260" s="21"/>
      <c r="O260" s="8"/>
      <c r="P260" s="20"/>
      <c r="Q260" s="21"/>
      <c r="R260" s="8"/>
      <c r="S260" s="108"/>
    </row>
    <row r="261" spans="4:19" s="2" customFormat="1" ht="19.649999999999999" customHeight="1" x14ac:dyDescent="0.2">
      <c r="D261" s="20"/>
      <c r="E261" s="20"/>
      <c r="F261" s="20"/>
      <c r="G261" s="21"/>
      <c r="H261" s="21"/>
      <c r="I261" s="21"/>
      <c r="J261" s="1"/>
      <c r="K261" s="69"/>
      <c r="L261" s="21"/>
      <c r="M261" s="21"/>
      <c r="N261" s="21"/>
      <c r="O261" s="8"/>
      <c r="P261" s="20"/>
      <c r="Q261" s="21"/>
      <c r="R261" s="8"/>
      <c r="S261" s="108"/>
    </row>
    <row r="262" spans="4:19" s="2" customFormat="1" ht="19.649999999999999" customHeight="1" x14ac:dyDescent="0.2">
      <c r="D262" s="20"/>
      <c r="E262" s="20"/>
      <c r="F262" s="20"/>
      <c r="G262" s="21"/>
      <c r="H262" s="21"/>
      <c r="I262" s="21"/>
      <c r="J262" s="1"/>
      <c r="K262" s="69"/>
      <c r="L262" s="21"/>
      <c r="M262" s="21"/>
      <c r="N262" s="21"/>
      <c r="O262" s="8"/>
      <c r="P262" s="20"/>
      <c r="Q262" s="21"/>
      <c r="R262" s="8"/>
      <c r="S262" s="108"/>
    </row>
    <row r="263" spans="4:19" s="2" customFormat="1" ht="19.649999999999999" customHeight="1" x14ac:dyDescent="0.2">
      <c r="D263" s="20"/>
      <c r="E263" s="20"/>
      <c r="F263" s="20"/>
      <c r="G263" s="21"/>
      <c r="H263" s="21"/>
      <c r="I263" s="21"/>
      <c r="J263" s="1"/>
      <c r="K263" s="69"/>
      <c r="L263" s="21"/>
      <c r="M263" s="21"/>
      <c r="N263" s="21"/>
      <c r="O263" s="8"/>
      <c r="P263" s="20"/>
      <c r="Q263" s="21"/>
      <c r="R263" s="8"/>
      <c r="S263" s="108"/>
    </row>
    <row r="264" spans="4:19" s="2" customFormat="1" ht="19.649999999999999" customHeight="1" x14ac:dyDescent="0.2">
      <c r="D264" s="20"/>
      <c r="E264" s="20"/>
      <c r="F264" s="20"/>
      <c r="G264" s="21"/>
      <c r="H264" s="21"/>
      <c r="I264" s="21"/>
      <c r="J264" s="1"/>
      <c r="K264" s="69"/>
      <c r="L264" s="21"/>
      <c r="M264" s="21"/>
      <c r="N264" s="21"/>
      <c r="O264" s="8"/>
      <c r="P264" s="20"/>
      <c r="Q264" s="21"/>
      <c r="R264" s="8"/>
      <c r="S264" s="108"/>
    </row>
    <row r="265" spans="4:19" s="2" customFormat="1" ht="19.649999999999999" customHeight="1" x14ac:dyDescent="0.2">
      <c r="D265" s="20"/>
      <c r="E265" s="20"/>
      <c r="F265" s="20"/>
      <c r="G265" s="21"/>
      <c r="H265" s="21"/>
      <c r="I265" s="21"/>
      <c r="J265" s="1"/>
      <c r="K265" s="69"/>
      <c r="L265" s="21"/>
      <c r="M265" s="21"/>
      <c r="N265" s="21"/>
      <c r="O265" s="8"/>
      <c r="P265" s="20"/>
      <c r="Q265" s="21"/>
      <c r="R265" s="8"/>
      <c r="S265" s="108"/>
    </row>
    <row r="266" spans="4:19" s="2" customFormat="1" ht="19.649999999999999" customHeight="1" x14ac:dyDescent="0.2">
      <c r="D266" s="20"/>
      <c r="E266" s="20"/>
      <c r="F266" s="20"/>
      <c r="G266" s="21"/>
      <c r="H266" s="21"/>
      <c r="I266" s="21"/>
      <c r="J266" s="1"/>
      <c r="K266" s="69"/>
      <c r="L266" s="21"/>
      <c r="M266" s="21"/>
      <c r="N266" s="21"/>
      <c r="O266" s="8"/>
      <c r="P266" s="20"/>
      <c r="Q266" s="21"/>
      <c r="R266" s="8"/>
      <c r="S266" s="108"/>
    </row>
    <row r="267" spans="4:19" s="2" customFormat="1" ht="19.649999999999999" customHeight="1" x14ac:dyDescent="0.2">
      <c r="D267" s="20"/>
      <c r="E267" s="20"/>
      <c r="F267" s="20"/>
      <c r="G267" s="21"/>
      <c r="H267" s="21"/>
      <c r="I267" s="21"/>
      <c r="J267" s="1"/>
      <c r="K267" s="69"/>
      <c r="L267" s="21"/>
      <c r="M267" s="21"/>
      <c r="N267" s="21"/>
      <c r="O267" s="8"/>
      <c r="P267" s="20"/>
      <c r="Q267" s="21"/>
      <c r="R267" s="8"/>
      <c r="S267" s="108"/>
    </row>
    <row r="268" spans="4:19" s="2" customFormat="1" ht="19.649999999999999" customHeight="1" x14ac:dyDescent="0.2">
      <c r="D268" s="20"/>
      <c r="E268" s="20"/>
      <c r="F268" s="20"/>
      <c r="G268" s="21"/>
      <c r="H268" s="21"/>
      <c r="I268" s="21"/>
      <c r="J268" s="1"/>
      <c r="K268" s="69"/>
      <c r="L268" s="21"/>
      <c r="M268" s="21"/>
      <c r="N268" s="21"/>
      <c r="O268" s="8"/>
      <c r="P268" s="20"/>
      <c r="Q268" s="21"/>
      <c r="R268" s="8"/>
      <c r="S268" s="108"/>
    </row>
    <row r="269" spans="4:19" s="2" customFormat="1" ht="19.649999999999999" customHeight="1" x14ac:dyDescent="0.2">
      <c r="D269" s="20"/>
      <c r="E269" s="20"/>
      <c r="F269" s="20"/>
      <c r="G269" s="21"/>
      <c r="H269" s="21"/>
      <c r="I269" s="21"/>
      <c r="J269" s="1"/>
      <c r="K269" s="69"/>
      <c r="L269" s="21"/>
      <c r="M269" s="21"/>
      <c r="N269" s="21"/>
      <c r="O269" s="8"/>
      <c r="P269" s="20"/>
      <c r="Q269" s="21"/>
      <c r="R269" s="8"/>
      <c r="S269" s="108"/>
    </row>
    <row r="270" spans="4:19" s="2" customFormat="1" ht="19.649999999999999" customHeight="1" x14ac:dyDescent="0.2">
      <c r="D270" s="20"/>
      <c r="E270" s="20"/>
      <c r="F270" s="20"/>
      <c r="G270" s="21"/>
      <c r="H270" s="21"/>
      <c r="I270" s="21"/>
      <c r="J270" s="1"/>
      <c r="K270" s="69"/>
      <c r="L270" s="21"/>
      <c r="M270" s="21"/>
      <c r="N270" s="21"/>
      <c r="O270" s="8"/>
      <c r="P270" s="20"/>
      <c r="Q270" s="21"/>
      <c r="R270" s="8"/>
      <c r="S270" s="108"/>
    </row>
    <row r="271" spans="4:19" s="2" customFormat="1" ht="19.649999999999999" customHeight="1" x14ac:dyDescent="0.2">
      <c r="D271" s="20"/>
      <c r="E271" s="20"/>
      <c r="F271" s="20"/>
      <c r="G271" s="21"/>
      <c r="H271" s="21"/>
      <c r="I271" s="21"/>
      <c r="J271" s="1"/>
      <c r="K271" s="69"/>
      <c r="L271" s="21"/>
      <c r="M271" s="21"/>
      <c r="N271" s="21"/>
      <c r="O271" s="8"/>
      <c r="P271" s="20"/>
      <c r="Q271" s="21"/>
      <c r="R271" s="8"/>
      <c r="S271" s="108"/>
    </row>
    <row r="272" spans="4:19" s="2" customFormat="1" ht="19.649999999999999" customHeight="1" x14ac:dyDescent="0.2">
      <c r="D272" s="20"/>
      <c r="E272" s="20"/>
      <c r="F272" s="20"/>
      <c r="G272" s="21"/>
      <c r="H272" s="21"/>
      <c r="I272" s="21"/>
      <c r="J272" s="1"/>
      <c r="K272" s="69"/>
      <c r="L272" s="21"/>
      <c r="M272" s="21"/>
      <c r="N272" s="21"/>
      <c r="O272" s="8"/>
      <c r="P272" s="20"/>
      <c r="Q272" s="21"/>
      <c r="R272" s="8"/>
      <c r="S272" s="108"/>
    </row>
    <row r="273" spans="4:19" s="2" customFormat="1" ht="19.649999999999999" customHeight="1" x14ac:dyDescent="0.2">
      <c r="D273" s="20"/>
      <c r="E273" s="20"/>
      <c r="F273" s="20"/>
      <c r="G273" s="21"/>
      <c r="H273" s="21"/>
      <c r="I273" s="21"/>
      <c r="J273" s="1"/>
      <c r="K273" s="69"/>
      <c r="L273" s="21"/>
      <c r="M273" s="21"/>
      <c r="N273" s="21"/>
      <c r="O273" s="8"/>
      <c r="P273" s="20"/>
      <c r="Q273" s="21"/>
      <c r="R273" s="8"/>
      <c r="S273" s="108"/>
    </row>
    <row r="274" spans="4:19" s="2" customFormat="1" ht="19.649999999999999" customHeight="1" x14ac:dyDescent="0.2">
      <c r="D274" s="20"/>
      <c r="E274" s="20"/>
      <c r="F274" s="20"/>
      <c r="G274" s="21"/>
      <c r="H274" s="21"/>
      <c r="I274" s="21"/>
      <c r="J274" s="1"/>
      <c r="K274" s="69"/>
      <c r="L274" s="21"/>
      <c r="M274" s="21"/>
      <c r="N274" s="21"/>
      <c r="O274" s="8"/>
      <c r="P274" s="20"/>
      <c r="Q274" s="21"/>
      <c r="R274" s="8"/>
      <c r="S274" s="108"/>
    </row>
    <row r="275" spans="4:19" s="2" customFormat="1" ht="19.649999999999999" customHeight="1" x14ac:dyDescent="0.2">
      <c r="D275" s="20"/>
      <c r="E275" s="20"/>
      <c r="F275" s="20"/>
      <c r="G275" s="21"/>
      <c r="H275" s="21"/>
      <c r="I275" s="21"/>
      <c r="J275" s="1"/>
      <c r="K275" s="69"/>
      <c r="L275" s="21"/>
      <c r="M275" s="21"/>
      <c r="N275" s="21"/>
      <c r="O275" s="8"/>
      <c r="P275" s="20"/>
      <c r="Q275" s="21"/>
      <c r="R275" s="8"/>
      <c r="S275" s="108"/>
    </row>
    <row r="276" spans="4:19" s="2" customFormat="1" ht="19.649999999999999" customHeight="1" x14ac:dyDescent="0.2">
      <c r="D276" s="20"/>
      <c r="E276" s="20"/>
      <c r="F276" s="20"/>
      <c r="G276" s="21"/>
      <c r="H276" s="21"/>
      <c r="I276" s="21"/>
      <c r="J276" s="1"/>
      <c r="K276" s="69"/>
      <c r="L276" s="21"/>
      <c r="M276" s="21"/>
      <c r="N276" s="21"/>
      <c r="O276" s="8"/>
      <c r="P276" s="20"/>
      <c r="Q276" s="21"/>
      <c r="R276" s="8"/>
      <c r="S276" s="108"/>
    </row>
    <row r="277" spans="4:19" s="2" customFormat="1" ht="19.649999999999999" customHeight="1" x14ac:dyDescent="0.2">
      <c r="D277" s="20"/>
      <c r="E277" s="20"/>
      <c r="F277" s="20"/>
      <c r="G277" s="21"/>
      <c r="H277" s="21"/>
      <c r="I277" s="21"/>
      <c r="J277" s="1"/>
      <c r="K277" s="69"/>
      <c r="L277" s="21"/>
      <c r="M277" s="21"/>
      <c r="N277" s="21"/>
      <c r="O277" s="8"/>
      <c r="P277" s="20"/>
      <c r="Q277" s="21"/>
      <c r="R277" s="8"/>
      <c r="S277" s="108"/>
    </row>
    <row r="278" spans="4:19" s="2" customFormat="1" ht="19.649999999999999" customHeight="1" x14ac:dyDescent="0.2">
      <c r="D278" s="20"/>
      <c r="E278" s="20"/>
      <c r="F278" s="20"/>
      <c r="G278" s="21"/>
      <c r="H278" s="21"/>
      <c r="I278" s="21"/>
      <c r="J278" s="1"/>
      <c r="K278" s="69"/>
      <c r="L278" s="21"/>
      <c r="M278" s="21"/>
      <c r="N278" s="21"/>
      <c r="O278" s="8"/>
      <c r="P278" s="20"/>
      <c r="Q278" s="21"/>
      <c r="R278" s="8"/>
      <c r="S278" s="108"/>
    </row>
    <row r="279" spans="4:19" s="2" customFormat="1" ht="19.649999999999999" customHeight="1" x14ac:dyDescent="0.2">
      <c r="D279" s="20"/>
      <c r="E279" s="20"/>
      <c r="F279" s="20"/>
      <c r="G279" s="21"/>
      <c r="H279" s="21"/>
      <c r="I279" s="21"/>
      <c r="J279" s="1"/>
      <c r="K279" s="69"/>
      <c r="L279" s="21"/>
      <c r="M279" s="21"/>
      <c r="N279" s="21"/>
      <c r="O279" s="8"/>
      <c r="P279" s="20"/>
      <c r="Q279" s="21"/>
      <c r="R279" s="8"/>
      <c r="S279" s="108"/>
    </row>
    <row r="280" spans="4:19" s="2" customFormat="1" ht="19.649999999999999" customHeight="1" x14ac:dyDescent="0.2">
      <c r="D280" s="20"/>
      <c r="E280" s="20"/>
      <c r="F280" s="20"/>
      <c r="G280" s="21"/>
      <c r="H280" s="21"/>
      <c r="I280" s="21"/>
      <c r="J280" s="1"/>
      <c r="K280" s="69"/>
      <c r="L280" s="21"/>
      <c r="M280" s="21"/>
      <c r="N280" s="21"/>
      <c r="O280" s="8"/>
      <c r="P280" s="20"/>
      <c r="Q280" s="21"/>
      <c r="R280" s="8"/>
      <c r="S280" s="108"/>
    </row>
    <row r="281" spans="4:19" s="2" customFormat="1" ht="19.649999999999999" customHeight="1" x14ac:dyDescent="0.2">
      <c r="D281" s="20"/>
      <c r="E281" s="20"/>
      <c r="F281" s="20"/>
      <c r="G281" s="21"/>
      <c r="H281" s="21"/>
      <c r="I281" s="21"/>
      <c r="J281" s="1"/>
      <c r="K281" s="69"/>
      <c r="L281" s="21"/>
      <c r="M281" s="21"/>
      <c r="N281" s="21"/>
      <c r="O281" s="8"/>
      <c r="P281" s="20"/>
      <c r="Q281" s="21"/>
      <c r="R281" s="8"/>
      <c r="S281" s="108"/>
    </row>
    <row r="282" spans="4:19" s="2" customFormat="1" ht="19.649999999999999" customHeight="1" x14ac:dyDescent="0.2">
      <c r="D282" s="20"/>
      <c r="E282" s="20"/>
      <c r="F282" s="20"/>
      <c r="G282" s="21"/>
      <c r="H282" s="21"/>
      <c r="I282" s="21"/>
      <c r="J282" s="1"/>
      <c r="K282" s="69"/>
      <c r="L282" s="21"/>
      <c r="M282" s="21"/>
      <c r="N282" s="21"/>
      <c r="O282" s="8"/>
      <c r="P282" s="20"/>
      <c r="Q282" s="21"/>
      <c r="R282" s="8"/>
      <c r="S282" s="108"/>
    </row>
    <row r="283" spans="4:19" s="2" customFormat="1" ht="19.649999999999999" customHeight="1" x14ac:dyDescent="0.2">
      <c r="D283" s="20"/>
      <c r="E283" s="20"/>
      <c r="F283" s="20"/>
      <c r="G283" s="21"/>
      <c r="H283" s="21"/>
      <c r="I283" s="21"/>
      <c r="J283" s="1"/>
      <c r="K283" s="69"/>
      <c r="L283" s="21"/>
      <c r="M283" s="21"/>
      <c r="N283" s="21"/>
      <c r="O283" s="8"/>
      <c r="P283" s="20"/>
      <c r="Q283" s="21"/>
      <c r="R283" s="8"/>
      <c r="S283" s="108"/>
    </row>
    <row r="284" spans="4:19" s="2" customFormat="1" ht="19.649999999999999" customHeight="1" x14ac:dyDescent="0.2">
      <c r="D284" s="20"/>
      <c r="E284" s="20"/>
      <c r="F284" s="20"/>
      <c r="G284" s="21"/>
      <c r="H284" s="21"/>
      <c r="I284" s="21"/>
      <c r="J284" s="1"/>
      <c r="K284" s="69"/>
      <c r="L284" s="21"/>
      <c r="M284" s="21"/>
      <c r="N284" s="21"/>
      <c r="O284" s="8"/>
      <c r="P284" s="20"/>
      <c r="Q284" s="21"/>
      <c r="R284" s="8"/>
      <c r="S284" s="108"/>
    </row>
    <row r="285" spans="4:19" s="2" customFormat="1" ht="19.649999999999999" customHeight="1" x14ac:dyDescent="0.2">
      <c r="D285" s="20"/>
      <c r="E285" s="20"/>
      <c r="F285" s="20"/>
      <c r="G285" s="21"/>
      <c r="H285" s="21"/>
      <c r="I285" s="21"/>
      <c r="J285" s="1"/>
      <c r="K285" s="69"/>
      <c r="L285" s="21"/>
      <c r="M285" s="21"/>
      <c r="N285" s="21"/>
      <c r="O285" s="8"/>
      <c r="P285" s="20"/>
      <c r="Q285" s="21"/>
      <c r="R285" s="8"/>
      <c r="S285" s="108"/>
    </row>
    <row r="286" spans="4:19" s="2" customFormat="1" ht="19.649999999999999" customHeight="1" x14ac:dyDescent="0.2">
      <c r="D286" s="20"/>
      <c r="E286" s="20"/>
      <c r="F286" s="20"/>
      <c r="G286" s="21"/>
      <c r="H286" s="21"/>
      <c r="I286" s="21"/>
      <c r="J286" s="1"/>
      <c r="K286" s="69"/>
      <c r="L286" s="21"/>
      <c r="M286" s="21"/>
      <c r="N286" s="21"/>
      <c r="O286" s="8"/>
      <c r="P286" s="20"/>
      <c r="Q286" s="21"/>
      <c r="R286" s="8"/>
      <c r="S286" s="108"/>
    </row>
    <row r="287" spans="4:19" s="2" customFormat="1" ht="19.649999999999999" customHeight="1" x14ac:dyDescent="0.2">
      <c r="D287" s="20"/>
      <c r="E287" s="20"/>
      <c r="F287" s="20"/>
      <c r="G287" s="21"/>
      <c r="H287" s="21"/>
      <c r="I287" s="21"/>
      <c r="J287" s="1"/>
      <c r="K287" s="69"/>
      <c r="L287" s="21"/>
      <c r="M287" s="21"/>
      <c r="N287" s="21"/>
      <c r="O287" s="8"/>
      <c r="P287" s="20"/>
      <c r="Q287" s="21"/>
      <c r="R287" s="8"/>
      <c r="S287" s="108"/>
    </row>
    <row r="288" spans="4:19" s="2" customFormat="1" ht="19.649999999999999" customHeight="1" x14ac:dyDescent="0.2">
      <c r="D288" s="20"/>
      <c r="E288" s="20"/>
      <c r="F288" s="20"/>
      <c r="G288" s="21"/>
      <c r="H288" s="21"/>
      <c r="I288" s="21"/>
      <c r="J288" s="1"/>
      <c r="K288" s="69"/>
      <c r="L288" s="21"/>
      <c r="M288" s="21"/>
      <c r="N288" s="21"/>
      <c r="O288" s="8"/>
      <c r="P288" s="20"/>
      <c r="Q288" s="21"/>
      <c r="R288" s="8"/>
      <c r="S288" s="108"/>
    </row>
    <row r="289" spans="4:19" s="2" customFormat="1" ht="19.649999999999999" customHeight="1" x14ac:dyDescent="0.2">
      <c r="D289" s="20"/>
      <c r="E289" s="20"/>
      <c r="F289" s="20"/>
      <c r="G289" s="21"/>
      <c r="H289" s="21"/>
      <c r="I289" s="21"/>
      <c r="J289" s="1"/>
      <c r="K289" s="69"/>
      <c r="L289" s="21"/>
      <c r="M289" s="21"/>
      <c r="N289" s="21"/>
      <c r="O289" s="8"/>
      <c r="P289" s="20"/>
      <c r="Q289" s="21"/>
      <c r="R289" s="8"/>
      <c r="S289" s="108"/>
    </row>
    <row r="290" spans="4:19" s="2" customFormat="1" ht="19.649999999999999" customHeight="1" x14ac:dyDescent="0.2">
      <c r="D290" s="20"/>
      <c r="E290" s="23"/>
      <c r="F290" s="23"/>
      <c r="G290" s="22"/>
      <c r="H290" s="227"/>
      <c r="I290" s="21"/>
      <c r="J290" s="26"/>
      <c r="K290" s="69"/>
      <c r="L290" s="36"/>
      <c r="M290" s="21"/>
      <c r="N290" s="22"/>
      <c r="O290" s="8"/>
      <c r="P290" s="20"/>
      <c r="Q290" s="21"/>
      <c r="R290" s="8"/>
      <c r="S290" s="108"/>
    </row>
    <row r="291" spans="4:19" s="2" customFormat="1" ht="19.649999999999999" customHeight="1" x14ac:dyDescent="0.2">
      <c r="D291" s="20"/>
      <c r="E291" s="20"/>
      <c r="F291" s="23"/>
      <c r="G291" s="22"/>
      <c r="H291" s="227"/>
      <c r="I291" s="21"/>
      <c r="J291" s="26"/>
      <c r="K291" s="69"/>
      <c r="L291" s="36"/>
      <c r="M291" s="21"/>
      <c r="N291" s="22"/>
      <c r="O291" s="8"/>
      <c r="P291" s="20"/>
      <c r="Q291" s="21"/>
      <c r="R291" s="8"/>
      <c r="S291" s="108"/>
    </row>
    <row r="292" spans="4:19" s="2" customFormat="1" ht="19.649999999999999" customHeight="1" x14ac:dyDescent="0.2">
      <c r="D292" s="20"/>
      <c r="E292" s="20"/>
      <c r="F292" s="23"/>
      <c r="G292" s="22"/>
      <c r="H292" s="227"/>
      <c r="I292" s="21"/>
      <c r="J292" s="26"/>
      <c r="K292" s="69"/>
      <c r="L292" s="36"/>
      <c r="M292" s="21"/>
      <c r="N292" s="22"/>
      <c r="O292" s="8"/>
      <c r="P292" s="20"/>
      <c r="Q292" s="21"/>
      <c r="R292" s="8"/>
      <c r="S292" s="108"/>
    </row>
    <row r="293" spans="4:19" s="2" customFormat="1" ht="19.649999999999999" customHeight="1" x14ac:dyDescent="0.2">
      <c r="D293" s="20"/>
      <c r="E293" s="20"/>
      <c r="F293" s="23"/>
      <c r="G293" s="22"/>
      <c r="H293" s="227"/>
      <c r="I293" s="21"/>
      <c r="J293" s="26"/>
      <c r="K293" s="69"/>
      <c r="L293" s="36"/>
      <c r="M293" s="21"/>
      <c r="N293" s="22"/>
      <c r="O293" s="8"/>
      <c r="P293" s="20"/>
      <c r="Q293" s="21"/>
      <c r="R293" s="8"/>
      <c r="S293" s="108"/>
    </row>
    <row r="294" spans="4:19" s="2" customFormat="1" ht="19.649999999999999" customHeight="1" x14ac:dyDescent="0.2">
      <c r="D294" s="20"/>
      <c r="E294" s="20"/>
      <c r="F294" s="23"/>
      <c r="G294" s="22"/>
      <c r="H294" s="227"/>
      <c r="I294" s="21"/>
      <c r="J294" s="26"/>
      <c r="K294" s="69"/>
      <c r="L294" s="36"/>
      <c r="M294" s="21"/>
      <c r="N294" s="22"/>
      <c r="O294" s="8"/>
      <c r="P294" s="20"/>
      <c r="Q294" s="21"/>
      <c r="R294" s="8"/>
      <c r="S294" s="108"/>
    </row>
    <row r="295" spans="4:19" s="2" customFormat="1" ht="19.649999999999999" customHeight="1" x14ac:dyDescent="0.2">
      <c r="D295" s="20"/>
      <c r="E295" s="20"/>
      <c r="F295" s="23"/>
      <c r="G295" s="22"/>
      <c r="H295" s="227"/>
      <c r="I295" s="21"/>
      <c r="J295" s="26"/>
      <c r="K295" s="69"/>
      <c r="L295" s="36"/>
      <c r="M295" s="21"/>
      <c r="N295" s="22"/>
      <c r="O295" s="8"/>
      <c r="P295" s="20"/>
      <c r="Q295" s="21"/>
      <c r="R295" s="8"/>
      <c r="S295" s="108"/>
    </row>
    <row r="296" spans="4:19" s="2" customFormat="1" ht="19.350000000000001" customHeight="1" x14ac:dyDescent="0.2">
      <c r="D296" s="20"/>
      <c r="E296" s="23"/>
      <c r="F296" s="23"/>
      <c r="G296" s="22"/>
      <c r="H296" s="227"/>
      <c r="I296" s="21"/>
      <c r="J296" s="26"/>
      <c r="K296" s="69"/>
      <c r="L296" s="36"/>
      <c r="M296" s="21"/>
      <c r="N296" s="22"/>
      <c r="O296" s="8"/>
      <c r="P296" s="20"/>
      <c r="Q296" s="21"/>
      <c r="R296" s="8"/>
      <c r="S296" s="108"/>
    </row>
    <row r="297" spans="4:19" s="2" customFormat="1" ht="19.350000000000001" customHeight="1" x14ac:dyDescent="0.2">
      <c r="D297" s="20"/>
      <c r="E297" s="23"/>
      <c r="F297" s="23"/>
      <c r="G297" s="45"/>
      <c r="H297" s="227"/>
      <c r="I297" s="21"/>
      <c r="J297" s="26"/>
      <c r="K297" s="69"/>
      <c r="L297" s="36"/>
      <c r="M297" s="21"/>
      <c r="N297" s="22"/>
      <c r="O297" s="8"/>
      <c r="P297" s="20"/>
      <c r="Q297" s="21"/>
      <c r="R297" s="8"/>
      <c r="S297" s="108"/>
    </row>
    <row r="298" spans="4:19" s="2" customFormat="1" ht="19.350000000000001" customHeight="1" x14ac:dyDescent="0.2">
      <c r="D298" s="20"/>
      <c r="E298" s="23"/>
      <c r="F298" s="23"/>
      <c r="G298" s="32"/>
      <c r="H298" s="227"/>
      <c r="I298" s="21"/>
      <c r="J298" s="26"/>
      <c r="K298" s="69"/>
      <c r="L298" s="36"/>
      <c r="M298" s="21"/>
      <c r="N298" s="22"/>
      <c r="O298" s="8"/>
      <c r="P298" s="20"/>
      <c r="Q298" s="21"/>
      <c r="R298" s="8"/>
      <c r="S298" s="108"/>
    </row>
    <row r="299" spans="4:19" s="2" customFormat="1" ht="19.649999999999999" customHeight="1" x14ac:dyDescent="0.2">
      <c r="D299" s="20"/>
      <c r="E299" s="23"/>
      <c r="F299" s="23"/>
      <c r="G299" s="32"/>
      <c r="H299" s="227"/>
      <c r="I299" s="21"/>
      <c r="J299" s="26"/>
      <c r="K299" s="69"/>
      <c r="L299" s="36"/>
      <c r="M299" s="21"/>
      <c r="N299" s="22"/>
      <c r="O299" s="8"/>
      <c r="P299" s="20"/>
      <c r="Q299" s="21"/>
      <c r="R299" s="8"/>
      <c r="S299" s="108"/>
    </row>
    <row r="300" spans="4:19" s="2" customFormat="1" ht="19.649999999999999" customHeight="1" x14ac:dyDescent="0.2">
      <c r="D300" s="20"/>
      <c r="E300" s="23"/>
      <c r="F300" s="23"/>
      <c r="G300" s="32"/>
      <c r="H300" s="227"/>
      <c r="I300" s="21"/>
      <c r="J300" s="26"/>
      <c r="K300" s="69"/>
      <c r="L300" s="36"/>
      <c r="M300" s="21"/>
      <c r="N300" s="22"/>
      <c r="O300" s="8"/>
      <c r="P300" s="20"/>
      <c r="Q300" s="21"/>
      <c r="R300" s="8"/>
      <c r="S300" s="108"/>
    </row>
    <row r="301" spans="4:19" s="2" customFormat="1" ht="19.649999999999999" customHeight="1" x14ac:dyDescent="0.2">
      <c r="D301" s="20"/>
      <c r="E301" s="23"/>
      <c r="F301" s="23"/>
      <c r="G301" s="32"/>
      <c r="H301" s="227"/>
      <c r="I301" s="21"/>
      <c r="J301" s="26"/>
      <c r="K301" s="69"/>
      <c r="L301" s="36"/>
      <c r="M301" s="21"/>
      <c r="N301" s="22"/>
      <c r="O301" s="8"/>
      <c r="P301" s="20"/>
      <c r="Q301" s="21"/>
      <c r="R301" s="8"/>
      <c r="S301" s="108"/>
    </row>
    <row r="302" spans="4:19" s="2" customFormat="1" ht="19.649999999999999" customHeight="1" x14ac:dyDescent="0.2">
      <c r="D302" s="20"/>
      <c r="E302" s="23"/>
      <c r="F302" s="23"/>
      <c r="G302" s="32"/>
      <c r="H302" s="227"/>
      <c r="I302" s="21"/>
      <c r="J302" s="26"/>
      <c r="K302" s="69"/>
      <c r="L302" s="36"/>
      <c r="M302" s="21"/>
      <c r="N302" s="22"/>
      <c r="O302" s="8"/>
      <c r="P302" s="20"/>
      <c r="Q302" s="21"/>
      <c r="R302" s="8"/>
      <c r="S302" s="108"/>
    </row>
    <row r="303" spans="4:19" s="2" customFormat="1" ht="19.649999999999999" customHeight="1" x14ac:dyDescent="0.2">
      <c r="D303" s="20"/>
      <c r="E303" s="23"/>
      <c r="F303" s="23"/>
      <c r="G303" s="32"/>
      <c r="H303" s="227"/>
      <c r="I303" s="21"/>
      <c r="J303" s="26"/>
      <c r="K303" s="69"/>
      <c r="L303" s="36"/>
      <c r="M303" s="21"/>
      <c r="N303" s="22"/>
      <c r="O303" s="8"/>
      <c r="P303" s="20"/>
      <c r="Q303" s="21"/>
      <c r="R303" s="8"/>
      <c r="S303" s="108"/>
    </row>
    <row r="304" spans="4:19" s="2" customFormat="1" ht="19.649999999999999" customHeight="1" x14ac:dyDescent="0.2">
      <c r="D304" s="20"/>
      <c r="E304" s="20"/>
      <c r="F304" s="20"/>
      <c r="G304" s="22"/>
      <c r="H304" s="21"/>
      <c r="I304" s="26"/>
      <c r="J304" s="62"/>
      <c r="K304" s="75"/>
      <c r="L304" s="63"/>
      <c r="M304" s="21"/>
      <c r="N304" s="22"/>
      <c r="O304" s="8"/>
      <c r="P304" s="20"/>
      <c r="Q304" s="21"/>
      <c r="R304" s="8"/>
      <c r="S304" s="108"/>
    </row>
    <row r="305" spans="4:19" s="2" customFormat="1" ht="19.649999999999999" customHeight="1" x14ac:dyDescent="0.2">
      <c r="D305" s="20"/>
      <c r="E305" s="20"/>
      <c r="F305" s="20"/>
      <c r="G305" s="22"/>
      <c r="H305" s="21"/>
      <c r="I305" s="26"/>
      <c r="J305" s="64"/>
      <c r="K305" s="72"/>
      <c r="L305" s="63"/>
      <c r="M305" s="21"/>
      <c r="N305" s="22"/>
      <c r="O305" s="8"/>
      <c r="P305" s="20"/>
      <c r="Q305" s="21"/>
      <c r="R305" s="8"/>
      <c r="S305" s="108"/>
    </row>
    <row r="306" spans="4:19" s="2" customFormat="1" ht="19.649999999999999" customHeight="1" x14ac:dyDescent="0.2">
      <c r="D306" s="20"/>
      <c r="E306" s="23"/>
      <c r="F306" s="23"/>
      <c r="G306" s="65"/>
      <c r="H306" s="227"/>
      <c r="I306" s="21"/>
      <c r="J306" s="26"/>
      <c r="K306" s="69"/>
      <c r="L306" s="36"/>
      <c r="M306" s="21"/>
      <c r="N306" s="22"/>
      <c r="O306" s="8"/>
      <c r="P306" s="20"/>
      <c r="Q306" s="21"/>
      <c r="R306" s="8"/>
      <c r="S306" s="108"/>
    </row>
    <row r="307" spans="4:19" s="2" customFormat="1" ht="19.649999999999999" customHeight="1" x14ac:dyDescent="0.2">
      <c r="D307" s="20"/>
      <c r="E307" s="23"/>
      <c r="F307" s="23"/>
      <c r="G307" s="32"/>
      <c r="H307" s="227"/>
      <c r="I307" s="21"/>
      <c r="J307" s="26"/>
      <c r="K307" s="69"/>
      <c r="L307" s="36"/>
      <c r="M307" s="21"/>
      <c r="N307" s="22"/>
      <c r="O307" s="8"/>
      <c r="P307" s="20"/>
      <c r="Q307" s="21"/>
      <c r="R307" s="8"/>
      <c r="S307" s="108"/>
    </row>
    <row r="308" spans="4:19" s="2" customFormat="1" ht="19.649999999999999" customHeight="1" x14ac:dyDescent="0.2">
      <c r="D308" s="20"/>
      <c r="E308" s="23"/>
      <c r="F308" s="23"/>
      <c r="G308" s="32"/>
      <c r="H308" s="227"/>
      <c r="I308" s="21"/>
      <c r="J308" s="26"/>
      <c r="K308" s="69"/>
      <c r="L308" s="36"/>
      <c r="M308" s="21"/>
      <c r="N308" s="22"/>
      <c r="O308" s="8"/>
      <c r="P308" s="20"/>
      <c r="Q308" s="21"/>
      <c r="R308" s="8"/>
      <c r="S308" s="108"/>
    </row>
    <row r="309" spans="4:19" s="2" customFormat="1" ht="19.649999999999999" customHeight="1" x14ac:dyDescent="0.2">
      <c r="D309" s="20"/>
      <c r="E309" s="23"/>
      <c r="F309" s="23"/>
      <c r="G309" s="32"/>
      <c r="H309" s="227"/>
      <c r="I309" s="21"/>
      <c r="J309" s="26"/>
      <c r="K309" s="69"/>
      <c r="L309" s="36"/>
      <c r="M309" s="21"/>
      <c r="N309" s="22"/>
      <c r="O309" s="8"/>
      <c r="P309" s="20"/>
      <c r="Q309" s="21"/>
      <c r="R309" s="8"/>
      <c r="S309" s="108"/>
    </row>
    <row r="310" spans="4:19" s="2" customFormat="1" ht="19.649999999999999" customHeight="1" x14ac:dyDescent="0.2">
      <c r="D310" s="20"/>
      <c r="E310" s="23"/>
      <c r="F310" s="23"/>
      <c r="G310" s="32"/>
      <c r="H310" s="227"/>
      <c r="I310" s="21"/>
      <c r="J310" s="26"/>
      <c r="K310" s="69"/>
      <c r="L310" s="36"/>
      <c r="M310" s="21"/>
      <c r="N310" s="22"/>
      <c r="O310" s="8"/>
      <c r="P310" s="20"/>
      <c r="Q310" s="21"/>
      <c r="R310" s="8"/>
      <c r="S310" s="108"/>
    </row>
    <row r="311" spans="4:19" s="2" customFormat="1" ht="19.649999999999999" customHeight="1" x14ac:dyDescent="0.2">
      <c r="D311" s="20"/>
      <c r="E311" s="23"/>
      <c r="F311" s="23"/>
      <c r="G311" s="32"/>
      <c r="H311" s="227"/>
      <c r="I311" s="21"/>
      <c r="J311" s="26"/>
      <c r="K311" s="69"/>
      <c r="L311" s="36"/>
      <c r="M311" s="21"/>
      <c r="N311" s="22"/>
      <c r="O311" s="8"/>
      <c r="P311" s="20"/>
      <c r="Q311" s="21"/>
      <c r="R311" s="8"/>
      <c r="S311" s="108"/>
    </row>
    <row r="312" spans="4:19" s="2" customFormat="1" ht="19.649999999999999" customHeight="1" x14ac:dyDescent="0.2">
      <c r="D312" s="20"/>
      <c r="E312" s="23"/>
      <c r="F312" s="23"/>
      <c r="G312" s="32"/>
      <c r="H312" s="227"/>
      <c r="I312" s="21"/>
      <c r="J312" s="26"/>
      <c r="K312" s="69"/>
      <c r="L312" s="36"/>
      <c r="M312" s="21"/>
      <c r="N312" s="22"/>
      <c r="O312" s="8"/>
      <c r="P312" s="20"/>
      <c r="Q312" s="21"/>
      <c r="R312" s="8"/>
      <c r="S312" s="108"/>
    </row>
    <row r="313" spans="4:19" s="2" customFormat="1" ht="19.649999999999999" customHeight="1" x14ac:dyDescent="0.2">
      <c r="D313" s="20"/>
      <c r="E313" s="23"/>
      <c r="F313" s="23"/>
      <c r="G313" s="32"/>
      <c r="H313" s="227"/>
      <c r="I313" s="21"/>
      <c r="J313" s="26"/>
      <c r="K313" s="69"/>
      <c r="L313" s="36"/>
      <c r="M313" s="21"/>
      <c r="N313" s="22"/>
      <c r="O313" s="8"/>
      <c r="P313" s="20"/>
      <c r="Q313" s="21"/>
      <c r="R313" s="8"/>
      <c r="S313" s="108"/>
    </row>
    <row r="314" spans="4:19" s="2" customFormat="1" ht="19.649999999999999" customHeight="1" x14ac:dyDescent="0.2">
      <c r="D314" s="20"/>
      <c r="E314" s="23"/>
      <c r="F314" s="23"/>
      <c r="G314" s="32"/>
      <c r="H314" s="227"/>
      <c r="I314" s="21"/>
      <c r="J314" s="26"/>
      <c r="K314" s="69"/>
      <c r="L314" s="36"/>
      <c r="M314" s="21"/>
      <c r="N314" s="22"/>
      <c r="O314" s="8"/>
      <c r="P314" s="20"/>
      <c r="Q314" s="21"/>
      <c r="R314" s="8"/>
      <c r="S314" s="108"/>
    </row>
    <row r="315" spans="4:19" s="2" customFormat="1" ht="19.649999999999999" customHeight="1" x14ac:dyDescent="0.2">
      <c r="D315" s="20"/>
      <c r="E315" s="23"/>
      <c r="F315" s="23"/>
      <c r="G315" s="32"/>
      <c r="H315" s="227"/>
      <c r="I315" s="21"/>
      <c r="J315" s="26"/>
      <c r="K315" s="69"/>
      <c r="L315" s="36"/>
      <c r="M315" s="21"/>
      <c r="N315" s="22"/>
      <c r="O315" s="8"/>
      <c r="P315" s="20"/>
      <c r="Q315" s="21"/>
      <c r="R315" s="8"/>
      <c r="S315" s="108"/>
    </row>
    <row r="316" spans="4:19" s="2" customFormat="1" ht="19.649999999999999" customHeight="1" x14ac:dyDescent="0.2">
      <c r="D316" s="20"/>
      <c r="E316" s="23"/>
      <c r="F316" s="23"/>
      <c r="G316" s="32"/>
      <c r="H316" s="227"/>
      <c r="I316" s="21"/>
      <c r="J316" s="26"/>
      <c r="K316" s="69"/>
      <c r="L316" s="36"/>
      <c r="M316" s="21"/>
      <c r="N316" s="22"/>
      <c r="O316" s="8"/>
      <c r="P316" s="20"/>
      <c r="Q316" s="21"/>
      <c r="R316" s="8"/>
      <c r="S316" s="108"/>
    </row>
    <row r="317" spans="4:19" s="2" customFormat="1" ht="19.649999999999999" customHeight="1" x14ac:dyDescent="0.2">
      <c r="D317" s="20"/>
      <c r="E317" s="23"/>
      <c r="F317" s="23"/>
      <c r="G317" s="32"/>
      <c r="H317" s="227"/>
      <c r="I317" s="21"/>
      <c r="J317" s="26"/>
      <c r="K317" s="69"/>
      <c r="L317" s="36"/>
      <c r="M317" s="21"/>
      <c r="N317" s="22"/>
      <c r="O317" s="8"/>
      <c r="P317" s="20"/>
      <c r="Q317" s="21"/>
      <c r="R317" s="8"/>
      <c r="S317" s="108"/>
    </row>
    <row r="318" spans="4:19" s="2" customFormat="1" ht="19.649999999999999" customHeight="1" x14ac:dyDescent="0.2">
      <c r="D318" s="20"/>
      <c r="E318" s="23"/>
      <c r="F318" s="23"/>
      <c r="G318" s="32"/>
      <c r="H318" s="227"/>
      <c r="I318" s="21"/>
      <c r="J318" s="26"/>
      <c r="K318" s="69"/>
      <c r="L318" s="36"/>
      <c r="M318" s="21"/>
      <c r="N318" s="22"/>
      <c r="O318" s="8"/>
      <c r="P318" s="20"/>
      <c r="Q318" s="21"/>
      <c r="R318" s="8"/>
      <c r="S318" s="108"/>
    </row>
    <row r="319" spans="4:19" s="2" customFormat="1" ht="19.649999999999999" customHeight="1" x14ac:dyDescent="0.2">
      <c r="D319" s="20"/>
      <c r="E319" s="23"/>
      <c r="F319" s="23"/>
      <c r="G319" s="32"/>
      <c r="H319" s="227"/>
      <c r="I319" s="21"/>
      <c r="J319" s="26"/>
      <c r="K319" s="69"/>
      <c r="L319" s="36"/>
      <c r="M319" s="21"/>
      <c r="N319" s="22"/>
      <c r="O319" s="8"/>
      <c r="P319" s="20"/>
      <c r="Q319" s="21"/>
      <c r="R319" s="8"/>
      <c r="S319" s="108"/>
    </row>
    <row r="320" spans="4:19" s="2" customFormat="1" ht="19.649999999999999" customHeight="1" x14ac:dyDescent="0.2">
      <c r="D320" s="20"/>
      <c r="E320" s="23"/>
      <c r="F320" s="23"/>
      <c r="G320" s="32"/>
      <c r="H320" s="227"/>
      <c r="I320" s="21"/>
      <c r="J320" s="26"/>
      <c r="K320" s="69"/>
      <c r="L320" s="36"/>
      <c r="M320" s="21"/>
      <c r="N320" s="22"/>
      <c r="O320" s="8"/>
      <c r="P320" s="20"/>
      <c r="Q320" s="21"/>
      <c r="R320" s="8"/>
      <c r="S320" s="108"/>
    </row>
    <row r="321" spans="4:19" s="2" customFormat="1" ht="19.649999999999999" customHeight="1" x14ac:dyDescent="0.2">
      <c r="D321" s="20"/>
      <c r="E321" s="23"/>
      <c r="F321" s="23"/>
      <c r="G321" s="32"/>
      <c r="H321" s="227"/>
      <c r="I321" s="21"/>
      <c r="J321" s="26"/>
      <c r="K321" s="69"/>
      <c r="L321" s="36"/>
      <c r="M321" s="21"/>
      <c r="N321" s="22"/>
      <c r="O321" s="8"/>
      <c r="P321" s="20"/>
      <c r="Q321" s="21"/>
      <c r="R321" s="8"/>
      <c r="S321" s="108"/>
    </row>
    <row r="322" spans="4:19" s="2" customFormat="1" ht="19.649999999999999" customHeight="1" x14ac:dyDescent="0.2">
      <c r="D322" s="20"/>
      <c r="E322" s="23"/>
      <c r="F322" s="23"/>
      <c r="G322" s="32"/>
      <c r="H322" s="227"/>
      <c r="I322" s="21"/>
      <c r="J322" s="26"/>
      <c r="K322" s="69"/>
      <c r="L322" s="36"/>
      <c r="M322" s="21"/>
      <c r="N322" s="22"/>
      <c r="O322" s="8"/>
      <c r="P322" s="20"/>
      <c r="Q322" s="21"/>
      <c r="R322" s="8"/>
      <c r="S322" s="108"/>
    </row>
    <row r="323" spans="4:19" s="2" customFormat="1" ht="19.649999999999999" customHeight="1" x14ac:dyDescent="0.2">
      <c r="D323" s="20"/>
      <c r="E323" s="23"/>
      <c r="F323" s="23"/>
      <c r="G323" s="32"/>
      <c r="H323" s="227"/>
      <c r="I323" s="21"/>
      <c r="J323" s="26"/>
      <c r="K323" s="69"/>
      <c r="L323" s="36"/>
      <c r="M323" s="21"/>
      <c r="N323" s="22"/>
      <c r="O323" s="8"/>
      <c r="P323" s="20"/>
      <c r="Q323" s="21"/>
      <c r="R323" s="8"/>
      <c r="S323" s="108"/>
    </row>
    <row r="324" spans="4:19" s="2" customFormat="1" ht="19.649999999999999" customHeight="1" x14ac:dyDescent="0.2">
      <c r="D324" s="20"/>
      <c r="E324" s="23"/>
      <c r="F324" s="23"/>
      <c r="G324" s="32"/>
      <c r="H324" s="227"/>
      <c r="I324" s="21"/>
      <c r="J324" s="26"/>
      <c r="K324" s="69"/>
      <c r="L324" s="36"/>
      <c r="M324" s="21"/>
      <c r="N324" s="22"/>
      <c r="O324" s="8"/>
      <c r="P324" s="20"/>
      <c r="Q324" s="21"/>
      <c r="R324" s="8"/>
      <c r="S324" s="108"/>
    </row>
    <row r="325" spans="4:19" s="2" customFormat="1" ht="19.649999999999999" customHeight="1" x14ac:dyDescent="0.2">
      <c r="D325" s="20"/>
      <c r="E325" s="23"/>
      <c r="F325" s="23"/>
      <c r="G325" s="32"/>
      <c r="H325" s="227"/>
      <c r="I325" s="21"/>
      <c r="J325" s="26"/>
      <c r="K325" s="69"/>
      <c r="L325" s="36"/>
      <c r="M325" s="21"/>
      <c r="N325" s="22"/>
      <c r="O325" s="8"/>
      <c r="P325" s="20"/>
      <c r="Q325" s="21"/>
      <c r="R325" s="8"/>
      <c r="S325" s="108"/>
    </row>
    <row r="326" spans="4:19" s="2" customFormat="1" ht="19.649999999999999" customHeight="1" x14ac:dyDescent="0.2">
      <c r="D326" s="20"/>
      <c r="E326" s="23"/>
      <c r="F326" s="23"/>
      <c r="G326" s="32"/>
      <c r="H326" s="227"/>
      <c r="I326" s="21"/>
      <c r="J326" s="26"/>
      <c r="K326" s="69"/>
      <c r="L326" s="36"/>
      <c r="M326" s="21"/>
      <c r="N326" s="22"/>
      <c r="O326" s="8"/>
      <c r="P326" s="20"/>
      <c r="Q326" s="21"/>
      <c r="R326" s="8"/>
      <c r="S326" s="108"/>
    </row>
    <row r="327" spans="4:19" s="2" customFormat="1" ht="19.649999999999999" customHeight="1" x14ac:dyDescent="0.2">
      <c r="D327" s="20"/>
      <c r="E327" s="23"/>
      <c r="F327" s="23"/>
      <c r="G327" s="32"/>
      <c r="H327" s="227"/>
      <c r="I327" s="21"/>
      <c r="J327" s="26"/>
      <c r="K327" s="69"/>
      <c r="L327" s="66"/>
      <c r="M327" s="21"/>
      <c r="N327" s="22"/>
      <c r="O327" s="8"/>
      <c r="P327" s="20"/>
      <c r="Q327" s="21"/>
      <c r="R327" s="8"/>
      <c r="S327" s="108"/>
    </row>
    <row r="328" spans="4:19" s="2" customFormat="1" ht="19.649999999999999" customHeight="1" x14ac:dyDescent="0.2">
      <c r="D328" s="20"/>
      <c r="E328" s="23"/>
      <c r="F328" s="23"/>
      <c r="G328" s="32"/>
      <c r="H328" s="227"/>
      <c r="I328" s="21"/>
      <c r="J328" s="26"/>
      <c r="K328" s="69"/>
      <c r="L328" s="36"/>
      <c r="M328" s="21"/>
      <c r="N328" s="22"/>
      <c r="O328" s="8"/>
      <c r="P328" s="20"/>
      <c r="Q328" s="21"/>
      <c r="R328" s="8"/>
      <c r="S328" s="108"/>
    </row>
    <row r="329" spans="4:19" s="2" customFormat="1" ht="19.649999999999999" customHeight="1" x14ac:dyDescent="0.2">
      <c r="D329" s="20"/>
      <c r="E329" s="23"/>
      <c r="F329" s="23"/>
      <c r="G329" s="32"/>
      <c r="H329" s="227"/>
      <c r="I329" s="21"/>
      <c r="J329" s="26"/>
      <c r="K329" s="69"/>
      <c r="L329" s="36"/>
      <c r="M329" s="21"/>
      <c r="N329" s="22"/>
      <c r="O329" s="8"/>
      <c r="P329" s="20"/>
      <c r="Q329" s="21"/>
      <c r="R329" s="8"/>
      <c r="S329" s="108"/>
    </row>
    <row r="330" spans="4:19" s="2" customFormat="1" ht="19.649999999999999" customHeight="1" x14ac:dyDescent="0.2">
      <c r="D330" s="20"/>
      <c r="E330" s="23"/>
      <c r="F330" s="23"/>
      <c r="G330" s="32"/>
      <c r="H330" s="227"/>
      <c r="I330" s="21"/>
      <c r="J330" s="26"/>
      <c r="K330" s="69"/>
      <c r="L330" s="36"/>
      <c r="M330" s="21"/>
      <c r="N330" s="22"/>
      <c r="O330" s="8"/>
      <c r="P330" s="20"/>
      <c r="Q330" s="21"/>
      <c r="R330" s="8"/>
      <c r="S330" s="108"/>
    </row>
    <row r="331" spans="4:19" s="2" customFormat="1" ht="19.649999999999999" customHeight="1" x14ac:dyDescent="0.2">
      <c r="D331" s="20"/>
      <c r="E331" s="23"/>
      <c r="F331" s="23"/>
      <c r="G331" s="32"/>
      <c r="H331" s="227"/>
      <c r="I331" s="21"/>
      <c r="J331" s="26"/>
      <c r="K331" s="69"/>
      <c r="L331" s="36"/>
      <c r="M331" s="21"/>
      <c r="N331" s="22"/>
      <c r="O331" s="8"/>
      <c r="P331" s="20"/>
      <c r="Q331" s="21"/>
      <c r="R331" s="8"/>
      <c r="S331" s="108"/>
    </row>
    <row r="332" spans="4:19" s="2" customFormat="1" ht="19.649999999999999" customHeight="1" x14ac:dyDescent="0.2">
      <c r="D332" s="20"/>
      <c r="E332" s="23"/>
      <c r="F332" s="23"/>
      <c r="G332" s="32"/>
      <c r="H332" s="227"/>
      <c r="I332" s="21"/>
      <c r="J332" s="26"/>
      <c r="K332" s="69"/>
      <c r="L332" s="36"/>
      <c r="M332" s="21"/>
      <c r="N332" s="22"/>
      <c r="O332" s="8"/>
      <c r="P332" s="20"/>
      <c r="Q332" s="21"/>
      <c r="R332" s="8"/>
      <c r="S332" s="108"/>
    </row>
    <row r="333" spans="4:19" s="2" customFormat="1" ht="19.649999999999999" customHeight="1" x14ac:dyDescent="0.2">
      <c r="D333" s="20"/>
      <c r="E333" s="23"/>
      <c r="F333" s="23"/>
      <c r="G333" s="32"/>
      <c r="H333" s="227"/>
      <c r="I333" s="21"/>
      <c r="J333" s="26"/>
      <c r="K333" s="69"/>
      <c r="L333" s="36"/>
      <c r="M333" s="21"/>
      <c r="N333" s="22"/>
      <c r="O333" s="8"/>
      <c r="P333" s="20"/>
      <c r="Q333" s="21"/>
      <c r="R333" s="8"/>
      <c r="S333" s="108"/>
    </row>
    <row r="334" spans="4:19" s="2" customFormat="1" ht="19.649999999999999" customHeight="1" x14ac:dyDescent="0.2">
      <c r="D334" s="20"/>
      <c r="E334" s="23"/>
      <c r="F334" s="23"/>
      <c r="G334" s="32"/>
      <c r="H334" s="227"/>
      <c r="I334" s="21"/>
      <c r="J334" s="26"/>
      <c r="K334" s="69"/>
      <c r="L334" s="66"/>
      <c r="M334" s="21"/>
      <c r="N334" s="22"/>
      <c r="O334" s="8"/>
      <c r="P334" s="20"/>
      <c r="Q334" s="21"/>
      <c r="R334" s="8"/>
      <c r="S334" s="108"/>
    </row>
    <row r="335" spans="4:19" s="2" customFormat="1" ht="19.649999999999999" customHeight="1" x14ac:dyDescent="0.2">
      <c r="D335" s="20"/>
      <c r="E335" s="20"/>
      <c r="F335" s="20"/>
      <c r="G335" s="32"/>
      <c r="H335" s="227"/>
      <c r="I335" s="21"/>
      <c r="J335" s="26"/>
      <c r="K335" s="69"/>
      <c r="L335" s="36"/>
      <c r="M335" s="21"/>
      <c r="N335" s="22"/>
      <c r="O335" s="8"/>
      <c r="P335" s="20"/>
      <c r="Q335" s="21"/>
      <c r="R335" s="8"/>
      <c r="S335" s="108"/>
    </row>
    <row r="336" spans="4:19" s="2" customFormat="1" ht="19.649999999999999" customHeight="1" x14ac:dyDescent="0.2">
      <c r="D336" s="20"/>
      <c r="E336" s="23"/>
      <c r="F336" s="23"/>
      <c r="G336" s="32"/>
      <c r="H336" s="227"/>
      <c r="I336" s="21"/>
      <c r="J336" s="26"/>
      <c r="K336" s="69"/>
      <c r="L336" s="36"/>
      <c r="M336" s="21"/>
      <c r="N336" s="22"/>
      <c r="O336" s="8"/>
      <c r="P336" s="20"/>
      <c r="Q336" s="21"/>
      <c r="R336" s="8"/>
      <c r="S336" s="108"/>
    </row>
    <row r="337" spans="1:19" s="2" customFormat="1" ht="19.649999999999999" customHeight="1" x14ac:dyDescent="0.2">
      <c r="D337" s="20"/>
      <c r="E337" s="23"/>
      <c r="F337" s="23"/>
      <c r="G337" s="32"/>
      <c r="H337" s="227"/>
      <c r="I337" s="21"/>
      <c r="J337" s="26"/>
      <c r="K337" s="69"/>
      <c r="L337" s="36"/>
      <c r="M337" s="21"/>
      <c r="N337" s="22"/>
      <c r="O337" s="8"/>
      <c r="P337" s="20"/>
      <c r="Q337" s="21"/>
      <c r="R337" s="8"/>
      <c r="S337" s="108"/>
    </row>
    <row r="338" spans="1:19" s="2" customFormat="1" ht="19.649999999999999" customHeight="1" x14ac:dyDescent="0.2">
      <c r="D338" s="20"/>
      <c r="E338" s="20"/>
      <c r="F338" s="20"/>
      <c r="G338" s="32"/>
      <c r="H338" s="227"/>
      <c r="I338" s="21"/>
      <c r="J338" s="26"/>
      <c r="K338" s="69"/>
      <c r="L338" s="36"/>
      <c r="M338" s="21"/>
      <c r="N338" s="22"/>
      <c r="O338" s="8"/>
      <c r="P338" s="20"/>
      <c r="Q338" s="21"/>
      <c r="R338" s="8"/>
      <c r="S338" s="108"/>
    </row>
    <row r="339" spans="1:19" s="2" customFormat="1" ht="19.350000000000001" customHeight="1" x14ac:dyDescent="0.2">
      <c r="D339" s="20"/>
      <c r="E339" s="23"/>
      <c r="F339" s="23"/>
      <c r="G339" s="32"/>
      <c r="H339" s="227"/>
      <c r="I339" s="21"/>
      <c r="J339" s="26"/>
      <c r="K339" s="69"/>
      <c r="L339" s="36"/>
      <c r="M339" s="21"/>
      <c r="N339" s="22"/>
      <c r="O339" s="8"/>
      <c r="P339" s="20"/>
      <c r="Q339" s="21"/>
      <c r="R339" s="8"/>
      <c r="S339" s="108"/>
    </row>
    <row r="340" spans="1:19" s="2" customFormat="1" ht="19.649999999999999" customHeight="1" x14ac:dyDescent="0.2">
      <c r="D340" s="20"/>
      <c r="E340" s="20"/>
      <c r="F340" s="20"/>
      <c r="G340" s="12"/>
      <c r="H340" s="163"/>
      <c r="I340" s="21"/>
      <c r="J340" s="26"/>
      <c r="K340" s="69"/>
      <c r="L340" s="13"/>
      <c r="M340" s="21"/>
      <c r="N340" s="21"/>
      <c r="O340" s="8"/>
      <c r="P340" s="20"/>
      <c r="Q340" s="21"/>
      <c r="R340" s="8"/>
      <c r="S340" s="108"/>
    </row>
    <row r="341" spans="1:19" s="2" customFormat="1" ht="19.649999999999999" customHeight="1" x14ac:dyDescent="0.2">
      <c r="D341" s="20"/>
      <c r="E341" s="20"/>
      <c r="F341" s="20"/>
      <c r="G341" s="14">
        <f>SUM(J290:J340)</f>
        <v>0</v>
      </c>
      <c r="H341" s="163"/>
      <c r="I341" s="21"/>
      <c r="J341" s="26"/>
      <c r="K341" s="69"/>
      <c r="L341" s="22"/>
      <c r="M341" s="21"/>
      <c r="N341" s="21"/>
      <c r="O341" s="8"/>
      <c r="P341" s="20"/>
      <c r="Q341" s="21"/>
      <c r="R341" s="8"/>
      <c r="S341" s="108"/>
    </row>
    <row r="342" spans="1:19" s="2" customFormat="1" ht="19.649999999999999" customHeight="1" x14ac:dyDescent="0.2">
      <c r="D342" s="20"/>
      <c r="E342" s="20"/>
      <c r="F342" s="20"/>
      <c r="G342" s="22"/>
      <c r="H342" s="163"/>
      <c r="I342" s="21"/>
      <c r="J342" s="26"/>
      <c r="K342" s="69"/>
      <c r="L342" s="22"/>
      <c r="M342" s="21"/>
      <c r="N342" s="21"/>
      <c r="O342" s="8"/>
      <c r="P342" s="20"/>
      <c r="Q342" s="21"/>
      <c r="R342" s="8"/>
      <c r="S342" s="108"/>
    </row>
    <row r="343" spans="1:19" s="2" customFormat="1" ht="19.649999999999999" customHeight="1" x14ac:dyDescent="0.2">
      <c r="D343" s="20"/>
      <c r="E343" s="20"/>
      <c r="F343" s="20"/>
      <c r="G343" s="22"/>
      <c r="H343" s="163"/>
      <c r="I343" s="21"/>
      <c r="J343" s="26"/>
      <c r="K343" s="69"/>
      <c r="L343" s="22"/>
      <c r="M343" s="22"/>
      <c r="N343" s="21"/>
      <c r="O343" s="8"/>
      <c r="P343" s="20"/>
      <c r="Q343" s="21"/>
      <c r="R343" s="8"/>
      <c r="S343" s="108"/>
    </row>
    <row r="344" spans="1:19" x14ac:dyDescent="0.2">
      <c r="A344" s="2"/>
      <c r="B344" s="2"/>
      <c r="C344" s="2"/>
      <c r="D344" s="20"/>
      <c r="E344" s="20"/>
      <c r="F344" s="20"/>
      <c r="G344" s="22"/>
      <c r="H344" s="163"/>
      <c r="I344" s="21"/>
      <c r="J344" s="26"/>
      <c r="K344" s="69"/>
      <c r="L344" s="22"/>
      <c r="M344" s="21"/>
      <c r="N344" s="21"/>
      <c r="O344" s="8"/>
      <c r="P344" s="20"/>
      <c r="Q344" s="21"/>
      <c r="R344" s="8"/>
      <c r="S344" s="108"/>
    </row>
    <row r="345" spans="1:19" s="68" customFormat="1" x14ac:dyDescent="0.2">
      <c r="A345"/>
      <c r="B345"/>
      <c r="C345"/>
      <c r="D345" s="2"/>
      <c r="E345"/>
      <c r="F345"/>
      <c r="G345"/>
      <c r="H345" s="2"/>
      <c r="I345" s="2"/>
      <c r="J345" s="114"/>
      <c r="L345"/>
      <c r="M345"/>
      <c r="N345" s="2"/>
      <c r="O345" s="9"/>
      <c r="P345"/>
      <c r="Q345" s="6"/>
      <c r="R345" s="10"/>
      <c r="S345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43"/>
  <dataValidations count="1">
    <dataValidation imeMode="hiragana" allowBlank="1" showInputMessage="1" showErrorMessage="1" sqref="L25 L27 L21 L39 L158 L84 L44:L45 L30:L36 L74 L163 L150:L155" xr:uid="{00885EF3-09FA-40E9-8AA2-D45ECC336928}"/>
  </dataValidations>
  <hyperlinks>
    <hyperlink ref="M189" r:id="rId1" xr:uid="{2A3FD8C8-84F5-4AD9-BA08-53DCB2392443}"/>
    <hyperlink ref="M185" r:id="rId2" xr:uid="{4EA495E2-811D-4EEE-B369-A8689FFE2420}"/>
  </hyperlinks>
  <pageMargins left="0" right="0" top="0" bottom="0" header="0" footer="0"/>
  <pageSetup paperSize="8" scale="65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S453"/>
  <sheetViews>
    <sheetView zoomScale="85" zoomScaleNormal="85" workbookViewId="0">
      <pane xSplit="12" ySplit="8" topLeftCell="M124" activePane="bottomRight" state="frozen"/>
      <selection pane="topRight" activeCell="K1" sqref="K1"/>
      <selection pane="bottomLeft" activeCell="A9" sqref="A9"/>
      <selection pane="bottomRight" activeCell="G132" sqref="G132"/>
    </sheetView>
  </sheetViews>
  <sheetFormatPr defaultRowHeight="13.2" x14ac:dyDescent="0.2"/>
  <cols>
    <col min="3" max="3" width="9.109375" customWidth="1"/>
    <col min="4" max="4" width="6.21875" style="2" customWidth="1"/>
    <col min="5" max="6" width="15.88671875" customWidth="1"/>
    <col min="7" max="7" width="64.109375" customWidth="1"/>
    <col min="8" max="8" width="6.21875" style="2" customWidth="1"/>
    <col min="9" max="10" width="9.88671875" style="2" bestFit="1" customWidth="1"/>
    <col min="11" max="11" width="7.33203125" style="68" customWidth="1"/>
    <col min="12" max="12" width="47.88671875" customWidth="1"/>
    <col min="13" max="13" width="66.8867187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325" t="s">
        <v>11</v>
      </c>
      <c r="E2" s="325"/>
      <c r="F2" s="325"/>
      <c r="G2" s="7" t="s">
        <v>158</v>
      </c>
      <c r="I2" s="326" t="s">
        <v>14</v>
      </c>
      <c r="J2" s="327"/>
      <c r="K2" s="328"/>
      <c r="L2" s="5">
        <f>SUM(J:J)</f>
        <v>541822</v>
      </c>
    </row>
    <row r="3" spans="1:19" ht="20.100000000000001" customHeight="1" x14ac:dyDescent="0.2">
      <c r="D3" s="325" t="s">
        <v>10</v>
      </c>
      <c r="E3" s="325"/>
      <c r="F3" s="325"/>
      <c r="G3" s="3" t="s">
        <v>159</v>
      </c>
      <c r="J3" s="329" t="s">
        <v>386</v>
      </c>
      <c r="K3" s="329"/>
      <c r="L3" s="329"/>
      <c r="M3" s="329"/>
    </row>
    <row r="4" spans="1:19" ht="20.100000000000001" customHeight="1" x14ac:dyDescent="0.2">
      <c r="D4" s="325" t="s">
        <v>21</v>
      </c>
      <c r="E4" s="325"/>
      <c r="F4" s="325"/>
      <c r="G4" s="3" t="s">
        <v>410</v>
      </c>
      <c r="I4" s="330" t="s">
        <v>394</v>
      </c>
      <c r="J4" s="329"/>
      <c r="K4" s="329"/>
      <c r="L4" s="329"/>
      <c r="M4" s="329"/>
    </row>
    <row r="5" spans="1:19" ht="20.100000000000001" customHeight="1" x14ac:dyDescent="0.2">
      <c r="D5" s="325" t="s">
        <v>12</v>
      </c>
      <c r="E5" s="325"/>
      <c r="F5" s="325"/>
      <c r="G5" s="4">
        <v>45324</v>
      </c>
      <c r="I5" s="331"/>
      <c r="J5" s="99"/>
    </row>
    <row r="6" spans="1:19" ht="20.100000000000001" customHeight="1" x14ac:dyDescent="0.2">
      <c r="D6" s="325" t="s">
        <v>13</v>
      </c>
      <c r="E6" s="325"/>
      <c r="F6" s="325"/>
      <c r="G6" s="4">
        <v>45327</v>
      </c>
      <c r="I6" s="197"/>
      <c r="J6" s="68" t="s">
        <v>393</v>
      </c>
    </row>
    <row r="8" spans="1:19" s="2" customFormat="1" ht="19.649999999999999" customHeight="1" x14ac:dyDescent="0.2">
      <c r="A8" s="79" t="s">
        <v>116</v>
      </c>
      <c r="B8" s="79" t="s">
        <v>188</v>
      </c>
      <c r="C8" s="79" t="s">
        <v>117</v>
      </c>
      <c r="D8" s="109" t="s">
        <v>118</v>
      </c>
      <c r="E8" s="109" t="s">
        <v>119</v>
      </c>
      <c r="F8" s="109" t="s">
        <v>120</v>
      </c>
      <c r="G8" s="79" t="s">
        <v>121</v>
      </c>
      <c r="H8" s="79" t="s">
        <v>122</v>
      </c>
      <c r="I8" s="79" t="s">
        <v>123</v>
      </c>
      <c r="J8" s="110" t="s">
        <v>124</v>
      </c>
      <c r="K8" s="111" t="s">
        <v>125</v>
      </c>
      <c r="L8" s="79" t="s">
        <v>126</v>
      </c>
      <c r="M8" s="79" t="s">
        <v>127</v>
      </c>
      <c r="N8" s="79" t="s">
        <v>128</v>
      </c>
      <c r="O8" s="112" t="s">
        <v>129</v>
      </c>
      <c r="P8" s="109" t="s">
        <v>130</v>
      </c>
      <c r="Q8" s="79" t="s">
        <v>131</v>
      </c>
      <c r="R8" s="112" t="s">
        <v>132</v>
      </c>
      <c r="S8" s="113" t="s">
        <v>133</v>
      </c>
    </row>
    <row r="9" spans="1:19" s="2" customFormat="1" ht="19.649999999999999" customHeight="1" x14ac:dyDescent="0.2">
      <c r="A9" s="21" t="s">
        <v>115</v>
      </c>
      <c r="B9" s="21"/>
      <c r="C9" s="21" t="s">
        <v>114</v>
      </c>
      <c r="D9" s="20" t="s">
        <v>4</v>
      </c>
      <c r="E9" s="20" t="s">
        <v>9</v>
      </c>
      <c r="F9" s="20" t="s">
        <v>5</v>
      </c>
      <c r="G9" s="21" t="s">
        <v>8</v>
      </c>
      <c r="H9" s="21" t="s">
        <v>0</v>
      </c>
      <c r="I9" s="21" t="s">
        <v>1</v>
      </c>
      <c r="J9" s="1" t="s">
        <v>2</v>
      </c>
      <c r="K9" s="69" t="s">
        <v>17</v>
      </c>
      <c r="L9" s="21" t="s">
        <v>3</v>
      </c>
      <c r="M9" s="21" t="s">
        <v>16</v>
      </c>
      <c r="N9" s="21" t="s">
        <v>15</v>
      </c>
      <c r="O9" s="8" t="s">
        <v>6</v>
      </c>
      <c r="P9" s="20" t="s">
        <v>18</v>
      </c>
      <c r="Q9" s="21" t="s">
        <v>7</v>
      </c>
      <c r="R9" s="8" t="s">
        <v>19</v>
      </c>
      <c r="S9" s="108" t="s">
        <v>20</v>
      </c>
    </row>
    <row r="10" spans="1:19" s="2" customFormat="1" ht="19.649999999999999" customHeight="1" x14ac:dyDescent="0.2">
      <c r="D10" s="20"/>
      <c r="E10" s="20"/>
      <c r="F10" s="20"/>
      <c r="G10" s="21"/>
      <c r="H10" s="21"/>
      <c r="I10" s="21"/>
      <c r="J10" s="1"/>
      <c r="K10" s="69"/>
      <c r="L10" s="21"/>
      <c r="M10" s="21"/>
      <c r="N10" s="21"/>
      <c r="O10" s="8"/>
      <c r="P10" s="20"/>
      <c r="Q10" s="21"/>
      <c r="R10" s="8"/>
      <c r="S10" s="108"/>
    </row>
    <row r="11" spans="1:19" s="2" customFormat="1" ht="19.649999999999999" customHeight="1" x14ac:dyDescent="0.2">
      <c r="D11" s="20"/>
      <c r="E11" s="24"/>
      <c r="F11" s="53"/>
      <c r="G11" s="52"/>
      <c r="H11" s="21"/>
      <c r="I11" s="21"/>
      <c r="J11" s="1"/>
      <c r="K11" s="69"/>
      <c r="L11" s="21"/>
      <c r="M11" s="21"/>
      <c r="N11" s="21"/>
      <c r="O11" s="8"/>
      <c r="P11" s="20"/>
      <c r="Q11" s="21"/>
      <c r="R11" s="8"/>
      <c r="S11" s="108"/>
    </row>
    <row r="12" spans="1:19" s="2" customFormat="1" ht="19.649999999999999" customHeight="1" x14ac:dyDescent="0.2">
      <c r="D12" s="20"/>
      <c r="E12" s="24"/>
      <c r="F12" s="53"/>
      <c r="G12" s="52"/>
      <c r="H12" s="21"/>
      <c r="I12" s="21"/>
      <c r="J12" s="1"/>
      <c r="K12" s="69"/>
      <c r="L12" s="21"/>
      <c r="M12" s="21"/>
      <c r="N12" s="21"/>
      <c r="O12" s="8"/>
      <c r="P12" s="20"/>
      <c r="Q12" s="21"/>
      <c r="R12" s="8"/>
      <c r="S12" s="108"/>
    </row>
    <row r="13" spans="1:19" s="2" customFormat="1" ht="19.649999999999999" customHeight="1" x14ac:dyDescent="0.2">
      <c r="D13" s="20"/>
      <c r="E13" s="24"/>
      <c r="F13" s="53"/>
      <c r="G13" s="52"/>
      <c r="H13" s="21"/>
      <c r="I13" s="21"/>
      <c r="J13" s="1"/>
      <c r="K13" s="69"/>
      <c r="L13" s="21"/>
      <c r="M13" s="21"/>
      <c r="N13" s="21"/>
      <c r="O13" s="8"/>
      <c r="P13" s="20"/>
      <c r="Q13" s="21"/>
      <c r="R13" s="8"/>
      <c r="S13" s="108"/>
    </row>
    <row r="14" spans="1:19" s="2" customFormat="1" ht="19.649999999999999" customHeight="1" x14ac:dyDescent="0.2">
      <c r="D14" s="20"/>
      <c r="E14" s="132" t="s">
        <v>30</v>
      </c>
      <c r="F14" s="103"/>
      <c r="G14" s="195" t="s">
        <v>387</v>
      </c>
      <c r="H14" s="21"/>
      <c r="I14" s="21"/>
      <c r="J14" s="1"/>
      <c r="K14" s="69"/>
      <c r="L14" s="21"/>
      <c r="M14" s="21"/>
      <c r="N14" s="21"/>
      <c r="O14" s="8"/>
      <c r="P14" s="20"/>
      <c r="Q14" s="21"/>
      <c r="R14" s="8"/>
      <c r="S14" s="108"/>
    </row>
    <row r="15" spans="1:19" s="2" customFormat="1" ht="19.649999999999999" customHeight="1" x14ac:dyDescent="0.2">
      <c r="A15" s="209" t="s">
        <v>63</v>
      </c>
      <c r="B15" s="209"/>
      <c r="C15" s="277">
        <v>12</v>
      </c>
      <c r="D15" s="20">
        <v>1</v>
      </c>
      <c r="E15" s="148" t="s">
        <v>23</v>
      </c>
      <c r="F15" s="148" t="s">
        <v>23</v>
      </c>
      <c r="G15" s="57" t="s">
        <v>222</v>
      </c>
      <c r="H15" s="229">
        <v>1</v>
      </c>
      <c r="I15" s="211">
        <v>1280</v>
      </c>
      <c r="J15" s="125">
        <f>H15*I15</f>
        <v>1280</v>
      </c>
      <c r="K15" s="74"/>
      <c r="L15" s="57" t="s">
        <v>40</v>
      </c>
      <c r="M15" s="39"/>
      <c r="N15" s="21"/>
      <c r="O15" s="8"/>
      <c r="P15" s="20"/>
      <c r="Q15" s="21"/>
      <c r="R15" s="8"/>
      <c r="S15" s="108"/>
    </row>
    <row r="16" spans="1:19" s="2" customFormat="1" ht="19.649999999999999" customHeight="1" x14ac:dyDescent="0.2">
      <c r="A16" s="175" t="s">
        <v>284</v>
      </c>
      <c r="C16" s="277">
        <v>12</v>
      </c>
      <c r="D16" s="20">
        <f>+D15+1</f>
        <v>2</v>
      </c>
      <c r="E16" s="141" t="s">
        <v>55</v>
      </c>
      <c r="F16" s="141" t="s">
        <v>177</v>
      </c>
      <c r="G16" s="198" t="s">
        <v>279</v>
      </c>
      <c r="H16" s="188"/>
      <c r="I16" s="39">
        <v>6617</v>
      </c>
      <c r="J16" s="19">
        <f t="shared" ref="J16:J24" si="0">H16*I16</f>
        <v>0</v>
      </c>
      <c r="K16" s="69"/>
      <c r="L16" s="22" t="s">
        <v>273</v>
      </c>
      <c r="M16" s="39"/>
      <c r="N16" s="21"/>
      <c r="O16" s="8"/>
      <c r="P16" s="20"/>
      <c r="Q16" s="21"/>
      <c r="R16" s="8"/>
      <c r="S16" s="108"/>
    </row>
    <row r="17" spans="1:19" s="2" customFormat="1" ht="19.649999999999999" customHeight="1" x14ac:dyDescent="0.2">
      <c r="A17" s="175" t="s">
        <v>284</v>
      </c>
      <c r="C17" s="277">
        <v>12</v>
      </c>
      <c r="D17" s="20">
        <f t="shared" ref="D17:D24" si="1">+D16+1</f>
        <v>3</v>
      </c>
      <c r="E17" s="141" t="s">
        <v>55</v>
      </c>
      <c r="F17" s="141" t="s">
        <v>177</v>
      </c>
      <c r="G17" s="198" t="s">
        <v>280</v>
      </c>
      <c r="H17" s="188"/>
      <c r="I17" s="39">
        <v>7567</v>
      </c>
      <c r="J17" s="19">
        <f t="shared" si="0"/>
        <v>0</v>
      </c>
      <c r="K17" s="69"/>
      <c r="L17" s="22" t="s">
        <v>274</v>
      </c>
      <c r="M17" s="39"/>
      <c r="N17" s="21"/>
      <c r="O17" s="8"/>
      <c r="P17" s="20"/>
      <c r="Q17" s="21"/>
      <c r="R17" s="8"/>
      <c r="S17" s="108"/>
    </row>
    <row r="18" spans="1:19" s="2" customFormat="1" ht="19.649999999999999" customHeight="1" x14ac:dyDescent="0.2">
      <c r="A18" s="175" t="s">
        <v>63</v>
      </c>
      <c r="C18" s="277">
        <v>12</v>
      </c>
      <c r="D18" s="20">
        <f t="shared" si="1"/>
        <v>4</v>
      </c>
      <c r="E18" s="141" t="s">
        <v>55</v>
      </c>
      <c r="F18" s="141" t="s">
        <v>177</v>
      </c>
      <c r="G18" s="198" t="s">
        <v>277</v>
      </c>
      <c r="H18" s="188"/>
      <c r="I18" s="39">
        <v>2520</v>
      </c>
      <c r="J18" s="19">
        <f t="shared" si="0"/>
        <v>0</v>
      </c>
      <c r="K18" s="69"/>
      <c r="L18" s="22" t="s">
        <v>275</v>
      </c>
      <c r="M18" s="39"/>
      <c r="N18" s="21"/>
      <c r="O18" s="8"/>
      <c r="P18" s="20"/>
      <c r="Q18" s="21"/>
      <c r="R18" s="8"/>
      <c r="S18" s="108"/>
    </row>
    <row r="19" spans="1:19" s="2" customFormat="1" ht="19.649999999999999" customHeight="1" x14ac:dyDescent="0.2">
      <c r="A19" s="175" t="s">
        <v>64</v>
      </c>
      <c r="C19" s="277">
        <v>12</v>
      </c>
      <c r="D19" s="20">
        <f t="shared" si="1"/>
        <v>5</v>
      </c>
      <c r="E19" s="20" t="s">
        <v>23</v>
      </c>
      <c r="F19" s="20" t="s">
        <v>23</v>
      </c>
      <c r="G19" s="198" t="s">
        <v>208</v>
      </c>
      <c r="H19" s="188"/>
      <c r="I19" s="39">
        <v>410</v>
      </c>
      <c r="J19" s="19">
        <f t="shared" si="0"/>
        <v>0</v>
      </c>
      <c r="K19" s="69"/>
      <c r="L19" s="22" t="s">
        <v>226</v>
      </c>
      <c r="M19" s="39"/>
      <c r="N19" s="21"/>
      <c r="O19" s="8"/>
      <c r="P19" s="20"/>
      <c r="Q19" s="21"/>
      <c r="R19" s="8"/>
      <c r="S19" s="108"/>
    </row>
    <row r="20" spans="1:19" s="2" customFormat="1" ht="19.649999999999999" customHeight="1" x14ac:dyDescent="0.2">
      <c r="A20" s="175" t="s">
        <v>64</v>
      </c>
      <c r="C20" s="277">
        <v>12</v>
      </c>
      <c r="D20" s="20">
        <f t="shared" si="1"/>
        <v>6</v>
      </c>
      <c r="E20" s="48" t="s">
        <v>23</v>
      </c>
      <c r="F20" s="48" t="s">
        <v>23</v>
      </c>
      <c r="G20" s="199" t="s">
        <v>193</v>
      </c>
      <c r="H20" s="160"/>
      <c r="I20" s="218">
        <v>19</v>
      </c>
      <c r="J20" s="19">
        <f t="shared" si="0"/>
        <v>0</v>
      </c>
      <c r="K20" s="1"/>
      <c r="L20" s="29" t="s">
        <v>209</v>
      </c>
      <c r="M20" s="39"/>
      <c r="N20" s="21"/>
      <c r="O20" s="8"/>
      <c r="P20" s="20"/>
      <c r="Q20" s="21"/>
      <c r="R20" s="8"/>
      <c r="S20" s="108"/>
    </row>
    <row r="21" spans="1:19" s="2" customFormat="1" ht="19.649999999999999" customHeight="1" x14ac:dyDescent="0.2">
      <c r="A21" s="175" t="s">
        <v>64</v>
      </c>
      <c r="C21" s="277">
        <v>12</v>
      </c>
      <c r="D21" s="20">
        <f t="shared" si="1"/>
        <v>7</v>
      </c>
      <c r="E21" s="20" t="s">
        <v>23</v>
      </c>
      <c r="F21" s="20" t="s">
        <v>23</v>
      </c>
      <c r="G21" s="198" t="s">
        <v>210</v>
      </c>
      <c r="H21" s="188"/>
      <c r="I21" s="39">
        <v>197</v>
      </c>
      <c r="J21" s="19">
        <f t="shared" si="0"/>
        <v>0</v>
      </c>
      <c r="K21" s="69"/>
      <c r="L21" s="22" t="s">
        <v>227</v>
      </c>
      <c r="M21" s="39"/>
      <c r="N21" s="21"/>
      <c r="O21" s="8"/>
      <c r="P21" s="20"/>
      <c r="Q21" s="21"/>
      <c r="R21" s="8"/>
      <c r="S21" s="108"/>
    </row>
    <row r="22" spans="1:19" s="2" customFormat="1" ht="19.649999999999999" customHeight="1" x14ac:dyDescent="0.2">
      <c r="A22" s="175" t="s">
        <v>64</v>
      </c>
      <c r="C22" s="277">
        <v>12</v>
      </c>
      <c r="D22" s="20">
        <f t="shared" si="1"/>
        <v>8</v>
      </c>
      <c r="E22" s="47" t="s">
        <v>23</v>
      </c>
      <c r="F22" s="47" t="s">
        <v>23</v>
      </c>
      <c r="G22" s="200" t="s">
        <v>137</v>
      </c>
      <c r="H22" s="157"/>
      <c r="I22" s="50">
        <v>25</v>
      </c>
      <c r="J22" s="19">
        <f t="shared" si="0"/>
        <v>0</v>
      </c>
      <c r="K22" s="19"/>
      <c r="L22" s="22" t="s">
        <v>211</v>
      </c>
      <c r="M22" s="39"/>
      <c r="N22" s="21"/>
      <c r="O22" s="8"/>
      <c r="P22" s="20"/>
      <c r="Q22" s="21"/>
      <c r="R22" s="8"/>
      <c r="S22" s="108"/>
    </row>
    <row r="23" spans="1:19" s="2" customFormat="1" ht="19.649999999999999" customHeight="1" x14ac:dyDescent="0.2">
      <c r="A23" s="175" t="s">
        <v>64</v>
      </c>
      <c r="C23" s="277">
        <v>12</v>
      </c>
      <c r="D23" s="20">
        <f t="shared" si="1"/>
        <v>9</v>
      </c>
      <c r="E23" s="20" t="s">
        <v>23</v>
      </c>
      <c r="F23" s="20" t="s">
        <v>23</v>
      </c>
      <c r="G23" s="198" t="s">
        <v>212</v>
      </c>
      <c r="H23" s="188"/>
      <c r="I23" s="39">
        <v>54</v>
      </c>
      <c r="J23" s="19">
        <f t="shared" si="0"/>
        <v>0</v>
      </c>
      <c r="K23" s="69"/>
      <c r="L23" s="22" t="s">
        <v>228</v>
      </c>
      <c r="M23" s="39"/>
      <c r="N23" s="21"/>
      <c r="O23" s="8"/>
      <c r="P23" s="20"/>
      <c r="Q23" s="21"/>
      <c r="R23" s="8"/>
      <c r="S23" s="108"/>
    </row>
    <row r="24" spans="1:19" s="2" customFormat="1" ht="19.649999999999999" customHeight="1" x14ac:dyDescent="0.2">
      <c r="A24" s="175" t="s">
        <v>64</v>
      </c>
      <c r="C24" s="277">
        <v>12</v>
      </c>
      <c r="D24" s="20">
        <f t="shared" si="1"/>
        <v>10</v>
      </c>
      <c r="E24" s="20" t="s">
        <v>23</v>
      </c>
      <c r="F24" s="20" t="s">
        <v>23</v>
      </c>
      <c r="G24" s="198" t="s">
        <v>34</v>
      </c>
      <c r="H24" s="188"/>
      <c r="I24" s="39">
        <v>56</v>
      </c>
      <c r="J24" s="19">
        <f t="shared" si="0"/>
        <v>0</v>
      </c>
      <c r="K24" s="69"/>
      <c r="L24" s="22" t="s">
        <v>228</v>
      </c>
      <c r="M24" s="39"/>
      <c r="N24" s="21"/>
      <c r="O24" s="8"/>
      <c r="P24" s="20"/>
      <c r="Q24" s="21"/>
      <c r="R24" s="8"/>
      <c r="S24" s="108"/>
    </row>
    <row r="25" spans="1:19" s="2" customFormat="1" ht="19.649999999999999" customHeight="1" x14ac:dyDescent="0.2">
      <c r="C25" s="277">
        <v>12</v>
      </c>
      <c r="D25" s="20"/>
      <c r="E25" s="176"/>
      <c r="F25" s="176"/>
      <c r="G25" s="177"/>
      <c r="H25" s="188"/>
      <c r="I25" s="21"/>
      <c r="J25" s="26"/>
      <c r="K25" s="69"/>
      <c r="L25" s="22"/>
      <c r="M25" s="21"/>
      <c r="N25" s="21"/>
      <c r="O25" s="8"/>
      <c r="P25" s="20"/>
      <c r="Q25" s="21"/>
      <c r="R25" s="8"/>
      <c r="S25" s="108"/>
    </row>
    <row r="26" spans="1:19" s="2" customFormat="1" ht="19.649999999999999" customHeight="1" x14ac:dyDescent="0.2">
      <c r="A26" s="175" t="s">
        <v>284</v>
      </c>
      <c r="C26" s="277">
        <v>12</v>
      </c>
      <c r="D26" s="20">
        <f>+D24+1</f>
        <v>11</v>
      </c>
      <c r="E26" s="141" t="s">
        <v>55</v>
      </c>
      <c r="F26" s="141" t="s">
        <v>177</v>
      </c>
      <c r="G26" s="201" t="s">
        <v>296</v>
      </c>
      <c r="H26" s="189"/>
      <c r="I26" s="219">
        <v>11282</v>
      </c>
      <c r="J26" s="105">
        <f t="shared" ref="J26:J45" si="2">H26*I26</f>
        <v>0</v>
      </c>
      <c r="K26" s="127"/>
      <c r="L26" s="115" t="s">
        <v>365</v>
      </c>
      <c r="M26" s="58"/>
      <c r="N26" s="21"/>
      <c r="O26" s="8"/>
      <c r="P26" s="20"/>
      <c r="Q26" s="21"/>
      <c r="R26" s="8"/>
      <c r="S26" s="108"/>
    </row>
    <row r="27" spans="1:19" s="2" customFormat="1" ht="19.649999999999999" customHeight="1" x14ac:dyDescent="0.2">
      <c r="A27" s="175" t="s">
        <v>64</v>
      </c>
      <c r="C27" s="277">
        <v>12</v>
      </c>
      <c r="D27" s="20">
        <f t="shared" ref="D27:D45" si="3">+D26+1</f>
        <v>12</v>
      </c>
      <c r="E27" s="20" t="s">
        <v>23</v>
      </c>
      <c r="F27" s="20" t="s">
        <v>23</v>
      </c>
      <c r="G27" s="202" t="s">
        <v>169</v>
      </c>
      <c r="H27" s="190"/>
      <c r="I27" s="77">
        <v>19</v>
      </c>
      <c r="J27" s="19">
        <f t="shared" si="2"/>
        <v>0</v>
      </c>
      <c r="K27" s="19"/>
      <c r="L27" s="22" t="s">
        <v>198</v>
      </c>
      <c r="M27" s="39"/>
      <c r="N27" s="21"/>
      <c r="O27" s="8"/>
      <c r="P27" s="20"/>
      <c r="Q27" s="21"/>
      <c r="R27" s="8"/>
      <c r="S27" s="108"/>
    </row>
    <row r="28" spans="1:19" s="2" customFormat="1" ht="19.649999999999999" customHeight="1" x14ac:dyDescent="0.2">
      <c r="A28" s="175" t="s">
        <v>64</v>
      </c>
      <c r="C28" s="277">
        <v>12</v>
      </c>
      <c r="D28" s="20">
        <f t="shared" si="3"/>
        <v>13</v>
      </c>
      <c r="E28" s="48" t="s">
        <v>23</v>
      </c>
      <c r="F28" s="48" t="s">
        <v>23</v>
      </c>
      <c r="G28" s="203" t="s">
        <v>193</v>
      </c>
      <c r="H28" s="160"/>
      <c r="I28" s="218">
        <v>19</v>
      </c>
      <c r="J28" s="128">
        <f t="shared" si="2"/>
        <v>0</v>
      </c>
      <c r="K28" s="1"/>
      <c r="L28" s="29" t="s">
        <v>200</v>
      </c>
      <c r="M28" s="39"/>
      <c r="N28" s="21"/>
      <c r="O28" s="8"/>
      <c r="P28" s="20"/>
      <c r="Q28" s="21"/>
      <c r="R28" s="8"/>
      <c r="S28" s="108"/>
    </row>
    <row r="29" spans="1:19" s="2" customFormat="1" ht="19.649999999999999" customHeight="1" x14ac:dyDescent="0.2">
      <c r="A29" s="175" t="s">
        <v>64</v>
      </c>
      <c r="C29" s="277">
        <v>12</v>
      </c>
      <c r="D29" s="20">
        <f t="shared" si="3"/>
        <v>14</v>
      </c>
      <c r="E29" s="20" t="s">
        <v>23</v>
      </c>
      <c r="F29" s="20" t="s">
        <v>23</v>
      </c>
      <c r="G29" s="202" t="s">
        <v>22</v>
      </c>
      <c r="H29" s="190"/>
      <c r="I29" s="77">
        <v>25</v>
      </c>
      <c r="J29" s="19">
        <f>H29*I29</f>
        <v>0</v>
      </c>
      <c r="K29" s="19"/>
      <c r="L29" s="22" t="s">
        <v>294</v>
      </c>
      <c r="M29" s="39"/>
      <c r="N29" s="21"/>
      <c r="O29" s="8"/>
      <c r="P29" s="20"/>
      <c r="Q29" s="21"/>
      <c r="R29" s="8"/>
      <c r="S29" s="108"/>
    </row>
    <row r="30" spans="1:19" s="2" customFormat="1" ht="19.649999999999999" customHeight="1" x14ac:dyDescent="0.2">
      <c r="A30" s="175" t="s">
        <v>284</v>
      </c>
      <c r="C30" s="277">
        <v>12</v>
      </c>
      <c r="D30" s="20">
        <f t="shared" si="3"/>
        <v>15</v>
      </c>
      <c r="E30" s="141" t="s">
        <v>55</v>
      </c>
      <c r="F30" s="141" t="s">
        <v>177</v>
      </c>
      <c r="G30" s="207" t="s">
        <v>278</v>
      </c>
      <c r="H30" s="189"/>
      <c r="I30" s="219">
        <v>5328</v>
      </c>
      <c r="J30" s="105">
        <f t="shared" si="2"/>
        <v>0</v>
      </c>
      <c r="K30" s="127"/>
      <c r="L30" s="115" t="s">
        <v>270</v>
      </c>
      <c r="M30" s="58"/>
      <c r="N30" s="21"/>
      <c r="O30" s="8"/>
      <c r="P30" s="20"/>
      <c r="Q30" s="21"/>
      <c r="R30" s="8"/>
      <c r="S30" s="108"/>
    </row>
    <row r="31" spans="1:19" s="2" customFormat="1" ht="19.649999999999999" customHeight="1" x14ac:dyDescent="0.2">
      <c r="A31" s="175" t="s">
        <v>64</v>
      </c>
      <c r="C31" s="277">
        <v>12</v>
      </c>
      <c r="D31" s="20">
        <f t="shared" si="3"/>
        <v>16</v>
      </c>
      <c r="E31" s="28" t="s">
        <v>23</v>
      </c>
      <c r="F31" s="28" t="s">
        <v>23</v>
      </c>
      <c r="G31" s="203" t="s">
        <v>293</v>
      </c>
      <c r="H31" s="191"/>
      <c r="I31" s="120">
        <v>329</v>
      </c>
      <c r="J31" s="180">
        <f>H31*I31</f>
        <v>0</v>
      </c>
      <c r="K31" s="46"/>
      <c r="L31" s="29" t="s">
        <v>199</v>
      </c>
      <c r="M31" s="39"/>
      <c r="N31" s="21"/>
      <c r="O31" s="8"/>
      <c r="P31" s="20"/>
      <c r="Q31" s="21"/>
      <c r="R31" s="8"/>
      <c r="S31" s="108"/>
    </row>
    <row r="32" spans="1:19" s="2" customFormat="1" ht="19.649999999999999" customHeight="1" x14ac:dyDescent="0.2">
      <c r="A32" s="175" t="s">
        <v>64</v>
      </c>
      <c r="C32" s="277">
        <v>12</v>
      </c>
      <c r="D32" s="20">
        <f t="shared" si="3"/>
        <v>17</v>
      </c>
      <c r="E32" s="20" t="s">
        <v>23</v>
      </c>
      <c r="F32" s="20" t="s">
        <v>23</v>
      </c>
      <c r="G32" s="202" t="s">
        <v>169</v>
      </c>
      <c r="H32" s="190"/>
      <c r="I32" s="77">
        <v>19</v>
      </c>
      <c r="J32" s="19">
        <f>H32*I32</f>
        <v>0</v>
      </c>
      <c r="K32" s="19"/>
      <c r="L32" s="22" t="s">
        <v>292</v>
      </c>
      <c r="M32" s="39"/>
      <c r="N32" s="21"/>
      <c r="O32" s="8"/>
      <c r="P32" s="20"/>
      <c r="Q32" s="21"/>
      <c r="R32" s="8"/>
      <c r="S32" s="108"/>
    </row>
    <row r="33" spans="1:19" s="2" customFormat="1" ht="19.649999999999999" customHeight="1" x14ac:dyDescent="0.2">
      <c r="A33" s="175" t="s">
        <v>64</v>
      </c>
      <c r="C33" s="277">
        <v>12</v>
      </c>
      <c r="D33" s="20">
        <f t="shared" si="3"/>
        <v>18</v>
      </c>
      <c r="E33" s="20" t="s">
        <v>23</v>
      </c>
      <c r="F33" s="20" t="s">
        <v>23</v>
      </c>
      <c r="G33" s="202" t="s">
        <v>22</v>
      </c>
      <c r="H33" s="190"/>
      <c r="I33" s="77">
        <v>25</v>
      </c>
      <c r="J33" s="19">
        <f>H33*I33</f>
        <v>0</v>
      </c>
      <c r="K33" s="19"/>
      <c r="L33" s="22" t="s">
        <v>230</v>
      </c>
      <c r="M33" s="39"/>
      <c r="N33" s="21"/>
      <c r="O33" s="8"/>
      <c r="P33" s="20"/>
      <c r="Q33" s="21"/>
      <c r="R33" s="8"/>
      <c r="S33" s="108"/>
    </row>
    <row r="34" spans="1:19" s="2" customFormat="1" ht="19.649999999999999" customHeight="1" x14ac:dyDescent="0.2">
      <c r="C34" s="277">
        <v>12</v>
      </c>
      <c r="D34" s="20"/>
      <c r="E34" s="148"/>
      <c r="F34" s="148"/>
      <c r="G34" s="181"/>
      <c r="H34" s="188"/>
      <c r="I34" s="21"/>
      <c r="J34" s="42"/>
      <c r="K34" s="74"/>
      <c r="L34" s="134"/>
      <c r="M34" s="39"/>
      <c r="N34" s="21"/>
      <c r="O34" s="8"/>
      <c r="P34" s="20"/>
      <c r="Q34" s="21"/>
      <c r="R34" s="8"/>
      <c r="S34" s="108"/>
    </row>
    <row r="35" spans="1:19" s="2" customFormat="1" ht="19.649999999999999" customHeight="1" x14ac:dyDescent="0.2">
      <c r="A35" s="175" t="s">
        <v>284</v>
      </c>
      <c r="C35" s="277">
        <v>12</v>
      </c>
      <c r="D35" s="20">
        <f>+D33+1</f>
        <v>19</v>
      </c>
      <c r="E35" s="141" t="s">
        <v>55</v>
      </c>
      <c r="F35" s="141" t="s">
        <v>177</v>
      </c>
      <c r="G35" s="201" t="s">
        <v>295</v>
      </c>
      <c r="H35" s="189"/>
      <c r="I35" s="219">
        <v>10576</v>
      </c>
      <c r="J35" s="105">
        <f t="shared" si="2"/>
        <v>0</v>
      </c>
      <c r="K35" s="127"/>
      <c r="L35" s="115" t="s">
        <v>364</v>
      </c>
      <c r="M35" s="58"/>
      <c r="N35" s="21"/>
      <c r="O35" s="8"/>
      <c r="P35" s="20"/>
      <c r="Q35" s="21"/>
      <c r="R35" s="8"/>
      <c r="S35" s="108"/>
    </row>
    <row r="36" spans="1:19" s="2" customFormat="1" ht="19.649999999999999" customHeight="1" x14ac:dyDescent="0.2">
      <c r="A36" s="175" t="s">
        <v>64</v>
      </c>
      <c r="C36" s="277">
        <v>12</v>
      </c>
      <c r="D36" s="20">
        <f t="shared" si="3"/>
        <v>20</v>
      </c>
      <c r="E36" s="47" t="s">
        <v>23</v>
      </c>
      <c r="F36" s="47" t="s">
        <v>23</v>
      </c>
      <c r="G36" s="204" t="s">
        <v>169</v>
      </c>
      <c r="H36" s="157"/>
      <c r="I36" s="50">
        <v>18</v>
      </c>
      <c r="J36" s="19">
        <f t="shared" si="2"/>
        <v>0</v>
      </c>
      <c r="K36" s="19"/>
      <c r="L36" s="22" t="s">
        <v>198</v>
      </c>
      <c r="M36" s="39"/>
      <c r="N36" s="21"/>
      <c r="O36" s="8"/>
      <c r="P36" s="20"/>
      <c r="Q36" s="21"/>
      <c r="R36" s="8"/>
      <c r="S36" s="108"/>
    </row>
    <row r="37" spans="1:19" s="2" customFormat="1" ht="19.649999999999999" customHeight="1" x14ac:dyDescent="0.2">
      <c r="A37" s="175" t="s">
        <v>64</v>
      </c>
      <c r="C37" s="277">
        <v>12</v>
      </c>
      <c r="D37" s="20">
        <f t="shared" si="3"/>
        <v>21</v>
      </c>
      <c r="E37" s="48" t="s">
        <v>23</v>
      </c>
      <c r="F37" s="48" t="s">
        <v>23</v>
      </c>
      <c r="G37" s="199" t="s">
        <v>193</v>
      </c>
      <c r="H37" s="160"/>
      <c r="I37" s="218">
        <v>19</v>
      </c>
      <c r="J37" s="128">
        <f t="shared" si="2"/>
        <v>0</v>
      </c>
      <c r="K37" s="1"/>
      <c r="L37" s="29" t="s">
        <v>199</v>
      </c>
      <c r="M37" s="39"/>
      <c r="N37" s="21"/>
      <c r="O37" s="8"/>
      <c r="P37" s="20"/>
      <c r="Q37" s="21"/>
      <c r="R37" s="8"/>
      <c r="S37" s="108"/>
    </row>
    <row r="38" spans="1:19" s="2" customFormat="1" ht="19.649999999999999" customHeight="1" x14ac:dyDescent="0.2">
      <c r="A38" s="175" t="s">
        <v>64</v>
      </c>
      <c r="C38" s="277">
        <v>12</v>
      </c>
      <c r="D38" s="20">
        <f t="shared" si="3"/>
        <v>22</v>
      </c>
      <c r="E38" s="20" t="s">
        <v>23</v>
      </c>
      <c r="F38" s="20" t="s">
        <v>23</v>
      </c>
      <c r="G38" s="202" t="s">
        <v>22</v>
      </c>
      <c r="H38" s="190"/>
      <c r="I38" s="77">
        <v>25</v>
      </c>
      <c r="J38" s="19">
        <f t="shared" si="2"/>
        <v>0</v>
      </c>
      <c r="K38" s="19"/>
      <c r="L38" s="22" t="s">
        <v>291</v>
      </c>
      <c r="M38" s="39"/>
      <c r="N38" s="21"/>
      <c r="O38" s="8"/>
      <c r="P38" s="20"/>
      <c r="Q38" s="21"/>
      <c r="R38" s="8"/>
      <c r="S38" s="108"/>
    </row>
    <row r="39" spans="1:19" s="2" customFormat="1" ht="19.649999999999999" customHeight="1" x14ac:dyDescent="0.2">
      <c r="C39" s="277">
        <v>12</v>
      </c>
      <c r="D39" s="20"/>
      <c r="E39" s="20"/>
      <c r="F39" s="20"/>
      <c r="G39" s="32"/>
      <c r="H39" s="222"/>
      <c r="I39" s="77"/>
      <c r="J39" s="26"/>
      <c r="K39" s="72"/>
      <c r="L39" s="22"/>
      <c r="M39" s="39"/>
      <c r="N39" s="21"/>
      <c r="O39" s="8"/>
      <c r="P39" s="20"/>
      <c r="Q39" s="21"/>
      <c r="R39" s="8"/>
      <c r="S39" s="108"/>
    </row>
    <row r="40" spans="1:19" s="2" customFormat="1" ht="19.649999999999999" customHeight="1" x14ac:dyDescent="0.2">
      <c r="A40" s="175" t="s">
        <v>63</v>
      </c>
      <c r="C40" s="277">
        <v>12</v>
      </c>
      <c r="D40" s="20">
        <f>+D38+1</f>
        <v>23</v>
      </c>
      <c r="E40" s="141" t="s">
        <v>55</v>
      </c>
      <c r="F40" s="141" t="s">
        <v>177</v>
      </c>
      <c r="G40" s="207" t="s">
        <v>282</v>
      </c>
      <c r="H40" s="189"/>
      <c r="I40" s="219">
        <v>1920</v>
      </c>
      <c r="J40" s="105">
        <f t="shared" si="2"/>
        <v>0</v>
      </c>
      <c r="K40" s="127"/>
      <c r="L40" s="115" t="s">
        <v>269</v>
      </c>
      <c r="M40" s="58"/>
      <c r="N40" s="21"/>
      <c r="O40" s="8"/>
      <c r="P40" s="20"/>
      <c r="Q40" s="21"/>
      <c r="R40" s="8"/>
      <c r="S40" s="108"/>
    </row>
    <row r="41" spans="1:19" s="2" customFormat="1" ht="19.649999999999999" customHeight="1" x14ac:dyDescent="0.2">
      <c r="A41" s="175" t="s">
        <v>64</v>
      </c>
      <c r="C41" s="277">
        <v>12</v>
      </c>
      <c r="D41" s="20">
        <f t="shared" si="3"/>
        <v>24</v>
      </c>
      <c r="E41" s="20" t="s">
        <v>23</v>
      </c>
      <c r="F41" s="20" t="s">
        <v>23</v>
      </c>
      <c r="G41" s="202" t="s">
        <v>22</v>
      </c>
      <c r="H41" s="190"/>
      <c r="I41" s="77">
        <v>25</v>
      </c>
      <c r="J41" s="19">
        <f t="shared" si="2"/>
        <v>0</v>
      </c>
      <c r="K41" s="19"/>
      <c r="L41" s="22" t="s">
        <v>196</v>
      </c>
      <c r="M41" s="39"/>
      <c r="N41" s="21"/>
      <c r="O41" s="8"/>
      <c r="P41" s="20"/>
      <c r="Q41" s="21"/>
      <c r="R41" s="8"/>
      <c r="S41" s="108"/>
    </row>
    <row r="42" spans="1:19" s="2" customFormat="1" ht="19.649999999999999" customHeight="1" x14ac:dyDescent="0.2">
      <c r="A42" s="175" t="s">
        <v>64</v>
      </c>
      <c r="C42" s="277">
        <v>12</v>
      </c>
      <c r="D42" s="20">
        <f t="shared" si="3"/>
        <v>25</v>
      </c>
      <c r="E42" s="20" t="s">
        <v>23</v>
      </c>
      <c r="F42" s="20" t="s">
        <v>23</v>
      </c>
      <c r="G42" s="202" t="s">
        <v>195</v>
      </c>
      <c r="H42" s="190"/>
      <c r="I42" s="77">
        <v>19</v>
      </c>
      <c r="J42" s="19">
        <f t="shared" si="2"/>
        <v>0</v>
      </c>
      <c r="K42" s="19"/>
      <c r="L42" s="22" t="s">
        <v>197</v>
      </c>
      <c r="M42" s="39"/>
      <c r="N42" s="21"/>
      <c r="O42" s="8"/>
      <c r="P42" s="20"/>
      <c r="Q42" s="21"/>
      <c r="R42" s="8"/>
      <c r="S42" s="108"/>
    </row>
    <row r="43" spans="1:19" s="2" customFormat="1" ht="19.649999999999999" customHeight="1" x14ac:dyDescent="0.2">
      <c r="A43" s="175" t="s">
        <v>63</v>
      </c>
      <c r="B43" s="209"/>
      <c r="C43" s="277">
        <v>12</v>
      </c>
      <c r="D43" s="20">
        <f t="shared" si="3"/>
        <v>26</v>
      </c>
      <c r="E43" s="141" t="s">
        <v>55</v>
      </c>
      <c r="F43" s="141" t="s">
        <v>177</v>
      </c>
      <c r="G43" s="230" t="s">
        <v>363</v>
      </c>
      <c r="H43" s="84">
        <v>1</v>
      </c>
      <c r="I43" s="84">
        <v>3440</v>
      </c>
      <c r="J43" s="105">
        <f t="shared" si="2"/>
        <v>3440</v>
      </c>
      <c r="K43" s="127"/>
      <c r="L43" s="185" t="s">
        <v>396</v>
      </c>
      <c r="M43" s="58"/>
      <c r="N43" s="21"/>
      <c r="O43" s="8"/>
      <c r="P43" s="20"/>
      <c r="Q43" s="21"/>
      <c r="R43" s="8"/>
      <c r="S43" s="108"/>
    </row>
    <row r="44" spans="1:19" s="2" customFormat="1" ht="19.649999999999999" customHeight="1" x14ac:dyDescent="0.2">
      <c r="A44" s="175" t="s">
        <v>64</v>
      </c>
      <c r="C44" s="277">
        <v>12</v>
      </c>
      <c r="D44" s="20">
        <f t="shared" si="3"/>
        <v>27</v>
      </c>
      <c r="E44" s="23" t="s">
        <v>23</v>
      </c>
      <c r="F44" s="23" t="s">
        <v>23</v>
      </c>
      <c r="G44" s="202" t="s">
        <v>22</v>
      </c>
      <c r="H44" s="190"/>
      <c r="I44" s="77">
        <v>26</v>
      </c>
      <c r="J44" s="170">
        <f t="shared" si="2"/>
        <v>0</v>
      </c>
      <c r="K44" s="19"/>
      <c r="L44" s="22" t="s">
        <v>196</v>
      </c>
      <c r="M44" s="39"/>
      <c r="N44" s="21"/>
      <c r="O44" s="8"/>
      <c r="P44" s="20"/>
      <c r="Q44" s="21"/>
      <c r="R44" s="8"/>
      <c r="S44" s="108"/>
    </row>
    <row r="45" spans="1:19" s="2" customFormat="1" ht="19.649999999999999" customHeight="1" x14ac:dyDescent="0.2">
      <c r="A45" s="175" t="s">
        <v>223</v>
      </c>
      <c r="C45" s="277">
        <v>12</v>
      </c>
      <c r="D45" s="20">
        <f t="shared" si="3"/>
        <v>28</v>
      </c>
      <c r="E45" s="148" t="s">
        <v>23</v>
      </c>
      <c r="F45" s="148" t="s">
        <v>23</v>
      </c>
      <c r="G45" s="202" t="s">
        <v>374</v>
      </c>
      <c r="H45" s="192"/>
      <c r="I45" s="40">
        <v>850</v>
      </c>
      <c r="J45" s="125">
        <f t="shared" si="2"/>
        <v>0</v>
      </c>
      <c r="K45" s="126"/>
      <c r="L45" s="13" t="s">
        <v>379</v>
      </c>
      <c r="M45" s="58"/>
      <c r="N45" s="21"/>
      <c r="O45" s="8"/>
      <c r="P45" s="20"/>
      <c r="Q45" s="21"/>
      <c r="R45" s="8"/>
      <c r="S45" s="108"/>
    </row>
    <row r="46" spans="1:19" s="2" customFormat="1" ht="19.649999999999999" customHeight="1" x14ac:dyDescent="0.2">
      <c r="C46" s="277">
        <v>12</v>
      </c>
      <c r="D46" s="20"/>
      <c r="E46" s="176"/>
      <c r="F46" s="176"/>
      <c r="G46" s="177"/>
      <c r="H46" s="163"/>
      <c r="I46" s="21"/>
      <c r="J46" s="26"/>
      <c r="K46" s="69"/>
      <c r="L46" s="22"/>
      <c r="M46" s="21"/>
      <c r="N46" s="21"/>
      <c r="O46" s="8"/>
      <c r="P46" s="20"/>
      <c r="Q46" s="21"/>
      <c r="R46" s="8"/>
      <c r="S46" s="108"/>
    </row>
    <row r="47" spans="1:19" s="2" customFormat="1" ht="19.649999999999999" customHeight="1" x14ac:dyDescent="0.2">
      <c r="A47" s="175" t="s">
        <v>284</v>
      </c>
      <c r="B47" s="209"/>
      <c r="C47" s="277">
        <v>12</v>
      </c>
      <c r="D47" s="20">
        <f>+D45+1</f>
        <v>29</v>
      </c>
      <c r="E47" s="141" t="s">
        <v>55</v>
      </c>
      <c r="F47" s="141" t="s">
        <v>177</v>
      </c>
      <c r="G47" s="231" t="s">
        <v>355</v>
      </c>
      <c r="H47" s="232">
        <v>1</v>
      </c>
      <c r="I47" s="233">
        <v>5805</v>
      </c>
      <c r="J47" s="58">
        <f>H47*I47</f>
        <v>5805</v>
      </c>
      <c r="K47" s="1"/>
      <c r="L47" s="22" t="s">
        <v>378</v>
      </c>
      <c r="M47" s="39"/>
      <c r="N47" s="21"/>
      <c r="O47" s="8"/>
      <c r="P47" s="20"/>
      <c r="Q47" s="21"/>
      <c r="R47" s="8"/>
      <c r="S47" s="108"/>
    </row>
    <row r="48" spans="1:19" s="2" customFormat="1" ht="19.649999999999999" customHeight="1" x14ac:dyDescent="0.2">
      <c r="A48" s="175" t="s">
        <v>284</v>
      </c>
      <c r="B48" s="209"/>
      <c r="C48" s="277">
        <v>12</v>
      </c>
      <c r="D48" s="20">
        <f t="shared" ref="D48:D54" si="4">+D47+1</f>
        <v>30</v>
      </c>
      <c r="E48" s="141" t="s">
        <v>55</v>
      </c>
      <c r="F48" s="141" t="s">
        <v>177</v>
      </c>
      <c r="G48" s="234" t="s">
        <v>356</v>
      </c>
      <c r="H48" s="84">
        <v>1</v>
      </c>
      <c r="I48" s="233">
        <v>9416</v>
      </c>
      <c r="J48" s="58">
        <f>H48*I48</f>
        <v>9416</v>
      </c>
      <c r="K48" s="1"/>
      <c r="L48" s="22" t="s">
        <v>337</v>
      </c>
      <c r="M48" s="39"/>
      <c r="N48" s="21"/>
      <c r="O48" s="8"/>
      <c r="P48" s="20"/>
      <c r="Q48" s="21"/>
      <c r="R48" s="8"/>
      <c r="S48" s="108"/>
    </row>
    <row r="49" spans="1:19" s="2" customFormat="1" ht="19.649999999999999" customHeight="1" x14ac:dyDescent="0.2">
      <c r="A49" s="175" t="s">
        <v>64</v>
      </c>
      <c r="B49" s="209"/>
      <c r="C49" s="277">
        <v>12</v>
      </c>
      <c r="D49" s="20">
        <f>+D48+1</f>
        <v>31</v>
      </c>
      <c r="E49" s="20" t="s">
        <v>23</v>
      </c>
      <c r="F49" s="20" t="s">
        <v>23</v>
      </c>
      <c r="G49" s="231" t="s">
        <v>407</v>
      </c>
      <c r="H49" s="232">
        <v>1</v>
      </c>
      <c r="I49" s="235">
        <v>97</v>
      </c>
      <c r="J49" s="58">
        <f t="shared" ref="J49:J54" si="5">H49*I49</f>
        <v>97</v>
      </c>
      <c r="K49" s="69"/>
      <c r="L49" s="22" t="s">
        <v>380</v>
      </c>
      <c r="M49" s="39"/>
      <c r="N49" s="21"/>
      <c r="O49" s="8"/>
      <c r="P49" s="20"/>
      <c r="Q49" s="21"/>
      <c r="R49" s="8"/>
      <c r="S49" s="108"/>
    </row>
    <row r="50" spans="1:19" s="2" customFormat="1" ht="19.649999999999999" customHeight="1" x14ac:dyDescent="0.2">
      <c r="A50" s="175" t="s">
        <v>223</v>
      </c>
      <c r="B50" s="209"/>
      <c r="C50" s="277">
        <v>12</v>
      </c>
      <c r="D50" s="20">
        <f t="shared" si="4"/>
        <v>32</v>
      </c>
      <c r="E50" s="20" t="s">
        <v>23</v>
      </c>
      <c r="F50" s="20" t="s">
        <v>23</v>
      </c>
      <c r="G50" s="231" t="s">
        <v>202</v>
      </c>
      <c r="H50" s="232">
        <v>1</v>
      </c>
      <c r="I50" s="235">
        <v>4570</v>
      </c>
      <c r="J50" s="58">
        <f t="shared" si="5"/>
        <v>4570</v>
      </c>
      <c r="K50" s="69"/>
      <c r="L50" s="22" t="s">
        <v>381</v>
      </c>
      <c r="M50" s="39"/>
      <c r="N50" s="21"/>
      <c r="O50" s="8"/>
      <c r="P50" s="20"/>
      <c r="Q50" s="21"/>
      <c r="R50" s="8"/>
      <c r="S50" s="108"/>
    </row>
    <row r="51" spans="1:19" s="2" customFormat="1" ht="19.649999999999999" customHeight="1" x14ac:dyDescent="0.2">
      <c r="A51" s="175" t="s">
        <v>64</v>
      </c>
      <c r="B51" s="209"/>
      <c r="C51" s="277">
        <v>12</v>
      </c>
      <c r="D51" s="20">
        <f t="shared" si="4"/>
        <v>33</v>
      </c>
      <c r="E51" s="23" t="s">
        <v>23</v>
      </c>
      <c r="F51" s="23" t="s">
        <v>23</v>
      </c>
      <c r="G51" s="241" t="s">
        <v>78</v>
      </c>
      <c r="H51" s="228">
        <v>10</v>
      </c>
      <c r="I51" s="233">
        <v>29</v>
      </c>
      <c r="J51" s="266">
        <f t="shared" si="5"/>
        <v>290</v>
      </c>
      <c r="K51" s="46"/>
      <c r="L51" s="45" t="s">
        <v>87</v>
      </c>
      <c r="M51" s="39"/>
      <c r="N51" s="21"/>
      <c r="O51" s="8"/>
      <c r="P51" s="20"/>
      <c r="Q51" s="21"/>
      <c r="R51" s="8"/>
      <c r="S51" s="108"/>
    </row>
    <row r="52" spans="1:19" s="2" customFormat="1" ht="19.649999999999999" customHeight="1" x14ac:dyDescent="0.2">
      <c r="A52" s="175" t="s">
        <v>63</v>
      </c>
      <c r="B52" s="209"/>
      <c r="C52" s="277">
        <v>12</v>
      </c>
      <c r="D52" s="20">
        <f t="shared" si="4"/>
        <v>34</v>
      </c>
      <c r="E52" s="20" t="s">
        <v>23</v>
      </c>
      <c r="F52" s="20" t="s">
        <v>23</v>
      </c>
      <c r="G52" s="231" t="s">
        <v>203</v>
      </c>
      <c r="H52" s="232">
        <v>1</v>
      </c>
      <c r="I52" s="235">
        <v>960</v>
      </c>
      <c r="J52" s="58">
        <f t="shared" si="5"/>
        <v>960</v>
      </c>
      <c r="K52" s="69"/>
      <c r="L52" s="22" t="s">
        <v>382</v>
      </c>
      <c r="M52" s="39"/>
      <c r="N52" s="21"/>
      <c r="O52" s="8"/>
      <c r="P52" s="20"/>
      <c r="Q52" s="21"/>
      <c r="R52" s="8"/>
      <c r="S52" s="108"/>
    </row>
    <row r="53" spans="1:19" s="2" customFormat="1" ht="19.649999999999999" customHeight="1" x14ac:dyDescent="0.2">
      <c r="A53" s="175" t="s">
        <v>63</v>
      </c>
      <c r="B53" s="209"/>
      <c r="C53" s="277">
        <v>12</v>
      </c>
      <c r="D53" s="20">
        <f t="shared" si="4"/>
        <v>35</v>
      </c>
      <c r="E53" s="141" t="s">
        <v>55</v>
      </c>
      <c r="F53" s="141" t="s">
        <v>177</v>
      </c>
      <c r="G53" s="231" t="s">
        <v>338</v>
      </c>
      <c r="H53" s="232">
        <v>1</v>
      </c>
      <c r="I53" s="235">
        <v>1760</v>
      </c>
      <c r="J53" s="58">
        <f t="shared" si="5"/>
        <v>1760</v>
      </c>
      <c r="K53" s="69"/>
      <c r="L53" s="181" t="s">
        <v>339</v>
      </c>
      <c r="M53" s="39" t="s">
        <v>340</v>
      </c>
      <c r="N53" s="100"/>
      <c r="O53" s="8">
        <v>45120</v>
      </c>
      <c r="P53" s="20"/>
      <c r="Q53" s="100">
        <v>45133</v>
      </c>
      <c r="R53" s="8">
        <v>45134</v>
      </c>
      <c r="S53" s="108"/>
    </row>
    <row r="54" spans="1:19" s="2" customFormat="1" ht="19.649999999999999" customHeight="1" x14ac:dyDescent="0.2">
      <c r="A54" s="175" t="s">
        <v>64</v>
      </c>
      <c r="B54" s="209"/>
      <c r="C54" s="277">
        <v>12</v>
      </c>
      <c r="D54" s="20">
        <f t="shared" si="4"/>
        <v>36</v>
      </c>
      <c r="E54" s="20" t="s">
        <v>23</v>
      </c>
      <c r="F54" s="20" t="s">
        <v>23</v>
      </c>
      <c r="G54" s="231" t="s">
        <v>204</v>
      </c>
      <c r="H54" s="232">
        <v>1</v>
      </c>
      <c r="I54" s="235">
        <v>320</v>
      </c>
      <c r="J54" s="58">
        <f t="shared" si="5"/>
        <v>320</v>
      </c>
      <c r="K54" s="69"/>
      <c r="L54" s="22" t="s">
        <v>383</v>
      </c>
      <c r="M54" s="39"/>
      <c r="N54" s="21"/>
      <c r="O54" s="8"/>
      <c r="P54" s="20"/>
      <c r="Q54" s="21"/>
      <c r="R54" s="8"/>
      <c r="S54" s="108"/>
    </row>
    <row r="55" spans="1:19" s="2" customFormat="1" ht="19.649999999999999" customHeight="1" x14ac:dyDescent="0.2">
      <c r="C55" s="277">
        <v>12</v>
      </c>
      <c r="D55" s="20"/>
      <c r="E55" s="176"/>
      <c r="F55" s="176"/>
      <c r="G55" s="177"/>
      <c r="H55" s="163"/>
      <c r="I55" s="21"/>
      <c r="J55" s="26"/>
      <c r="K55" s="69"/>
      <c r="L55" s="22"/>
      <c r="M55" s="21"/>
      <c r="N55" s="21"/>
      <c r="O55" s="8"/>
      <c r="P55" s="20"/>
      <c r="Q55" s="21"/>
      <c r="R55" s="8"/>
      <c r="S55" s="108"/>
    </row>
    <row r="56" spans="1:19" s="2" customFormat="1" ht="19.649999999999999" customHeight="1" x14ac:dyDescent="0.2">
      <c r="A56" s="175" t="s">
        <v>284</v>
      </c>
      <c r="C56" s="277">
        <v>12</v>
      </c>
      <c r="D56" s="20">
        <f>+D54+1</f>
        <v>37</v>
      </c>
      <c r="E56" s="141" t="s">
        <v>55</v>
      </c>
      <c r="F56" s="141" t="s">
        <v>177</v>
      </c>
      <c r="G56" s="196" t="s">
        <v>266</v>
      </c>
      <c r="H56" s="193"/>
      <c r="I56" s="174">
        <v>5438</v>
      </c>
      <c r="J56" s="19">
        <f>H56*I56</f>
        <v>0</v>
      </c>
      <c r="K56" s="123"/>
      <c r="L56" s="31" t="s">
        <v>366</v>
      </c>
      <c r="M56" s="39"/>
      <c r="N56" s="21"/>
      <c r="O56" s="8"/>
      <c r="P56" s="20"/>
      <c r="Q56" s="21"/>
      <c r="R56" s="8"/>
      <c r="S56" s="108"/>
    </row>
    <row r="57" spans="1:19" s="2" customFormat="1" ht="19.649999999999999" customHeight="1" x14ac:dyDescent="0.2">
      <c r="A57" s="175" t="s">
        <v>64</v>
      </c>
      <c r="C57" s="277">
        <v>12</v>
      </c>
      <c r="D57" s="20">
        <f>+D56+1</f>
        <v>38</v>
      </c>
      <c r="E57" s="20" t="s">
        <v>23</v>
      </c>
      <c r="F57" s="20" t="s">
        <v>23</v>
      </c>
      <c r="G57" s="202" t="s">
        <v>288</v>
      </c>
      <c r="H57" s="190"/>
      <c r="I57" s="77">
        <v>29</v>
      </c>
      <c r="J57" s="19">
        <f>H57*I57</f>
        <v>0</v>
      </c>
      <c r="K57" s="19"/>
      <c r="L57" s="22" t="s">
        <v>377</v>
      </c>
      <c r="M57" s="39"/>
      <c r="N57" s="21"/>
      <c r="O57" s="8"/>
      <c r="P57" s="20"/>
      <c r="Q57" s="21"/>
      <c r="R57" s="8"/>
      <c r="S57" s="108"/>
    </row>
    <row r="58" spans="1:19" s="2" customFormat="1" ht="19.649999999999999" customHeight="1" x14ac:dyDescent="0.2">
      <c r="A58" s="175" t="s">
        <v>284</v>
      </c>
      <c r="C58" s="277">
        <v>12</v>
      </c>
      <c r="D58" s="20">
        <f>+D57+1</f>
        <v>39</v>
      </c>
      <c r="E58" s="141" t="s">
        <v>55</v>
      </c>
      <c r="F58" s="141" t="s">
        <v>177</v>
      </c>
      <c r="G58" s="196" t="s">
        <v>267</v>
      </c>
      <c r="H58" s="193"/>
      <c r="I58" s="174">
        <v>10558</v>
      </c>
      <c r="J58" s="19">
        <f>H58*I58</f>
        <v>0</v>
      </c>
      <c r="K58" s="123"/>
      <c r="L58" s="31" t="s">
        <v>367</v>
      </c>
      <c r="M58" s="39"/>
      <c r="N58" s="21"/>
      <c r="O58" s="8"/>
      <c r="P58" s="20"/>
      <c r="Q58" s="21"/>
      <c r="R58" s="8"/>
      <c r="S58" s="108"/>
    </row>
    <row r="59" spans="1:19" s="2" customFormat="1" ht="19.649999999999999" customHeight="1" x14ac:dyDescent="0.2">
      <c r="A59" s="175" t="s">
        <v>64</v>
      </c>
      <c r="C59" s="277">
        <v>12</v>
      </c>
      <c r="D59" s="20">
        <f>+D58+1</f>
        <v>40</v>
      </c>
      <c r="E59" s="21" t="s">
        <v>23</v>
      </c>
      <c r="F59" s="21" t="s">
        <v>23</v>
      </c>
      <c r="G59" s="203" t="s">
        <v>193</v>
      </c>
      <c r="H59" s="191"/>
      <c r="I59" s="120">
        <v>49</v>
      </c>
      <c r="J59" s="128">
        <f>H59*I59</f>
        <v>0</v>
      </c>
      <c r="K59" s="1"/>
      <c r="L59" s="29" t="s">
        <v>299</v>
      </c>
      <c r="M59" s="39"/>
      <c r="N59" s="21"/>
      <c r="O59" s="8"/>
      <c r="P59" s="20"/>
      <c r="Q59" s="21"/>
      <c r="R59" s="8"/>
      <c r="S59" s="108"/>
    </row>
    <row r="60" spans="1:19" s="2" customFormat="1" ht="19.649999999999999" customHeight="1" x14ac:dyDescent="0.2">
      <c r="C60" s="277">
        <v>12</v>
      </c>
      <c r="D60" s="20"/>
      <c r="E60" s="176"/>
      <c r="F60" s="176"/>
      <c r="G60" s="177"/>
      <c r="H60" s="163"/>
      <c r="I60" s="21"/>
      <c r="J60" s="26"/>
      <c r="K60" s="69"/>
      <c r="L60" s="22"/>
      <c r="M60" s="21"/>
      <c r="N60" s="21"/>
      <c r="O60" s="8"/>
      <c r="P60" s="20"/>
      <c r="Q60" s="21"/>
      <c r="R60" s="8"/>
      <c r="S60" s="108"/>
    </row>
    <row r="61" spans="1:19" s="2" customFormat="1" ht="19.649999999999999" customHeight="1" x14ac:dyDescent="0.2">
      <c r="A61" s="175" t="s">
        <v>284</v>
      </c>
      <c r="C61" s="277">
        <v>12</v>
      </c>
      <c r="D61" s="20">
        <f>+D59+1</f>
        <v>41</v>
      </c>
      <c r="E61" s="141" t="s">
        <v>55</v>
      </c>
      <c r="F61" s="141" t="s">
        <v>177</v>
      </c>
      <c r="G61" s="196" t="s">
        <v>285</v>
      </c>
      <c r="H61" s="174"/>
      <c r="I61" s="174">
        <v>16936</v>
      </c>
      <c r="J61" s="19">
        <f>H61*I61</f>
        <v>0</v>
      </c>
      <c r="K61" s="123"/>
      <c r="L61" s="31" t="s">
        <v>268</v>
      </c>
      <c r="M61" s="58"/>
      <c r="N61" s="21"/>
      <c r="O61" s="8"/>
      <c r="P61" s="20"/>
      <c r="Q61" s="21"/>
      <c r="R61" s="8"/>
      <c r="S61" s="108"/>
    </row>
    <row r="62" spans="1:19" s="2" customFormat="1" ht="19.649999999999999" customHeight="1" x14ac:dyDescent="0.2">
      <c r="A62" s="175" t="s">
        <v>64</v>
      </c>
      <c r="B62" s="209"/>
      <c r="C62" s="277">
        <v>12</v>
      </c>
      <c r="D62" s="20">
        <f t="shared" ref="D62:D68" si="6">+D61+1</f>
        <v>42</v>
      </c>
      <c r="E62" s="21" t="s">
        <v>23</v>
      </c>
      <c r="F62" s="21" t="s">
        <v>23</v>
      </c>
      <c r="G62" s="236" t="s">
        <v>193</v>
      </c>
      <c r="H62" s="237">
        <v>45</v>
      </c>
      <c r="I62" s="87">
        <v>19</v>
      </c>
      <c r="J62" s="128">
        <f t="shared" ref="J62:J68" si="7">H62*I62</f>
        <v>855</v>
      </c>
      <c r="K62" s="1"/>
      <c r="L62" s="29" t="s">
        <v>286</v>
      </c>
      <c r="M62" s="39"/>
      <c r="N62" s="21"/>
      <c r="O62" s="8"/>
      <c r="P62" s="20"/>
      <c r="Q62" s="21"/>
      <c r="R62" s="8"/>
      <c r="S62" s="108"/>
    </row>
    <row r="63" spans="1:19" s="2" customFormat="1" ht="19.649999999999999" customHeight="1" x14ac:dyDescent="0.2">
      <c r="A63" s="175" t="s">
        <v>223</v>
      </c>
      <c r="C63" s="277">
        <v>12</v>
      </c>
      <c r="D63" s="20">
        <f t="shared" si="6"/>
        <v>43</v>
      </c>
      <c r="E63" s="21" t="s">
        <v>23</v>
      </c>
      <c r="F63" s="21" t="s">
        <v>23</v>
      </c>
      <c r="G63" s="205" t="s">
        <v>232</v>
      </c>
      <c r="H63" s="189"/>
      <c r="I63" s="39">
        <v>1170</v>
      </c>
      <c r="J63" s="58">
        <f t="shared" si="7"/>
        <v>0</v>
      </c>
      <c r="K63" s="1"/>
      <c r="L63" s="22" t="s">
        <v>384</v>
      </c>
      <c r="M63" s="58" t="s">
        <v>161</v>
      </c>
      <c r="N63" s="21"/>
      <c r="O63" s="8"/>
      <c r="P63" s="20"/>
      <c r="Q63" s="21"/>
      <c r="R63" s="8"/>
      <c r="S63" s="108"/>
    </row>
    <row r="64" spans="1:19" s="2" customFormat="1" ht="19.649999999999999" customHeight="1" x14ac:dyDescent="0.2">
      <c r="A64" s="175" t="s">
        <v>64</v>
      </c>
      <c r="C64" s="277">
        <v>12</v>
      </c>
      <c r="D64" s="20">
        <f t="shared" si="6"/>
        <v>44</v>
      </c>
      <c r="E64" s="21" t="s">
        <v>23</v>
      </c>
      <c r="F64" s="21" t="s">
        <v>23</v>
      </c>
      <c r="G64" s="205" t="s">
        <v>162</v>
      </c>
      <c r="H64" s="189"/>
      <c r="I64" s="39">
        <v>70</v>
      </c>
      <c r="J64" s="58">
        <f t="shared" si="7"/>
        <v>0</v>
      </c>
      <c r="K64" s="1"/>
      <c r="L64" s="22" t="s">
        <v>163</v>
      </c>
      <c r="M64" s="58" t="s">
        <v>164</v>
      </c>
      <c r="N64" s="21"/>
      <c r="O64" s="8"/>
      <c r="P64" s="20"/>
      <c r="Q64" s="21"/>
      <c r="R64" s="8"/>
      <c r="S64" s="108"/>
    </row>
    <row r="65" spans="1:19" s="2" customFormat="1" ht="19.649999999999999" customHeight="1" x14ac:dyDescent="0.15">
      <c r="A65" s="175" t="s">
        <v>223</v>
      </c>
      <c r="B65" s="209"/>
      <c r="C65" s="277">
        <v>12</v>
      </c>
      <c r="D65" s="20">
        <f t="shared" si="6"/>
        <v>45</v>
      </c>
      <c r="E65" s="120" t="s">
        <v>31</v>
      </c>
      <c r="F65" s="120" t="s">
        <v>31</v>
      </c>
      <c r="G65" s="240" t="s">
        <v>342</v>
      </c>
      <c r="H65" s="87">
        <v>1</v>
      </c>
      <c r="I65" s="87">
        <v>7780</v>
      </c>
      <c r="J65" s="128">
        <f t="shared" si="7"/>
        <v>7780</v>
      </c>
      <c r="K65" s="129"/>
      <c r="L65" s="130" t="s">
        <v>173</v>
      </c>
      <c r="M65" s="58"/>
      <c r="N65" s="21"/>
      <c r="O65" s="8"/>
      <c r="P65" s="20"/>
      <c r="Q65" s="21"/>
      <c r="R65" s="8"/>
      <c r="S65" s="108"/>
    </row>
    <row r="66" spans="1:19" s="2" customFormat="1" ht="19.649999999999999" customHeight="1" x14ac:dyDescent="0.2">
      <c r="A66" s="175" t="s">
        <v>64</v>
      </c>
      <c r="C66" s="277">
        <v>12</v>
      </c>
      <c r="D66" s="20">
        <f t="shared" si="6"/>
        <v>46</v>
      </c>
      <c r="E66" s="148" t="s">
        <v>23</v>
      </c>
      <c r="F66" s="148" t="s">
        <v>23</v>
      </c>
      <c r="G66" s="206" t="s">
        <v>174</v>
      </c>
      <c r="H66" s="192"/>
      <c r="I66" s="40">
        <v>242</v>
      </c>
      <c r="J66" s="125">
        <f t="shared" si="7"/>
        <v>0</v>
      </c>
      <c r="K66" s="126"/>
      <c r="L66" s="13" t="s">
        <v>385</v>
      </c>
      <c r="M66" s="58"/>
      <c r="N66" s="21"/>
      <c r="O66" s="8"/>
      <c r="P66" s="20"/>
      <c r="Q66" s="21"/>
      <c r="R66" s="8"/>
      <c r="S66" s="108"/>
    </row>
    <row r="67" spans="1:19" s="2" customFormat="1" ht="19.649999999999999" customHeight="1" x14ac:dyDescent="0.2">
      <c r="A67" s="175" t="s">
        <v>64</v>
      </c>
      <c r="B67" s="209"/>
      <c r="C67" s="277">
        <v>12</v>
      </c>
      <c r="D67" s="20">
        <f t="shared" si="6"/>
        <v>47</v>
      </c>
      <c r="E67" s="20" t="s">
        <v>23</v>
      </c>
      <c r="F67" s="20" t="s">
        <v>23</v>
      </c>
      <c r="G67" s="241" t="s">
        <v>169</v>
      </c>
      <c r="H67" s="242">
        <v>25</v>
      </c>
      <c r="I67" s="243">
        <v>19</v>
      </c>
      <c r="J67" s="19">
        <f t="shared" si="7"/>
        <v>475</v>
      </c>
      <c r="K67" s="19"/>
      <c r="L67" s="22" t="s">
        <v>341</v>
      </c>
      <c r="M67" s="58" t="s">
        <v>170</v>
      </c>
      <c r="N67" s="21"/>
      <c r="O67" s="8"/>
      <c r="P67" s="20"/>
      <c r="Q67" s="21"/>
      <c r="R67" s="8"/>
      <c r="S67" s="108"/>
    </row>
    <row r="68" spans="1:19" s="2" customFormat="1" ht="19.649999999999999" customHeight="1" x14ac:dyDescent="0.2">
      <c r="A68" s="175" t="s">
        <v>64</v>
      </c>
      <c r="C68" s="277">
        <v>12</v>
      </c>
      <c r="D68" s="20">
        <f t="shared" si="6"/>
        <v>48</v>
      </c>
      <c r="E68" s="20" t="s">
        <v>23</v>
      </c>
      <c r="F68" s="20" t="s">
        <v>23</v>
      </c>
      <c r="G68" s="202" t="s">
        <v>171</v>
      </c>
      <c r="H68" s="190"/>
      <c r="I68" s="77">
        <v>23</v>
      </c>
      <c r="J68" s="19">
        <f t="shared" si="7"/>
        <v>0</v>
      </c>
      <c r="K68" s="19"/>
      <c r="L68" s="22" t="s">
        <v>287</v>
      </c>
      <c r="M68" s="58" t="s">
        <v>172</v>
      </c>
      <c r="N68" s="21"/>
      <c r="O68" s="8"/>
      <c r="P68" s="20"/>
      <c r="Q68" s="21"/>
      <c r="R68" s="8"/>
      <c r="S68" s="108"/>
    </row>
    <row r="69" spans="1:19" s="2" customFormat="1" ht="19.649999999999999" customHeight="1" x14ac:dyDescent="0.2">
      <c r="C69" s="277">
        <v>12</v>
      </c>
      <c r="D69" s="20"/>
      <c r="E69" s="172"/>
      <c r="F69" s="172"/>
      <c r="G69" s="173"/>
      <c r="H69" s="223"/>
      <c r="I69" s="30"/>
      <c r="J69" s="26"/>
      <c r="K69" s="72"/>
      <c r="L69" s="31"/>
      <c r="M69" s="39"/>
      <c r="N69" s="21"/>
      <c r="O69" s="8"/>
      <c r="P69" s="20"/>
      <c r="Q69" s="21"/>
      <c r="R69" s="8"/>
      <c r="S69" s="108"/>
    </row>
    <row r="70" spans="1:19" s="2" customFormat="1" ht="19.649999999999999" customHeight="1" x14ac:dyDescent="0.2">
      <c r="A70" s="175" t="s">
        <v>284</v>
      </c>
      <c r="C70" s="277">
        <v>12</v>
      </c>
      <c r="D70" s="20">
        <f>+D68+1</f>
        <v>49</v>
      </c>
      <c r="E70" s="141" t="s">
        <v>55</v>
      </c>
      <c r="F70" s="141" t="s">
        <v>177</v>
      </c>
      <c r="G70" s="196" t="s">
        <v>375</v>
      </c>
      <c r="H70" s="194"/>
      <c r="I70" s="30">
        <v>9580</v>
      </c>
      <c r="J70" s="19">
        <f>H70*I70</f>
        <v>0</v>
      </c>
      <c r="K70" s="72"/>
      <c r="L70" s="31" t="s">
        <v>376</v>
      </c>
      <c r="M70" s="39"/>
      <c r="N70" s="21"/>
      <c r="O70" s="8"/>
      <c r="P70" s="20"/>
      <c r="Q70" s="21"/>
      <c r="R70" s="8"/>
      <c r="S70" s="108"/>
    </row>
    <row r="71" spans="1:19" s="2" customFormat="1" ht="19.649999999999999" customHeight="1" x14ac:dyDescent="0.2">
      <c r="A71" s="175" t="s">
        <v>65</v>
      </c>
      <c r="B71" s="209"/>
      <c r="C71" s="277">
        <v>12</v>
      </c>
      <c r="D71" s="20">
        <f>+D70+1</f>
        <v>50</v>
      </c>
      <c r="E71" s="148" t="s">
        <v>23</v>
      </c>
      <c r="F71" s="148" t="s">
        <v>23</v>
      </c>
      <c r="G71" s="244" t="s">
        <v>276</v>
      </c>
      <c r="H71" s="88">
        <v>2</v>
      </c>
      <c r="I71" s="211">
        <v>1100</v>
      </c>
      <c r="J71" s="125">
        <f>H71*I71</f>
        <v>2200</v>
      </c>
      <c r="K71" s="126"/>
      <c r="L71" s="13" t="s">
        <v>165</v>
      </c>
      <c r="M71" s="58" t="s">
        <v>166</v>
      </c>
      <c r="N71" s="21"/>
      <c r="O71" s="8"/>
      <c r="P71" s="20"/>
      <c r="Q71" s="21"/>
      <c r="R71" s="8"/>
      <c r="S71" s="108"/>
    </row>
    <row r="72" spans="1:19" s="2" customFormat="1" ht="19.649999999999999" customHeight="1" x14ac:dyDescent="0.2">
      <c r="A72" s="175" t="s">
        <v>64</v>
      </c>
      <c r="C72" s="277">
        <v>12</v>
      </c>
      <c r="D72" s="20">
        <f>+D71+1</f>
        <v>51</v>
      </c>
      <c r="E72" s="20" t="s">
        <v>23</v>
      </c>
      <c r="F72" s="20" t="s">
        <v>23</v>
      </c>
      <c r="G72" s="202" t="s">
        <v>297</v>
      </c>
      <c r="H72" s="190"/>
      <c r="I72" s="77">
        <v>26</v>
      </c>
      <c r="J72" s="19">
        <f>H72*I72</f>
        <v>0</v>
      </c>
      <c r="K72" s="19"/>
      <c r="L72" s="22" t="s">
        <v>298</v>
      </c>
      <c r="M72" s="39"/>
      <c r="N72" s="21"/>
      <c r="O72" s="8"/>
      <c r="P72" s="20"/>
      <c r="Q72" s="21"/>
      <c r="R72" s="8"/>
      <c r="S72" s="108"/>
    </row>
    <row r="73" spans="1:19" s="2" customFormat="1" ht="19.649999999999999" customHeight="1" x14ac:dyDescent="0.2">
      <c r="C73" s="277">
        <v>12</v>
      </c>
      <c r="D73" s="20"/>
      <c r="E73" s="21"/>
      <c r="F73" s="21"/>
      <c r="G73" s="29"/>
      <c r="H73" s="191"/>
      <c r="I73" s="120"/>
      <c r="J73" s="128"/>
      <c r="K73" s="1"/>
      <c r="L73" s="29"/>
      <c r="M73" s="39"/>
      <c r="N73" s="21"/>
      <c r="O73" s="8"/>
      <c r="P73" s="20"/>
      <c r="Q73" s="21"/>
      <c r="R73" s="8"/>
      <c r="S73" s="108"/>
    </row>
    <row r="74" spans="1:19" s="2" customFormat="1" ht="19.649999999999999" customHeight="1" x14ac:dyDescent="0.2">
      <c r="A74" s="175" t="s">
        <v>284</v>
      </c>
      <c r="C74" s="277">
        <v>12</v>
      </c>
      <c r="D74" s="20">
        <f>+D72+1</f>
        <v>52</v>
      </c>
      <c r="E74" s="141" t="s">
        <v>55</v>
      </c>
      <c r="F74" s="141" t="s">
        <v>177</v>
      </c>
      <c r="G74" s="207" t="s">
        <v>281</v>
      </c>
      <c r="H74" s="189"/>
      <c r="I74" s="178">
        <v>9548</v>
      </c>
      <c r="J74" s="58">
        <f>H74*I74</f>
        <v>0</v>
      </c>
      <c r="K74" s="1"/>
      <c r="L74" s="22" t="s">
        <v>271</v>
      </c>
      <c r="M74" s="39"/>
      <c r="N74" s="21"/>
      <c r="O74" s="8"/>
      <c r="P74" s="20"/>
      <c r="Q74" s="21"/>
      <c r="R74" s="8"/>
      <c r="S74" s="108"/>
    </row>
    <row r="75" spans="1:19" s="2" customFormat="1" ht="19.649999999999999" customHeight="1" x14ac:dyDescent="0.2">
      <c r="A75" s="175" t="s">
        <v>64</v>
      </c>
      <c r="C75" s="277">
        <v>12</v>
      </c>
      <c r="D75" s="20">
        <f>+D74+1</f>
        <v>53</v>
      </c>
      <c r="E75" s="20" t="s">
        <v>23</v>
      </c>
      <c r="F75" s="20" t="s">
        <v>23</v>
      </c>
      <c r="G75" s="202" t="s">
        <v>297</v>
      </c>
      <c r="H75" s="190"/>
      <c r="I75" s="77">
        <v>26</v>
      </c>
      <c r="J75" s="19">
        <f>H75*I75</f>
        <v>0</v>
      </c>
      <c r="K75" s="19"/>
      <c r="L75" s="22" t="s">
        <v>298</v>
      </c>
      <c r="M75" s="39"/>
      <c r="N75" s="21"/>
      <c r="O75" s="8"/>
      <c r="P75" s="20"/>
      <c r="Q75" s="21"/>
      <c r="R75" s="8"/>
      <c r="S75" s="108"/>
    </row>
    <row r="76" spans="1:19" s="2" customFormat="1" ht="19.649999999999999" customHeight="1" x14ac:dyDescent="0.2">
      <c r="A76" s="175" t="s">
        <v>64</v>
      </c>
      <c r="C76" s="277">
        <v>12</v>
      </c>
      <c r="D76" s="20">
        <f>+D75+1</f>
        <v>54</v>
      </c>
      <c r="E76" s="21" t="s">
        <v>23</v>
      </c>
      <c r="F76" s="21" t="s">
        <v>23</v>
      </c>
      <c r="G76" s="203" t="s">
        <v>193</v>
      </c>
      <c r="H76" s="191"/>
      <c r="I76" s="120">
        <v>49</v>
      </c>
      <c r="J76" s="128">
        <f>H76*I76</f>
        <v>0</v>
      </c>
      <c r="K76" s="1"/>
      <c r="L76" s="29" t="s">
        <v>299</v>
      </c>
      <c r="M76" s="39"/>
      <c r="N76" s="21"/>
      <c r="O76" s="8"/>
      <c r="P76" s="20"/>
      <c r="Q76" s="21"/>
      <c r="R76" s="8"/>
      <c r="S76" s="108"/>
    </row>
    <row r="77" spans="1:19" s="2" customFormat="1" ht="19.649999999999999" customHeight="1" x14ac:dyDescent="0.2">
      <c r="C77" s="277">
        <v>12</v>
      </c>
      <c r="D77" s="20"/>
      <c r="E77" s="148"/>
      <c r="F77" s="148"/>
      <c r="G77" s="171"/>
      <c r="H77" s="30"/>
      <c r="I77" s="30"/>
      <c r="J77" s="19"/>
      <c r="K77" s="123"/>
      <c r="L77" s="31"/>
      <c r="M77" s="58"/>
      <c r="N77" s="21"/>
      <c r="O77" s="8"/>
      <c r="P77" s="20"/>
      <c r="Q77" s="21"/>
      <c r="R77" s="8"/>
      <c r="S77" s="108"/>
    </row>
    <row r="78" spans="1:19" s="2" customFormat="1" ht="19.649999999999999" customHeight="1" x14ac:dyDescent="0.2">
      <c r="A78" s="175" t="s">
        <v>284</v>
      </c>
      <c r="B78" s="209"/>
      <c r="C78" s="277">
        <v>12</v>
      </c>
      <c r="D78" s="20">
        <f>+D76+1</f>
        <v>55</v>
      </c>
      <c r="E78" s="141" t="s">
        <v>55</v>
      </c>
      <c r="F78" s="141" t="s">
        <v>177</v>
      </c>
      <c r="G78" s="96" t="s">
        <v>390</v>
      </c>
      <c r="H78" s="84">
        <v>1</v>
      </c>
      <c r="I78" s="235">
        <v>13765</v>
      </c>
      <c r="J78" s="58">
        <f t="shared" ref="J78:J90" si="8">H78*I78</f>
        <v>13765</v>
      </c>
      <c r="K78" s="1"/>
      <c r="L78" s="22" t="s">
        <v>388</v>
      </c>
      <c r="M78" s="58"/>
      <c r="N78" s="21"/>
      <c r="O78" s="8"/>
      <c r="P78" s="20"/>
      <c r="Q78" s="21"/>
      <c r="R78" s="8"/>
      <c r="S78" s="108"/>
    </row>
    <row r="79" spans="1:19" s="2" customFormat="1" ht="19.649999999999999" customHeight="1" x14ac:dyDescent="0.2">
      <c r="A79" s="175" t="s">
        <v>64</v>
      </c>
      <c r="B79" s="209"/>
      <c r="C79" s="277">
        <v>12</v>
      </c>
      <c r="D79" s="20">
        <f t="shared" ref="D79:D84" si="9">+D78+1</f>
        <v>56</v>
      </c>
      <c r="E79" s="228" t="s">
        <v>23</v>
      </c>
      <c r="F79" s="228" t="s">
        <v>23</v>
      </c>
      <c r="G79" s="236" t="s">
        <v>290</v>
      </c>
      <c r="H79" s="237">
        <v>46</v>
      </c>
      <c r="I79" s="87">
        <v>19</v>
      </c>
      <c r="J79" s="180">
        <f t="shared" si="8"/>
        <v>874</v>
      </c>
      <c r="K79" s="46"/>
      <c r="L79" s="29" t="s">
        <v>343</v>
      </c>
      <c r="M79" s="39"/>
      <c r="N79" s="21"/>
      <c r="O79" s="8"/>
      <c r="P79" s="20"/>
      <c r="Q79" s="21"/>
      <c r="R79" s="8"/>
      <c r="S79" s="108"/>
    </row>
    <row r="80" spans="1:19" s="2" customFormat="1" ht="19.649999999999999" customHeight="1" x14ac:dyDescent="0.2">
      <c r="A80" s="175" t="s">
        <v>64</v>
      </c>
      <c r="B80" s="209"/>
      <c r="C80" s="277">
        <v>12</v>
      </c>
      <c r="D80" s="20">
        <f t="shared" si="9"/>
        <v>57</v>
      </c>
      <c r="E80" s="48" t="s">
        <v>23</v>
      </c>
      <c r="F80" s="48" t="s">
        <v>23</v>
      </c>
      <c r="G80" s="159" t="s">
        <v>193</v>
      </c>
      <c r="H80" s="160"/>
      <c r="I80" s="218">
        <v>19</v>
      </c>
      <c r="J80" s="238">
        <f t="shared" si="8"/>
        <v>0</v>
      </c>
      <c r="K80" s="239"/>
      <c r="L80" s="159" t="s">
        <v>224</v>
      </c>
      <c r="M80" s="39"/>
      <c r="N80" s="21"/>
      <c r="O80" s="8"/>
      <c r="P80" s="20"/>
      <c r="Q80" s="21"/>
      <c r="R80" s="8"/>
      <c r="S80" s="108"/>
    </row>
    <row r="81" spans="1:19" s="2" customFormat="1" ht="19.649999999999999" customHeight="1" x14ac:dyDescent="0.2">
      <c r="A81" s="175" t="s">
        <v>64</v>
      </c>
      <c r="B81" s="209"/>
      <c r="C81" s="277">
        <v>12</v>
      </c>
      <c r="D81" s="20">
        <f t="shared" si="9"/>
        <v>58</v>
      </c>
      <c r="E81" s="47" t="s">
        <v>23</v>
      </c>
      <c r="F81" s="47" t="s">
        <v>23</v>
      </c>
      <c r="G81" s="49" t="s">
        <v>169</v>
      </c>
      <c r="H81" s="157"/>
      <c r="I81" s="50">
        <v>19</v>
      </c>
      <c r="J81" s="136">
        <f t="shared" si="8"/>
        <v>0</v>
      </c>
      <c r="K81" s="136"/>
      <c r="L81" s="51" t="s">
        <v>344</v>
      </c>
      <c r="M81" s="39"/>
      <c r="N81" s="21"/>
      <c r="O81" s="8"/>
      <c r="P81" s="20"/>
      <c r="Q81" s="21"/>
      <c r="R81" s="8"/>
      <c r="S81" s="108"/>
    </row>
    <row r="82" spans="1:19" s="2" customFormat="1" ht="19.649999999999999" customHeight="1" x14ac:dyDescent="0.2">
      <c r="A82" s="175" t="s">
        <v>64</v>
      </c>
      <c r="B82" s="209"/>
      <c r="C82" s="277">
        <v>12</v>
      </c>
      <c r="D82" s="20">
        <f t="shared" si="9"/>
        <v>59</v>
      </c>
      <c r="E82" s="47" t="s">
        <v>23</v>
      </c>
      <c r="F82" s="47" t="s">
        <v>23</v>
      </c>
      <c r="G82" s="49" t="s">
        <v>137</v>
      </c>
      <c r="H82" s="157"/>
      <c r="I82" s="50">
        <v>29</v>
      </c>
      <c r="J82" s="136">
        <f t="shared" si="8"/>
        <v>0</v>
      </c>
      <c r="K82" s="136"/>
      <c r="L82" s="51" t="s">
        <v>211</v>
      </c>
      <c r="M82" s="39"/>
      <c r="N82" s="21"/>
      <c r="O82" s="8"/>
      <c r="P82" s="20"/>
      <c r="Q82" s="21"/>
      <c r="R82" s="8"/>
      <c r="S82" s="108"/>
    </row>
    <row r="83" spans="1:19" s="2" customFormat="1" ht="19.649999999999999" customHeight="1" x14ac:dyDescent="0.2">
      <c r="A83" s="175" t="s">
        <v>64</v>
      </c>
      <c r="B83" s="209"/>
      <c r="C83" s="277">
        <v>12</v>
      </c>
      <c r="D83" s="20">
        <f t="shared" si="9"/>
        <v>60</v>
      </c>
      <c r="E83" s="47" t="s">
        <v>23</v>
      </c>
      <c r="F83" s="47" t="s">
        <v>23</v>
      </c>
      <c r="G83" s="49" t="s">
        <v>136</v>
      </c>
      <c r="H83" s="157"/>
      <c r="I83" s="50">
        <v>29</v>
      </c>
      <c r="J83" s="136">
        <f t="shared" si="8"/>
        <v>0</v>
      </c>
      <c r="K83" s="136"/>
      <c r="L83" s="51" t="s">
        <v>194</v>
      </c>
      <c r="M83" s="39"/>
      <c r="N83" s="21"/>
      <c r="O83" s="8"/>
      <c r="P83" s="20"/>
      <c r="Q83" s="21"/>
      <c r="R83" s="8"/>
      <c r="S83" s="108"/>
    </row>
    <row r="84" spans="1:19" s="2" customFormat="1" ht="19.649999999999999" customHeight="1" x14ac:dyDescent="0.2">
      <c r="A84" s="175" t="s">
        <v>64</v>
      </c>
      <c r="B84" s="209"/>
      <c r="C84" s="277">
        <v>12</v>
      </c>
      <c r="D84" s="20">
        <f t="shared" si="9"/>
        <v>61</v>
      </c>
      <c r="E84" s="20" t="s">
        <v>23</v>
      </c>
      <c r="F84" s="20" t="s">
        <v>23</v>
      </c>
      <c r="G84" s="245" t="s">
        <v>345</v>
      </c>
      <c r="H84" s="246">
        <v>1</v>
      </c>
      <c r="I84" s="243">
        <v>618</v>
      </c>
      <c r="J84" s="19">
        <f t="shared" si="8"/>
        <v>618</v>
      </c>
      <c r="K84" s="72"/>
      <c r="L84" s="22" t="s">
        <v>358</v>
      </c>
      <c r="M84" s="39"/>
      <c r="N84" s="21"/>
      <c r="O84" s="8"/>
      <c r="P84" s="20"/>
      <c r="Q84" s="21"/>
      <c r="R84" s="8"/>
      <c r="S84" s="108"/>
    </row>
    <row r="85" spans="1:19" s="2" customFormat="1" ht="19.649999999999999" customHeight="1" x14ac:dyDescent="0.2">
      <c r="C85" s="277">
        <v>12</v>
      </c>
      <c r="D85" s="20"/>
      <c r="E85" s="20"/>
      <c r="F85" s="20"/>
      <c r="G85" s="32"/>
      <c r="H85" s="168"/>
      <c r="I85" s="77"/>
      <c r="J85" s="26"/>
      <c r="K85" s="72"/>
      <c r="L85" s="22"/>
      <c r="M85" s="39"/>
      <c r="N85" s="21"/>
      <c r="O85" s="8"/>
      <c r="P85" s="20"/>
      <c r="Q85" s="21"/>
      <c r="R85" s="8"/>
      <c r="S85" s="108"/>
    </row>
    <row r="86" spans="1:19" s="2" customFormat="1" ht="19.649999999999999" customHeight="1" x14ac:dyDescent="0.2">
      <c r="A86" s="175" t="s">
        <v>284</v>
      </c>
      <c r="B86" s="209"/>
      <c r="C86" s="277">
        <v>12</v>
      </c>
      <c r="D86" s="20">
        <f>+D84+1</f>
        <v>62</v>
      </c>
      <c r="E86" s="141" t="s">
        <v>55</v>
      </c>
      <c r="F86" s="141" t="s">
        <v>177</v>
      </c>
      <c r="G86" s="245" t="s">
        <v>370</v>
      </c>
      <c r="H86" s="246">
        <v>1</v>
      </c>
      <c r="I86" s="243">
        <v>7323</v>
      </c>
      <c r="J86" s="19">
        <f t="shared" si="8"/>
        <v>7323</v>
      </c>
      <c r="K86" s="72"/>
      <c r="L86" s="22" t="s">
        <v>359</v>
      </c>
      <c r="M86" s="39"/>
      <c r="N86" s="21"/>
      <c r="O86" s="8"/>
      <c r="P86" s="20"/>
      <c r="Q86" s="21"/>
      <c r="R86" s="8"/>
      <c r="S86" s="108"/>
    </row>
    <row r="87" spans="1:19" s="2" customFormat="1" ht="19.649999999999999" customHeight="1" x14ac:dyDescent="0.2">
      <c r="A87" s="320" t="s">
        <v>284</v>
      </c>
      <c r="B87" s="84"/>
      <c r="C87" s="277">
        <v>12</v>
      </c>
      <c r="D87" s="20">
        <f>+D86+1</f>
        <v>63</v>
      </c>
      <c r="E87" s="141" t="s">
        <v>55</v>
      </c>
      <c r="F87" s="141" t="s">
        <v>177</v>
      </c>
      <c r="G87" s="310" t="s">
        <v>450</v>
      </c>
      <c r="H87" s="311">
        <v>1</v>
      </c>
      <c r="I87" s="312">
        <v>6796</v>
      </c>
      <c r="J87" s="313">
        <f t="shared" si="8"/>
        <v>6796</v>
      </c>
      <c r="K87" s="314"/>
      <c r="L87" s="315" t="s">
        <v>451</v>
      </c>
      <c r="M87" s="21" t="s">
        <v>452</v>
      </c>
      <c r="N87" s="21"/>
      <c r="O87" s="8">
        <v>45348</v>
      </c>
      <c r="P87" s="20"/>
      <c r="Q87" s="21"/>
      <c r="R87" s="8">
        <v>45359</v>
      </c>
      <c r="S87" s="108"/>
    </row>
    <row r="88" spans="1:19" s="2" customFormat="1" ht="19.649999999999999" customHeight="1" x14ac:dyDescent="0.2">
      <c r="A88" s="175" t="s">
        <v>64</v>
      </c>
      <c r="B88" s="84"/>
      <c r="C88" s="277">
        <v>12</v>
      </c>
      <c r="D88" s="20">
        <f t="shared" ref="D88:D90" si="10">+D87+1</f>
        <v>64</v>
      </c>
      <c r="E88" s="20" t="s">
        <v>23</v>
      </c>
      <c r="F88" s="20" t="s">
        <v>23</v>
      </c>
      <c r="G88" s="310" t="s">
        <v>453</v>
      </c>
      <c r="H88" s="311">
        <v>2</v>
      </c>
      <c r="I88" s="312">
        <v>460</v>
      </c>
      <c r="J88" s="313">
        <f t="shared" si="8"/>
        <v>920</v>
      </c>
      <c r="K88" s="314"/>
      <c r="L88" s="315" t="s">
        <v>454</v>
      </c>
      <c r="M88" s="21" t="s">
        <v>452</v>
      </c>
      <c r="N88" s="21"/>
      <c r="O88" s="8">
        <v>45348</v>
      </c>
      <c r="P88" s="20"/>
      <c r="Q88" s="21"/>
      <c r="R88" s="8">
        <v>45359</v>
      </c>
      <c r="S88" s="108"/>
    </row>
    <row r="89" spans="1:19" s="2" customFormat="1" ht="19.649999999999999" customHeight="1" x14ac:dyDescent="0.2">
      <c r="A89" s="175" t="s">
        <v>64</v>
      </c>
      <c r="B89" s="209"/>
      <c r="C89" s="277">
        <v>12</v>
      </c>
      <c r="D89" s="20">
        <f t="shared" si="10"/>
        <v>65</v>
      </c>
      <c r="E89" s="20" t="s">
        <v>23</v>
      </c>
      <c r="F89" s="20" t="s">
        <v>23</v>
      </c>
      <c r="G89" s="245" t="s">
        <v>346</v>
      </c>
      <c r="H89" s="246">
        <v>2</v>
      </c>
      <c r="I89" s="243">
        <v>460</v>
      </c>
      <c r="J89" s="19">
        <f t="shared" si="8"/>
        <v>920</v>
      </c>
      <c r="K89" s="72"/>
      <c r="L89" s="22" t="s">
        <v>357</v>
      </c>
      <c r="M89" s="39"/>
      <c r="N89" s="21"/>
      <c r="O89" s="8"/>
      <c r="P89" s="20"/>
      <c r="Q89" s="21"/>
      <c r="R89" s="8"/>
      <c r="S89" s="108"/>
    </row>
    <row r="90" spans="1:19" s="2" customFormat="1" ht="19.649999999999999" customHeight="1" x14ac:dyDescent="0.2">
      <c r="A90" s="175" t="s">
        <v>64</v>
      </c>
      <c r="B90" s="209"/>
      <c r="C90" s="277">
        <v>12</v>
      </c>
      <c r="D90" s="20">
        <f t="shared" si="10"/>
        <v>66</v>
      </c>
      <c r="E90" s="20" t="s">
        <v>23</v>
      </c>
      <c r="F90" s="20" t="s">
        <v>23</v>
      </c>
      <c r="G90" s="245" t="s">
        <v>347</v>
      </c>
      <c r="H90" s="246">
        <v>2</v>
      </c>
      <c r="I90" s="243">
        <v>618</v>
      </c>
      <c r="J90" s="19">
        <f t="shared" si="8"/>
        <v>1236</v>
      </c>
      <c r="K90" s="72"/>
      <c r="L90" s="22" t="s">
        <v>358</v>
      </c>
      <c r="M90" s="39"/>
      <c r="N90" s="21"/>
      <c r="O90" s="8"/>
      <c r="P90" s="20"/>
      <c r="Q90" s="21"/>
      <c r="R90" s="8"/>
      <c r="S90" s="108"/>
    </row>
    <row r="91" spans="1:19" s="2" customFormat="1" ht="19.649999999999999" customHeight="1" x14ac:dyDescent="0.2">
      <c r="C91" s="277">
        <v>12</v>
      </c>
      <c r="D91" s="20"/>
      <c r="E91" s="172"/>
      <c r="F91" s="172"/>
      <c r="G91" s="182"/>
      <c r="H91" s="21"/>
      <c r="I91" s="39"/>
      <c r="J91" s="58"/>
      <c r="K91" s="1"/>
      <c r="L91" s="22"/>
      <c r="M91" s="58"/>
      <c r="N91" s="21"/>
      <c r="O91" s="8"/>
      <c r="P91" s="20"/>
      <c r="Q91" s="21"/>
      <c r="R91" s="8"/>
      <c r="S91" s="108"/>
    </row>
    <row r="92" spans="1:19" s="2" customFormat="1" ht="19.649999999999999" customHeight="1" x14ac:dyDescent="0.2">
      <c r="A92" s="175" t="s">
        <v>284</v>
      </c>
      <c r="B92" s="247"/>
      <c r="C92" s="277">
        <v>12</v>
      </c>
      <c r="D92" s="20">
        <f>+D90+1</f>
        <v>67</v>
      </c>
      <c r="E92" s="141" t="s">
        <v>55</v>
      </c>
      <c r="F92" s="141" t="s">
        <v>177</v>
      </c>
      <c r="G92" s="248" t="s">
        <v>391</v>
      </c>
      <c r="H92" s="84">
        <v>1</v>
      </c>
      <c r="I92" s="235">
        <v>12200</v>
      </c>
      <c r="J92" s="58">
        <f>H92*I92</f>
        <v>12200</v>
      </c>
      <c r="K92" s="1"/>
      <c r="L92" s="22" t="s">
        <v>389</v>
      </c>
      <c r="M92" s="58" t="s">
        <v>160</v>
      </c>
      <c r="N92" s="21"/>
      <c r="O92" s="8"/>
      <c r="P92" s="20"/>
      <c r="Q92" s="21"/>
      <c r="R92" s="8"/>
      <c r="S92" s="108"/>
    </row>
    <row r="93" spans="1:19" s="2" customFormat="1" ht="19.649999999999999" customHeight="1" x14ac:dyDescent="0.2">
      <c r="A93" s="175" t="s">
        <v>64</v>
      </c>
      <c r="B93" s="209"/>
      <c r="C93" s="277">
        <v>12</v>
      </c>
      <c r="D93" s="20">
        <f>+D92+1</f>
        <v>68</v>
      </c>
      <c r="E93" s="20" t="s">
        <v>23</v>
      </c>
      <c r="F93" s="20" t="s">
        <v>23</v>
      </c>
      <c r="G93" s="249" t="s">
        <v>201</v>
      </c>
      <c r="H93" s="232">
        <v>1</v>
      </c>
      <c r="I93" s="235">
        <v>101</v>
      </c>
      <c r="J93" s="58">
        <f>H93*I93</f>
        <v>101</v>
      </c>
      <c r="K93" s="69"/>
      <c r="L93" s="22" t="s">
        <v>225</v>
      </c>
      <c r="M93" s="39"/>
      <c r="N93" s="21"/>
      <c r="O93" s="8"/>
      <c r="P93" s="20"/>
      <c r="Q93" s="21"/>
      <c r="R93" s="8"/>
      <c r="S93" s="108"/>
    </row>
    <row r="94" spans="1:19" s="2" customFormat="1" ht="19.649999999999999" customHeight="1" x14ac:dyDescent="0.2">
      <c r="A94" s="175" t="s">
        <v>64</v>
      </c>
      <c r="B94" s="209"/>
      <c r="C94" s="277">
        <v>12</v>
      </c>
      <c r="D94" s="20">
        <f>+D93+1</f>
        <v>69</v>
      </c>
      <c r="E94" s="20" t="s">
        <v>23</v>
      </c>
      <c r="F94" s="20" t="s">
        <v>23</v>
      </c>
      <c r="G94" s="249" t="s">
        <v>347</v>
      </c>
      <c r="H94" s="232">
        <v>2</v>
      </c>
      <c r="I94" s="235">
        <v>618</v>
      </c>
      <c r="J94" s="58">
        <f>H94*I94</f>
        <v>1236</v>
      </c>
      <c r="K94" s="69"/>
      <c r="L94" s="22" t="s">
        <v>358</v>
      </c>
      <c r="M94" s="39"/>
      <c r="N94" s="21"/>
      <c r="O94" s="8"/>
      <c r="P94" s="20"/>
      <c r="Q94" s="21"/>
      <c r="R94" s="8"/>
      <c r="S94" s="108"/>
    </row>
    <row r="95" spans="1:19" s="2" customFormat="1" ht="19.649999999999999" customHeight="1" x14ac:dyDescent="0.2">
      <c r="C95" s="277">
        <v>12</v>
      </c>
      <c r="D95" s="20"/>
      <c r="E95" s="20"/>
      <c r="F95" s="20"/>
      <c r="G95" s="45"/>
      <c r="H95" s="163"/>
      <c r="I95" s="39"/>
      <c r="J95" s="26"/>
      <c r="K95" s="69"/>
      <c r="L95" s="22"/>
      <c r="M95" s="39"/>
      <c r="N95" s="21"/>
      <c r="O95" s="8"/>
      <c r="P95" s="20"/>
      <c r="Q95" s="21"/>
      <c r="R95" s="8"/>
      <c r="S95" s="108"/>
    </row>
    <row r="96" spans="1:19" s="2" customFormat="1" ht="19.649999999999999" customHeight="1" x14ac:dyDescent="0.2">
      <c r="A96" s="175" t="s">
        <v>63</v>
      </c>
      <c r="B96" s="209"/>
      <c r="C96" s="277">
        <v>12</v>
      </c>
      <c r="D96" s="20">
        <f>+D94+1</f>
        <v>70</v>
      </c>
      <c r="E96" s="141" t="s">
        <v>55</v>
      </c>
      <c r="F96" s="141" t="s">
        <v>177</v>
      </c>
      <c r="G96" s="249" t="s">
        <v>372</v>
      </c>
      <c r="H96" s="232">
        <v>2</v>
      </c>
      <c r="I96" s="235">
        <v>1640</v>
      </c>
      <c r="J96" s="58">
        <f>H96*I96</f>
        <v>3280</v>
      </c>
      <c r="K96" s="69"/>
      <c r="L96" s="22" t="s">
        <v>360</v>
      </c>
      <c r="M96" s="39"/>
      <c r="N96" s="21"/>
      <c r="O96" s="8"/>
      <c r="P96" s="20"/>
      <c r="Q96" s="21"/>
      <c r="R96" s="8"/>
      <c r="S96" s="108"/>
    </row>
    <row r="97" spans="1:19" s="2" customFormat="1" ht="19.649999999999999" customHeight="1" x14ac:dyDescent="0.2">
      <c r="A97" s="175" t="s">
        <v>64</v>
      </c>
      <c r="B97" s="209"/>
      <c r="C97" s="277">
        <v>12</v>
      </c>
      <c r="D97" s="20">
        <f>+D96+1</f>
        <v>71</v>
      </c>
      <c r="E97" s="47" t="s">
        <v>23</v>
      </c>
      <c r="F97" s="47" t="s">
        <v>23</v>
      </c>
      <c r="G97" s="49" t="s">
        <v>22</v>
      </c>
      <c r="H97" s="157">
        <v>0</v>
      </c>
      <c r="I97" s="50">
        <v>26</v>
      </c>
      <c r="J97" s="158">
        <f>H97*I97</f>
        <v>0</v>
      </c>
      <c r="K97" s="19"/>
      <c r="L97" s="22" t="s">
        <v>348</v>
      </c>
      <c r="M97" s="39"/>
      <c r="N97" s="21"/>
      <c r="O97" s="8"/>
      <c r="P97" s="20"/>
      <c r="Q97" s="21"/>
      <c r="R97" s="8"/>
      <c r="S97" s="108"/>
    </row>
    <row r="98" spans="1:19" s="2" customFormat="1" ht="19.649999999999999" customHeight="1" x14ac:dyDescent="0.2">
      <c r="C98" s="277">
        <v>12</v>
      </c>
      <c r="D98" s="20"/>
      <c r="E98" s="20"/>
      <c r="F98" s="20"/>
      <c r="G98" s="45"/>
      <c r="H98" s="163"/>
      <c r="I98" s="39"/>
      <c r="J98" s="26"/>
      <c r="K98" s="69"/>
      <c r="L98" s="22"/>
      <c r="M98" s="39"/>
      <c r="N98" s="21"/>
      <c r="O98" s="8"/>
      <c r="P98" s="20"/>
      <c r="Q98" s="21"/>
      <c r="R98" s="8"/>
      <c r="S98" s="108"/>
    </row>
    <row r="99" spans="1:19" s="2" customFormat="1" ht="19.649999999999999" customHeight="1" x14ac:dyDescent="0.2">
      <c r="A99" s="175" t="s">
        <v>63</v>
      </c>
      <c r="B99" s="209"/>
      <c r="C99" s="277">
        <v>12</v>
      </c>
      <c r="D99" s="20">
        <f>+D97+1</f>
        <v>72</v>
      </c>
      <c r="E99" s="141" t="s">
        <v>55</v>
      </c>
      <c r="F99" s="141" t="s">
        <v>177</v>
      </c>
      <c r="G99" s="249" t="s">
        <v>371</v>
      </c>
      <c r="H99" s="232">
        <v>2</v>
      </c>
      <c r="I99" s="235">
        <v>1500</v>
      </c>
      <c r="J99" s="58">
        <f>H99*I99</f>
        <v>3000</v>
      </c>
      <c r="K99" s="69"/>
      <c r="L99" s="22" t="s">
        <v>361</v>
      </c>
      <c r="M99" s="39"/>
      <c r="N99" s="21"/>
      <c r="O99" s="8"/>
      <c r="P99" s="20"/>
      <c r="Q99" s="21"/>
      <c r="R99" s="8"/>
      <c r="S99" s="108"/>
    </row>
    <row r="100" spans="1:19" s="2" customFormat="1" ht="19.649999999999999" customHeight="1" x14ac:dyDescent="0.2">
      <c r="A100" s="175" t="s">
        <v>63</v>
      </c>
      <c r="B100" s="84"/>
      <c r="C100" s="277">
        <v>12</v>
      </c>
      <c r="D100" s="20">
        <f>+D99+1</f>
        <v>73</v>
      </c>
      <c r="E100" s="141" t="s">
        <v>55</v>
      </c>
      <c r="F100" s="141" t="s">
        <v>177</v>
      </c>
      <c r="G100" s="316" t="s">
        <v>455</v>
      </c>
      <c r="H100" s="317">
        <v>2</v>
      </c>
      <c r="I100" s="303">
        <v>1520</v>
      </c>
      <c r="J100" s="318">
        <f>H100*I100</f>
        <v>3040</v>
      </c>
      <c r="K100" s="319"/>
      <c r="L100" s="315" t="s">
        <v>456</v>
      </c>
      <c r="M100" s="21" t="s">
        <v>452</v>
      </c>
      <c r="N100" s="21"/>
      <c r="O100" s="8">
        <v>45348</v>
      </c>
      <c r="P100" s="20"/>
      <c r="Q100" s="21"/>
      <c r="R100" s="8">
        <v>45359</v>
      </c>
      <c r="S100" s="108"/>
    </row>
    <row r="101" spans="1:19" s="2" customFormat="1" ht="19.649999999999999" customHeight="1" x14ac:dyDescent="0.2">
      <c r="A101" s="175" t="s">
        <v>64</v>
      </c>
      <c r="B101" s="209"/>
      <c r="C101" s="277">
        <v>12</v>
      </c>
      <c r="D101" s="20">
        <f>+D100+1</f>
        <v>74</v>
      </c>
      <c r="E101" s="47" t="s">
        <v>23</v>
      </c>
      <c r="F101" s="47" t="s">
        <v>23</v>
      </c>
      <c r="G101" s="49" t="s">
        <v>22</v>
      </c>
      <c r="H101" s="157">
        <v>0</v>
      </c>
      <c r="I101" s="50">
        <v>26</v>
      </c>
      <c r="J101" s="158">
        <f>H101*I101</f>
        <v>0</v>
      </c>
      <c r="K101" s="19"/>
      <c r="L101" s="22" t="s">
        <v>348</v>
      </c>
      <c r="M101" s="39"/>
      <c r="N101" s="21"/>
      <c r="O101" s="8"/>
      <c r="P101" s="20"/>
      <c r="Q101" s="21"/>
      <c r="R101" s="8"/>
      <c r="S101" s="108"/>
    </row>
    <row r="102" spans="1:19" s="2" customFormat="1" ht="19.649999999999999" customHeight="1" x14ac:dyDescent="0.2">
      <c r="C102" s="277">
        <v>12</v>
      </c>
      <c r="D102" s="20"/>
      <c r="E102" s="20"/>
      <c r="F102" s="20"/>
      <c r="G102" s="45"/>
      <c r="H102" s="163"/>
      <c r="I102" s="39"/>
      <c r="J102" s="26"/>
      <c r="K102" s="69"/>
      <c r="L102" s="22"/>
      <c r="M102" s="39"/>
      <c r="N102" s="21"/>
      <c r="O102" s="8"/>
      <c r="P102" s="20"/>
      <c r="Q102" s="21"/>
      <c r="R102" s="8"/>
      <c r="S102" s="108"/>
    </row>
    <row r="103" spans="1:19" s="2" customFormat="1" ht="19.649999999999999" customHeight="1" x14ac:dyDescent="0.2">
      <c r="A103" s="175" t="s">
        <v>284</v>
      </c>
      <c r="B103" s="209"/>
      <c r="C103" s="277">
        <v>12</v>
      </c>
      <c r="D103" s="20">
        <f>+D101+1</f>
        <v>75</v>
      </c>
      <c r="E103" s="141" t="s">
        <v>55</v>
      </c>
      <c r="F103" s="141" t="s">
        <v>177</v>
      </c>
      <c r="G103" s="249" t="s">
        <v>373</v>
      </c>
      <c r="H103" s="232">
        <v>1</v>
      </c>
      <c r="I103" s="235">
        <v>6660</v>
      </c>
      <c r="J103" s="58">
        <f>H103*I103</f>
        <v>6660</v>
      </c>
      <c r="K103" s="69"/>
      <c r="L103" s="22" t="s">
        <v>362</v>
      </c>
      <c r="M103" s="39"/>
      <c r="N103" s="21"/>
      <c r="O103" s="8"/>
      <c r="P103" s="20"/>
      <c r="Q103" s="21"/>
      <c r="R103" s="8"/>
      <c r="S103" s="108"/>
    </row>
    <row r="104" spans="1:19" s="2" customFormat="1" ht="19.649999999999999" customHeight="1" x14ac:dyDescent="0.2">
      <c r="A104" s="175" t="s">
        <v>64</v>
      </c>
      <c r="B104" s="209"/>
      <c r="C104" s="277">
        <v>12</v>
      </c>
      <c r="D104" s="20">
        <f>+D103+1</f>
        <v>76</v>
      </c>
      <c r="E104" s="48" t="s">
        <v>23</v>
      </c>
      <c r="F104" s="48" t="s">
        <v>23</v>
      </c>
      <c r="G104" s="159" t="s">
        <v>290</v>
      </c>
      <c r="H104" s="160"/>
      <c r="I104" s="218">
        <v>49</v>
      </c>
      <c r="J104" s="238">
        <f>H104*I104</f>
        <v>0</v>
      </c>
      <c r="K104" s="239"/>
      <c r="L104" s="159" t="s">
        <v>343</v>
      </c>
      <c r="M104" s="39"/>
      <c r="N104" s="21"/>
      <c r="O104" s="8"/>
      <c r="P104" s="20"/>
      <c r="Q104" s="21"/>
      <c r="R104" s="8"/>
      <c r="S104" s="108"/>
    </row>
    <row r="105" spans="1:19" s="2" customFormat="1" ht="19.649999999999999" customHeight="1" x14ac:dyDescent="0.2">
      <c r="A105" s="175" t="s">
        <v>64</v>
      </c>
      <c r="B105" s="209"/>
      <c r="C105" s="277">
        <v>12</v>
      </c>
      <c r="D105" s="20">
        <f>+D104+1</f>
        <v>77</v>
      </c>
      <c r="E105" s="48" t="s">
        <v>23</v>
      </c>
      <c r="F105" s="48" t="s">
        <v>23</v>
      </c>
      <c r="G105" s="159" t="s">
        <v>193</v>
      </c>
      <c r="H105" s="160"/>
      <c r="I105" s="218">
        <v>19</v>
      </c>
      <c r="J105" s="238">
        <f>H105*I105</f>
        <v>0</v>
      </c>
      <c r="K105" s="239"/>
      <c r="L105" s="159" t="s">
        <v>349</v>
      </c>
      <c r="M105" s="39"/>
      <c r="N105" s="21"/>
      <c r="O105" s="8"/>
      <c r="P105" s="20"/>
      <c r="Q105" s="21"/>
      <c r="R105" s="8"/>
      <c r="S105" s="108"/>
    </row>
    <row r="106" spans="1:19" s="2" customFormat="1" ht="19.649999999999999" customHeight="1" x14ac:dyDescent="0.2">
      <c r="A106" s="175" t="s">
        <v>64</v>
      </c>
      <c r="B106" s="209"/>
      <c r="C106" s="277">
        <v>12</v>
      </c>
      <c r="D106" s="20">
        <f>+D105+1</f>
        <v>78</v>
      </c>
      <c r="E106" s="28" t="s">
        <v>23</v>
      </c>
      <c r="F106" s="28" t="s">
        <v>23</v>
      </c>
      <c r="G106" s="236" t="s">
        <v>190</v>
      </c>
      <c r="H106" s="237">
        <v>2</v>
      </c>
      <c r="I106" s="87">
        <v>319</v>
      </c>
      <c r="J106" s="180">
        <f>H106*I106</f>
        <v>638</v>
      </c>
      <c r="K106" s="46"/>
      <c r="L106" s="29" t="s">
        <v>289</v>
      </c>
      <c r="M106" s="39"/>
      <c r="N106" s="21"/>
      <c r="O106" s="8"/>
      <c r="P106" s="20"/>
      <c r="Q106" s="21"/>
      <c r="R106" s="8"/>
      <c r="S106" s="108"/>
    </row>
    <row r="107" spans="1:19" s="2" customFormat="1" ht="19.649999999999999" customHeight="1" x14ac:dyDescent="0.2">
      <c r="A107" s="175" t="s">
        <v>64</v>
      </c>
      <c r="B107" s="209"/>
      <c r="C107" s="277">
        <v>12</v>
      </c>
      <c r="D107" s="20">
        <f>+D106+1</f>
        <v>79</v>
      </c>
      <c r="E107" s="20" t="s">
        <v>23</v>
      </c>
      <c r="F107" s="20" t="s">
        <v>23</v>
      </c>
      <c r="G107" s="241" t="s">
        <v>191</v>
      </c>
      <c r="H107" s="242">
        <v>10</v>
      </c>
      <c r="I107" s="243">
        <v>25</v>
      </c>
      <c r="J107" s="19">
        <f>H107*I107</f>
        <v>250</v>
      </c>
      <c r="K107" s="19"/>
      <c r="L107" s="22" t="s">
        <v>192</v>
      </c>
      <c r="M107" s="39"/>
      <c r="N107" s="21"/>
      <c r="O107" s="8"/>
      <c r="P107" s="20"/>
      <c r="Q107" s="21"/>
      <c r="R107" s="8"/>
      <c r="S107" s="108"/>
    </row>
    <row r="108" spans="1:19" s="2" customFormat="1" ht="19.649999999999999" customHeight="1" x14ac:dyDescent="0.2">
      <c r="C108" s="277">
        <v>12</v>
      </c>
      <c r="D108" s="20"/>
      <c r="E108" s="148"/>
      <c r="F108" s="148"/>
      <c r="G108" s="22"/>
      <c r="H108" s="163"/>
      <c r="I108" s="98"/>
      <c r="J108" s="26"/>
      <c r="K108" s="69"/>
      <c r="L108" s="22"/>
      <c r="M108" s="39"/>
      <c r="N108" s="21"/>
      <c r="O108" s="8"/>
      <c r="P108" s="20"/>
      <c r="Q108" s="21"/>
      <c r="R108" s="8"/>
      <c r="S108" s="108"/>
    </row>
    <row r="109" spans="1:19" s="2" customFormat="1" ht="19.649999999999999" customHeight="1" x14ac:dyDescent="0.2">
      <c r="A109" s="175" t="s">
        <v>284</v>
      </c>
      <c r="C109" s="277">
        <v>12</v>
      </c>
      <c r="D109" s="20">
        <f>+D107+1</f>
        <v>80</v>
      </c>
      <c r="E109" s="141" t="s">
        <v>55</v>
      </c>
      <c r="F109" s="141" t="s">
        <v>177</v>
      </c>
      <c r="G109" s="196" t="s">
        <v>283</v>
      </c>
      <c r="H109" s="194"/>
      <c r="I109" s="174">
        <v>15503</v>
      </c>
      <c r="J109" s="19">
        <f>H109*I109</f>
        <v>0</v>
      </c>
      <c r="K109" s="72"/>
      <c r="L109" s="31" t="s">
        <v>272</v>
      </c>
      <c r="M109" s="39"/>
      <c r="N109" s="21"/>
      <c r="O109" s="8"/>
      <c r="P109" s="20"/>
      <c r="Q109" s="21"/>
      <c r="R109" s="8"/>
      <c r="S109" s="108"/>
    </row>
    <row r="110" spans="1:19" s="2" customFormat="1" ht="19.649999999999999" customHeight="1" x14ac:dyDescent="0.2">
      <c r="A110" s="175" t="s">
        <v>229</v>
      </c>
      <c r="C110" s="277">
        <v>12</v>
      </c>
      <c r="D110" s="20">
        <f>+D109+1</f>
        <v>81</v>
      </c>
      <c r="E110" s="120" t="s">
        <v>31</v>
      </c>
      <c r="F110" s="120" t="s">
        <v>31</v>
      </c>
      <c r="G110" s="208" t="s">
        <v>395</v>
      </c>
      <c r="H110" s="193"/>
      <c r="I110" s="174">
        <v>62780</v>
      </c>
      <c r="J110" s="19">
        <f>H110*I110</f>
        <v>0</v>
      </c>
      <c r="K110" s="60"/>
      <c r="L110" s="44" t="s">
        <v>167</v>
      </c>
      <c r="M110" s="39"/>
      <c r="N110" s="21"/>
      <c r="O110" s="8"/>
      <c r="P110" s="20"/>
      <c r="Q110" s="21"/>
      <c r="R110" s="8"/>
      <c r="S110" s="108"/>
    </row>
    <row r="111" spans="1:19" s="2" customFormat="1" ht="19.649999999999999" customHeight="1" x14ac:dyDescent="0.2">
      <c r="A111" s="175" t="s">
        <v>64</v>
      </c>
      <c r="B111" s="209"/>
      <c r="C111" s="277">
        <v>12</v>
      </c>
      <c r="D111" s="20">
        <f t="shared" ref="D111:D113" si="11">+D110+1</f>
        <v>82</v>
      </c>
      <c r="E111" s="121" t="s">
        <v>408</v>
      </c>
      <c r="F111" s="120" t="s">
        <v>31</v>
      </c>
      <c r="G111" s="251" t="s">
        <v>350</v>
      </c>
      <c r="H111" s="252">
        <v>1</v>
      </c>
      <c r="I111" s="90">
        <v>18441</v>
      </c>
      <c r="J111" s="19">
        <f>H111*I111</f>
        <v>18441</v>
      </c>
      <c r="K111" s="72"/>
      <c r="L111" s="31"/>
      <c r="M111" s="39"/>
      <c r="N111" s="21"/>
      <c r="O111" s="8"/>
      <c r="P111" s="20"/>
      <c r="Q111" s="21"/>
      <c r="R111" s="8"/>
      <c r="S111" s="108"/>
    </row>
    <row r="112" spans="1:19" s="2" customFormat="1" ht="19.649999999999999" customHeight="1" x14ac:dyDescent="0.2">
      <c r="A112" s="175" t="s">
        <v>64</v>
      </c>
      <c r="C112" s="277">
        <v>12</v>
      </c>
      <c r="D112" s="20">
        <f t="shared" si="11"/>
        <v>83</v>
      </c>
      <c r="E112" s="21" t="s">
        <v>23</v>
      </c>
      <c r="F112" s="21" t="s">
        <v>23</v>
      </c>
      <c r="G112" s="203" t="s">
        <v>190</v>
      </c>
      <c r="H112" s="191"/>
      <c r="I112" s="221">
        <v>319</v>
      </c>
      <c r="J112" s="128">
        <f>H112*I112</f>
        <v>0</v>
      </c>
      <c r="K112" s="1"/>
      <c r="L112" s="29" t="s">
        <v>289</v>
      </c>
      <c r="M112" s="39"/>
      <c r="N112" s="21"/>
      <c r="O112" s="8"/>
      <c r="P112" s="20"/>
      <c r="Q112" s="21"/>
      <c r="R112" s="8"/>
      <c r="S112" s="108"/>
    </row>
    <row r="113" spans="1:19" s="2" customFormat="1" ht="19.649999999999999" customHeight="1" x14ac:dyDescent="0.2">
      <c r="A113" s="175" t="s">
        <v>64</v>
      </c>
      <c r="C113" s="277">
        <v>12</v>
      </c>
      <c r="D113" s="20">
        <f t="shared" si="11"/>
        <v>84</v>
      </c>
      <c r="E113" s="20" t="s">
        <v>23</v>
      </c>
      <c r="F113" s="20" t="s">
        <v>23</v>
      </c>
      <c r="G113" s="202" t="s">
        <v>191</v>
      </c>
      <c r="H113" s="190"/>
      <c r="I113" s="220">
        <v>26</v>
      </c>
      <c r="J113" s="19">
        <f>H113*I113</f>
        <v>0</v>
      </c>
      <c r="K113" s="19"/>
      <c r="L113" s="22" t="s">
        <v>192</v>
      </c>
      <c r="M113" s="39"/>
      <c r="N113" s="21"/>
      <c r="O113" s="8"/>
      <c r="P113" s="20"/>
      <c r="Q113" s="21"/>
      <c r="R113" s="8"/>
      <c r="S113" s="108"/>
    </row>
    <row r="114" spans="1:19" s="2" customFormat="1" ht="19.649999999999999" customHeight="1" x14ac:dyDescent="0.2">
      <c r="C114" s="277">
        <v>12</v>
      </c>
      <c r="D114" s="20"/>
      <c r="E114" s="148"/>
      <c r="F114" s="148"/>
      <c r="G114" s="31"/>
      <c r="H114" s="223"/>
      <c r="I114" s="30"/>
      <c r="J114" s="19"/>
      <c r="K114" s="72"/>
      <c r="L114" s="31"/>
      <c r="M114" s="39"/>
      <c r="N114" s="21"/>
      <c r="O114" s="8"/>
      <c r="P114" s="20"/>
      <c r="Q114" s="21"/>
      <c r="R114" s="8"/>
      <c r="S114" s="108"/>
    </row>
    <row r="115" spans="1:19" s="2" customFormat="1" ht="19.649999999999999" customHeight="1" x14ac:dyDescent="0.2">
      <c r="C115" s="277">
        <v>12</v>
      </c>
      <c r="D115" s="20"/>
      <c r="E115" s="20"/>
      <c r="F115" s="20"/>
      <c r="G115" s="22"/>
      <c r="H115" s="163"/>
      <c r="I115" s="39"/>
      <c r="J115" s="26"/>
      <c r="K115" s="69"/>
      <c r="L115" s="22"/>
      <c r="M115" s="39"/>
      <c r="N115" s="21"/>
      <c r="O115" s="8"/>
      <c r="P115" s="20"/>
      <c r="Q115" s="21"/>
      <c r="R115" s="8"/>
      <c r="S115" s="108"/>
    </row>
    <row r="116" spans="1:19" s="2" customFormat="1" ht="19.649999999999999" customHeight="1" x14ac:dyDescent="0.2">
      <c r="C116" s="277">
        <v>12</v>
      </c>
      <c r="D116" s="20">
        <f>+D113+1</f>
        <v>85</v>
      </c>
      <c r="E116" s="153" t="s">
        <v>181</v>
      </c>
      <c r="F116" s="153" t="s">
        <v>183</v>
      </c>
      <c r="G116" s="154" t="s">
        <v>182</v>
      </c>
      <c r="H116" s="186"/>
      <c r="I116" s="155">
        <v>8500</v>
      </c>
      <c r="J116" s="125">
        <f>H116*I116</f>
        <v>0</v>
      </c>
      <c r="K116" s="74"/>
      <c r="L116" s="57" t="s">
        <v>185</v>
      </c>
      <c r="M116" s="39"/>
      <c r="N116" s="21"/>
      <c r="O116" s="8"/>
      <c r="P116" s="20"/>
      <c r="Q116" s="21"/>
      <c r="R116" s="8"/>
      <c r="S116" s="108"/>
    </row>
    <row r="117" spans="1:19" s="2" customFormat="1" ht="19.649999999999999" customHeight="1" x14ac:dyDescent="0.2">
      <c r="C117" s="277">
        <v>12</v>
      </c>
      <c r="D117" s="20">
        <f>+D116+1</f>
        <v>86</v>
      </c>
      <c r="E117" s="124"/>
      <c r="F117" s="124"/>
      <c r="G117" s="133" t="s">
        <v>184</v>
      </c>
      <c r="H117" s="224"/>
      <c r="I117" s="149">
        <v>1000</v>
      </c>
      <c r="J117" s="125">
        <f>H117*I117</f>
        <v>0</v>
      </c>
      <c r="K117" s="74"/>
      <c r="L117" s="57"/>
      <c r="M117" s="39"/>
      <c r="N117" s="21"/>
      <c r="O117" s="8"/>
      <c r="P117" s="20"/>
      <c r="Q117" s="21"/>
      <c r="R117" s="8"/>
      <c r="S117" s="108"/>
    </row>
    <row r="118" spans="1:19" s="2" customFormat="1" ht="19.649999999999999" customHeight="1" x14ac:dyDescent="0.2">
      <c r="C118" s="277">
        <v>12</v>
      </c>
      <c r="D118" s="20">
        <f>+D117+1</f>
        <v>87</v>
      </c>
      <c r="E118" s="153" t="s">
        <v>186</v>
      </c>
      <c r="F118" s="153" t="s">
        <v>186</v>
      </c>
      <c r="G118" s="154" t="s">
        <v>187</v>
      </c>
      <c r="H118" s="186"/>
      <c r="I118" s="155">
        <v>90000</v>
      </c>
      <c r="J118" s="125">
        <f>H118*I118</f>
        <v>0</v>
      </c>
      <c r="K118" s="74"/>
      <c r="L118" s="57"/>
      <c r="M118" s="39"/>
      <c r="N118" s="21"/>
      <c r="O118" s="8"/>
      <c r="P118" s="20"/>
      <c r="Q118" s="21"/>
      <c r="R118" s="8"/>
      <c r="S118" s="108"/>
    </row>
    <row r="119" spans="1:19" s="2" customFormat="1" ht="19.649999999999999" customHeight="1" x14ac:dyDescent="0.2">
      <c r="D119" s="20"/>
      <c r="E119" s="20"/>
      <c r="F119" s="20"/>
      <c r="G119" s="22"/>
      <c r="H119" s="21"/>
      <c r="I119" s="21"/>
      <c r="J119" s="1"/>
      <c r="K119" s="69"/>
      <c r="L119" s="21"/>
      <c r="M119" s="21"/>
      <c r="N119" s="21"/>
      <c r="O119" s="8"/>
      <c r="P119" s="20"/>
      <c r="Q119" s="21"/>
      <c r="R119" s="8"/>
      <c r="S119" s="108"/>
    </row>
    <row r="120" spans="1:19" s="2" customFormat="1" ht="19.649999999999999" customHeight="1" x14ac:dyDescent="0.2">
      <c r="D120" s="20"/>
      <c r="E120" s="20"/>
      <c r="F120" s="20"/>
      <c r="G120" s="54">
        <f>SUM(J14:J119)</f>
        <v>120546</v>
      </c>
      <c r="H120" s="21"/>
      <c r="I120" s="21"/>
      <c r="J120" s="1"/>
      <c r="K120" s="69"/>
      <c r="L120" s="21"/>
      <c r="M120" s="21"/>
      <c r="N120" s="21"/>
      <c r="O120" s="8"/>
      <c r="P120" s="20"/>
      <c r="Q120" s="21"/>
      <c r="R120" s="8"/>
      <c r="S120" s="108"/>
    </row>
    <row r="121" spans="1:19" s="2" customFormat="1" ht="19.649999999999999" customHeight="1" x14ac:dyDescent="0.2">
      <c r="D121" s="20"/>
      <c r="E121" s="20"/>
      <c r="F121" s="20"/>
      <c r="G121" s="83"/>
      <c r="H121" s="21"/>
      <c r="I121" s="21"/>
      <c r="J121" s="1"/>
      <c r="K121" s="69"/>
      <c r="L121" s="21"/>
      <c r="M121" s="21"/>
      <c r="N121" s="21"/>
      <c r="O121" s="8"/>
      <c r="P121" s="20"/>
      <c r="Q121" s="21"/>
      <c r="R121" s="8"/>
      <c r="S121" s="108"/>
    </row>
    <row r="122" spans="1:19" s="2" customFormat="1" ht="19.649999999999999" customHeight="1" x14ac:dyDescent="0.2">
      <c r="D122" s="20"/>
      <c r="E122" s="20"/>
      <c r="F122" s="20"/>
      <c r="G122" s="131"/>
      <c r="H122" s="163"/>
      <c r="I122" s="21"/>
      <c r="J122" s="26"/>
      <c r="K122" s="69"/>
      <c r="L122" s="22"/>
      <c r="M122" s="21"/>
      <c r="N122" s="21"/>
      <c r="O122" s="8"/>
      <c r="P122" s="20"/>
      <c r="Q122" s="21"/>
      <c r="R122" s="8"/>
      <c r="S122" s="108"/>
    </row>
    <row r="123" spans="1:19" s="2" customFormat="1" ht="19.649999999999999" customHeight="1" x14ac:dyDescent="0.2">
      <c r="D123" s="20"/>
      <c r="E123" s="20"/>
      <c r="F123" s="20"/>
      <c r="G123" s="131"/>
      <c r="H123" s="163"/>
      <c r="I123" s="21"/>
      <c r="J123" s="26"/>
      <c r="K123" s="69"/>
      <c r="L123" s="22"/>
      <c r="M123" s="21"/>
      <c r="N123" s="21"/>
      <c r="O123" s="8"/>
      <c r="P123" s="20"/>
      <c r="Q123" s="21"/>
      <c r="R123" s="8"/>
      <c r="S123" s="108"/>
    </row>
    <row r="124" spans="1:19" s="2" customFormat="1" ht="19.649999999999999" customHeight="1" x14ac:dyDescent="0.2">
      <c r="D124" s="20"/>
      <c r="E124" s="20"/>
      <c r="F124" s="20"/>
      <c r="G124" s="131"/>
      <c r="H124" s="163"/>
      <c r="I124" s="21"/>
      <c r="J124" s="26"/>
      <c r="K124" s="69"/>
      <c r="L124" s="22"/>
      <c r="M124" s="21"/>
      <c r="N124" s="21"/>
      <c r="O124" s="8"/>
      <c r="P124" s="20"/>
      <c r="Q124" s="21"/>
      <c r="R124" s="8"/>
      <c r="S124" s="108"/>
    </row>
    <row r="125" spans="1:19" s="2" customFormat="1" ht="19.649999999999999" customHeight="1" x14ac:dyDescent="0.2">
      <c r="D125" s="20"/>
      <c r="E125" s="132" t="s">
        <v>180</v>
      </c>
      <c r="F125" s="146"/>
      <c r="G125" s="147"/>
      <c r="H125" s="163"/>
      <c r="I125" s="21"/>
      <c r="J125" s="26"/>
      <c r="K125" s="69"/>
      <c r="L125" s="22"/>
      <c r="M125" s="21"/>
      <c r="N125" s="21"/>
      <c r="O125" s="8"/>
      <c r="P125" s="20"/>
      <c r="Q125" s="21"/>
      <c r="R125" s="8"/>
      <c r="S125" s="108"/>
    </row>
    <row r="126" spans="1:19" s="2" customFormat="1" ht="19.649999999999999" customHeight="1" x14ac:dyDescent="0.2">
      <c r="A126" s="183" t="s">
        <v>64</v>
      </c>
      <c r="B126" s="209"/>
      <c r="C126" s="280">
        <v>13</v>
      </c>
      <c r="D126" s="20">
        <f>+D118+1</f>
        <v>88</v>
      </c>
      <c r="E126" s="28" t="s">
        <v>23</v>
      </c>
      <c r="F126" s="20" t="s">
        <v>23</v>
      </c>
      <c r="G126" s="236" t="s">
        <v>331</v>
      </c>
      <c r="H126" s="211">
        <v>1</v>
      </c>
      <c r="I126" s="90">
        <v>8810</v>
      </c>
      <c r="J126" s="40">
        <f t="shared" ref="J126:J140" si="12">H126*I126</f>
        <v>8810</v>
      </c>
      <c r="K126" s="137"/>
      <c r="L126" s="29" t="s">
        <v>332</v>
      </c>
      <c r="M126" s="21"/>
      <c r="N126" s="21"/>
      <c r="O126" s="8"/>
      <c r="P126" s="20"/>
      <c r="Q126" s="21"/>
      <c r="R126" s="8"/>
      <c r="S126" s="108"/>
    </row>
    <row r="127" spans="1:19" s="2" customFormat="1" ht="19.649999999999999" customHeight="1" x14ac:dyDescent="0.2">
      <c r="A127" s="122" t="s">
        <v>300</v>
      </c>
      <c r="B127" s="209"/>
      <c r="C127" s="280">
        <v>13</v>
      </c>
      <c r="D127" s="20">
        <f t="shared" ref="D127:D153" si="13">+D126+1</f>
        <v>89</v>
      </c>
      <c r="E127" s="141" t="s">
        <v>55</v>
      </c>
      <c r="F127" s="141" t="s">
        <v>23</v>
      </c>
      <c r="G127" s="253" t="s">
        <v>302</v>
      </c>
      <c r="H127" s="232">
        <v>1</v>
      </c>
      <c r="I127" s="235">
        <v>2180</v>
      </c>
      <c r="J127" s="58">
        <f t="shared" si="12"/>
        <v>2180</v>
      </c>
      <c r="K127" s="69"/>
      <c r="L127" s="22" t="s">
        <v>401</v>
      </c>
      <c r="M127" s="21"/>
      <c r="N127" s="21"/>
      <c r="O127" s="8"/>
      <c r="P127" s="20"/>
      <c r="Q127" s="21"/>
      <c r="R127" s="8"/>
      <c r="S127" s="108"/>
    </row>
    <row r="128" spans="1:19" s="2" customFormat="1" ht="19.649999999999999" customHeight="1" x14ac:dyDescent="0.2">
      <c r="A128" s="219" t="s">
        <v>300</v>
      </c>
      <c r="B128" s="84"/>
      <c r="C128" s="323">
        <v>14</v>
      </c>
      <c r="D128" s="20">
        <f t="shared" si="13"/>
        <v>90</v>
      </c>
      <c r="E128" s="141" t="s">
        <v>55</v>
      </c>
      <c r="F128" s="148" t="s">
        <v>23</v>
      </c>
      <c r="G128" s="324" t="s">
        <v>464</v>
      </c>
      <c r="H128" s="317">
        <v>1</v>
      </c>
      <c r="I128" s="303">
        <v>2180</v>
      </c>
      <c r="J128" s="58">
        <f t="shared" si="12"/>
        <v>2180</v>
      </c>
      <c r="K128" s="69"/>
      <c r="L128" s="22" t="s">
        <v>462</v>
      </c>
      <c r="M128" s="21" t="s">
        <v>463</v>
      </c>
      <c r="N128" s="21"/>
      <c r="O128" s="8">
        <v>45359</v>
      </c>
      <c r="P128" s="20"/>
      <c r="Q128" s="100">
        <v>45364</v>
      </c>
      <c r="R128" s="8"/>
      <c r="S128" s="108"/>
    </row>
    <row r="129" spans="1:19" s="2" customFormat="1" ht="19.649999999999999" customHeight="1" x14ac:dyDescent="0.2">
      <c r="A129" s="122" t="s">
        <v>103</v>
      </c>
      <c r="B129" s="209"/>
      <c r="C129" s="280">
        <v>13</v>
      </c>
      <c r="D129" s="20">
        <f t="shared" si="13"/>
        <v>91</v>
      </c>
      <c r="E129" s="20" t="s">
        <v>23</v>
      </c>
      <c r="F129" s="20" t="s">
        <v>23</v>
      </c>
      <c r="G129" s="253" t="s">
        <v>305</v>
      </c>
      <c r="H129" s="232">
        <v>4</v>
      </c>
      <c r="I129" s="235">
        <v>104</v>
      </c>
      <c r="J129" s="58">
        <f t="shared" si="12"/>
        <v>416</v>
      </c>
      <c r="K129" s="69"/>
      <c r="L129" s="22" t="s">
        <v>306</v>
      </c>
      <c r="M129" s="21"/>
      <c r="N129" s="21"/>
      <c r="O129" s="8"/>
      <c r="P129" s="20"/>
      <c r="Q129" s="21"/>
      <c r="R129" s="8"/>
      <c r="S129" s="108"/>
    </row>
    <row r="130" spans="1:19" s="2" customFormat="1" ht="19.649999999999999" customHeight="1" x14ac:dyDescent="0.2">
      <c r="A130" s="122" t="s">
        <v>300</v>
      </c>
      <c r="B130" s="209"/>
      <c r="C130" s="280">
        <v>13</v>
      </c>
      <c r="D130" s="20">
        <f t="shared" si="13"/>
        <v>92</v>
      </c>
      <c r="E130" s="141" t="s">
        <v>55</v>
      </c>
      <c r="F130" s="141" t="s">
        <v>23</v>
      </c>
      <c r="G130" s="254" t="s">
        <v>333</v>
      </c>
      <c r="H130" s="232">
        <v>1</v>
      </c>
      <c r="I130" s="84">
        <v>3160</v>
      </c>
      <c r="J130" s="58">
        <f t="shared" si="12"/>
        <v>3160</v>
      </c>
      <c r="K130" s="69"/>
      <c r="L130" s="22" t="s">
        <v>406</v>
      </c>
      <c r="M130" s="21"/>
      <c r="N130" s="21"/>
      <c r="O130" s="8"/>
      <c r="P130" s="20"/>
      <c r="Q130" s="21"/>
      <c r="R130" s="8"/>
      <c r="S130" s="108"/>
    </row>
    <row r="131" spans="1:19" s="2" customFormat="1" ht="19.649999999999999" customHeight="1" x14ac:dyDescent="0.2">
      <c r="A131" s="183" t="s">
        <v>64</v>
      </c>
      <c r="B131" s="209"/>
      <c r="C131" s="280">
        <v>13</v>
      </c>
      <c r="D131" s="20">
        <f t="shared" si="13"/>
        <v>93</v>
      </c>
      <c r="E131" s="48" t="s">
        <v>23</v>
      </c>
      <c r="F131" s="48" t="s">
        <v>23</v>
      </c>
      <c r="G131" s="159" t="s">
        <v>290</v>
      </c>
      <c r="H131" s="160"/>
      <c r="I131" s="218">
        <v>69</v>
      </c>
      <c r="J131" s="238">
        <f t="shared" si="12"/>
        <v>0</v>
      </c>
      <c r="K131" s="239"/>
      <c r="L131" s="159" t="s">
        <v>308</v>
      </c>
      <c r="M131" s="21"/>
      <c r="N131" s="21"/>
      <c r="O131" s="8"/>
      <c r="P131" s="20"/>
      <c r="Q131" s="21"/>
      <c r="R131" s="8"/>
      <c r="S131" s="108"/>
    </row>
    <row r="132" spans="1:19" s="2" customFormat="1" ht="19.649999999999999" customHeight="1" x14ac:dyDescent="0.2">
      <c r="A132" s="183" t="s">
        <v>64</v>
      </c>
      <c r="B132" s="209"/>
      <c r="C132" s="280">
        <v>13</v>
      </c>
      <c r="D132" s="20">
        <f t="shared" si="13"/>
        <v>94</v>
      </c>
      <c r="E132" s="28" t="s">
        <v>23</v>
      </c>
      <c r="F132" s="28" t="s">
        <v>23</v>
      </c>
      <c r="G132" s="254" t="s">
        <v>334</v>
      </c>
      <c r="H132" s="232">
        <v>4</v>
      </c>
      <c r="I132" s="84">
        <v>43</v>
      </c>
      <c r="J132" s="128">
        <f t="shared" si="12"/>
        <v>172</v>
      </c>
      <c r="K132" s="69"/>
      <c r="L132" s="22" t="s">
        <v>310</v>
      </c>
      <c r="M132" s="21"/>
      <c r="N132" s="21"/>
      <c r="O132" s="8"/>
      <c r="P132" s="20"/>
      <c r="Q132" s="21"/>
      <c r="R132" s="8"/>
      <c r="S132" s="108"/>
    </row>
    <row r="133" spans="1:19" s="2" customFormat="1" ht="19.649999999999999" customHeight="1" x14ac:dyDescent="0.2">
      <c r="A133" s="183" t="s">
        <v>64</v>
      </c>
      <c r="B133" s="209"/>
      <c r="C133" s="280">
        <v>13</v>
      </c>
      <c r="D133" s="20">
        <f t="shared" si="13"/>
        <v>95</v>
      </c>
      <c r="E133" s="28" t="s">
        <v>23</v>
      </c>
      <c r="F133" s="28" t="s">
        <v>23</v>
      </c>
      <c r="G133" s="254" t="s">
        <v>309</v>
      </c>
      <c r="H133" s="232">
        <v>2</v>
      </c>
      <c r="I133" s="84">
        <v>41</v>
      </c>
      <c r="J133" s="128">
        <f t="shared" si="12"/>
        <v>82</v>
      </c>
      <c r="K133" s="69"/>
      <c r="L133" s="22" t="s">
        <v>311</v>
      </c>
      <c r="M133" s="21"/>
      <c r="N133" s="21"/>
      <c r="O133" s="8"/>
      <c r="P133" s="20"/>
      <c r="Q133" s="21"/>
      <c r="R133" s="8"/>
      <c r="S133" s="108"/>
    </row>
    <row r="134" spans="1:19" s="2" customFormat="1" ht="19.649999999999999" customHeight="1" x14ac:dyDescent="0.2">
      <c r="A134" s="183" t="s">
        <v>64</v>
      </c>
      <c r="B134" s="209"/>
      <c r="C134" s="280">
        <v>13</v>
      </c>
      <c r="D134" s="20">
        <f t="shared" si="13"/>
        <v>96</v>
      </c>
      <c r="E134" s="28" t="s">
        <v>23</v>
      </c>
      <c r="F134" s="28" t="s">
        <v>23</v>
      </c>
      <c r="G134" s="254" t="s">
        <v>330</v>
      </c>
      <c r="H134" s="232">
        <v>4</v>
      </c>
      <c r="I134" s="84">
        <v>92</v>
      </c>
      <c r="J134" s="128">
        <f t="shared" si="12"/>
        <v>368</v>
      </c>
      <c r="K134" s="69"/>
      <c r="L134" s="22" t="s">
        <v>312</v>
      </c>
      <c r="M134" s="21"/>
      <c r="N134" s="21"/>
      <c r="O134" s="8"/>
      <c r="P134" s="20"/>
      <c r="Q134" s="21"/>
      <c r="R134" s="8"/>
      <c r="S134" s="108"/>
    </row>
    <row r="135" spans="1:19" s="2" customFormat="1" ht="19.649999999999999" customHeight="1" x14ac:dyDescent="0.2">
      <c r="A135" s="122" t="s">
        <v>300</v>
      </c>
      <c r="B135" s="209"/>
      <c r="C135" s="280">
        <v>13</v>
      </c>
      <c r="D135" s="20">
        <f t="shared" si="13"/>
        <v>97</v>
      </c>
      <c r="E135" s="141" t="s">
        <v>55</v>
      </c>
      <c r="F135" s="141" t="s">
        <v>23</v>
      </c>
      <c r="G135" s="254" t="s">
        <v>335</v>
      </c>
      <c r="H135" s="232">
        <v>1</v>
      </c>
      <c r="I135" s="84">
        <v>3160</v>
      </c>
      <c r="J135" s="58">
        <f t="shared" si="12"/>
        <v>3160</v>
      </c>
      <c r="K135" s="69"/>
      <c r="L135" s="22" t="s">
        <v>404</v>
      </c>
      <c r="M135" s="21"/>
      <c r="N135" s="21"/>
      <c r="O135" s="8"/>
      <c r="P135" s="20"/>
      <c r="Q135" s="21"/>
      <c r="R135" s="8"/>
      <c r="S135" s="108"/>
    </row>
    <row r="136" spans="1:19" s="2" customFormat="1" ht="19.649999999999999" customHeight="1" x14ac:dyDescent="0.2">
      <c r="A136" s="183" t="s">
        <v>64</v>
      </c>
      <c r="B136" s="209"/>
      <c r="C136" s="280">
        <v>13</v>
      </c>
      <c r="D136" s="20">
        <f t="shared" si="13"/>
        <v>98</v>
      </c>
      <c r="E136" s="48" t="s">
        <v>23</v>
      </c>
      <c r="F136" s="48" t="s">
        <v>23</v>
      </c>
      <c r="G136" s="159" t="s">
        <v>290</v>
      </c>
      <c r="H136" s="160"/>
      <c r="I136" s="218">
        <v>69</v>
      </c>
      <c r="J136" s="238">
        <f t="shared" si="12"/>
        <v>0</v>
      </c>
      <c r="K136" s="239"/>
      <c r="L136" s="159" t="s">
        <v>308</v>
      </c>
      <c r="M136" s="21"/>
      <c r="N136" s="21"/>
      <c r="O136" s="8"/>
      <c r="P136" s="20"/>
      <c r="Q136" s="21"/>
      <c r="R136" s="8"/>
      <c r="S136" s="108"/>
    </row>
    <row r="137" spans="1:19" s="2" customFormat="1" ht="19.649999999999999" customHeight="1" x14ac:dyDescent="0.2">
      <c r="A137" s="21" t="s">
        <v>64</v>
      </c>
      <c r="B137" s="84"/>
      <c r="C137" s="280">
        <v>13</v>
      </c>
      <c r="D137" s="20">
        <f t="shared" si="13"/>
        <v>99</v>
      </c>
      <c r="E137" s="20" t="s">
        <v>23</v>
      </c>
      <c r="F137" s="20" t="s">
        <v>23</v>
      </c>
      <c r="G137" s="253" t="s">
        <v>26</v>
      </c>
      <c r="H137" s="84">
        <v>2</v>
      </c>
      <c r="I137" s="255">
        <v>72</v>
      </c>
      <c r="J137" s="39">
        <f t="shared" si="12"/>
        <v>144</v>
      </c>
      <c r="K137" s="1"/>
      <c r="L137" s="25" t="s">
        <v>27</v>
      </c>
      <c r="M137" s="21"/>
      <c r="N137" s="21"/>
      <c r="O137" s="8"/>
      <c r="P137" s="20"/>
      <c r="Q137" s="21"/>
      <c r="R137" s="8"/>
      <c r="S137" s="108"/>
    </row>
    <row r="138" spans="1:19" s="2" customFormat="1" ht="19.649999999999999" customHeight="1" x14ac:dyDescent="0.2">
      <c r="A138" s="21" t="s">
        <v>64</v>
      </c>
      <c r="B138" s="84"/>
      <c r="C138" s="280">
        <v>13</v>
      </c>
      <c r="D138" s="20">
        <f t="shared" si="13"/>
        <v>100</v>
      </c>
      <c r="E138" s="20" t="s">
        <v>23</v>
      </c>
      <c r="F138" s="20" t="s">
        <v>23</v>
      </c>
      <c r="G138" s="253" t="s">
        <v>28</v>
      </c>
      <c r="H138" s="84">
        <v>2</v>
      </c>
      <c r="I138" s="255">
        <v>31</v>
      </c>
      <c r="J138" s="39">
        <f t="shared" si="12"/>
        <v>62</v>
      </c>
      <c r="K138" s="1"/>
      <c r="L138" s="25" t="s">
        <v>29</v>
      </c>
      <c r="M138" s="21"/>
      <c r="N138" s="21"/>
      <c r="O138" s="8"/>
      <c r="P138" s="20"/>
      <c r="Q138" s="21"/>
      <c r="R138" s="8"/>
      <c r="S138" s="108"/>
    </row>
    <row r="139" spans="1:19" s="2" customFormat="1" ht="19.649999999999999" customHeight="1" x14ac:dyDescent="0.2">
      <c r="A139" s="183" t="s">
        <v>64</v>
      </c>
      <c r="B139" s="84"/>
      <c r="C139" s="280">
        <v>13</v>
      </c>
      <c r="D139" s="20">
        <f t="shared" si="13"/>
        <v>101</v>
      </c>
      <c r="E139" s="28" t="s">
        <v>23</v>
      </c>
      <c r="F139" s="28" t="s">
        <v>23</v>
      </c>
      <c r="G139" s="254" t="s">
        <v>334</v>
      </c>
      <c r="H139" s="232">
        <v>4</v>
      </c>
      <c r="I139" s="84">
        <v>29</v>
      </c>
      <c r="J139" s="128">
        <f t="shared" si="12"/>
        <v>116</v>
      </c>
      <c r="K139" s="69"/>
      <c r="L139" s="22" t="s">
        <v>310</v>
      </c>
      <c r="M139" s="21"/>
      <c r="N139" s="21"/>
      <c r="O139" s="8"/>
      <c r="P139" s="20"/>
      <c r="Q139" s="21"/>
      <c r="R139" s="8"/>
      <c r="S139" s="108"/>
    </row>
    <row r="140" spans="1:19" s="2" customFormat="1" ht="19.649999999999999" customHeight="1" x14ac:dyDescent="0.2">
      <c r="A140" s="183" t="s">
        <v>64</v>
      </c>
      <c r="B140" s="84"/>
      <c r="C140" s="280">
        <v>13</v>
      </c>
      <c r="D140" s="20">
        <f t="shared" si="13"/>
        <v>102</v>
      </c>
      <c r="E140" s="28" t="s">
        <v>23</v>
      </c>
      <c r="F140" s="28" t="s">
        <v>23</v>
      </c>
      <c r="G140" s="254" t="s">
        <v>336</v>
      </c>
      <c r="H140" s="232">
        <v>4</v>
      </c>
      <c r="I140" s="84">
        <v>92</v>
      </c>
      <c r="J140" s="128">
        <f t="shared" si="12"/>
        <v>368</v>
      </c>
      <c r="K140" s="69"/>
      <c r="L140" s="22" t="s">
        <v>312</v>
      </c>
      <c r="M140" s="21"/>
      <c r="N140" s="21"/>
      <c r="O140" s="8"/>
      <c r="P140" s="20"/>
      <c r="Q140" s="21"/>
      <c r="R140" s="8"/>
      <c r="S140" s="108"/>
    </row>
    <row r="141" spans="1:19" s="2" customFormat="1" ht="19.2" customHeight="1" x14ac:dyDescent="0.2">
      <c r="A141" s="122" t="s">
        <v>111</v>
      </c>
      <c r="B141" s="84"/>
      <c r="C141" s="280">
        <v>13</v>
      </c>
      <c r="D141" s="20">
        <f t="shared" si="13"/>
        <v>103</v>
      </c>
      <c r="E141" s="141" t="s">
        <v>55</v>
      </c>
      <c r="F141" s="141" t="s">
        <v>23</v>
      </c>
      <c r="G141" s="254" t="s">
        <v>303</v>
      </c>
      <c r="H141" s="232">
        <v>1</v>
      </c>
      <c r="I141" s="84">
        <v>13097</v>
      </c>
      <c r="J141" s="58">
        <f>H141*I141</f>
        <v>13097</v>
      </c>
      <c r="K141" s="69"/>
      <c r="L141" s="22" t="s">
        <v>402</v>
      </c>
      <c r="M141" s="21"/>
      <c r="N141" s="21"/>
      <c r="O141" s="8"/>
      <c r="P141" s="20"/>
      <c r="Q141" s="21"/>
      <c r="R141" s="8"/>
      <c r="S141" s="108"/>
    </row>
    <row r="142" spans="1:19" s="2" customFormat="1" ht="19.2" customHeight="1" x14ac:dyDescent="0.2">
      <c r="A142" s="122" t="s">
        <v>142</v>
      </c>
      <c r="B142" s="84"/>
      <c r="C142" s="280">
        <v>13</v>
      </c>
      <c r="D142" s="20">
        <f t="shared" si="13"/>
        <v>104</v>
      </c>
      <c r="E142" s="28" t="s">
        <v>23</v>
      </c>
      <c r="F142" s="28" t="s">
        <v>23</v>
      </c>
      <c r="G142" s="254" t="s">
        <v>315</v>
      </c>
      <c r="H142" s="232">
        <v>4</v>
      </c>
      <c r="I142" s="84">
        <v>1180</v>
      </c>
      <c r="J142" s="58">
        <f>H142*I142</f>
        <v>4720</v>
      </c>
      <c r="K142" s="69"/>
      <c r="L142" s="22" t="s">
        <v>316</v>
      </c>
      <c r="M142" s="21"/>
      <c r="N142" s="21"/>
      <c r="O142" s="8"/>
      <c r="P142" s="20"/>
      <c r="Q142" s="21"/>
      <c r="R142" s="8"/>
      <c r="S142" s="108"/>
    </row>
    <row r="143" spans="1:19" s="2" customFormat="1" ht="19.2" customHeight="1" x14ac:dyDescent="0.2">
      <c r="A143" s="2" t="s">
        <v>64</v>
      </c>
      <c r="B143" s="84"/>
      <c r="C143" s="280">
        <v>13</v>
      </c>
      <c r="D143" s="20">
        <f t="shared" si="13"/>
        <v>105</v>
      </c>
      <c r="E143" s="47" t="s">
        <v>23</v>
      </c>
      <c r="F143" s="47" t="s">
        <v>23</v>
      </c>
      <c r="G143" s="49" t="s">
        <v>22</v>
      </c>
      <c r="H143" s="157"/>
      <c r="I143" s="50">
        <v>25</v>
      </c>
      <c r="J143" s="136">
        <f t="shared" ref="J143:J150" si="14">H143*I143</f>
        <v>0</v>
      </c>
      <c r="K143" s="136"/>
      <c r="L143" s="51" t="s">
        <v>230</v>
      </c>
      <c r="M143" s="21"/>
      <c r="N143" s="21"/>
      <c r="O143" s="8"/>
      <c r="P143" s="20"/>
      <c r="Q143" s="21"/>
      <c r="R143" s="8"/>
      <c r="S143" s="108"/>
    </row>
    <row r="144" spans="1:19" s="2" customFormat="1" ht="19.2" customHeight="1" x14ac:dyDescent="0.2">
      <c r="A144" s="183" t="s">
        <v>65</v>
      </c>
      <c r="B144" s="84"/>
      <c r="C144" s="280">
        <v>13</v>
      </c>
      <c r="D144" s="20">
        <f t="shared" si="13"/>
        <v>106</v>
      </c>
      <c r="E144" s="28" t="s">
        <v>23</v>
      </c>
      <c r="F144" s="28" t="s">
        <v>23</v>
      </c>
      <c r="G144" s="254" t="s">
        <v>313</v>
      </c>
      <c r="H144" s="232">
        <v>2</v>
      </c>
      <c r="I144" s="84">
        <v>1190</v>
      </c>
      <c r="J144" s="19">
        <f t="shared" si="14"/>
        <v>2380</v>
      </c>
      <c r="K144" s="69"/>
      <c r="L144" s="22" t="s">
        <v>317</v>
      </c>
      <c r="M144" s="21"/>
      <c r="N144" s="21"/>
      <c r="O144" s="8"/>
      <c r="P144" s="20"/>
      <c r="Q144" s="21"/>
      <c r="R144" s="8"/>
      <c r="S144" s="108"/>
    </row>
    <row r="145" spans="1:19" s="2" customFormat="1" ht="19.2" customHeight="1" x14ac:dyDescent="0.2">
      <c r="A145" s="183" t="s">
        <v>65</v>
      </c>
      <c r="B145" s="84"/>
      <c r="C145" s="280">
        <v>13</v>
      </c>
      <c r="D145" s="20">
        <f t="shared" si="13"/>
        <v>107</v>
      </c>
      <c r="E145" s="28" t="s">
        <v>23</v>
      </c>
      <c r="F145" s="28" t="s">
        <v>23</v>
      </c>
      <c r="G145" s="249" t="s">
        <v>314</v>
      </c>
      <c r="H145" s="228">
        <v>2</v>
      </c>
      <c r="I145" s="84">
        <v>1330</v>
      </c>
      <c r="J145" s="19">
        <f t="shared" si="14"/>
        <v>2660</v>
      </c>
      <c r="K145" s="69"/>
      <c r="L145" s="22" t="s">
        <v>318</v>
      </c>
      <c r="M145" s="21"/>
      <c r="N145" s="21"/>
      <c r="O145" s="8"/>
      <c r="P145" s="20"/>
      <c r="Q145" s="21"/>
      <c r="R145" s="8"/>
      <c r="S145" s="108"/>
    </row>
    <row r="146" spans="1:19" s="2" customFormat="1" ht="19.649999999999999" customHeight="1" x14ac:dyDescent="0.2">
      <c r="A146" s="122" t="s">
        <v>111</v>
      </c>
      <c r="B146" s="84"/>
      <c r="C146" s="280">
        <v>13</v>
      </c>
      <c r="D146" s="20">
        <f t="shared" si="13"/>
        <v>108</v>
      </c>
      <c r="E146" s="141" t="s">
        <v>55</v>
      </c>
      <c r="F146" s="141" t="s">
        <v>23</v>
      </c>
      <c r="G146" s="254" t="s">
        <v>301</v>
      </c>
      <c r="H146" s="232">
        <v>1</v>
      </c>
      <c r="I146" s="84">
        <v>19334</v>
      </c>
      <c r="J146" s="19">
        <f t="shared" si="14"/>
        <v>19334</v>
      </c>
      <c r="K146" s="69"/>
      <c r="L146" s="22" t="s">
        <v>403</v>
      </c>
      <c r="M146" s="21"/>
      <c r="N146" s="21"/>
      <c r="O146" s="8"/>
      <c r="P146" s="20"/>
      <c r="Q146" s="21"/>
      <c r="R146" s="8"/>
      <c r="S146" s="108"/>
    </row>
    <row r="147" spans="1:19" s="2" customFormat="1" ht="19.649999999999999" customHeight="1" x14ac:dyDescent="0.2">
      <c r="A147" s="183" t="s">
        <v>223</v>
      </c>
      <c r="B147" s="84"/>
      <c r="C147" s="280">
        <v>13</v>
      </c>
      <c r="D147" s="20">
        <f t="shared" si="13"/>
        <v>109</v>
      </c>
      <c r="E147" s="28" t="s">
        <v>23</v>
      </c>
      <c r="F147" s="28" t="s">
        <v>23</v>
      </c>
      <c r="G147" s="254" t="s">
        <v>319</v>
      </c>
      <c r="H147" s="232">
        <v>2</v>
      </c>
      <c r="I147" s="84">
        <v>1200</v>
      </c>
      <c r="J147" s="19">
        <f t="shared" si="14"/>
        <v>2400</v>
      </c>
      <c r="K147" s="69"/>
      <c r="L147" s="22" t="s">
        <v>317</v>
      </c>
      <c r="M147" s="21"/>
      <c r="N147" s="21"/>
      <c r="O147" s="8"/>
      <c r="P147" s="20"/>
      <c r="Q147" s="21"/>
      <c r="R147" s="8"/>
      <c r="S147" s="108"/>
    </row>
    <row r="148" spans="1:19" s="2" customFormat="1" ht="19.649999999999999" customHeight="1" x14ac:dyDescent="0.2">
      <c r="A148" s="183" t="s">
        <v>64</v>
      </c>
      <c r="B148" s="84"/>
      <c r="C148" s="280">
        <v>13</v>
      </c>
      <c r="D148" s="20">
        <f t="shared" si="13"/>
        <v>110</v>
      </c>
      <c r="E148" s="48" t="s">
        <v>23</v>
      </c>
      <c r="F148" s="48" t="s">
        <v>23</v>
      </c>
      <c r="G148" s="159" t="s">
        <v>193</v>
      </c>
      <c r="H148" s="160"/>
      <c r="I148" s="218">
        <v>19</v>
      </c>
      <c r="J148" s="238">
        <f t="shared" si="14"/>
        <v>0</v>
      </c>
      <c r="K148" s="239"/>
      <c r="L148" s="159" t="s">
        <v>209</v>
      </c>
      <c r="M148" s="21"/>
      <c r="N148" s="21"/>
      <c r="O148" s="8"/>
      <c r="P148" s="20"/>
      <c r="Q148" s="21"/>
      <c r="R148" s="8"/>
      <c r="S148" s="108"/>
    </row>
    <row r="149" spans="1:19" s="2" customFormat="1" ht="19.649999999999999" customHeight="1" x14ac:dyDescent="0.2">
      <c r="A149" s="183" t="s">
        <v>64</v>
      </c>
      <c r="B149" s="84"/>
      <c r="C149" s="280">
        <v>13</v>
      </c>
      <c r="D149" s="20">
        <f t="shared" si="13"/>
        <v>111</v>
      </c>
      <c r="E149" s="47" t="s">
        <v>23</v>
      </c>
      <c r="F149" s="47" t="s">
        <v>23</v>
      </c>
      <c r="G149" s="49" t="s">
        <v>137</v>
      </c>
      <c r="H149" s="157"/>
      <c r="I149" s="50">
        <v>27</v>
      </c>
      <c r="J149" s="136">
        <f t="shared" si="14"/>
        <v>0</v>
      </c>
      <c r="K149" s="136"/>
      <c r="L149" s="51" t="s">
        <v>231</v>
      </c>
      <c r="M149" s="21"/>
      <c r="N149" s="21"/>
      <c r="O149" s="8"/>
      <c r="P149" s="20"/>
      <c r="Q149" s="21"/>
      <c r="R149" s="8"/>
      <c r="S149" s="108"/>
    </row>
    <row r="150" spans="1:19" s="2" customFormat="1" ht="19.649999999999999" customHeight="1" x14ac:dyDescent="0.2">
      <c r="A150" s="183" t="s">
        <v>64</v>
      </c>
      <c r="B150" s="84"/>
      <c r="C150" s="280">
        <v>13</v>
      </c>
      <c r="D150" s="20">
        <f t="shared" si="13"/>
        <v>112</v>
      </c>
      <c r="E150" s="28" t="s">
        <v>23</v>
      </c>
      <c r="F150" s="28" t="s">
        <v>23</v>
      </c>
      <c r="G150" s="254" t="s">
        <v>320</v>
      </c>
      <c r="H150" s="232">
        <v>10</v>
      </c>
      <c r="I150" s="84">
        <v>26</v>
      </c>
      <c r="J150" s="19">
        <f t="shared" si="14"/>
        <v>260</v>
      </c>
      <c r="K150" s="69"/>
      <c r="L150" s="22" t="s">
        <v>321</v>
      </c>
      <c r="M150" s="21"/>
      <c r="N150" s="21"/>
      <c r="O150" s="8"/>
      <c r="P150" s="20"/>
      <c r="Q150" s="21"/>
      <c r="R150" s="8"/>
      <c r="S150" s="108"/>
    </row>
    <row r="151" spans="1:19" s="2" customFormat="1" ht="19.649999999999999" customHeight="1" x14ac:dyDescent="0.2">
      <c r="A151" s="122" t="s">
        <v>111</v>
      </c>
      <c r="B151" s="84"/>
      <c r="C151" s="280">
        <v>13</v>
      </c>
      <c r="D151" s="20">
        <f t="shared" si="13"/>
        <v>113</v>
      </c>
      <c r="E151" s="141" t="s">
        <v>55</v>
      </c>
      <c r="F151" s="141" t="s">
        <v>23</v>
      </c>
      <c r="G151" s="253" t="s">
        <v>304</v>
      </c>
      <c r="H151" s="232">
        <v>1</v>
      </c>
      <c r="I151" s="235">
        <v>12313</v>
      </c>
      <c r="J151" s="58">
        <f t="shared" ref="J151:J153" si="15">H151*I151</f>
        <v>12313</v>
      </c>
      <c r="K151" s="69"/>
      <c r="L151" s="22" t="s">
        <v>405</v>
      </c>
      <c r="M151" s="21"/>
      <c r="N151" s="21"/>
      <c r="O151" s="8"/>
      <c r="P151" s="20"/>
      <c r="Q151" s="21"/>
      <c r="R151" s="8"/>
      <c r="S151" s="108"/>
    </row>
    <row r="152" spans="1:19" s="2" customFormat="1" ht="19.649999999999999" customHeight="1" x14ac:dyDescent="0.2">
      <c r="A152" s="183" t="s">
        <v>64</v>
      </c>
      <c r="B152" s="84"/>
      <c r="C152" s="280">
        <v>13</v>
      </c>
      <c r="D152" s="20">
        <f t="shared" si="13"/>
        <v>114</v>
      </c>
      <c r="E152" s="48" t="s">
        <v>23</v>
      </c>
      <c r="F152" s="48" t="s">
        <v>23</v>
      </c>
      <c r="G152" s="159" t="s">
        <v>290</v>
      </c>
      <c r="H152" s="160"/>
      <c r="I152" s="218">
        <v>69</v>
      </c>
      <c r="J152" s="238">
        <f t="shared" si="15"/>
        <v>0</v>
      </c>
      <c r="K152" s="239"/>
      <c r="L152" s="159" t="s">
        <v>307</v>
      </c>
      <c r="M152" s="21"/>
      <c r="N152" s="21"/>
      <c r="O152" s="8"/>
      <c r="P152" s="20"/>
      <c r="Q152" s="21"/>
      <c r="R152" s="8"/>
      <c r="S152" s="108"/>
    </row>
    <row r="153" spans="1:19" s="2" customFormat="1" ht="19.649999999999999" customHeight="1" x14ac:dyDescent="0.2">
      <c r="A153" s="2" t="s">
        <v>64</v>
      </c>
      <c r="B153" s="84"/>
      <c r="C153" s="280">
        <v>13</v>
      </c>
      <c r="D153" s="20">
        <f t="shared" si="13"/>
        <v>115</v>
      </c>
      <c r="E153" s="47" t="s">
        <v>23</v>
      </c>
      <c r="F153" s="47" t="s">
        <v>23</v>
      </c>
      <c r="G153" s="49" t="s">
        <v>22</v>
      </c>
      <c r="H153" s="157"/>
      <c r="I153" s="50">
        <v>25</v>
      </c>
      <c r="J153" s="136">
        <f t="shared" si="15"/>
        <v>0</v>
      </c>
      <c r="K153" s="136"/>
      <c r="L153" s="51" t="s">
        <v>196</v>
      </c>
      <c r="M153" s="21"/>
      <c r="N153" s="21"/>
      <c r="O153" s="8"/>
      <c r="P153" s="20"/>
      <c r="Q153" s="21"/>
      <c r="R153" s="8"/>
      <c r="S153" s="108"/>
    </row>
    <row r="154" spans="1:19" s="2" customFormat="1" ht="19.2" customHeight="1" x14ac:dyDescent="0.2">
      <c r="A154" s="21"/>
      <c r="B154" s="21"/>
      <c r="C154" s="21"/>
      <c r="D154" s="20"/>
      <c r="E154" s="148"/>
      <c r="F154" s="148"/>
      <c r="G154" s="75"/>
      <c r="H154" s="163"/>
      <c r="I154" s="21"/>
      <c r="J154" s="58"/>
      <c r="K154" s="69"/>
      <c r="L154" s="22"/>
      <c r="M154" s="21"/>
      <c r="N154" s="21"/>
      <c r="O154" s="8"/>
      <c r="P154" s="20"/>
      <c r="Q154" s="21"/>
      <c r="R154" s="8"/>
      <c r="S154" s="108"/>
    </row>
    <row r="155" spans="1:19" s="2" customFormat="1" ht="19.649999999999999" customHeight="1" x14ac:dyDescent="0.2">
      <c r="D155" s="20"/>
      <c r="E155" s="28"/>
      <c r="F155" s="20"/>
      <c r="G155" s="29"/>
      <c r="H155" s="40"/>
      <c r="I155" s="30"/>
      <c r="J155" s="40"/>
      <c r="K155" s="137"/>
      <c r="L155" s="29"/>
      <c r="M155" s="21"/>
      <c r="N155" s="21"/>
      <c r="O155" s="8"/>
      <c r="P155" s="20"/>
      <c r="Q155" s="21"/>
      <c r="R155" s="8"/>
      <c r="S155" s="108"/>
    </row>
    <row r="156" spans="1:19" s="2" customFormat="1" ht="19.649999999999999" customHeight="1" x14ac:dyDescent="0.2">
      <c r="D156" s="20"/>
      <c r="E156" s="20"/>
      <c r="F156" s="20"/>
      <c r="G156" s="37">
        <f>SUM(J126:J155)</f>
        <v>78382</v>
      </c>
      <c r="H156" s="163"/>
      <c r="I156" s="21"/>
      <c r="J156" s="26"/>
      <c r="K156" s="69"/>
      <c r="L156" s="22"/>
      <c r="M156" s="21"/>
      <c r="N156" s="21"/>
      <c r="O156" s="8"/>
      <c r="P156" s="20"/>
      <c r="Q156" s="21"/>
      <c r="R156" s="8"/>
      <c r="S156" s="108"/>
    </row>
    <row r="157" spans="1:19" s="2" customFormat="1" ht="19.649999999999999" customHeight="1" x14ac:dyDescent="0.2">
      <c r="D157" s="20"/>
      <c r="E157" s="20"/>
      <c r="F157" s="20"/>
      <c r="G157" s="131"/>
      <c r="H157" s="163"/>
      <c r="I157" s="21"/>
      <c r="J157" s="26"/>
      <c r="K157" s="69"/>
      <c r="L157" s="22"/>
      <c r="M157" s="21"/>
      <c r="N157" s="21"/>
      <c r="O157" s="8"/>
      <c r="P157" s="20"/>
      <c r="Q157" s="21"/>
      <c r="R157" s="8"/>
      <c r="S157" s="108"/>
    </row>
    <row r="158" spans="1:19" s="2" customFormat="1" ht="19.649999999999999" customHeight="1" x14ac:dyDescent="0.2">
      <c r="D158" s="20"/>
      <c r="E158" s="20"/>
      <c r="F158" s="20"/>
      <c r="G158" s="131"/>
      <c r="H158" s="163"/>
      <c r="I158" s="21"/>
      <c r="J158" s="26"/>
      <c r="K158" s="69"/>
      <c r="L158" s="22"/>
      <c r="M158" s="21"/>
      <c r="N158" s="21"/>
      <c r="O158" s="8"/>
      <c r="P158" s="20"/>
      <c r="Q158" s="21"/>
      <c r="R158" s="8"/>
      <c r="S158" s="108"/>
    </row>
    <row r="159" spans="1:19" s="2" customFormat="1" ht="19.649999999999999" customHeight="1" x14ac:dyDescent="0.2">
      <c r="D159" s="20"/>
      <c r="E159" s="20"/>
      <c r="F159" s="20"/>
      <c r="G159" s="21"/>
      <c r="H159" s="21"/>
      <c r="I159" s="21"/>
      <c r="J159" s="1"/>
      <c r="K159" s="69"/>
      <c r="L159" s="21"/>
      <c r="M159" s="21"/>
      <c r="N159" s="21"/>
      <c r="O159" s="8"/>
      <c r="P159" s="20"/>
      <c r="Q159" s="21"/>
      <c r="R159" s="8"/>
      <c r="S159" s="108"/>
    </row>
    <row r="160" spans="1:19" s="2" customFormat="1" ht="19.649999999999999" customHeight="1" x14ac:dyDescent="0.2">
      <c r="D160" s="20"/>
      <c r="E160" s="132" t="s">
        <v>81</v>
      </c>
      <c r="F160" s="103"/>
      <c r="G160" s="104"/>
      <c r="H160" s="21"/>
      <c r="I160" s="21"/>
      <c r="J160" s="1"/>
      <c r="K160" s="69"/>
      <c r="L160" s="21"/>
      <c r="M160" s="21"/>
      <c r="N160" s="21"/>
      <c r="O160" s="8"/>
      <c r="P160" s="20"/>
      <c r="Q160" s="21"/>
      <c r="R160" s="8"/>
      <c r="S160" s="108"/>
    </row>
    <row r="161" spans="1:19" s="2" customFormat="1" ht="19.649999999999999" customHeight="1" x14ac:dyDescent="0.2">
      <c r="A161" s="122" t="s">
        <v>64</v>
      </c>
      <c r="B161" s="187"/>
      <c r="C161" s="279">
        <v>15</v>
      </c>
      <c r="D161" s="20">
        <f>+D153+1</f>
        <v>116</v>
      </c>
      <c r="E161" s="47" t="s">
        <v>44</v>
      </c>
      <c r="F161" s="47" t="s">
        <v>168</v>
      </c>
      <c r="G161" s="212" t="s">
        <v>217</v>
      </c>
      <c r="H161" s="48"/>
      <c r="I161" s="213">
        <v>2000</v>
      </c>
      <c r="J161" s="214">
        <f t="shared" ref="J161:J171" si="16">H161*I161</f>
        <v>0</v>
      </c>
      <c r="K161" s="46"/>
      <c r="L161" s="107" t="s">
        <v>176</v>
      </c>
      <c r="M161" s="145" t="s">
        <v>45</v>
      </c>
      <c r="N161" s="21"/>
      <c r="O161" s="8"/>
      <c r="P161" s="20"/>
      <c r="Q161" s="21"/>
      <c r="R161" s="8"/>
      <c r="S161" s="108"/>
    </row>
    <row r="162" spans="1:19" s="2" customFormat="1" ht="19.649999999999999" customHeight="1" x14ac:dyDescent="0.2">
      <c r="A162" s="122" t="s">
        <v>63</v>
      </c>
      <c r="B162" s="84"/>
      <c r="C162" s="279">
        <v>15</v>
      </c>
      <c r="D162" s="20">
        <f t="shared" ref="D162:D171" si="17">+D161+1</f>
        <v>117</v>
      </c>
      <c r="E162" s="20" t="s">
        <v>23</v>
      </c>
      <c r="F162" s="20" t="s">
        <v>23</v>
      </c>
      <c r="G162" s="253" t="s">
        <v>26</v>
      </c>
      <c r="H162" s="84">
        <v>2</v>
      </c>
      <c r="I162" s="255">
        <v>72</v>
      </c>
      <c r="J162" s="39">
        <f t="shared" si="16"/>
        <v>144</v>
      </c>
      <c r="K162" s="1"/>
      <c r="L162" s="25" t="s">
        <v>27</v>
      </c>
      <c r="M162" s="95" t="s">
        <v>99</v>
      </c>
      <c r="N162" s="21"/>
      <c r="O162" s="8">
        <v>44755</v>
      </c>
      <c r="P162" s="20"/>
      <c r="Q162" s="21"/>
      <c r="R162" s="8">
        <v>44769</v>
      </c>
      <c r="S162" s="108"/>
    </row>
    <row r="163" spans="1:19" s="2" customFormat="1" ht="19.649999999999999" customHeight="1" x14ac:dyDescent="0.2">
      <c r="A163" s="122" t="s">
        <v>63</v>
      </c>
      <c r="B163" s="84"/>
      <c r="C163" s="279">
        <v>15</v>
      </c>
      <c r="D163" s="20">
        <f t="shared" si="17"/>
        <v>118</v>
      </c>
      <c r="E163" s="21" t="s">
        <v>23</v>
      </c>
      <c r="F163" s="21" t="s">
        <v>23</v>
      </c>
      <c r="G163" s="217" t="s">
        <v>42</v>
      </c>
      <c r="H163" s="86">
        <v>4</v>
      </c>
      <c r="I163" s="87">
        <v>70</v>
      </c>
      <c r="J163" s="55">
        <f t="shared" si="16"/>
        <v>280</v>
      </c>
      <c r="K163" s="1"/>
      <c r="L163" s="44" t="s">
        <v>43</v>
      </c>
      <c r="M163" s="95" t="s">
        <v>100</v>
      </c>
      <c r="N163" s="21"/>
      <c r="O163" s="8">
        <v>44755</v>
      </c>
      <c r="P163" s="20"/>
      <c r="Q163" s="21"/>
      <c r="R163" s="8">
        <v>44769</v>
      </c>
      <c r="S163" s="108"/>
    </row>
    <row r="164" spans="1:19" s="2" customFormat="1" ht="19.649999999999999" customHeight="1" x14ac:dyDescent="0.2">
      <c r="A164" s="122" t="s">
        <v>64</v>
      </c>
      <c r="B164" s="84"/>
      <c r="C164" s="279">
        <v>15</v>
      </c>
      <c r="D164" s="20">
        <f t="shared" si="17"/>
        <v>119</v>
      </c>
      <c r="E164" s="48" t="s">
        <v>23</v>
      </c>
      <c r="F164" s="48" t="s">
        <v>23</v>
      </c>
      <c r="G164" s="159" t="s">
        <v>290</v>
      </c>
      <c r="H164" s="160"/>
      <c r="I164" s="218">
        <v>19</v>
      </c>
      <c r="J164" s="136">
        <f t="shared" si="16"/>
        <v>0</v>
      </c>
      <c r="K164" s="239"/>
      <c r="L164" s="159" t="s">
        <v>400</v>
      </c>
      <c r="M164" s="148"/>
      <c r="N164" s="21"/>
      <c r="O164" s="8"/>
      <c r="P164" s="20"/>
      <c r="Q164" s="21"/>
      <c r="R164" s="8"/>
      <c r="S164" s="108"/>
    </row>
    <row r="165" spans="1:19" s="2" customFormat="1" ht="19.649999999999999" customHeight="1" x14ac:dyDescent="0.2">
      <c r="A165" s="122" t="s">
        <v>64</v>
      </c>
      <c r="B165" s="84"/>
      <c r="C165" s="279">
        <v>15</v>
      </c>
      <c r="D165" s="20">
        <f t="shared" si="17"/>
        <v>120</v>
      </c>
      <c r="E165" s="20" t="s">
        <v>23</v>
      </c>
      <c r="F165" s="20" t="s">
        <v>23</v>
      </c>
      <c r="G165" s="253" t="s">
        <v>28</v>
      </c>
      <c r="H165" s="84">
        <v>2</v>
      </c>
      <c r="I165" s="255">
        <v>31</v>
      </c>
      <c r="J165" s="39">
        <f t="shared" si="16"/>
        <v>62</v>
      </c>
      <c r="K165" s="1"/>
      <c r="L165" s="25" t="s">
        <v>29</v>
      </c>
      <c r="M165" s="95" t="s">
        <v>100</v>
      </c>
      <c r="N165" s="21"/>
      <c r="O165" s="8">
        <v>44755</v>
      </c>
      <c r="P165" s="20"/>
      <c r="Q165" s="21"/>
      <c r="R165" s="8">
        <v>44769</v>
      </c>
      <c r="S165" s="108"/>
    </row>
    <row r="166" spans="1:19" s="2" customFormat="1" ht="19.649999999999999" customHeight="1" x14ac:dyDescent="0.2">
      <c r="A166" s="122" t="s">
        <v>63</v>
      </c>
      <c r="B166" s="84"/>
      <c r="C166" s="279">
        <v>15</v>
      </c>
      <c r="D166" s="20">
        <f t="shared" si="17"/>
        <v>121</v>
      </c>
      <c r="E166" s="23" t="s">
        <v>23</v>
      </c>
      <c r="F166" s="23" t="s">
        <v>23</v>
      </c>
      <c r="G166" s="96" t="s">
        <v>178</v>
      </c>
      <c r="H166" s="256">
        <v>10</v>
      </c>
      <c r="I166" s="233">
        <v>32</v>
      </c>
      <c r="J166" s="98">
        <f t="shared" si="16"/>
        <v>320</v>
      </c>
      <c r="K166" s="46"/>
      <c r="L166" s="36" t="s">
        <v>179</v>
      </c>
      <c r="M166" s="95" t="s">
        <v>100</v>
      </c>
      <c r="N166" s="21"/>
      <c r="O166" s="8">
        <v>44755</v>
      </c>
      <c r="P166" s="20"/>
      <c r="Q166" s="21"/>
      <c r="R166" s="8">
        <v>44769</v>
      </c>
      <c r="S166" s="108"/>
    </row>
    <row r="167" spans="1:19" s="2" customFormat="1" ht="19.649999999999999" customHeight="1" x14ac:dyDescent="0.2">
      <c r="A167" s="122" t="s">
        <v>63</v>
      </c>
      <c r="B167" s="84"/>
      <c r="C167" s="279">
        <v>15</v>
      </c>
      <c r="D167" s="20">
        <f t="shared" si="17"/>
        <v>122</v>
      </c>
      <c r="E167" s="141" t="s">
        <v>55</v>
      </c>
      <c r="F167" s="141" t="s">
        <v>23</v>
      </c>
      <c r="G167" s="257" t="s">
        <v>134</v>
      </c>
      <c r="H167" s="90">
        <v>1</v>
      </c>
      <c r="I167" s="92">
        <v>4500</v>
      </c>
      <c r="J167" s="26">
        <f t="shared" si="16"/>
        <v>4500</v>
      </c>
      <c r="K167" s="117"/>
      <c r="L167" s="33" t="s">
        <v>135</v>
      </c>
      <c r="M167" s="95" t="s">
        <v>100</v>
      </c>
      <c r="N167" s="21"/>
      <c r="O167" s="8">
        <v>44755</v>
      </c>
      <c r="P167" s="20"/>
      <c r="Q167" s="21"/>
      <c r="R167" s="8">
        <v>44769</v>
      </c>
      <c r="S167" s="108"/>
    </row>
    <row r="168" spans="1:19" s="2" customFormat="1" ht="19.649999999999999" customHeight="1" x14ac:dyDescent="0.2">
      <c r="A168" s="122" t="s">
        <v>63</v>
      </c>
      <c r="B168" s="84"/>
      <c r="C168" s="279">
        <v>15</v>
      </c>
      <c r="D168" s="20">
        <f t="shared" si="17"/>
        <v>123</v>
      </c>
      <c r="E168" s="142" t="s">
        <v>55</v>
      </c>
      <c r="F168" s="142" t="s">
        <v>23</v>
      </c>
      <c r="G168" s="258" t="s">
        <v>215</v>
      </c>
      <c r="H168" s="84">
        <v>1</v>
      </c>
      <c r="I168" s="84">
        <v>2520</v>
      </c>
      <c r="J168" s="26">
        <f t="shared" si="16"/>
        <v>2520</v>
      </c>
      <c r="K168" s="1"/>
      <c r="L168" s="22" t="s">
        <v>213</v>
      </c>
      <c r="M168" s="95" t="s">
        <v>100</v>
      </c>
      <c r="N168" s="21"/>
      <c r="O168" s="8">
        <v>44755</v>
      </c>
      <c r="P168" s="20"/>
      <c r="Q168" s="21"/>
      <c r="R168" s="8">
        <v>44769</v>
      </c>
      <c r="S168" s="108"/>
    </row>
    <row r="169" spans="1:19" s="2" customFormat="1" ht="19.649999999999999" customHeight="1" x14ac:dyDescent="0.2">
      <c r="A169" s="122" t="s">
        <v>63</v>
      </c>
      <c r="B169" s="84"/>
      <c r="C169" s="279">
        <v>15</v>
      </c>
      <c r="D169" s="20">
        <f t="shared" si="17"/>
        <v>124</v>
      </c>
      <c r="E169" s="142" t="s">
        <v>55</v>
      </c>
      <c r="F169" s="142" t="s">
        <v>23</v>
      </c>
      <c r="G169" s="259" t="s">
        <v>216</v>
      </c>
      <c r="H169" s="260">
        <v>1</v>
      </c>
      <c r="I169" s="233">
        <v>2530</v>
      </c>
      <c r="J169" s="139">
        <f t="shared" si="16"/>
        <v>2530</v>
      </c>
      <c r="K169" s="140"/>
      <c r="L169" s="45" t="s">
        <v>214</v>
      </c>
      <c r="M169" s="95" t="s">
        <v>99</v>
      </c>
      <c r="N169" s="21"/>
      <c r="O169" s="8">
        <v>44755</v>
      </c>
      <c r="P169" s="20"/>
      <c r="Q169" s="21"/>
      <c r="R169" s="8">
        <v>44769</v>
      </c>
      <c r="S169" s="108"/>
    </row>
    <row r="170" spans="1:19" s="2" customFormat="1" ht="19.649999999999999" customHeight="1" x14ac:dyDescent="0.2">
      <c r="A170" s="122" t="s">
        <v>64</v>
      </c>
      <c r="B170" s="84"/>
      <c r="C170" s="279">
        <v>15</v>
      </c>
      <c r="D170" s="20">
        <f t="shared" si="17"/>
        <v>125</v>
      </c>
      <c r="E170" s="56" t="s">
        <v>23</v>
      </c>
      <c r="F170" s="56" t="s">
        <v>23</v>
      </c>
      <c r="G170" s="241" t="s">
        <v>46</v>
      </c>
      <c r="H170" s="261">
        <v>1</v>
      </c>
      <c r="I170" s="262">
        <v>830</v>
      </c>
      <c r="J170" s="143">
        <f t="shared" si="16"/>
        <v>830</v>
      </c>
      <c r="K170" s="144"/>
      <c r="L170" s="118" t="s">
        <v>47</v>
      </c>
      <c r="M170" s="145"/>
      <c r="N170" s="21"/>
      <c r="O170" s="8"/>
      <c r="P170" s="20"/>
      <c r="Q170" s="21"/>
      <c r="R170" s="8"/>
      <c r="S170" s="108"/>
    </row>
    <row r="171" spans="1:19" s="2" customFormat="1" ht="19.649999999999999" customHeight="1" x14ac:dyDescent="0.2">
      <c r="A171" s="122" t="s">
        <v>64</v>
      </c>
      <c r="B171" s="84"/>
      <c r="C171" s="279">
        <v>15</v>
      </c>
      <c r="D171" s="20">
        <f t="shared" si="17"/>
        <v>126</v>
      </c>
      <c r="E171" s="56" t="s">
        <v>23</v>
      </c>
      <c r="F171" s="56" t="s">
        <v>23</v>
      </c>
      <c r="G171" s="241" t="s">
        <v>25</v>
      </c>
      <c r="H171" s="261">
        <v>1</v>
      </c>
      <c r="I171" s="262">
        <v>1350</v>
      </c>
      <c r="J171" s="143">
        <f t="shared" si="16"/>
        <v>1350</v>
      </c>
      <c r="K171" s="144"/>
      <c r="L171" s="118" t="s">
        <v>47</v>
      </c>
      <c r="M171" s="145"/>
      <c r="N171" s="21"/>
      <c r="O171" s="8"/>
      <c r="P171" s="20"/>
      <c r="Q171" s="21"/>
      <c r="R171" s="8"/>
      <c r="S171" s="108"/>
    </row>
    <row r="172" spans="1:19" s="2" customFormat="1" ht="19.649999999999999" customHeight="1" x14ac:dyDescent="0.2">
      <c r="A172" s="21"/>
      <c r="B172" s="162"/>
      <c r="C172" s="162"/>
      <c r="D172" s="20"/>
      <c r="E172" s="56"/>
      <c r="F172" s="56"/>
      <c r="G172" s="32"/>
      <c r="H172" s="168"/>
      <c r="I172" s="77"/>
      <c r="J172" s="39"/>
      <c r="K172" s="215"/>
      <c r="L172" s="118"/>
      <c r="M172" s="216"/>
      <c r="N172" s="21"/>
      <c r="O172" s="8"/>
      <c r="P172" s="20"/>
      <c r="Q172" s="21"/>
      <c r="R172" s="8"/>
      <c r="S172" s="108"/>
    </row>
    <row r="173" spans="1:19" s="2" customFormat="1" ht="19.649999999999999" customHeight="1" x14ac:dyDescent="0.2">
      <c r="D173" s="20"/>
      <c r="E173" s="56"/>
      <c r="F173" s="56"/>
      <c r="G173" s="22"/>
      <c r="H173" s="21"/>
      <c r="I173" s="26"/>
      <c r="J173" s="26"/>
      <c r="K173" s="69"/>
      <c r="L173" s="57"/>
      <c r="M173" s="17"/>
      <c r="N173" s="21"/>
      <c r="O173" s="8"/>
      <c r="P173" s="20"/>
      <c r="Q173" s="21"/>
      <c r="R173" s="8"/>
      <c r="S173" s="108"/>
    </row>
    <row r="174" spans="1:19" s="2" customFormat="1" ht="19.649999999999999" customHeight="1" x14ac:dyDescent="0.2">
      <c r="D174" s="20"/>
      <c r="E174" s="15"/>
      <c r="F174" s="15"/>
      <c r="G174" s="54">
        <f>SUM(J161:J173)</f>
        <v>12536</v>
      </c>
      <c r="H174" s="225"/>
      <c r="I174" s="17"/>
      <c r="J174" s="26"/>
      <c r="K174" s="71"/>
      <c r="L174" s="18"/>
      <c r="M174" s="17"/>
      <c r="N174" s="21"/>
      <c r="O174" s="8"/>
      <c r="P174" s="20"/>
      <c r="Q174" s="21"/>
      <c r="R174" s="8"/>
      <c r="S174" s="108"/>
    </row>
    <row r="175" spans="1:19" s="2" customFormat="1" ht="19.649999999999999" customHeight="1" x14ac:dyDescent="0.2">
      <c r="D175" s="20"/>
      <c r="E175" s="20"/>
      <c r="F175" s="20"/>
      <c r="G175" s="21"/>
      <c r="H175" s="21"/>
      <c r="I175" s="21"/>
      <c r="J175" s="1"/>
      <c r="K175" s="69"/>
      <c r="L175" s="21"/>
      <c r="M175" s="21"/>
      <c r="N175" s="21"/>
      <c r="O175" s="8"/>
      <c r="P175" s="20"/>
      <c r="Q175" s="21"/>
      <c r="R175" s="8"/>
      <c r="S175" s="108"/>
    </row>
    <row r="176" spans="1:19" s="2" customFormat="1" ht="19.649999999999999" customHeight="1" x14ac:dyDescent="0.2">
      <c r="D176" s="20"/>
      <c r="E176" s="20"/>
      <c r="F176" s="20"/>
      <c r="G176" s="21"/>
      <c r="H176" s="21"/>
      <c r="I176" s="21"/>
      <c r="J176" s="1"/>
      <c r="K176" s="69"/>
      <c r="L176" s="21"/>
      <c r="M176" s="21"/>
      <c r="N176" s="21"/>
      <c r="O176" s="8"/>
      <c r="P176" s="20"/>
      <c r="Q176" s="21"/>
      <c r="R176" s="8"/>
      <c r="S176" s="108"/>
    </row>
    <row r="177" spans="1:19" s="2" customFormat="1" ht="19.649999999999999" customHeight="1" x14ac:dyDescent="0.2">
      <c r="D177" s="20"/>
      <c r="E177" s="20"/>
      <c r="F177" s="20"/>
      <c r="G177" s="21"/>
      <c r="H177" s="21"/>
      <c r="I177" s="21"/>
      <c r="J177" s="1"/>
      <c r="K177" s="69"/>
      <c r="L177" s="21"/>
      <c r="M177" s="21"/>
      <c r="N177" s="21"/>
      <c r="O177" s="8"/>
      <c r="P177" s="20"/>
      <c r="Q177" s="21"/>
      <c r="R177" s="8"/>
      <c r="S177" s="108"/>
    </row>
    <row r="178" spans="1:19" s="2" customFormat="1" ht="19.649999999999999" customHeight="1" x14ac:dyDescent="0.2">
      <c r="D178" s="20"/>
      <c r="E178" s="20"/>
      <c r="F178" s="20"/>
      <c r="G178" s="21"/>
      <c r="H178" s="21"/>
      <c r="I178" s="21"/>
      <c r="J178" s="1"/>
      <c r="K178" s="69"/>
      <c r="L178" s="21"/>
      <c r="M178" s="21"/>
      <c r="N178" s="21"/>
      <c r="O178" s="8"/>
      <c r="P178" s="20"/>
      <c r="Q178" s="21"/>
      <c r="R178" s="8"/>
      <c r="S178" s="108"/>
    </row>
    <row r="179" spans="1:19" s="2" customFormat="1" ht="19.649999999999999" customHeight="1" x14ac:dyDescent="0.2">
      <c r="D179" s="20"/>
      <c r="E179" s="150" t="s">
        <v>51</v>
      </c>
      <c r="F179" s="151"/>
      <c r="G179" s="152"/>
      <c r="H179" s="30"/>
      <c r="I179" s="30"/>
      <c r="J179" s="26"/>
      <c r="K179" s="69"/>
      <c r="L179" s="31"/>
      <c r="M179" s="21"/>
      <c r="N179" s="21"/>
      <c r="O179" s="8"/>
      <c r="P179" s="20"/>
      <c r="Q179" s="21"/>
      <c r="R179" s="8"/>
      <c r="S179" s="108"/>
    </row>
    <row r="180" spans="1:19" s="2" customFormat="1" ht="19.649999999999999" customHeight="1" x14ac:dyDescent="0.2">
      <c r="A180" s="183" t="s">
        <v>73</v>
      </c>
      <c r="B180" s="209"/>
      <c r="C180" s="278">
        <v>16</v>
      </c>
      <c r="D180" s="20">
        <f>+D171+1</f>
        <v>127</v>
      </c>
      <c r="E180" s="142" t="s">
        <v>55</v>
      </c>
      <c r="F180" s="142" t="s">
        <v>23</v>
      </c>
      <c r="G180" s="263" t="s">
        <v>328</v>
      </c>
      <c r="H180" s="84">
        <v>1</v>
      </c>
      <c r="I180" s="84">
        <v>3890</v>
      </c>
      <c r="J180" s="21">
        <f t="shared" ref="J180:J186" si="18">H180*I180</f>
        <v>3890</v>
      </c>
      <c r="K180" s="94"/>
      <c r="L180" s="25" t="s">
        <v>352</v>
      </c>
      <c r="M180" s="22" t="s">
        <v>79</v>
      </c>
      <c r="N180" s="21"/>
      <c r="O180" s="8">
        <v>44755</v>
      </c>
      <c r="P180" s="20"/>
      <c r="Q180" s="21"/>
      <c r="R180" s="8">
        <v>44769</v>
      </c>
      <c r="S180" s="108"/>
    </row>
    <row r="181" spans="1:19" s="2" customFormat="1" ht="19.649999999999999" customHeight="1" x14ac:dyDescent="0.2">
      <c r="A181" s="183" t="s">
        <v>326</v>
      </c>
      <c r="B181" s="209"/>
      <c r="C181" s="278">
        <v>16</v>
      </c>
      <c r="D181" s="20">
        <f t="shared" ref="D181:D186" si="19">+D180+1</f>
        <v>128</v>
      </c>
      <c r="E181" s="142" t="s">
        <v>55</v>
      </c>
      <c r="F181" s="142" t="s">
        <v>23</v>
      </c>
      <c r="G181" s="263" t="s">
        <v>327</v>
      </c>
      <c r="H181" s="84">
        <v>1</v>
      </c>
      <c r="I181" s="84">
        <v>12537</v>
      </c>
      <c r="J181" s="21">
        <f t="shared" si="18"/>
        <v>12537</v>
      </c>
      <c r="K181" s="94"/>
      <c r="L181" s="25" t="s">
        <v>325</v>
      </c>
      <c r="M181" s="22" t="s">
        <v>80</v>
      </c>
      <c r="N181" s="21"/>
      <c r="O181" s="8">
        <v>44755</v>
      </c>
      <c r="P181" s="20"/>
      <c r="Q181" s="21"/>
      <c r="R181" s="8">
        <v>44769</v>
      </c>
      <c r="S181" s="108"/>
    </row>
    <row r="182" spans="1:19" s="2" customFormat="1" ht="19.649999999999999" customHeight="1" x14ac:dyDescent="0.2">
      <c r="A182" s="183" t="s">
        <v>72</v>
      </c>
      <c r="B182" s="209"/>
      <c r="C182" s="278">
        <v>16</v>
      </c>
      <c r="D182" s="20">
        <f t="shared" si="19"/>
        <v>129</v>
      </c>
      <c r="E182" s="20" t="s">
        <v>23</v>
      </c>
      <c r="F182" s="20" t="s">
        <v>23</v>
      </c>
      <c r="G182" s="236" t="s">
        <v>322</v>
      </c>
      <c r="H182" s="211">
        <v>1</v>
      </c>
      <c r="I182" s="90">
        <v>8150</v>
      </c>
      <c r="J182" s="40">
        <f t="shared" si="18"/>
        <v>8150</v>
      </c>
      <c r="K182" s="137"/>
      <c r="L182" s="29" t="s">
        <v>323</v>
      </c>
      <c r="M182" s="21"/>
      <c r="N182" s="21"/>
      <c r="O182" s="8">
        <v>44755</v>
      </c>
      <c r="P182" s="20"/>
      <c r="Q182" s="21"/>
      <c r="R182" s="8">
        <v>44769</v>
      </c>
      <c r="S182" s="108"/>
    </row>
    <row r="183" spans="1:19" s="2" customFormat="1" ht="19.649999999999999" customHeight="1" x14ac:dyDescent="0.2">
      <c r="A183" s="183" t="s">
        <v>72</v>
      </c>
      <c r="B183" s="209"/>
      <c r="C183" s="278">
        <v>16</v>
      </c>
      <c r="D183" s="20">
        <f t="shared" si="19"/>
        <v>130</v>
      </c>
      <c r="E183" s="20" t="s">
        <v>23</v>
      </c>
      <c r="F183" s="20" t="s">
        <v>23</v>
      </c>
      <c r="G183" s="264" t="s">
        <v>409</v>
      </c>
      <c r="H183" s="229">
        <v>4</v>
      </c>
      <c r="I183" s="90">
        <v>47</v>
      </c>
      <c r="J183" s="40">
        <f t="shared" si="18"/>
        <v>188</v>
      </c>
      <c r="K183" s="74"/>
      <c r="L183" s="31" t="s">
        <v>324</v>
      </c>
      <c r="M183" s="21"/>
      <c r="N183" s="21"/>
      <c r="O183" s="8"/>
      <c r="P183" s="20"/>
      <c r="Q183" s="21"/>
      <c r="R183" s="8"/>
      <c r="S183" s="108"/>
    </row>
    <row r="184" spans="1:19" s="2" customFormat="1" ht="19.649999999999999" customHeight="1" x14ac:dyDescent="0.2">
      <c r="A184" s="183" t="s">
        <v>72</v>
      </c>
      <c r="B184" s="209"/>
      <c r="C184" s="278">
        <v>16</v>
      </c>
      <c r="D184" s="20">
        <f t="shared" si="19"/>
        <v>131</v>
      </c>
      <c r="E184" s="47" t="s">
        <v>23</v>
      </c>
      <c r="F184" s="47" t="s">
        <v>23</v>
      </c>
      <c r="G184" s="49" t="s">
        <v>136</v>
      </c>
      <c r="H184" s="135"/>
      <c r="I184" s="50">
        <v>75</v>
      </c>
      <c r="J184" s="50">
        <f t="shared" si="18"/>
        <v>0</v>
      </c>
      <c r="K184" s="136"/>
      <c r="L184" s="51" t="s">
        <v>175</v>
      </c>
      <c r="M184" s="21"/>
      <c r="N184" s="21"/>
      <c r="O184" s="8"/>
      <c r="P184" s="20"/>
      <c r="Q184" s="21"/>
      <c r="R184" s="8"/>
      <c r="S184" s="108"/>
    </row>
    <row r="185" spans="1:19" s="2" customFormat="1" ht="19.649999999999999" customHeight="1" x14ac:dyDescent="0.2">
      <c r="A185" s="183" t="s">
        <v>72</v>
      </c>
      <c r="B185" s="209"/>
      <c r="C185" s="278">
        <v>16</v>
      </c>
      <c r="D185" s="20">
        <f t="shared" si="19"/>
        <v>132</v>
      </c>
      <c r="E185" s="20" t="s">
        <v>23</v>
      </c>
      <c r="F185" s="20" t="s">
        <v>23</v>
      </c>
      <c r="G185" s="264" t="s">
        <v>329</v>
      </c>
      <c r="H185" s="229">
        <v>2</v>
      </c>
      <c r="I185" s="90">
        <v>29</v>
      </c>
      <c r="J185" s="40">
        <f t="shared" si="18"/>
        <v>58</v>
      </c>
      <c r="K185" s="74"/>
      <c r="L185" s="31" t="s">
        <v>324</v>
      </c>
      <c r="M185" s="21"/>
      <c r="N185" s="21"/>
      <c r="O185" s="8"/>
      <c r="P185" s="20"/>
      <c r="Q185" s="21"/>
      <c r="R185" s="8"/>
      <c r="S185" s="108"/>
    </row>
    <row r="186" spans="1:19" s="2" customFormat="1" ht="19.649999999999999" customHeight="1" x14ac:dyDescent="0.2">
      <c r="A186" s="183" t="s">
        <v>64</v>
      </c>
      <c r="B186" s="209"/>
      <c r="C186" s="278">
        <v>16</v>
      </c>
      <c r="D186" s="20">
        <f t="shared" si="19"/>
        <v>133</v>
      </c>
      <c r="E186" s="28" t="s">
        <v>23</v>
      </c>
      <c r="F186" s="28" t="s">
        <v>23</v>
      </c>
      <c r="G186" s="254" t="s">
        <v>330</v>
      </c>
      <c r="H186" s="232">
        <v>2</v>
      </c>
      <c r="I186" s="84">
        <v>92</v>
      </c>
      <c r="J186" s="128">
        <f t="shared" si="18"/>
        <v>184</v>
      </c>
      <c r="K186" s="69"/>
      <c r="L186" s="22" t="s">
        <v>312</v>
      </c>
      <c r="M186" s="21"/>
      <c r="N186" s="21"/>
      <c r="O186" s="8"/>
      <c r="P186" s="20"/>
      <c r="Q186" s="21"/>
      <c r="R186" s="8"/>
      <c r="S186" s="108"/>
    </row>
    <row r="187" spans="1:19" s="2" customFormat="1" ht="19.649999999999999" customHeight="1" x14ac:dyDescent="0.2">
      <c r="D187" s="20"/>
      <c r="E187" s="20"/>
      <c r="F187" s="20"/>
      <c r="G187" s="22"/>
      <c r="H187" s="163"/>
      <c r="I187" s="26"/>
      <c r="J187" s="26"/>
      <c r="K187" s="72"/>
      <c r="L187" s="22"/>
      <c r="M187" s="21"/>
      <c r="N187" s="21"/>
      <c r="O187" s="8"/>
      <c r="P187" s="20"/>
      <c r="Q187" s="21"/>
      <c r="R187" s="8"/>
      <c r="S187" s="108"/>
    </row>
    <row r="188" spans="1:19" s="2" customFormat="1" ht="19.649999999999999" customHeight="1" x14ac:dyDescent="0.2">
      <c r="D188" s="20"/>
      <c r="E188" s="20"/>
      <c r="F188" s="20"/>
      <c r="G188" s="54">
        <f>SUM(J180:J186)</f>
        <v>25007</v>
      </c>
      <c r="H188" s="21"/>
      <c r="I188" s="26"/>
      <c r="J188" s="26"/>
      <c r="K188" s="72"/>
      <c r="L188" s="25"/>
      <c r="M188" s="21"/>
      <c r="N188" s="21"/>
      <c r="O188" s="8"/>
      <c r="P188" s="20"/>
      <c r="Q188" s="21"/>
      <c r="R188" s="8"/>
      <c r="S188" s="108"/>
    </row>
    <row r="189" spans="1:19" s="2" customFormat="1" ht="19.649999999999999" customHeight="1" x14ac:dyDescent="0.2">
      <c r="D189" s="20"/>
      <c r="E189" s="20"/>
      <c r="F189" s="20"/>
      <c r="G189" s="27"/>
      <c r="H189" s="21"/>
      <c r="I189" s="26"/>
      <c r="J189" s="26"/>
      <c r="K189" s="72"/>
      <c r="L189" s="25"/>
      <c r="M189" s="21"/>
      <c r="N189" s="21"/>
      <c r="O189" s="8"/>
      <c r="P189" s="20"/>
      <c r="Q189" s="21"/>
      <c r="R189" s="8"/>
      <c r="S189" s="108"/>
    </row>
    <row r="190" spans="1:19" s="2" customFormat="1" ht="19.649999999999999" customHeight="1" x14ac:dyDescent="0.2">
      <c r="D190" s="20"/>
      <c r="E190" s="20"/>
      <c r="F190" s="20"/>
      <c r="G190" s="27"/>
      <c r="H190" s="21"/>
      <c r="I190" s="26"/>
      <c r="J190" s="26"/>
      <c r="K190" s="72"/>
      <c r="L190" s="25"/>
      <c r="M190" s="21"/>
      <c r="N190" s="21"/>
      <c r="O190" s="8"/>
      <c r="P190" s="20"/>
      <c r="Q190" s="21"/>
      <c r="R190" s="8"/>
      <c r="S190" s="108"/>
    </row>
    <row r="191" spans="1:19" s="2" customFormat="1" ht="19.649999999999999" customHeight="1" x14ac:dyDescent="0.2">
      <c r="D191" s="20"/>
      <c r="E191" s="20"/>
      <c r="F191" s="20"/>
      <c r="G191" s="27"/>
      <c r="H191" s="21"/>
      <c r="I191" s="26"/>
      <c r="J191" s="26"/>
      <c r="K191" s="72"/>
      <c r="L191" s="25"/>
      <c r="M191" s="21"/>
      <c r="N191" s="21"/>
      <c r="O191" s="8"/>
      <c r="P191" s="20"/>
      <c r="Q191" s="21"/>
      <c r="R191" s="8"/>
      <c r="S191" s="108"/>
    </row>
    <row r="192" spans="1:19" s="2" customFormat="1" ht="19.649999999999999" customHeight="1" x14ac:dyDescent="0.2">
      <c r="D192" s="20"/>
      <c r="E192" s="150" t="s">
        <v>218</v>
      </c>
      <c r="F192" s="151"/>
      <c r="G192" s="152"/>
      <c r="H192" s="226"/>
      <c r="I192" s="98"/>
      <c r="J192" s="19"/>
      <c r="K192" s="70"/>
      <c r="L192" s="36"/>
      <c r="M192" s="21"/>
      <c r="N192" s="21"/>
      <c r="O192" s="8"/>
      <c r="P192" s="20"/>
      <c r="Q192" s="21"/>
      <c r="R192" s="8"/>
      <c r="S192" s="108"/>
    </row>
    <row r="193" spans="1:19" s="2" customFormat="1" ht="19.649999999999999" customHeight="1" x14ac:dyDescent="0.2">
      <c r="A193" s="183" t="s">
        <v>73</v>
      </c>
      <c r="B193" s="84"/>
      <c r="C193" s="164">
        <v>17</v>
      </c>
      <c r="D193" s="20">
        <f>+D186+1</f>
        <v>134</v>
      </c>
      <c r="E193" s="35" t="s">
        <v>59</v>
      </c>
      <c r="F193" s="35" t="s">
        <v>60</v>
      </c>
      <c r="G193" s="231" t="s">
        <v>61</v>
      </c>
      <c r="H193" s="84">
        <v>1</v>
      </c>
      <c r="I193" s="84">
        <v>2320</v>
      </c>
      <c r="J193" s="26">
        <f t="shared" ref="J193:J202" si="20">H193*I193</f>
        <v>2320</v>
      </c>
      <c r="K193" s="69"/>
      <c r="L193" s="22" t="s">
        <v>62</v>
      </c>
      <c r="M193" s="21"/>
      <c r="N193" s="21"/>
      <c r="O193" s="8">
        <v>44755</v>
      </c>
      <c r="P193" s="20"/>
      <c r="Q193" s="21"/>
      <c r="R193" s="8">
        <v>44769</v>
      </c>
      <c r="S193" s="108"/>
    </row>
    <row r="194" spans="1:19" s="2" customFormat="1" ht="19.649999999999999" customHeight="1" x14ac:dyDescent="0.2">
      <c r="A194" s="122" t="s">
        <v>64</v>
      </c>
      <c r="B194" s="84"/>
      <c r="C194" s="164">
        <v>17</v>
      </c>
      <c r="D194" s="20">
        <f t="shared" ref="D194:D203" si="21">+D193+1</f>
        <v>135</v>
      </c>
      <c r="E194" s="84" t="s">
        <v>23</v>
      </c>
      <c r="F194" s="84" t="s">
        <v>23</v>
      </c>
      <c r="G194" s="230" t="s">
        <v>39</v>
      </c>
      <c r="H194" s="84">
        <v>1</v>
      </c>
      <c r="I194" s="84">
        <v>990</v>
      </c>
      <c r="J194" s="43">
        <f>H194*I194</f>
        <v>990</v>
      </c>
      <c r="K194" s="22"/>
      <c r="L194" s="25" t="s">
        <v>24</v>
      </c>
      <c r="M194" s="21"/>
      <c r="N194" s="21"/>
      <c r="O194" s="8">
        <v>44755</v>
      </c>
      <c r="P194" s="20"/>
      <c r="Q194" s="21"/>
      <c r="R194" s="8">
        <v>44769</v>
      </c>
      <c r="S194" s="108"/>
    </row>
    <row r="195" spans="1:19" s="2" customFormat="1" ht="19.649999999999999" customHeight="1" x14ac:dyDescent="0.2">
      <c r="A195" s="122" t="s">
        <v>64</v>
      </c>
      <c r="B195" s="84"/>
      <c r="C195" s="164">
        <v>17</v>
      </c>
      <c r="D195" s="20">
        <f t="shared" si="21"/>
        <v>136</v>
      </c>
      <c r="E195" s="35" t="s">
        <v>23</v>
      </c>
      <c r="F195" s="35" t="s">
        <v>23</v>
      </c>
      <c r="G195" s="253" t="s">
        <v>26</v>
      </c>
      <c r="H195" s="84">
        <v>2</v>
      </c>
      <c r="I195" s="255">
        <v>72</v>
      </c>
      <c r="J195" s="39">
        <f t="shared" si="20"/>
        <v>144</v>
      </c>
      <c r="K195" s="69"/>
      <c r="L195" s="25" t="s">
        <v>27</v>
      </c>
      <c r="M195" s="21"/>
      <c r="N195" s="21"/>
      <c r="O195" s="8">
        <v>44755</v>
      </c>
      <c r="P195" s="20"/>
      <c r="Q195" s="21"/>
      <c r="R195" s="8">
        <v>44769</v>
      </c>
      <c r="S195" s="108"/>
    </row>
    <row r="196" spans="1:19" s="2" customFormat="1" ht="19.649999999999999" customHeight="1" x14ac:dyDescent="0.2">
      <c r="A196" s="122" t="s">
        <v>398</v>
      </c>
      <c r="B196" s="84"/>
      <c r="C196" s="164">
        <v>17</v>
      </c>
      <c r="D196" s="20">
        <f t="shared" si="21"/>
        <v>137</v>
      </c>
      <c r="E196" s="88" t="s">
        <v>32</v>
      </c>
      <c r="F196" s="89" t="s">
        <v>33</v>
      </c>
      <c r="G196" s="244" t="s">
        <v>38</v>
      </c>
      <c r="H196" s="88">
        <v>1</v>
      </c>
      <c r="I196" s="211">
        <v>10610</v>
      </c>
      <c r="J196" s="42">
        <f>H196*I196</f>
        <v>10610</v>
      </c>
      <c r="K196" s="74"/>
      <c r="L196" s="13" t="s">
        <v>41</v>
      </c>
      <c r="M196" s="21"/>
      <c r="N196" s="21"/>
      <c r="O196" s="8">
        <v>44756</v>
      </c>
      <c r="P196" s="20"/>
      <c r="Q196" s="100">
        <v>44769</v>
      </c>
      <c r="R196" s="8">
        <v>44769</v>
      </c>
      <c r="S196" s="108"/>
    </row>
    <row r="197" spans="1:19" s="2" customFormat="1" ht="19.649999999999999" customHeight="1" x14ac:dyDescent="0.2">
      <c r="A197" s="84" t="s">
        <v>64</v>
      </c>
      <c r="B197" s="84"/>
      <c r="C197" s="164">
        <v>17</v>
      </c>
      <c r="D197" s="20">
        <f t="shared" si="21"/>
        <v>138</v>
      </c>
      <c r="E197" s="210" t="s">
        <v>399</v>
      </c>
      <c r="F197" s="35" t="s">
        <v>23</v>
      </c>
      <c r="G197" s="265" t="s">
        <v>397</v>
      </c>
      <c r="H197" s="229">
        <v>1</v>
      </c>
      <c r="I197" s="211">
        <v>149</v>
      </c>
      <c r="J197" s="42">
        <f>H197*I197</f>
        <v>149</v>
      </c>
      <c r="K197" s="74"/>
      <c r="L197" s="57"/>
      <c r="M197" s="21"/>
      <c r="N197" s="21"/>
      <c r="O197" s="8"/>
      <c r="P197" s="20"/>
      <c r="Q197" s="100"/>
      <c r="R197" s="8"/>
      <c r="S197" s="108"/>
    </row>
    <row r="198" spans="1:19" s="2" customFormat="1" ht="19.649999999999999" customHeight="1" x14ac:dyDescent="0.2">
      <c r="A198" s="122" t="s">
        <v>64</v>
      </c>
      <c r="B198" s="84"/>
      <c r="C198" s="164">
        <v>17</v>
      </c>
      <c r="D198" s="20">
        <f t="shared" si="21"/>
        <v>139</v>
      </c>
      <c r="E198" s="35" t="s">
        <v>23</v>
      </c>
      <c r="F198" s="35" t="s">
        <v>23</v>
      </c>
      <c r="G198" s="253" t="s">
        <v>28</v>
      </c>
      <c r="H198" s="84">
        <v>2</v>
      </c>
      <c r="I198" s="255">
        <v>31</v>
      </c>
      <c r="J198" s="39">
        <f t="shared" si="20"/>
        <v>62</v>
      </c>
      <c r="K198" s="69"/>
      <c r="L198" s="25" t="s">
        <v>29</v>
      </c>
      <c r="M198" s="21"/>
      <c r="N198" s="21"/>
      <c r="O198" s="8">
        <v>44755</v>
      </c>
      <c r="P198" s="20"/>
      <c r="Q198" s="21"/>
      <c r="R198" s="8">
        <v>44769</v>
      </c>
      <c r="S198" s="108"/>
    </row>
    <row r="199" spans="1:19" s="2" customFormat="1" ht="19.649999999999999" customHeight="1" x14ac:dyDescent="0.2">
      <c r="A199" s="122" t="s">
        <v>64</v>
      </c>
      <c r="B199" s="84"/>
      <c r="C199" s="164">
        <v>17</v>
      </c>
      <c r="D199" s="20">
        <f t="shared" si="21"/>
        <v>140</v>
      </c>
      <c r="E199" s="86" t="s">
        <v>23</v>
      </c>
      <c r="F199" s="86" t="s">
        <v>23</v>
      </c>
      <c r="G199" s="251" t="s">
        <v>35</v>
      </c>
      <c r="H199" s="90">
        <v>3</v>
      </c>
      <c r="I199" s="90">
        <v>270</v>
      </c>
      <c r="J199" s="26">
        <f t="shared" si="20"/>
        <v>810</v>
      </c>
      <c r="K199" s="73"/>
      <c r="L199" s="31" t="s">
        <v>36</v>
      </c>
      <c r="M199" s="21"/>
      <c r="N199" s="21"/>
      <c r="O199" s="8">
        <v>44755</v>
      </c>
      <c r="P199" s="20"/>
      <c r="Q199" s="21"/>
      <c r="R199" s="8">
        <v>44769</v>
      </c>
      <c r="S199" s="108"/>
    </row>
    <row r="200" spans="1:19" s="2" customFormat="1" ht="19.649999999999999" customHeight="1" x14ac:dyDescent="0.2">
      <c r="A200" s="122" t="s">
        <v>64</v>
      </c>
      <c r="B200" s="84"/>
      <c r="C200" s="164">
        <v>17</v>
      </c>
      <c r="D200" s="20">
        <f t="shared" si="21"/>
        <v>141</v>
      </c>
      <c r="E200" s="88" t="s">
        <v>23</v>
      </c>
      <c r="F200" s="88" t="s">
        <v>23</v>
      </c>
      <c r="G200" s="230" t="s">
        <v>66</v>
      </c>
      <c r="H200" s="84">
        <v>1</v>
      </c>
      <c r="I200" s="84">
        <v>290</v>
      </c>
      <c r="J200" s="40">
        <f t="shared" si="20"/>
        <v>290</v>
      </c>
      <c r="K200" s="16"/>
      <c r="L200" s="34" t="s">
        <v>52</v>
      </c>
      <c r="M200" s="21"/>
      <c r="N200" s="21"/>
      <c r="O200" s="8">
        <v>44755</v>
      </c>
      <c r="P200" s="20"/>
      <c r="Q200" s="21"/>
      <c r="R200" s="8">
        <v>44769</v>
      </c>
      <c r="S200" s="108"/>
    </row>
    <row r="201" spans="1:19" s="2" customFormat="1" ht="19.649999999999999" customHeight="1" x14ac:dyDescent="0.2">
      <c r="A201" s="122" t="s">
        <v>64</v>
      </c>
      <c r="B201" s="84"/>
      <c r="C201" s="164">
        <v>17</v>
      </c>
      <c r="D201" s="20">
        <f t="shared" si="21"/>
        <v>142</v>
      </c>
      <c r="E201" s="86" t="s">
        <v>23</v>
      </c>
      <c r="F201" s="86" t="s">
        <v>23</v>
      </c>
      <c r="G201" s="251" t="s">
        <v>53</v>
      </c>
      <c r="H201" s="90">
        <v>3</v>
      </c>
      <c r="I201" s="90">
        <v>210</v>
      </c>
      <c r="J201" s="26">
        <f t="shared" si="20"/>
        <v>630</v>
      </c>
      <c r="K201" s="73"/>
      <c r="L201" s="31" t="s">
        <v>54</v>
      </c>
      <c r="M201" s="21"/>
      <c r="N201" s="21"/>
      <c r="O201" s="8">
        <v>44755</v>
      </c>
      <c r="P201" s="20"/>
      <c r="Q201" s="21"/>
      <c r="R201" s="8">
        <v>44769</v>
      </c>
      <c r="S201" s="108"/>
    </row>
    <row r="202" spans="1:19" s="2" customFormat="1" ht="19.649999999999999" customHeight="1" x14ac:dyDescent="0.2">
      <c r="A202" s="219" t="s">
        <v>64</v>
      </c>
      <c r="B202" s="84"/>
      <c r="C202" s="164">
        <v>17</v>
      </c>
      <c r="D202" s="20">
        <v>139</v>
      </c>
      <c r="E202" s="86" t="s">
        <v>23</v>
      </c>
      <c r="F202" s="85" t="s">
        <v>23</v>
      </c>
      <c r="G202" s="274" t="s">
        <v>434</v>
      </c>
      <c r="H202" s="88">
        <v>1</v>
      </c>
      <c r="I202" s="211">
        <v>130</v>
      </c>
      <c r="J202" s="43">
        <f t="shared" si="20"/>
        <v>130</v>
      </c>
      <c r="K202" s="74"/>
      <c r="L202" s="13" t="s">
        <v>433</v>
      </c>
      <c r="M202" s="21"/>
      <c r="N202" s="21"/>
      <c r="O202" s="8">
        <v>44755</v>
      </c>
      <c r="P202" s="20"/>
      <c r="Q202" s="21"/>
      <c r="R202" s="8">
        <v>44769</v>
      </c>
      <c r="S202" s="108"/>
    </row>
    <row r="203" spans="1:19" s="2" customFormat="1" ht="19.649999999999999" customHeight="1" x14ac:dyDescent="0.2">
      <c r="A203" s="122" t="s">
        <v>64</v>
      </c>
      <c r="B203" s="84"/>
      <c r="C203" s="164">
        <v>17</v>
      </c>
      <c r="D203" s="20">
        <f t="shared" si="21"/>
        <v>140</v>
      </c>
      <c r="E203" s="85" t="s">
        <v>23</v>
      </c>
      <c r="F203" s="85" t="s">
        <v>23</v>
      </c>
      <c r="G203" s="96" t="s">
        <v>220</v>
      </c>
      <c r="H203" s="256">
        <v>10</v>
      </c>
      <c r="I203" s="233">
        <v>32</v>
      </c>
      <c r="J203" s="98">
        <f>H203*I203</f>
        <v>320</v>
      </c>
      <c r="K203" s="46"/>
      <c r="L203" s="36" t="s">
        <v>221</v>
      </c>
      <c r="M203" s="21"/>
      <c r="N203" s="21"/>
      <c r="O203" s="8"/>
      <c r="P203" s="20"/>
      <c r="Q203" s="21"/>
      <c r="R203" s="8"/>
      <c r="S203" s="108"/>
    </row>
    <row r="204" spans="1:19" s="2" customFormat="1" ht="19.649999999999999" customHeight="1" x14ac:dyDescent="0.2">
      <c r="D204" s="20"/>
      <c r="E204" s="23"/>
      <c r="F204" s="23"/>
      <c r="G204" s="22"/>
      <c r="H204" s="227"/>
      <c r="I204" s="21"/>
      <c r="J204" s="26"/>
      <c r="K204" s="69"/>
      <c r="L204" s="36"/>
      <c r="M204" s="21"/>
      <c r="N204" s="21"/>
      <c r="O204" s="8"/>
      <c r="P204" s="20"/>
      <c r="Q204" s="21"/>
      <c r="R204" s="8"/>
      <c r="S204" s="108"/>
    </row>
    <row r="205" spans="1:19" s="2" customFormat="1" ht="19.649999999999999" customHeight="1" x14ac:dyDescent="0.2">
      <c r="D205" s="20"/>
      <c r="E205" s="23"/>
      <c r="F205" s="23"/>
      <c r="G205" s="22"/>
      <c r="H205" s="227"/>
      <c r="I205" s="21"/>
      <c r="J205" s="26"/>
      <c r="K205" s="69"/>
      <c r="L205" s="45"/>
      <c r="M205" s="21"/>
      <c r="N205" s="21"/>
      <c r="O205" s="8"/>
      <c r="P205" s="20"/>
      <c r="Q205" s="21"/>
      <c r="R205" s="8"/>
      <c r="S205" s="108"/>
    </row>
    <row r="206" spans="1:19" s="2" customFormat="1" ht="19.649999999999999" customHeight="1" x14ac:dyDescent="0.2">
      <c r="D206" s="20"/>
      <c r="E206" s="20"/>
      <c r="F206" s="20"/>
      <c r="G206" s="54">
        <f>SUM(J193:J204)</f>
        <v>16455</v>
      </c>
      <c r="H206" s="41"/>
      <c r="I206" s="41"/>
      <c r="J206" s="41"/>
      <c r="K206" s="75"/>
      <c r="L206" s="25"/>
      <c r="M206" s="21"/>
      <c r="N206" s="21"/>
      <c r="O206" s="8"/>
      <c r="P206" s="20"/>
      <c r="Q206" s="21"/>
      <c r="R206" s="8"/>
      <c r="S206" s="108"/>
    </row>
    <row r="207" spans="1:19" s="2" customFormat="1" ht="19.649999999999999" customHeight="1" x14ac:dyDescent="0.2">
      <c r="D207" s="20"/>
      <c r="E207" s="20"/>
      <c r="F207" s="20"/>
      <c r="G207" s="21"/>
      <c r="H207" s="21"/>
      <c r="I207" s="21"/>
      <c r="J207" s="1"/>
      <c r="K207" s="69"/>
      <c r="L207" s="21"/>
      <c r="M207" s="21"/>
      <c r="N207" s="21"/>
      <c r="O207" s="8"/>
      <c r="P207" s="20"/>
      <c r="Q207" s="21"/>
      <c r="R207" s="8"/>
      <c r="S207" s="108"/>
    </row>
    <row r="208" spans="1:19" s="2" customFormat="1" ht="19.649999999999999" customHeight="1" x14ac:dyDescent="0.2">
      <c r="D208" s="20"/>
      <c r="E208" s="20"/>
      <c r="F208" s="20"/>
      <c r="G208" s="22"/>
      <c r="H208" s="163"/>
      <c r="I208" s="21"/>
      <c r="J208" s="26"/>
      <c r="K208" s="69"/>
      <c r="L208" s="22"/>
      <c r="M208" s="21"/>
      <c r="N208" s="21"/>
      <c r="O208" s="8"/>
      <c r="P208" s="20"/>
      <c r="Q208" s="21"/>
      <c r="R208" s="8"/>
      <c r="S208" s="108"/>
    </row>
    <row r="209" spans="1:19" s="2" customFormat="1" ht="19.649999999999999" customHeight="1" x14ac:dyDescent="0.2">
      <c r="D209" s="20"/>
      <c r="E209" s="20"/>
      <c r="F209" s="20"/>
      <c r="G209" s="22"/>
      <c r="H209" s="163"/>
      <c r="I209" s="21"/>
      <c r="J209" s="26"/>
      <c r="K209" s="69"/>
      <c r="L209" s="22"/>
      <c r="M209" s="21"/>
      <c r="N209" s="21"/>
      <c r="O209" s="8"/>
      <c r="P209" s="20"/>
      <c r="Q209" s="21"/>
      <c r="R209" s="8"/>
      <c r="S209" s="108"/>
    </row>
    <row r="210" spans="1:19" s="2" customFormat="1" ht="19.649999999999999" customHeight="1" x14ac:dyDescent="0.2">
      <c r="B210" s="209"/>
      <c r="D210" s="20"/>
      <c r="E210" s="150" t="s">
        <v>219</v>
      </c>
      <c r="F210" s="151"/>
      <c r="G210" s="152"/>
      <c r="H210" s="226"/>
      <c r="I210" s="98"/>
      <c r="J210" s="19"/>
      <c r="K210" s="70"/>
      <c r="L210" s="36"/>
      <c r="M210" s="21"/>
      <c r="N210" s="21"/>
      <c r="O210" s="8"/>
      <c r="P210" s="20"/>
      <c r="Q210" s="21"/>
      <c r="R210" s="8"/>
      <c r="S210" s="108"/>
    </row>
    <row r="211" spans="1:19" s="2" customFormat="1" ht="19.649999999999999" customHeight="1" x14ac:dyDescent="0.2">
      <c r="A211" s="122" t="s">
        <v>63</v>
      </c>
      <c r="B211" s="84"/>
      <c r="C211" s="277">
        <v>12</v>
      </c>
      <c r="D211" s="20">
        <f>+D203+1</f>
        <v>141</v>
      </c>
      <c r="E211" s="35" t="s">
        <v>59</v>
      </c>
      <c r="F211" s="35" t="s">
        <v>60</v>
      </c>
      <c r="G211" s="231" t="s">
        <v>351</v>
      </c>
      <c r="H211" s="84">
        <v>1</v>
      </c>
      <c r="I211" s="84">
        <v>4380</v>
      </c>
      <c r="J211" s="26">
        <f t="shared" ref="J211:J216" si="22">H211*I211</f>
        <v>4380</v>
      </c>
      <c r="K211" s="69"/>
      <c r="L211" s="22" t="s">
        <v>368</v>
      </c>
      <c r="M211" s="21"/>
      <c r="N211" s="21"/>
      <c r="O211" s="8">
        <v>44755</v>
      </c>
      <c r="P211" s="20"/>
      <c r="Q211" s="21"/>
      <c r="R211" s="8">
        <v>44769</v>
      </c>
      <c r="S211" s="108"/>
    </row>
    <row r="212" spans="1:19" s="2" customFormat="1" ht="19.649999999999999" customHeight="1" x14ac:dyDescent="0.2">
      <c r="A212" s="122" t="s">
        <v>63</v>
      </c>
      <c r="B212" s="84"/>
      <c r="C212" s="277">
        <v>12</v>
      </c>
      <c r="D212" s="20">
        <f>+D211+1</f>
        <v>142</v>
      </c>
      <c r="E212" s="35" t="s">
        <v>59</v>
      </c>
      <c r="F212" s="35" t="s">
        <v>60</v>
      </c>
      <c r="G212" s="245" t="s">
        <v>353</v>
      </c>
      <c r="H212" s="229">
        <v>1</v>
      </c>
      <c r="I212" s="211">
        <v>2580</v>
      </c>
      <c r="J212" s="43">
        <f t="shared" si="22"/>
        <v>2580</v>
      </c>
      <c r="K212" s="74"/>
      <c r="L212" s="57" t="s">
        <v>369</v>
      </c>
      <c r="M212" s="21"/>
      <c r="N212" s="21"/>
      <c r="O212" s="8"/>
      <c r="P212" s="20"/>
      <c r="Q212" s="21"/>
      <c r="R212" s="8"/>
      <c r="S212" s="108"/>
    </row>
    <row r="213" spans="1:19" s="2" customFormat="1" ht="19.649999999999999" customHeight="1" x14ac:dyDescent="0.2">
      <c r="A213" s="122" t="s">
        <v>64</v>
      </c>
      <c r="B213" s="84"/>
      <c r="C213" s="277">
        <v>12</v>
      </c>
      <c r="D213" s="20">
        <f>+D212+1</f>
        <v>143</v>
      </c>
      <c r="E213" s="47" t="s">
        <v>23</v>
      </c>
      <c r="F213" s="47" t="s">
        <v>23</v>
      </c>
      <c r="G213" s="250" t="s">
        <v>220</v>
      </c>
      <c r="H213" s="239"/>
      <c r="I213" s="214">
        <v>32</v>
      </c>
      <c r="J213" s="214">
        <f t="shared" si="22"/>
        <v>0</v>
      </c>
      <c r="K213" s="239"/>
      <c r="L213" s="250" t="s">
        <v>354</v>
      </c>
      <c r="M213" s="21"/>
      <c r="N213" s="21"/>
      <c r="O213" s="8">
        <v>44755</v>
      </c>
      <c r="P213" s="20"/>
      <c r="Q213" s="21"/>
      <c r="R213" s="8">
        <v>44769</v>
      </c>
      <c r="S213" s="108"/>
    </row>
    <row r="214" spans="1:19" s="2" customFormat="1" ht="19.649999999999999" customHeight="1" x14ac:dyDescent="0.2">
      <c r="A214" s="122" t="s">
        <v>64</v>
      </c>
      <c r="B214" s="84"/>
      <c r="C214" s="277">
        <v>12</v>
      </c>
      <c r="D214" s="20">
        <f>+D213+1</f>
        <v>144</v>
      </c>
      <c r="E214" s="35" t="s">
        <v>23</v>
      </c>
      <c r="F214" s="35" t="s">
        <v>23</v>
      </c>
      <c r="G214" s="253" t="s">
        <v>26</v>
      </c>
      <c r="H214" s="84">
        <v>2</v>
      </c>
      <c r="I214" s="255">
        <v>72</v>
      </c>
      <c r="J214" s="39">
        <f t="shared" si="22"/>
        <v>144</v>
      </c>
      <c r="K214" s="69"/>
      <c r="L214" s="25" t="s">
        <v>27</v>
      </c>
      <c r="M214" s="21"/>
      <c r="N214" s="21"/>
      <c r="O214" s="8">
        <v>44755</v>
      </c>
      <c r="P214" s="20"/>
      <c r="Q214" s="21"/>
      <c r="R214" s="8">
        <v>44769</v>
      </c>
      <c r="S214" s="108"/>
    </row>
    <row r="215" spans="1:19" s="2" customFormat="1" ht="19.649999999999999" customHeight="1" x14ac:dyDescent="0.2">
      <c r="A215" s="122" t="s">
        <v>64</v>
      </c>
      <c r="B215" s="84"/>
      <c r="C215" s="277">
        <v>12</v>
      </c>
      <c r="D215" s="20">
        <f>+D214+1</f>
        <v>145</v>
      </c>
      <c r="E215" s="35" t="s">
        <v>23</v>
      </c>
      <c r="F215" s="35" t="s">
        <v>23</v>
      </c>
      <c r="G215" s="253" t="s">
        <v>28</v>
      </c>
      <c r="H215" s="84">
        <v>2</v>
      </c>
      <c r="I215" s="255">
        <v>31</v>
      </c>
      <c r="J215" s="39">
        <f t="shared" si="22"/>
        <v>62</v>
      </c>
      <c r="K215" s="69"/>
      <c r="L215" s="25" t="s">
        <v>29</v>
      </c>
      <c r="M215" s="21"/>
      <c r="N215" s="21"/>
      <c r="O215" s="8">
        <v>44755</v>
      </c>
      <c r="P215" s="20"/>
      <c r="Q215" s="21"/>
      <c r="R215" s="8">
        <v>44769</v>
      </c>
      <c r="S215" s="108"/>
    </row>
    <row r="216" spans="1:19" s="2" customFormat="1" ht="19.649999999999999" customHeight="1" x14ac:dyDescent="0.2">
      <c r="A216" s="122" t="s">
        <v>64</v>
      </c>
      <c r="B216" s="84"/>
      <c r="C216" s="277">
        <v>12</v>
      </c>
      <c r="D216" s="20">
        <f>+D215+1</f>
        <v>146</v>
      </c>
      <c r="E216" s="48" t="s">
        <v>23</v>
      </c>
      <c r="F216" s="48" t="s">
        <v>23</v>
      </c>
      <c r="G216" s="159" t="s">
        <v>193</v>
      </c>
      <c r="H216" s="160"/>
      <c r="I216" s="218">
        <v>19</v>
      </c>
      <c r="J216" s="50">
        <f t="shared" si="22"/>
        <v>0</v>
      </c>
      <c r="K216" s="239"/>
      <c r="L216" s="159" t="s">
        <v>199</v>
      </c>
      <c r="M216" s="21"/>
      <c r="N216" s="21"/>
      <c r="O216" s="8"/>
      <c r="P216" s="20"/>
      <c r="Q216" s="21"/>
      <c r="R216" s="8"/>
      <c r="S216" s="108"/>
    </row>
    <row r="217" spans="1:19" s="2" customFormat="1" ht="19.649999999999999" customHeight="1" x14ac:dyDescent="0.2">
      <c r="B217" s="21"/>
      <c r="C217" s="277">
        <v>12</v>
      </c>
      <c r="D217" s="20"/>
      <c r="E217" s="20"/>
      <c r="F217" s="20"/>
      <c r="G217" s="78"/>
      <c r="H217" s="163"/>
      <c r="I217" s="138"/>
      <c r="J217" s="26"/>
      <c r="K217" s="69"/>
      <c r="L217" s="22"/>
      <c r="M217" s="21"/>
      <c r="N217" s="21"/>
      <c r="O217" s="8"/>
      <c r="P217" s="20"/>
      <c r="Q217" s="21"/>
      <c r="R217" s="8"/>
      <c r="S217" s="108"/>
    </row>
    <row r="218" spans="1:19" s="2" customFormat="1" ht="19.649999999999999" customHeight="1" x14ac:dyDescent="0.2">
      <c r="A218" s="183" t="s">
        <v>63</v>
      </c>
      <c r="B218" s="209"/>
      <c r="C218" s="277">
        <v>12</v>
      </c>
      <c r="D218" s="20">
        <f>+D216+1</f>
        <v>147</v>
      </c>
      <c r="E218" s="210" t="s">
        <v>23</v>
      </c>
      <c r="F218" s="210" t="s">
        <v>23</v>
      </c>
      <c r="G218" s="265" t="s">
        <v>222</v>
      </c>
      <c r="H218" s="229">
        <v>2</v>
      </c>
      <c r="I218" s="211">
        <v>1280</v>
      </c>
      <c r="J218" s="125">
        <f>H218*I218</f>
        <v>2560</v>
      </c>
      <c r="K218" s="74"/>
      <c r="L218" s="57" t="s">
        <v>40</v>
      </c>
      <c r="M218" s="21"/>
      <c r="N218" s="21"/>
      <c r="O218" s="8"/>
      <c r="P218" s="20"/>
      <c r="Q218" s="21"/>
      <c r="R218" s="8"/>
      <c r="S218" s="108"/>
    </row>
    <row r="219" spans="1:19" s="2" customFormat="1" ht="19.649999999999999" customHeight="1" x14ac:dyDescent="0.2">
      <c r="A219" s="183" t="s">
        <v>284</v>
      </c>
      <c r="B219" s="209"/>
      <c r="C219" s="277">
        <v>12</v>
      </c>
      <c r="D219" s="20">
        <f>+D218+1</f>
        <v>148</v>
      </c>
      <c r="E219" s="141" t="s">
        <v>55</v>
      </c>
      <c r="F219" s="141" t="s">
        <v>177</v>
      </c>
      <c r="G219" s="231" t="s">
        <v>279</v>
      </c>
      <c r="H219" s="232">
        <v>1</v>
      </c>
      <c r="I219" s="235">
        <v>6617</v>
      </c>
      <c r="J219" s="19">
        <f t="shared" ref="J219:J227" si="23">H219*I219</f>
        <v>6617</v>
      </c>
      <c r="K219" s="69"/>
      <c r="L219" s="22" t="s">
        <v>273</v>
      </c>
      <c r="M219" s="21"/>
      <c r="N219" s="21"/>
      <c r="O219" s="8"/>
      <c r="P219" s="20"/>
      <c r="Q219" s="21"/>
      <c r="R219" s="8"/>
      <c r="S219" s="108"/>
    </row>
    <row r="220" spans="1:19" s="2" customFormat="1" ht="19.649999999999999" customHeight="1" x14ac:dyDescent="0.2">
      <c r="A220" s="183" t="s">
        <v>284</v>
      </c>
      <c r="B220" s="209"/>
      <c r="C220" s="277">
        <v>12</v>
      </c>
      <c r="D220" s="20">
        <f t="shared" ref="D220:D227" si="24">+D219+1</f>
        <v>149</v>
      </c>
      <c r="E220" s="141" t="s">
        <v>55</v>
      </c>
      <c r="F220" s="141" t="s">
        <v>177</v>
      </c>
      <c r="G220" s="231" t="s">
        <v>280</v>
      </c>
      <c r="H220" s="232">
        <v>1</v>
      </c>
      <c r="I220" s="235">
        <v>7567</v>
      </c>
      <c r="J220" s="19">
        <f t="shared" si="23"/>
        <v>7567</v>
      </c>
      <c r="K220" s="69"/>
      <c r="L220" s="22" t="s">
        <v>274</v>
      </c>
      <c r="M220" s="21"/>
      <c r="N220" s="21"/>
      <c r="O220" s="8"/>
      <c r="P220" s="20"/>
      <c r="Q220" s="21"/>
      <c r="R220" s="8"/>
      <c r="S220" s="108"/>
    </row>
    <row r="221" spans="1:19" s="2" customFormat="1" ht="19.649999999999999" customHeight="1" x14ac:dyDescent="0.2">
      <c r="A221" s="183" t="s">
        <v>63</v>
      </c>
      <c r="B221" s="209"/>
      <c r="C221" s="277">
        <v>12</v>
      </c>
      <c r="D221" s="20">
        <f t="shared" si="24"/>
        <v>150</v>
      </c>
      <c r="E221" s="141" t="s">
        <v>55</v>
      </c>
      <c r="F221" s="141" t="s">
        <v>177</v>
      </c>
      <c r="G221" s="231" t="s">
        <v>277</v>
      </c>
      <c r="H221" s="232">
        <v>1</v>
      </c>
      <c r="I221" s="235">
        <v>2520</v>
      </c>
      <c r="J221" s="19">
        <f t="shared" si="23"/>
        <v>2520</v>
      </c>
      <c r="K221" s="69"/>
      <c r="L221" s="22" t="s">
        <v>275</v>
      </c>
      <c r="M221" s="21"/>
      <c r="N221" s="21"/>
      <c r="O221" s="8"/>
      <c r="P221" s="20"/>
      <c r="Q221" s="21"/>
      <c r="R221" s="8"/>
      <c r="S221" s="108"/>
    </row>
    <row r="222" spans="1:19" s="2" customFormat="1" ht="19.649999999999999" customHeight="1" x14ac:dyDescent="0.2">
      <c r="A222" s="183" t="s">
        <v>64</v>
      </c>
      <c r="B222" s="209"/>
      <c r="C222" s="277">
        <v>12</v>
      </c>
      <c r="D222" s="20">
        <f t="shared" si="24"/>
        <v>151</v>
      </c>
      <c r="E222" s="20" t="s">
        <v>23</v>
      </c>
      <c r="F222" s="20" t="s">
        <v>23</v>
      </c>
      <c r="G222" s="231" t="s">
        <v>208</v>
      </c>
      <c r="H222" s="232">
        <v>1</v>
      </c>
      <c r="I222" s="235">
        <v>410</v>
      </c>
      <c r="J222" s="19">
        <f t="shared" si="23"/>
        <v>410</v>
      </c>
      <c r="K222" s="69"/>
      <c r="L222" s="22" t="s">
        <v>226</v>
      </c>
      <c r="M222" s="21"/>
      <c r="N222" s="21"/>
      <c r="O222" s="8"/>
      <c r="P222" s="20"/>
      <c r="Q222" s="21"/>
      <c r="R222" s="8"/>
      <c r="S222" s="108"/>
    </row>
    <row r="223" spans="1:19" s="2" customFormat="1" ht="19.649999999999999" customHeight="1" x14ac:dyDescent="0.2">
      <c r="A223" s="183" t="s">
        <v>64</v>
      </c>
      <c r="B223" s="209"/>
      <c r="C223" s="277">
        <v>12</v>
      </c>
      <c r="D223" s="20">
        <f t="shared" si="24"/>
        <v>152</v>
      </c>
      <c r="E223" s="48" t="s">
        <v>23</v>
      </c>
      <c r="F223" s="48" t="s">
        <v>23</v>
      </c>
      <c r="G223" s="159" t="s">
        <v>193</v>
      </c>
      <c r="H223" s="160">
        <v>0</v>
      </c>
      <c r="I223" s="218">
        <v>19</v>
      </c>
      <c r="J223" s="19">
        <f t="shared" si="23"/>
        <v>0</v>
      </c>
      <c r="K223" s="1"/>
      <c r="L223" s="29" t="s">
        <v>209</v>
      </c>
      <c r="M223" s="21"/>
      <c r="N223" s="21"/>
      <c r="O223" s="8"/>
      <c r="P223" s="20"/>
      <c r="Q223" s="21"/>
      <c r="R223" s="8"/>
      <c r="S223" s="108"/>
    </row>
    <row r="224" spans="1:19" s="2" customFormat="1" ht="19.649999999999999" customHeight="1" x14ac:dyDescent="0.2">
      <c r="A224" s="183" t="s">
        <v>64</v>
      </c>
      <c r="B224" s="209"/>
      <c r="C224" s="277">
        <v>12</v>
      </c>
      <c r="D224" s="20">
        <f t="shared" si="24"/>
        <v>153</v>
      </c>
      <c r="E224" s="20" t="s">
        <v>23</v>
      </c>
      <c r="F224" s="20" t="s">
        <v>23</v>
      </c>
      <c r="G224" s="231" t="s">
        <v>210</v>
      </c>
      <c r="H224" s="232">
        <v>1</v>
      </c>
      <c r="I224" s="235">
        <v>197</v>
      </c>
      <c r="J224" s="19">
        <f t="shared" si="23"/>
        <v>197</v>
      </c>
      <c r="K224" s="69"/>
      <c r="L224" s="22" t="s">
        <v>227</v>
      </c>
      <c r="M224" s="21"/>
      <c r="N224" s="21"/>
      <c r="O224" s="8"/>
      <c r="P224" s="20"/>
      <c r="Q224" s="21"/>
      <c r="R224" s="8"/>
      <c r="S224" s="108"/>
    </row>
    <row r="225" spans="1:19" s="2" customFormat="1" ht="19.649999999999999" customHeight="1" x14ac:dyDescent="0.2">
      <c r="A225" s="183" t="s">
        <v>64</v>
      </c>
      <c r="B225" s="209"/>
      <c r="C225" s="277">
        <v>12</v>
      </c>
      <c r="D225" s="20">
        <f t="shared" si="24"/>
        <v>154</v>
      </c>
      <c r="E225" s="47" t="s">
        <v>23</v>
      </c>
      <c r="F225" s="47" t="s">
        <v>23</v>
      </c>
      <c r="G225" s="179" t="s">
        <v>137</v>
      </c>
      <c r="H225" s="157"/>
      <c r="I225" s="50">
        <v>25</v>
      </c>
      <c r="J225" s="19">
        <f t="shared" si="23"/>
        <v>0</v>
      </c>
      <c r="K225" s="19"/>
      <c r="L225" s="22" t="s">
        <v>211</v>
      </c>
      <c r="M225" s="21"/>
      <c r="N225" s="21"/>
      <c r="O225" s="8"/>
      <c r="P225" s="20"/>
      <c r="Q225" s="21"/>
      <c r="R225" s="8"/>
      <c r="S225" s="108"/>
    </row>
    <row r="226" spans="1:19" s="2" customFormat="1" ht="19.649999999999999" customHeight="1" x14ac:dyDescent="0.2">
      <c r="A226" s="183" t="s">
        <v>64</v>
      </c>
      <c r="B226" s="209"/>
      <c r="C226" s="277">
        <v>12</v>
      </c>
      <c r="D226" s="20">
        <f t="shared" si="24"/>
        <v>155</v>
      </c>
      <c r="E226" s="20" t="s">
        <v>23</v>
      </c>
      <c r="F226" s="20" t="s">
        <v>23</v>
      </c>
      <c r="G226" s="231" t="s">
        <v>212</v>
      </c>
      <c r="H226" s="232">
        <v>10</v>
      </c>
      <c r="I226" s="235">
        <v>54</v>
      </c>
      <c r="J226" s="19">
        <f t="shared" si="23"/>
        <v>540</v>
      </c>
      <c r="K226" s="69"/>
      <c r="L226" s="22" t="s">
        <v>228</v>
      </c>
      <c r="M226" s="21"/>
      <c r="N226" s="21"/>
      <c r="O226" s="8"/>
      <c r="P226" s="20"/>
      <c r="Q226" s="21"/>
      <c r="R226" s="8"/>
      <c r="S226" s="108"/>
    </row>
    <row r="227" spans="1:19" s="2" customFormat="1" ht="19.649999999999999" customHeight="1" x14ac:dyDescent="0.2">
      <c r="A227" s="183" t="s">
        <v>64</v>
      </c>
      <c r="B227" s="209"/>
      <c r="C227" s="277">
        <v>12</v>
      </c>
      <c r="D227" s="20">
        <f t="shared" si="24"/>
        <v>156</v>
      </c>
      <c r="E227" s="20" t="s">
        <v>23</v>
      </c>
      <c r="F227" s="20" t="s">
        <v>23</v>
      </c>
      <c r="G227" s="231" t="s">
        <v>34</v>
      </c>
      <c r="H227" s="232">
        <v>10</v>
      </c>
      <c r="I227" s="235">
        <v>56</v>
      </c>
      <c r="J227" s="19">
        <f t="shared" si="23"/>
        <v>560</v>
      </c>
      <c r="K227" s="69"/>
      <c r="L227" s="22" t="s">
        <v>228</v>
      </c>
      <c r="M227" s="21"/>
      <c r="N227" s="21"/>
      <c r="O227" s="8"/>
      <c r="P227" s="20"/>
      <c r="Q227" s="21"/>
      <c r="R227" s="8"/>
      <c r="S227" s="108"/>
    </row>
    <row r="228" spans="1:19" s="2" customFormat="1" ht="19.649999999999999" customHeight="1" x14ac:dyDescent="0.2">
      <c r="B228" s="21"/>
      <c r="C228" s="277">
        <v>12</v>
      </c>
      <c r="D228" s="20"/>
      <c r="E228" s="20"/>
      <c r="F228" s="20"/>
      <c r="G228" s="78"/>
      <c r="H228" s="163"/>
      <c r="I228" s="138"/>
      <c r="J228" s="26"/>
      <c r="K228" s="69"/>
      <c r="L228" s="22"/>
      <c r="M228" s="21"/>
      <c r="N228" s="21"/>
      <c r="O228" s="8"/>
      <c r="P228" s="20"/>
      <c r="Q228" s="21"/>
      <c r="R228" s="8"/>
      <c r="S228" s="108"/>
    </row>
    <row r="229" spans="1:19" s="2" customFormat="1" ht="19.649999999999999" customHeight="1" x14ac:dyDescent="0.2">
      <c r="A229" s="183" t="s">
        <v>284</v>
      </c>
      <c r="B229" s="209"/>
      <c r="C229" s="277">
        <v>12</v>
      </c>
      <c r="D229" s="20">
        <f>+D227+1</f>
        <v>157</v>
      </c>
      <c r="E229" s="141" t="s">
        <v>55</v>
      </c>
      <c r="F229" s="141" t="s">
        <v>177</v>
      </c>
      <c r="G229" s="231" t="s">
        <v>355</v>
      </c>
      <c r="H229" s="232">
        <v>1</v>
      </c>
      <c r="I229" s="233">
        <v>5805</v>
      </c>
      <c r="J229" s="58">
        <f>H229*I229</f>
        <v>5805</v>
      </c>
      <c r="K229" s="1"/>
      <c r="L229" s="22" t="s">
        <v>378</v>
      </c>
      <c r="M229" s="39"/>
      <c r="N229" s="21"/>
      <c r="O229" s="8"/>
      <c r="P229" s="20"/>
      <c r="Q229" s="21"/>
      <c r="R229" s="8"/>
      <c r="S229" s="108"/>
    </row>
    <row r="230" spans="1:19" s="2" customFormat="1" ht="19.649999999999999" customHeight="1" x14ac:dyDescent="0.2">
      <c r="A230" s="183" t="s">
        <v>284</v>
      </c>
      <c r="B230" s="209"/>
      <c r="C230" s="277">
        <v>12</v>
      </c>
      <c r="D230" s="20">
        <f t="shared" ref="D230:D236" si="25">+D229+1</f>
        <v>158</v>
      </c>
      <c r="E230" s="141" t="s">
        <v>55</v>
      </c>
      <c r="F230" s="141" t="s">
        <v>177</v>
      </c>
      <c r="G230" s="234" t="s">
        <v>356</v>
      </c>
      <c r="H230" s="84">
        <v>1</v>
      </c>
      <c r="I230" s="233">
        <v>9416</v>
      </c>
      <c r="J230" s="58">
        <f>H230*I230</f>
        <v>9416</v>
      </c>
      <c r="K230" s="1"/>
      <c r="L230" s="22" t="s">
        <v>337</v>
      </c>
      <c r="M230" s="39"/>
      <c r="N230" s="21"/>
      <c r="O230" s="8"/>
      <c r="P230" s="20"/>
      <c r="Q230" s="21"/>
      <c r="R230" s="8"/>
      <c r="S230" s="108"/>
    </row>
    <row r="231" spans="1:19" s="2" customFormat="1" ht="19.649999999999999" customHeight="1" x14ac:dyDescent="0.2">
      <c r="A231" s="183" t="s">
        <v>64</v>
      </c>
      <c r="B231" s="209"/>
      <c r="C231" s="277">
        <v>12</v>
      </c>
      <c r="D231" s="20">
        <f>+D230+1</f>
        <v>159</v>
      </c>
      <c r="E231" s="20" t="s">
        <v>23</v>
      </c>
      <c r="F231" s="20" t="s">
        <v>23</v>
      </c>
      <c r="G231" s="231" t="s">
        <v>407</v>
      </c>
      <c r="H231" s="232">
        <v>1</v>
      </c>
      <c r="I231" s="235">
        <v>97</v>
      </c>
      <c r="J231" s="58">
        <f t="shared" ref="J231:J236" si="26">H231*I231</f>
        <v>97</v>
      </c>
      <c r="K231" s="69"/>
      <c r="L231" s="22" t="s">
        <v>205</v>
      </c>
      <c r="M231" s="39"/>
      <c r="N231" s="21"/>
      <c r="O231" s="8"/>
      <c r="P231" s="20"/>
      <c r="Q231" s="21"/>
      <c r="R231" s="8"/>
      <c r="S231" s="108"/>
    </row>
    <row r="232" spans="1:19" s="2" customFormat="1" ht="19.649999999999999" customHeight="1" x14ac:dyDescent="0.2">
      <c r="A232" s="183" t="s">
        <v>223</v>
      </c>
      <c r="B232" s="209"/>
      <c r="C232" s="277">
        <v>12</v>
      </c>
      <c r="D232" s="20">
        <f t="shared" si="25"/>
        <v>160</v>
      </c>
      <c r="E232" s="20" t="s">
        <v>23</v>
      </c>
      <c r="F232" s="20" t="s">
        <v>23</v>
      </c>
      <c r="G232" s="231" t="s">
        <v>202</v>
      </c>
      <c r="H232" s="232">
        <v>1</v>
      </c>
      <c r="I232" s="235">
        <v>4570</v>
      </c>
      <c r="J232" s="58">
        <f t="shared" si="26"/>
        <v>4570</v>
      </c>
      <c r="K232" s="69"/>
      <c r="L232" s="22" t="s">
        <v>206</v>
      </c>
      <c r="M232" s="39"/>
      <c r="N232" s="21"/>
      <c r="O232" s="8"/>
      <c r="P232" s="20"/>
      <c r="Q232" s="21"/>
      <c r="R232" s="8"/>
      <c r="S232" s="108"/>
    </row>
    <row r="233" spans="1:19" s="2" customFormat="1" ht="19.649999999999999" customHeight="1" x14ac:dyDescent="0.2">
      <c r="A233" s="183" t="s">
        <v>64</v>
      </c>
      <c r="B233" s="209"/>
      <c r="C233" s="277">
        <v>12</v>
      </c>
      <c r="D233" s="20">
        <f t="shared" si="25"/>
        <v>161</v>
      </c>
      <c r="E233" s="47" t="s">
        <v>23</v>
      </c>
      <c r="F233" s="47" t="s">
        <v>23</v>
      </c>
      <c r="G233" s="49" t="s">
        <v>78</v>
      </c>
      <c r="H233" s="48"/>
      <c r="I233" s="214">
        <v>29</v>
      </c>
      <c r="J233" s="267">
        <f t="shared" si="26"/>
        <v>0</v>
      </c>
      <c r="K233" s="239"/>
      <c r="L233" s="51" t="s">
        <v>87</v>
      </c>
      <c r="M233" s="39"/>
      <c r="N233" s="21"/>
      <c r="O233" s="8"/>
      <c r="P233" s="20"/>
      <c r="Q233" s="21"/>
      <c r="R233" s="8"/>
      <c r="S233" s="108"/>
    </row>
    <row r="234" spans="1:19" s="2" customFormat="1" ht="19.649999999999999" customHeight="1" x14ac:dyDescent="0.2">
      <c r="A234" s="183" t="s">
        <v>63</v>
      </c>
      <c r="B234" s="209"/>
      <c r="C234" s="277">
        <v>12</v>
      </c>
      <c r="D234" s="20">
        <f t="shared" si="25"/>
        <v>162</v>
      </c>
      <c r="E234" s="20" t="s">
        <v>23</v>
      </c>
      <c r="F234" s="20" t="s">
        <v>23</v>
      </c>
      <c r="G234" s="231" t="s">
        <v>203</v>
      </c>
      <c r="H234" s="232">
        <v>1</v>
      </c>
      <c r="I234" s="235">
        <v>960</v>
      </c>
      <c r="J234" s="58">
        <f t="shared" si="26"/>
        <v>960</v>
      </c>
      <c r="K234" s="69"/>
      <c r="L234" s="22" t="s">
        <v>207</v>
      </c>
      <c r="M234" s="39"/>
      <c r="N234" s="21"/>
      <c r="O234" s="8"/>
      <c r="P234" s="20"/>
      <c r="Q234" s="21"/>
      <c r="R234" s="8"/>
      <c r="S234" s="108"/>
    </row>
    <row r="235" spans="1:19" s="2" customFormat="1" ht="19.649999999999999" customHeight="1" x14ac:dyDescent="0.2">
      <c r="A235" s="183" t="s">
        <v>63</v>
      </c>
      <c r="B235" s="209"/>
      <c r="C235" s="277">
        <v>12</v>
      </c>
      <c r="D235" s="20">
        <f t="shared" si="25"/>
        <v>163</v>
      </c>
      <c r="E235" s="141" t="s">
        <v>55</v>
      </c>
      <c r="F235" s="141" t="s">
        <v>177</v>
      </c>
      <c r="G235" s="231" t="s">
        <v>338</v>
      </c>
      <c r="H235" s="232">
        <v>1</v>
      </c>
      <c r="I235" s="235">
        <v>1760</v>
      </c>
      <c r="J235" s="58">
        <f t="shared" si="26"/>
        <v>1760</v>
      </c>
      <c r="K235" s="69"/>
      <c r="L235" s="181" t="s">
        <v>339</v>
      </c>
      <c r="M235" s="39" t="s">
        <v>340</v>
      </c>
      <c r="N235" s="100"/>
      <c r="O235" s="8">
        <v>45120</v>
      </c>
      <c r="P235" s="20"/>
      <c r="Q235" s="100">
        <v>45133</v>
      </c>
      <c r="R235" s="8">
        <v>45134</v>
      </c>
      <c r="S235" s="108"/>
    </row>
    <row r="236" spans="1:19" s="2" customFormat="1" ht="19.649999999999999" customHeight="1" x14ac:dyDescent="0.2">
      <c r="A236" s="183" t="s">
        <v>64</v>
      </c>
      <c r="B236" s="209"/>
      <c r="C236" s="277">
        <v>12</v>
      </c>
      <c r="D236" s="20">
        <f t="shared" si="25"/>
        <v>164</v>
      </c>
      <c r="E236" s="20" t="s">
        <v>23</v>
      </c>
      <c r="F236" s="20" t="s">
        <v>23</v>
      </c>
      <c r="G236" s="231" t="s">
        <v>204</v>
      </c>
      <c r="H236" s="232">
        <v>1</v>
      </c>
      <c r="I236" s="235">
        <v>320</v>
      </c>
      <c r="J236" s="58">
        <f t="shared" si="26"/>
        <v>320</v>
      </c>
      <c r="K236" s="69"/>
      <c r="L236" s="22" t="s">
        <v>207</v>
      </c>
      <c r="M236" s="39"/>
      <c r="N236" s="21"/>
      <c r="O236" s="8"/>
      <c r="P236" s="20"/>
      <c r="Q236" s="21"/>
      <c r="R236" s="8"/>
      <c r="S236" s="108"/>
    </row>
    <row r="237" spans="1:19" s="2" customFormat="1" ht="19.649999999999999" customHeight="1" x14ac:dyDescent="0.2">
      <c r="B237" s="21"/>
      <c r="C237" s="277">
        <v>12</v>
      </c>
      <c r="D237" s="20"/>
      <c r="E237" s="20"/>
      <c r="F237" s="20"/>
      <c r="G237" s="78"/>
      <c r="H237" s="163"/>
      <c r="I237" s="138"/>
      <c r="J237" s="26"/>
      <c r="K237" s="69"/>
      <c r="L237" s="22"/>
      <c r="M237" s="21"/>
      <c r="N237" s="21"/>
      <c r="O237" s="8"/>
      <c r="P237" s="20"/>
      <c r="Q237" s="21"/>
      <c r="R237" s="8"/>
      <c r="S237" s="108"/>
    </row>
    <row r="238" spans="1:19" s="2" customFormat="1" ht="19.649999999999999" customHeight="1" x14ac:dyDescent="0.2">
      <c r="A238" s="175" t="s">
        <v>284</v>
      </c>
      <c r="B238" s="209"/>
      <c r="C238" s="277">
        <v>12</v>
      </c>
      <c r="D238" s="20">
        <f>+D236+1</f>
        <v>165</v>
      </c>
      <c r="E238" s="141" t="s">
        <v>55</v>
      </c>
      <c r="F238" s="141" t="s">
        <v>177</v>
      </c>
      <c r="G238" s="96" t="s">
        <v>392</v>
      </c>
      <c r="H238" s="84">
        <v>1</v>
      </c>
      <c r="I238" s="235">
        <v>13765</v>
      </c>
      <c r="J238" s="58">
        <f t="shared" ref="J238:J244" si="27">H238*I238</f>
        <v>13765</v>
      </c>
      <c r="K238" s="1"/>
      <c r="L238" s="22" t="s">
        <v>388</v>
      </c>
      <c r="M238" s="21"/>
      <c r="N238" s="21"/>
      <c r="O238" s="8"/>
      <c r="P238" s="20"/>
      <c r="Q238" s="21"/>
      <c r="R238" s="8"/>
      <c r="S238" s="108"/>
    </row>
    <row r="239" spans="1:19" s="2" customFormat="1" ht="19.649999999999999" customHeight="1" x14ac:dyDescent="0.2">
      <c r="A239" s="175" t="s">
        <v>64</v>
      </c>
      <c r="B239" s="209"/>
      <c r="C239" s="277">
        <v>12</v>
      </c>
      <c r="D239" s="20">
        <f t="shared" ref="D239:D244" si="28">+D238+1</f>
        <v>166</v>
      </c>
      <c r="E239" s="48" t="s">
        <v>23</v>
      </c>
      <c r="F239" s="48" t="s">
        <v>23</v>
      </c>
      <c r="G239" s="159" t="s">
        <v>290</v>
      </c>
      <c r="H239" s="160"/>
      <c r="I239" s="218">
        <v>49</v>
      </c>
      <c r="J239" s="238">
        <f t="shared" si="27"/>
        <v>0</v>
      </c>
      <c r="K239" s="239"/>
      <c r="L239" s="159" t="s">
        <v>343</v>
      </c>
      <c r="M239" s="21"/>
      <c r="N239" s="21"/>
      <c r="O239" s="8"/>
      <c r="P239" s="20"/>
      <c r="Q239" s="21"/>
      <c r="R239" s="8"/>
      <c r="S239" s="108"/>
    </row>
    <row r="240" spans="1:19" s="2" customFormat="1" ht="19.649999999999999" customHeight="1" x14ac:dyDescent="0.2">
      <c r="A240" s="175" t="s">
        <v>64</v>
      </c>
      <c r="B240" s="209"/>
      <c r="C240" s="277">
        <v>12</v>
      </c>
      <c r="D240" s="20">
        <f t="shared" si="28"/>
        <v>167</v>
      </c>
      <c r="E240" s="48" t="s">
        <v>23</v>
      </c>
      <c r="F240" s="48" t="s">
        <v>23</v>
      </c>
      <c r="G240" s="159" t="s">
        <v>193</v>
      </c>
      <c r="H240" s="160"/>
      <c r="I240" s="218">
        <v>19</v>
      </c>
      <c r="J240" s="238">
        <f t="shared" si="27"/>
        <v>0</v>
      </c>
      <c r="K240" s="239"/>
      <c r="L240" s="159" t="s">
        <v>224</v>
      </c>
      <c r="M240" s="21"/>
      <c r="N240" s="21"/>
      <c r="O240" s="8"/>
      <c r="P240" s="20"/>
      <c r="Q240" s="21"/>
      <c r="R240" s="8"/>
      <c r="S240" s="108"/>
    </row>
    <row r="241" spans="1:19" s="2" customFormat="1" ht="19.649999999999999" customHeight="1" x14ac:dyDescent="0.2">
      <c r="A241" s="175" t="s">
        <v>64</v>
      </c>
      <c r="B241" s="209"/>
      <c r="C241" s="277">
        <v>12</v>
      </c>
      <c r="D241" s="20">
        <f t="shared" si="28"/>
        <v>168</v>
      </c>
      <c r="E241" s="47" t="s">
        <v>23</v>
      </c>
      <c r="F241" s="47" t="s">
        <v>23</v>
      </c>
      <c r="G241" s="49" t="s">
        <v>169</v>
      </c>
      <c r="H241" s="157"/>
      <c r="I241" s="50">
        <v>19</v>
      </c>
      <c r="J241" s="136">
        <f t="shared" si="27"/>
        <v>0</v>
      </c>
      <c r="K241" s="136"/>
      <c r="L241" s="51" t="s">
        <v>344</v>
      </c>
      <c r="M241" s="21"/>
      <c r="N241" s="21"/>
      <c r="O241" s="8"/>
      <c r="P241" s="20"/>
      <c r="Q241" s="21"/>
      <c r="R241" s="8"/>
      <c r="S241" s="108"/>
    </row>
    <row r="242" spans="1:19" s="2" customFormat="1" ht="19.649999999999999" customHeight="1" x14ac:dyDescent="0.2">
      <c r="A242" s="175" t="s">
        <v>64</v>
      </c>
      <c r="B242" s="209"/>
      <c r="C242" s="277">
        <v>12</v>
      </c>
      <c r="D242" s="20">
        <f t="shared" si="28"/>
        <v>169</v>
      </c>
      <c r="E242" s="47" t="s">
        <v>23</v>
      </c>
      <c r="F242" s="47" t="s">
        <v>23</v>
      </c>
      <c r="G242" s="49" t="s">
        <v>137</v>
      </c>
      <c r="H242" s="157"/>
      <c r="I242" s="50">
        <v>29</v>
      </c>
      <c r="J242" s="136">
        <f t="shared" si="27"/>
        <v>0</v>
      </c>
      <c r="K242" s="136"/>
      <c r="L242" s="51" t="s">
        <v>211</v>
      </c>
      <c r="M242" s="21"/>
      <c r="N242" s="21"/>
      <c r="O242" s="8"/>
      <c r="P242" s="20"/>
      <c r="Q242" s="21"/>
      <c r="R242" s="8"/>
      <c r="S242" s="108"/>
    </row>
    <row r="243" spans="1:19" s="2" customFormat="1" ht="19.649999999999999" customHeight="1" x14ac:dyDescent="0.2">
      <c r="A243" s="175" t="s">
        <v>64</v>
      </c>
      <c r="B243" s="209"/>
      <c r="C243" s="277">
        <v>12</v>
      </c>
      <c r="D243" s="20">
        <f t="shared" si="28"/>
        <v>170</v>
      </c>
      <c r="E243" s="47" t="s">
        <v>23</v>
      </c>
      <c r="F243" s="47" t="s">
        <v>23</v>
      </c>
      <c r="G243" s="49" t="s">
        <v>136</v>
      </c>
      <c r="H243" s="157"/>
      <c r="I243" s="50">
        <v>29</v>
      </c>
      <c r="J243" s="136">
        <f t="shared" si="27"/>
        <v>0</v>
      </c>
      <c r="K243" s="136"/>
      <c r="L243" s="51" t="s">
        <v>194</v>
      </c>
      <c r="M243" s="21"/>
      <c r="N243" s="21"/>
      <c r="O243" s="8"/>
      <c r="P243" s="20"/>
      <c r="Q243" s="21"/>
      <c r="R243" s="8"/>
      <c r="S243" s="108"/>
    </row>
    <row r="244" spans="1:19" s="2" customFormat="1" ht="19.649999999999999" customHeight="1" x14ac:dyDescent="0.2">
      <c r="A244" s="175" t="s">
        <v>64</v>
      </c>
      <c r="B244" s="209"/>
      <c r="C244" s="277">
        <v>12</v>
      </c>
      <c r="D244" s="20">
        <f t="shared" si="28"/>
        <v>171</v>
      </c>
      <c r="E244" s="20" t="s">
        <v>23</v>
      </c>
      <c r="F244" s="20" t="s">
        <v>23</v>
      </c>
      <c r="G244" s="245" t="s">
        <v>345</v>
      </c>
      <c r="H244" s="246">
        <v>1</v>
      </c>
      <c r="I244" s="243">
        <v>618</v>
      </c>
      <c r="J244" s="19">
        <f t="shared" si="27"/>
        <v>618</v>
      </c>
      <c r="K244" s="72"/>
      <c r="L244" s="22" t="s">
        <v>358</v>
      </c>
      <c r="M244" s="21"/>
      <c r="N244" s="21"/>
      <c r="O244" s="8"/>
      <c r="P244" s="20"/>
      <c r="Q244" s="21"/>
      <c r="R244" s="8"/>
      <c r="S244" s="108"/>
    </row>
    <row r="245" spans="1:19" s="2" customFormat="1" ht="19.649999999999999" customHeight="1" x14ac:dyDescent="0.2">
      <c r="C245" s="277">
        <v>12</v>
      </c>
      <c r="D245" s="20"/>
      <c r="E245" s="20"/>
      <c r="F245" s="20"/>
      <c r="G245" s="32"/>
      <c r="H245" s="168"/>
      <c r="I245" s="77"/>
      <c r="J245" s="26"/>
      <c r="K245" s="72"/>
      <c r="L245" s="22"/>
      <c r="M245" s="21"/>
      <c r="N245" s="21"/>
      <c r="O245" s="8"/>
      <c r="P245" s="20"/>
      <c r="Q245" s="21"/>
      <c r="R245" s="8"/>
      <c r="S245" s="108"/>
    </row>
    <row r="246" spans="1:19" s="2" customFormat="1" ht="19.649999999999999" customHeight="1" x14ac:dyDescent="0.2">
      <c r="A246" s="175" t="s">
        <v>284</v>
      </c>
      <c r="B246" s="209"/>
      <c r="C246" s="277">
        <v>12</v>
      </c>
      <c r="D246" s="20">
        <f>+D244+1</f>
        <v>172</v>
      </c>
      <c r="E246" s="141" t="s">
        <v>55</v>
      </c>
      <c r="F246" s="141" t="s">
        <v>177</v>
      </c>
      <c r="G246" s="245" t="s">
        <v>370</v>
      </c>
      <c r="H246" s="246">
        <v>1</v>
      </c>
      <c r="I246" s="243">
        <v>7323</v>
      </c>
      <c r="J246" s="19">
        <f>H246*I246</f>
        <v>7323</v>
      </c>
      <c r="K246" s="72"/>
      <c r="L246" s="22" t="s">
        <v>359</v>
      </c>
      <c r="M246" s="21"/>
      <c r="N246" s="21"/>
      <c r="O246" s="8"/>
      <c r="P246" s="20"/>
      <c r="Q246" s="21"/>
      <c r="R246" s="8"/>
      <c r="S246" s="108"/>
    </row>
    <row r="247" spans="1:19" s="2" customFormat="1" ht="19.649999999999999" customHeight="1" x14ac:dyDescent="0.2">
      <c r="A247" s="320" t="s">
        <v>284</v>
      </c>
      <c r="B247" s="84"/>
      <c r="C247" s="277">
        <v>12</v>
      </c>
      <c r="D247" s="20">
        <f>+D246+1</f>
        <v>173</v>
      </c>
      <c r="E247" s="141" t="s">
        <v>55</v>
      </c>
      <c r="F247" s="141" t="s">
        <v>177</v>
      </c>
      <c r="G247" s="310" t="s">
        <v>450</v>
      </c>
      <c r="H247" s="311">
        <v>1</v>
      </c>
      <c r="I247" s="312">
        <v>6796</v>
      </c>
      <c r="J247" s="313">
        <f t="shared" ref="J247:J248" si="29">H247*I247</f>
        <v>6796</v>
      </c>
      <c r="K247" s="314"/>
      <c r="L247" s="315" t="s">
        <v>451</v>
      </c>
      <c r="M247" s="21" t="s">
        <v>452</v>
      </c>
      <c r="N247" s="21"/>
      <c r="O247" s="8">
        <v>45348</v>
      </c>
      <c r="P247" s="20"/>
      <c r="Q247" s="21"/>
      <c r="R247" s="8">
        <v>45359</v>
      </c>
      <c r="S247" s="108"/>
    </row>
    <row r="248" spans="1:19" s="2" customFormat="1" ht="19.649999999999999" customHeight="1" x14ac:dyDescent="0.2">
      <c r="A248" s="175" t="s">
        <v>64</v>
      </c>
      <c r="B248" s="84"/>
      <c r="C248" s="277">
        <v>12</v>
      </c>
      <c r="D248" s="20">
        <f t="shared" ref="D248:D250" si="30">+D247+1</f>
        <v>174</v>
      </c>
      <c r="E248" s="20" t="s">
        <v>23</v>
      </c>
      <c r="F248" s="20" t="s">
        <v>23</v>
      </c>
      <c r="G248" s="310" t="s">
        <v>453</v>
      </c>
      <c r="H248" s="311">
        <v>2</v>
      </c>
      <c r="I248" s="312">
        <v>460</v>
      </c>
      <c r="J248" s="313">
        <f t="shared" si="29"/>
        <v>920</v>
      </c>
      <c r="K248" s="314"/>
      <c r="L248" s="315" t="s">
        <v>454</v>
      </c>
      <c r="M248" s="21" t="s">
        <v>452</v>
      </c>
      <c r="N248" s="21"/>
      <c r="O248" s="8">
        <v>45348</v>
      </c>
      <c r="P248" s="20"/>
      <c r="Q248" s="21"/>
      <c r="R248" s="8">
        <v>45359</v>
      </c>
      <c r="S248" s="108"/>
    </row>
    <row r="249" spans="1:19" s="2" customFormat="1" ht="19.649999999999999" customHeight="1" x14ac:dyDescent="0.2">
      <c r="A249" s="175" t="s">
        <v>64</v>
      </c>
      <c r="B249" s="209"/>
      <c r="C249" s="277">
        <v>12</v>
      </c>
      <c r="D249" s="20">
        <f t="shared" si="30"/>
        <v>175</v>
      </c>
      <c r="E249" s="20" t="s">
        <v>23</v>
      </c>
      <c r="F249" s="20" t="s">
        <v>23</v>
      </c>
      <c r="G249" s="245" t="s">
        <v>346</v>
      </c>
      <c r="H249" s="246">
        <v>2</v>
      </c>
      <c r="I249" s="243">
        <v>460</v>
      </c>
      <c r="J249" s="19">
        <f>H249*I249</f>
        <v>920</v>
      </c>
      <c r="K249" s="72"/>
      <c r="L249" s="22" t="s">
        <v>357</v>
      </c>
      <c r="M249" s="21"/>
      <c r="N249" s="21"/>
      <c r="O249" s="8"/>
      <c r="P249" s="20"/>
      <c r="Q249" s="21"/>
      <c r="R249" s="8"/>
      <c r="S249" s="108"/>
    </row>
    <row r="250" spans="1:19" s="2" customFormat="1" ht="19.649999999999999" customHeight="1" x14ac:dyDescent="0.2">
      <c r="A250" s="175" t="s">
        <v>64</v>
      </c>
      <c r="B250" s="209"/>
      <c r="C250" s="277">
        <v>12</v>
      </c>
      <c r="D250" s="20">
        <f t="shared" si="30"/>
        <v>176</v>
      </c>
      <c r="E250" s="20" t="s">
        <v>23</v>
      </c>
      <c r="F250" s="20" t="s">
        <v>23</v>
      </c>
      <c r="G250" s="245" t="s">
        <v>347</v>
      </c>
      <c r="H250" s="246">
        <v>2</v>
      </c>
      <c r="I250" s="243">
        <v>618</v>
      </c>
      <c r="J250" s="19">
        <f>H250*I250</f>
        <v>1236</v>
      </c>
      <c r="K250" s="72"/>
      <c r="L250" s="22" t="s">
        <v>358</v>
      </c>
      <c r="M250" s="21"/>
      <c r="N250" s="21"/>
      <c r="O250" s="8"/>
      <c r="P250" s="20"/>
      <c r="Q250" s="21"/>
      <c r="R250" s="8"/>
      <c r="S250" s="108"/>
    </row>
    <row r="251" spans="1:19" s="2" customFormat="1" ht="19.649999999999999" customHeight="1" x14ac:dyDescent="0.2">
      <c r="C251" s="277">
        <v>12</v>
      </c>
      <c r="D251" s="20"/>
      <c r="E251" s="172"/>
      <c r="F251" s="172"/>
      <c r="G251" s="182"/>
      <c r="H251" s="21"/>
      <c r="I251" s="39"/>
      <c r="J251" s="58"/>
      <c r="K251" s="1"/>
      <c r="L251" s="22"/>
      <c r="M251" s="21"/>
      <c r="N251" s="21"/>
      <c r="O251" s="8"/>
      <c r="P251" s="20"/>
      <c r="Q251" s="21"/>
      <c r="R251" s="8"/>
      <c r="S251" s="108"/>
    </row>
    <row r="252" spans="1:19" s="2" customFormat="1" ht="19.649999999999999" customHeight="1" x14ac:dyDescent="0.2">
      <c r="A252" s="175" t="s">
        <v>284</v>
      </c>
      <c r="B252" s="209"/>
      <c r="C252" s="277">
        <v>12</v>
      </c>
      <c r="D252" s="20">
        <f>+D250+1</f>
        <v>177</v>
      </c>
      <c r="E252" s="141" t="s">
        <v>55</v>
      </c>
      <c r="F252" s="141" t="s">
        <v>177</v>
      </c>
      <c r="G252" s="248" t="s">
        <v>391</v>
      </c>
      <c r="H252" s="84">
        <v>1</v>
      </c>
      <c r="I252" s="235">
        <v>12200</v>
      </c>
      <c r="J252" s="58">
        <f>H252*I252</f>
        <v>12200</v>
      </c>
      <c r="K252" s="1"/>
      <c r="L252" s="22" t="s">
        <v>389</v>
      </c>
      <c r="M252" s="21"/>
      <c r="N252" s="21"/>
      <c r="O252" s="8"/>
      <c r="P252" s="20"/>
      <c r="Q252" s="21"/>
      <c r="R252" s="8"/>
      <c r="S252" s="108"/>
    </row>
    <row r="253" spans="1:19" s="2" customFormat="1" ht="19.649999999999999" customHeight="1" x14ac:dyDescent="0.2">
      <c r="A253" s="175" t="s">
        <v>64</v>
      </c>
      <c r="B253" s="209"/>
      <c r="C253" s="277">
        <v>12</v>
      </c>
      <c r="D253" s="20">
        <f>+D252+1</f>
        <v>178</v>
      </c>
      <c r="E253" s="20" t="s">
        <v>23</v>
      </c>
      <c r="F253" s="20" t="s">
        <v>23</v>
      </c>
      <c r="G253" s="249" t="s">
        <v>201</v>
      </c>
      <c r="H253" s="232">
        <v>1</v>
      </c>
      <c r="I253" s="235">
        <v>101</v>
      </c>
      <c r="J253" s="58">
        <f>H253*I253</f>
        <v>101</v>
      </c>
      <c r="K253" s="69"/>
      <c r="L253" s="22" t="s">
        <v>225</v>
      </c>
      <c r="M253" s="21"/>
      <c r="N253" s="21"/>
      <c r="O253" s="8"/>
      <c r="P253" s="20"/>
      <c r="Q253" s="21"/>
      <c r="R253" s="8"/>
      <c r="S253" s="108"/>
    </row>
    <row r="254" spans="1:19" s="2" customFormat="1" ht="19.649999999999999" customHeight="1" x14ac:dyDescent="0.2">
      <c r="A254" s="175" t="s">
        <v>64</v>
      </c>
      <c r="B254" s="209"/>
      <c r="C254" s="277">
        <v>12</v>
      </c>
      <c r="D254" s="20">
        <f>+D253+1</f>
        <v>179</v>
      </c>
      <c r="E254" s="20" t="s">
        <v>23</v>
      </c>
      <c r="F254" s="20" t="s">
        <v>23</v>
      </c>
      <c r="G254" s="249" t="s">
        <v>347</v>
      </c>
      <c r="H254" s="232">
        <v>2</v>
      </c>
      <c r="I254" s="235">
        <v>618</v>
      </c>
      <c r="J254" s="58">
        <f>H254*I254</f>
        <v>1236</v>
      </c>
      <c r="K254" s="69"/>
      <c r="L254" s="22" t="s">
        <v>358</v>
      </c>
      <c r="M254" s="21"/>
      <c r="N254" s="21"/>
      <c r="O254" s="8"/>
      <c r="P254" s="20"/>
      <c r="Q254" s="21"/>
      <c r="R254" s="8"/>
      <c r="S254" s="108"/>
    </row>
    <row r="255" spans="1:19" s="2" customFormat="1" ht="19.649999999999999" customHeight="1" x14ac:dyDescent="0.2">
      <c r="C255" s="277">
        <v>12</v>
      </c>
      <c r="D255" s="20"/>
      <c r="E255" s="20"/>
      <c r="F255" s="20"/>
      <c r="G255" s="45"/>
      <c r="H255" s="163"/>
      <c r="I255" s="39"/>
      <c r="J255" s="58">
        <f t="shared" ref="J255:J263" si="31">H255*I255</f>
        <v>0</v>
      </c>
      <c r="K255" s="69"/>
      <c r="L255" s="22"/>
      <c r="M255" s="21"/>
      <c r="N255" s="21"/>
      <c r="O255" s="8"/>
      <c r="P255" s="20"/>
      <c r="Q255" s="21"/>
      <c r="R255" s="8"/>
      <c r="S255" s="108"/>
    </row>
    <row r="256" spans="1:19" s="2" customFormat="1" ht="19.649999999999999" customHeight="1" x14ac:dyDescent="0.2">
      <c r="A256" s="175" t="s">
        <v>63</v>
      </c>
      <c r="B256" s="209"/>
      <c r="C256" s="277">
        <v>12</v>
      </c>
      <c r="D256" s="20">
        <f>+D254+1</f>
        <v>180</v>
      </c>
      <c r="E256" s="141" t="s">
        <v>55</v>
      </c>
      <c r="F256" s="141" t="s">
        <v>177</v>
      </c>
      <c r="G256" s="249" t="s">
        <v>372</v>
      </c>
      <c r="H256" s="232">
        <v>2</v>
      </c>
      <c r="I256" s="235">
        <v>1640</v>
      </c>
      <c r="J256" s="58">
        <f t="shared" si="31"/>
        <v>3280</v>
      </c>
      <c r="K256" s="69"/>
      <c r="L256" s="22" t="s">
        <v>360</v>
      </c>
      <c r="M256" s="21"/>
      <c r="N256" s="21"/>
      <c r="O256" s="8"/>
      <c r="P256" s="20"/>
      <c r="Q256" s="21"/>
      <c r="R256" s="8"/>
      <c r="S256" s="108"/>
    </row>
    <row r="257" spans="1:19" s="2" customFormat="1" ht="19.649999999999999" customHeight="1" x14ac:dyDescent="0.2">
      <c r="A257" s="175" t="s">
        <v>64</v>
      </c>
      <c r="B257" s="209"/>
      <c r="C257" s="277">
        <v>12</v>
      </c>
      <c r="D257" s="20">
        <f>+D256+1</f>
        <v>181</v>
      </c>
      <c r="E257" s="47" t="s">
        <v>23</v>
      </c>
      <c r="F257" s="47" t="s">
        <v>23</v>
      </c>
      <c r="G257" s="49" t="s">
        <v>22</v>
      </c>
      <c r="H257" s="157">
        <v>0</v>
      </c>
      <c r="I257" s="50">
        <v>26</v>
      </c>
      <c r="J257" s="58">
        <f t="shared" si="31"/>
        <v>0</v>
      </c>
      <c r="K257" s="19"/>
      <c r="L257" s="22" t="s">
        <v>348</v>
      </c>
      <c r="M257" s="21"/>
      <c r="N257" s="21"/>
      <c r="O257" s="8"/>
      <c r="P257" s="20"/>
      <c r="Q257" s="21"/>
      <c r="R257" s="8"/>
      <c r="S257" s="108"/>
    </row>
    <row r="258" spans="1:19" s="2" customFormat="1" ht="19.649999999999999" customHeight="1" x14ac:dyDescent="0.2">
      <c r="C258" s="277">
        <v>12</v>
      </c>
      <c r="D258" s="20"/>
      <c r="E258" s="20"/>
      <c r="F258" s="20"/>
      <c r="G258" s="45"/>
      <c r="H258" s="163"/>
      <c r="I258" s="39"/>
      <c r="J258" s="58">
        <f t="shared" si="31"/>
        <v>0</v>
      </c>
      <c r="K258" s="69"/>
      <c r="L258" s="22"/>
      <c r="M258" s="21"/>
      <c r="N258" s="21"/>
      <c r="O258" s="8"/>
      <c r="P258" s="20"/>
      <c r="Q258" s="21"/>
      <c r="R258" s="8"/>
      <c r="S258" s="108"/>
    </row>
    <row r="259" spans="1:19" s="2" customFormat="1" ht="19.649999999999999" customHeight="1" x14ac:dyDescent="0.2">
      <c r="A259" s="175" t="s">
        <v>63</v>
      </c>
      <c r="B259" s="209"/>
      <c r="C259" s="277">
        <v>12</v>
      </c>
      <c r="D259" s="20">
        <f>+D257+1</f>
        <v>182</v>
      </c>
      <c r="E259" s="141" t="s">
        <v>55</v>
      </c>
      <c r="F259" s="141" t="s">
        <v>177</v>
      </c>
      <c r="G259" s="249" t="s">
        <v>371</v>
      </c>
      <c r="H259" s="232">
        <v>2</v>
      </c>
      <c r="I259" s="235">
        <v>1500</v>
      </c>
      <c r="J259" s="58">
        <f t="shared" si="31"/>
        <v>3000</v>
      </c>
      <c r="K259" s="69"/>
      <c r="L259" s="22" t="s">
        <v>361</v>
      </c>
      <c r="M259" s="21"/>
      <c r="N259" s="21"/>
      <c r="O259" s="8"/>
      <c r="P259" s="20"/>
      <c r="Q259" s="21"/>
      <c r="R259" s="8"/>
      <c r="S259" s="108"/>
    </row>
    <row r="260" spans="1:19" s="2" customFormat="1" ht="19.649999999999999" customHeight="1" x14ac:dyDescent="0.2">
      <c r="A260" s="175" t="s">
        <v>63</v>
      </c>
      <c r="B260" s="84"/>
      <c r="C260" s="277">
        <v>12</v>
      </c>
      <c r="D260" s="20">
        <f>+D259+1</f>
        <v>183</v>
      </c>
      <c r="E260" s="141" t="s">
        <v>55</v>
      </c>
      <c r="F260" s="141" t="s">
        <v>177</v>
      </c>
      <c r="G260" s="316" t="s">
        <v>455</v>
      </c>
      <c r="H260" s="317">
        <v>2</v>
      </c>
      <c r="I260" s="303">
        <v>1520</v>
      </c>
      <c r="J260" s="318">
        <f>H260*I260</f>
        <v>3040</v>
      </c>
      <c r="K260" s="319"/>
      <c r="L260" s="315" t="s">
        <v>456</v>
      </c>
      <c r="M260" s="21" t="s">
        <v>452</v>
      </c>
      <c r="N260" s="21"/>
      <c r="O260" s="8">
        <v>45348</v>
      </c>
      <c r="P260" s="20"/>
      <c r="Q260" s="21"/>
      <c r="R260" s="8">
        <v>45359</v>
      </c>
      <c r="S260" s="108"/>
    </row>
    <row r="261" spans="1:19" s="2" customFormat="1" ht="19.649999999999999" customHeight="1" x14ac:dyDescent="0.2">
      <c r="A261" s="175" t="s">
        <v>64</v>
      </c>
      <c r="B261" s="209"/>
      <c r="C261" s="277">
        <v>12</v>
      </c>
      <c r="D261" s="20">
        <f>+D260+1</f>
        <v>184</v>
      </c>
      <c r="E261" s="47" t="s">
        <v>23</v>
      </c>
      <c r="F261" s="47" t="s">
        <v>23</v>
      </c>
      <c r="G261" s="49" t="s">
        <v>22</v>
      </c>
      <c r="H261" s="157">
        <v>0</v>
      </c>
      <c r="I261" s="50">
        <v>26</v>
      </c>
      <c r="J261" s="58">
        <f t="shared" si="31"/>
        <v>0</v>
      </c>
      <c r="K261" s="19"/>
      <c r="L261" s="22" t="s">
        <v>348</v>
      </c>
      <c r="M261" s="21"/>
      <c r="N261" s="21"/>
      <c r="O261" s="8"/>
      <c r="P261" s="20"/>
      <c r="Q261" s="21"/>
      <c r="R261" s="8"/>
      <c r="S261" s="108"/>
    </row>
    <row r="262" spans="1:19" s="2" customFormat="1" ht="19.649999999999999" customHeight="1" x14ac:dyDescent="0.2">
      <c r="C262" s="277">
        <v>12</v>
      </c>
      <c r="D262" s="20"/>
      <c r="E262" s="20"/>
      <c r="F262" s="20"/>
      <c r="G262" s="45"/>
      <c r="H262" s="163"/>
      <c r="I262" s="39"/>
      <c r="J262" s="58">
        <f t="shared" si="31"/>
        <v>0</v>
      </c>
      <c r="K262" s="69"/>
      <c r="L262" s="22"/>
      <c r="M262" s="21"/>
      <c r="N262" s="21"/>
      <c r="O262" s="8"/>
      <c r="P262" s="20"/>
      <c r="Q262" s="21"/>
      <c r="R262" s="8"/>
      <c r="S262" s="108"/>
    </row>
    <row r="263" spans="1:19" s="2" customFormat="1" ht="19.649999999999999" customHeight="1" x14ac:dyDescent="0.2">
      <c r="A263" s="175" t="s">
        <v>284</v>
      </c>
      <c r="B263" s="209"/>
      <c r="C263" s="277">
        <v>12</v>
      </c>
      <c r="D263" s="20">
        <f>+D261+1</f>
        <v>185</v>
      </c>
      <c r="E263" s="141" t="s">
        <v>55</v>
      </c>
      <c r="F263" s="141" t="s">
        <v>177</v>
      </c>
      <c r="G263" s="249" t="s">
        <v>373</v>
      </c>
      <c r="H263" s="232">
        <v>1</v>
      </c>
      <c r="I263" s="235">
        <v>6660</v>
      </c>
      <c r="J263" s="58">
        <f t="shared" si="31"/>
        <v>6660</v>
      </c>
      <c r="K263" s="69"/>
      <c r="L263" s="22" t="s">
        <v>362</v>
      </c>
      <c r="M263" s="21"/>
      <c r="N263" s="21"/>
      <c r="O263" s="8"/>
      <c r="P263" s="20"/>
      <c r="Q263" s="21"/>
      <c r="R263" s="8"/>
      <c r="S263" s="108"/>
    </row>
    <row r="264" spans="1:19" s="2" customFormat="1" ht="19.649999999999999" customHeight="1" x14ac:dyDescent="0.2">
      <c r="A264" s="175" t="s">
        <v>64</v>
      </c>
      <c r="B264" s="209"/>
      <c r="C264" s="277">
        <v>12</v>
      </c>
      <c r="D264" s="20">
        <f>+D263+1</f>
        <v>186</v>
      </c>
      <c r="E264" s="48" t="s">
        <v>23</v>
      </c>
      <c r="F264" s="48" t="s">
        <v>23</v>
      </c>
      <c r="G264" s="159" t="s">
        <v>290</v>
      </c>
      <c r="H264" s="160"/>
      <c r="I264" s="218">
        <v>49</v>
      </c>
      <c r="J264" s="238">
        <f>H264*I264</f>
        <v>0</v>
      </c>
      <c r="K264" s="239"/>
      <c r="L264" s="159" t="s">
        <v>343</v>
      </c>
      <c r="M264" s="21"/>
      <c r="N264" s="21"/>
      <c r="O264" s="8"/>
      <c r="P264" s="20"/>
      <c r="Q264" s="21"/>
      <c r="R264" s="8"/>
      <c r="S264" s="108"/>
    </row>
    <row r="265" spans="1:19" s="2" customFormat="1" ht="19.649999999999999" customHeight="1" x14ac:dyDescent="0.2">
      <c r="A265" s="175" t="s">
        <v>64</v>
      </c>
      <c r="B265" s="209"/>
      <c r="C265" s="277">
        <v>12</v>
      </c>
      <c r="D265" s="20">
        <f>+D264+1</f>
        <v>187</v>
      </c>
      <c r="E265" s="48" t="s">
        <v>23</v>
      </c>
      <c r="F265" s="48" t="s">
        <v>23</v>
      </c>
      <c r="G265" s="159" t="s">
        <v>193</v>
      </c>
      <c r="H265" s="160"/>
      <c r="I265" s="218">
        <v>19</v>
      </c>
      <c r="J265" s="238">
        <f>H265*I265</f>
        <v>0</v>
      </c>
      <c r="K265" s="239"/>
      <c r="L265" s="159" t="s">
        <v>349</v>
      </c>
      <c r="M265" s="21"/>
      <c r="N265" s="21"/>
      <c r="O265" s="8"/>
      <c r="P265" s="20"/>
      <c r="Q265" s="21"/>
      <c r="R265" s="8"/>
      <c r="S265" s="108"/>
    </row>
    <row r="266" spans="1:19" s="2" customFormat="1" ht="19.649999999999999" customHeight="1" x14ac:dyDescent="0.2">
      <c r="A266" s="175" t="s">
        <v>64</v>
      </c>
      <c r="B266" s="209"/>
      <c r="C266" s="277">
        <v>12</v>
      </c>
      <c r="D266" s="20">
        <f>+D265+1</f>
        <v>188</v>
      </c>
      <c r="E266" s="48" t="s">
        <v>23</v>
      </c>
      <c r="F266" s="48" t="s">
        <v>23</v>
      </c>
      <c r="G266" s="159" t="s">
        <v>190</v>
      </c>
      <c r="H266" s="160"/>
      <c r="I266" s="218">
        <v>49</v>
      </c>
      <c r="J266" s="238">
        <f>H266*I266</f>
        <v>0</v>
      </c>
      <c r="K266" s="239"/>
      <c r="L266" s="159" t="s">
        <v>289</v>
      </c>
      <c r="M266" s="21"/>
      <c r="N266" s="21"/>
      <c r="O266" s="8"/>
      <c r="P266" s="20"/>
      <c r="Q266" s="21"/>
      <c r="R266" s="8"/>
      <c r="S266" s="108"/>
    </row>
    <row r="267" spans="1:19" s="2" customFormat="1" ht="19.649999999999999" customHeight="1" x14ac:dyDescent="0.2">
      <c r="A267" s="175" t="s">
        <v>64</v>
      </c>
      <c r="B267" s="209"/>
      <c r="C267" s="277">
        <v>12</v>
      </c>
      <c r="D267" s="20">
        <f>+D266+1</f>
        <v>189</v>
      </c>
      <c r="E267" s="20" t="s">
        <v>23</v>
      </c>
      <c r="F267" s="20" t="s">
        <v>23</v>
      </c>
      <c r="G267" s="241" t="s">
        <v>191</v>
      </c>
      <c r="H267" s="242">
        <v>10</v>
      </c>
      <c r="I267" s="243">
        <v>26</v>
      </c>
      <c r="J267" s="19">
        <f>H267*I267</f>
        <v>260</v>
      </c>
      <c r="K267" s="19"/>
      <c r="L267" s="22" t="s">
        <v>192</v>
      </c>
      <c r="M267" s="21"/>
      <c r="N267" s="21"/>
      <c r="O267" s="8"/>
      <c r="P267" s="20"/>
      <c r="Q267" s="21"/>
      <c r="R267" s="8"/>
      <c r="S267" s="108"/>
    </row>
    <row r="268" spans="1:19" s="2" customFormat="1" ht="19.649999999999999" customHeight="1" x14ac:dyDescent="0.2">
      <c r="A268" s="219" t="s">
        <v>63</v>
      </c>
      <c r="B268" s="84"/>
      <c r="C268" s="277">
        <v>12</v>
      </c>
      <c r="D268" s="20">
        <v>186</v>
      </c>
      <c r="E268" s="141" t="s">
        <v>55</v>
      </c>
      <c r="F268" s="141" t="s">
        <v>177</v>
      </c>
      <c r="G268" s="310" t="s">
        <v>458</v>
      </c>
      <c r="H268" s="311">
        <v>1</v>
      </c>
      <c r="I268" s="312">
        <v>2720</v>
      </c>
      <c r="J268" s="19">
        <f t="shared" ref="J268:J269" si="32">H268*I268</f>
        <v>2720</v>
      </c>
      <c r="K268" s="321"/>
      <c r="L268" s="322" t="s">
        <v>459</v>
      </c>
      <c r="M268" s="22" t="s">
        <v>457</v>
      </c>
      <c r="N268" s="21"/>
      <c r="O268" s="8">
        <v>45355</v>
      </c>
      <c r="P268" s="20"/>
      <c r="Q268" s="21"/>
      <c r="R268" s="8">
        <v>45359</v>
      </c>
      <c r="S268" s="108"/>
    </row>
    <row r="269" spans="1:19" s="2" customFormat="1" ht="19.649999999999999" customHeight="1" x14ac:dyDescent="0.2">
      <c r="A269" s="219" t="s">
        <v>64</v>
      </c>
      <c r="B269" s="84"/>
      <c r="C269" s="277">
        <v>12</v>
      </c>
      <c r="D269" s="20">
        <v>186</v>
      </c>
      <c r="E269" s="20" t="s">
        <v>23</v>
      </c>
      <c r="F269" s="20" t="s">
        <v>23</v>
      </c>
      <c r="G269" s="310" t="s">
        <v>460</v>
      </c>
      <c r="H269" s="311">
        <v>5</v>
      </c>
      <c r="I269" s="312">
        <v>160</v>
      </c>
      <c r="J269" s="19">
        <f t="shared" si="32"/>
        <v>800</v>
      </c>
      <c r="K269" s="321"/>
      <c r="L269" s="154" t="s">
        <v>461</v>
      </c>
      <c r="M269" s="22" t="s">
        <v>457</v>
      </c>
      <c r="N269" s="21"/>
      <c r="O269" s="8">
        <v>45355</v>
      </c>
      <c r="P269" s="20"/>
      <c r="Q269" s="21"/>
      <c r="R269" s="8">
        <v>45359</v>
      </c>
      <c r="S269" s="108"/>
    </row>
    <row r="270" spans="1:19" s="2" customFormat="1" ht="19.649999999999999" customHeight="1" x14ac:dyDescent="0.2">
      <c r="D270" s="20"/>
      <c r="E270" s="20"/>
      <c r="F270" s="20"/>
      <c r="G270" s="32"/>
      <c r="H270" s="168"/>
      <c r="I270" s="77"/>
      <c r="J270" s="26"/>
      <c r="K270" s="74"/>
      <c r="L270" s="57"/>
      <c r="M270" s="21"/>
      <c r="N270" s="21"/>
      <c r="O270" s="8"/>
      <c r="P270" s="20"/>
      <c r="Q270" s="21"/>
      <c r="R270" s="8"/>
      <c r="S270" s="108"/>
    </row>
    <row r="271" spans="1:19" s="2" customFormat="1" ht="19.649999999999999" customHeight="1" x14ac:dyDescent="0.2">
      <c r="D271" s="20"/>
      <c r="E271" s="20"/>
      <c r="F271" s="20"/>
      <c r="G271" s="32"/>
      <c r="H271" s="168"/>
      <c r="I271" s="77"/>
      <c r="J271" s="26"/>
      <c r="K271" s="74"/>
      <c r="L271" s="57"/>
      <c r="M271" s="21"/>
      <c r="N271" s="21"/>
      <c r="O271" s="8"/>
      <c r="P271" s="20"/>
      <c r="Q271" s="21"/>
      <c r="R271" s="8"/>
      <c r="S271" s="108"/>
    </row>
    <row r="272" spans="1:19" s="2" customFormat="1" ht="19.649999999999999" customHeight="1" x14ac:dyDescent="0.2">
      <c r="D272" s="20"/>
      <c r="E272" s="20"/>
      <c r="F272" s="20"/>
      <c r="G272" s="54">
        <f>SUM(J211:J271)</f>
        <v>115940</v>
      </c>
      <c r="H272" s="41"/>
      <c r="I272" s="41"/>
      <c r="J272" s="41"/>
      <c r="K272" s="75"/>
      <c r="L272" s="25"/>
      <c r="M272" s="21"/>
      <c r="N272" s="21"/>
      <c r="O272" s="8"/>
      <c r="P272" s="20"/>
      <c r="Q272" s="21"/>
      <c r="R272" s="8"/>
      <c r="S272" s="108"/>
    </row>
    <row r="273" spans="1:19" s="2" customFormat="1" ht="19.649999999999999" customHeight="1" x14ac:dyDescent="0.2">
      <c r="D273" s="20"/>
      <c r="E273" s="20"/>
      <c r="F273" s="20"/>
      <c r="G273" s="22"/>
      <c r="H273" s="163"/>
      <c r="I273" s="21"/>
      <c r="J273" s="26"/>
      <c r="K273" s="69"/>
      <c r="L273" s="22"/>
      <c r="M273" s="21"/>
      <c r="N273" s="21"/>
      <c r="O273" s="8"/>
      <c r="P273" s="20"/>
      <c r="Q273" s="21"/>
      <c r="R273" s="8"/>
      <c r="S273" s="108"/>
    </row>
    <row r="274" spans="1:19" s="2" customFormat="1" ht="19.649999999999999" customHeight="1" x14ac:dyDescent="0.2">
      <c r="D274" s="20"/>
      <c r="E274" s="20"/>
      <c r="F274" s="20"/>
      <c r="G274" s="22"/>
      <c r="H274" s="163"/>
      <c r="I274" s="21"/>
      <c r="J274" s="26"/>
      <c r="K274" s="69"/>
      <c r="L274" s="22"/>
      <c r="M274" s="21"/>
      <c r="N274" s="21"/>
      <c r="O274" s="8"/>
      <c r="P274" s="20"/>
      <c r="Q274" s="21"/>
      <c r="R274" s="8"/>
      <c r="S274" s="108"/>
    </row>
    <row r="275" spans="1:19" s="2" customFormat="1" ht="19.649999999999999" customHeight="1" x14ac:dyDescent="0.2">
      <c r="D275" s="20"/>
      <c r="E275" s="20"/>
      <c r="F275" s="20"/>
      <c r="G275" s="21"/>
      <c r="H275" s="21"/>
      <c r="I275" s="21"/>
      <c r="J275" s="1"/>
      <c r="K275" s="69"/>
      <c r="L275" s="21"/>
      <c r="M275" s="21"/>
      <c r="N275" s="21"/>
      <c r="O275" s="8"/>
      <c r="P275" s="20"/>
      <c r="Q275" s="21"/>
      <c r="R275" s="8"/>
      <c r="S275" s="108"/>
    </row>
    <row r="276" spans="1:19" s="2" customFormat="1" ht="19.649999999999999" customHeight="1" x14ac:dyDescent="0.2">
      <c r="D276" s="20"/>
      <c r="E276" s="102" t="s">
        <v>37</v>
      </c>
      <c r="F276" s="103"/>
      <c r="G276" s="104"/>
      <c r="H276" s="225"/>
      <c r="I276" s="17"/>
      <c r="J276" s="26"/>
      <c r="K276" s="71"/>
      <c r="L276" s="18"/>
      <c r="M276" s="21"/>
      <c r="N276" s="21"/>
      <c r="O276" s="8"/>
      <c r="P276" s="20"/>
      <c r="Q276" s="21"/>
      <c r="R276" s="8"/>
      <c r="S276" s="108"/>
    </row>
    <row r="277" spans="1:19" s="2" customFormat="1" ht="19.649999999999999" customHeight="1" x14ac:dyDescent="0.2">
      <c r="A277" s="21" t="s">
        <v>65</v>
      </c>
      <c r="B277" s="84"/>
      <c r="C277" s="276">
        <v>18</v>
      </c>
      <c r="D277" s="20">
        <f>+D267+1</f>
        <v>190</v>
      </c>
      <c r="E277" s="87" t="s">
        <v>31</v>
      </c>
      <c r="F277" s="87" t="s">
        <v>31</v>
      </c>
      <c r="G277" s="249" t="s">
        <v>233</v>
      </c>
      <c r="H277" s="92">
        <v>1</v>
      </c>
      <c r="I277" s="92">
        <v>5600</v>
      </c>
      <c r="J277" s="26">
        <f>H277*I277</f>
        <v>5600</v>
      </c>
      <c r="K277" s="76"/>
      <c r="L277" s="33" t="s">
        <v>83</v>
      </c>
      <c r="M277" s="21"/>
      <c r="N277" s="21"/>
      <c r="O277" s="8">
        <v>44755</v>
      </c>
      <c r="P277" s="20"/>
      <c r="Q277" s="21"/>
      <c r="R277" s="8">
        <v>44769</v>
      </c>
      <c r="S277" s="108"/>
    </row>
    <row r="278" spans="1:19" s="2" customFormat="1" ht="19.649999999999999" customHeight="1" x14ac:dyDescent="0.2">
      <c r="A278" s="21" t="s">
        <v>65</v>
      </c>
      <c r="B278" s="84"/>
      <c r="C278" s="276">
        <v>18</v>
      </c>
      <c r="D278" s="20">
        <f>+D277+1</f>
        <v>191</v>
      </c>
      <c r="E278" s="35" t="s">
        <v>23</v>
      </c>
      <c r="F278" s="35" t="s">
        <v>23</v>
      </c>
      <c r="G278" s="245" t="s">
        <v>84</v>
      </c>
      <c r="H278" s="228">
        <v>1</v>
      </c>
      <c r="I278" s="90">
        <v>2040</v>
      </c>
      <c r="J278" s="26">
        <f>H278*I278</f>
        <v>2040</v>
      </c>
      <c r="K278" s="19"/>
      <c r="L278" s="91" t="s">
        <v>82</v>
      </c>
      <c r="M278" s="21"/>
      <c r="N278" s="21"/>
      <c r="O278" s="8">
        <v>44755</v>
      </c>
      <c r="P278" s="20"/>
      <c r="Q278" s="21"/>
      <c r="R278" s="8">
        <v>44769</v>
      </c>
      <c r="S278" s="108"/>
    </row>
    <row r="279" spans="1:19" s="2" customFormat="1" ht="19.649999999999999" customHeight="1" x14ac:dyDescent="0.2">
      <c r="D279" s="20"/>
      <c r="E279" s="121"/>
      <c r="F279" s="121"/>
      <c r="G279" s="78"/>
      <c r="H279" s="163"/>
      <c r="I279" s="26"/>
      <c r="J279" s="26"/>
      <c r="K279" s="72"/>
      <c r="L279" s="22"/>
      <c r="M279" s="21"/>
      <c r="N279" s="21"/>
      <c r="O279" s="8"/>
      <c r="P279" s="20"/>
      <c r="Q279" s="21"/>
      <c r="R279" s="8"/>
      <c r="S279" s="108"/>
    </row>
    <row r="280" spans="1:19" s="2" customFormat="1" ht="19.649999999999999" customHeight="1" x14ac:dyDescent="0.2">
      <c r="D280" s="20"/>
      <c r="E280" s="15"/>
      <c r="F280" s="15"/>
      <c r="G280" s="54">
        <f>SUM(J277:J278)</f>
        <v>7640</v>
      </c>
      <c r="H280" s="225"/>
      <c r="I280" s="17"/>
      <c r="J280" s="26"/>
      <c r="K280" s="71"/>
      <c r="L280" s="18"/>
      <c r="M280" s="21"/>
      <c r="N280" s="21"/>
      <c r="O280" s="8"/>
      <c r="P280" s="20"/>
      <c r="Q280" s="21"/>
      <c r="R280" s="8"/>
      <c r="S280" s="108"/>
    </row>
    <row r="281" spans="1:19" s="2" customFormat="1" ht="19.649999999999999" customHeight="1" x14ac:dyDescent="0.2">
      <c r="D281" s="20"/>
      <c r="E281" s="20"/>
      <c r="F281" s="20"/>
      <c r="G281" s="21"/>
      <c r="H281" s="21"/>
      <c r="I281" s="21"/>
      <c r="J281" s="1"/>
      <c r="K281" s="69"/>
      <c r="L281" s="21"/>
      <c r="M281" s="21"/>
      <c r="N281" s="21"/>
      <c r="O281" s="8"/>
      <c r="P281" s="20"/>
      <c r="Q281" s="21"/>
      <c r="R281" s="8"/>
      <c r="S281" s="108"/>
    </row>
    <row r="282" spans="1:19" s="2" customFormat="1" ht="19.649999999999999" customHeight="1" x14ac:dyDescent="0.2">
      <c r="D282" s="20"/>
      <c r="E282" s="20"/>
      <c r="F282" s="20"/>
      <c r="G282" s="21"/>
      <c r="H282" s="21"/>
      <c r="I282" s="21"/>
      <c r="J282" s="1"/>
      <c r="K282" s="69"/>
      <c r="L282" s="21"/>
      <c r="M282" s="21"/>
      <c r="N282" s="21"/>
      <c r="O282" s="8"/>
      <c r="P282" s="20"/>
      <c r="Q282" s="21"/>
      <c r="R282" s="8"/>
      <c r="S282" s="108"/>
    </row>
    <row r="283" spans="1:19" s="2" customFormat="1" ht="19.649999999999999" customHeight="1" x14ac:dyDescent="0.2">
      <c r="D283" s="20"/>
      <c r="E283" s="102" t="s">
        <v>48</v>
      </c>
      <c r="F283" s="103"/>
      <c r="G283" s="104"/>
      <c r="H283" s="21"/>
      <c r="I283" s="21"/>
      <c r="J283" s="1"/>
      <c r="K283" s="69"/>
      <c r="L283" s="21"/>
      <c r="M283" s="21"/>
      <c r="N283" s="21"/>
      <c r="O283" s="8"/>
      <c r="P283" s="20"/>
      <c r="Q283" s="21"/>
      <c r="R283" s="8"/>
      <c r="S283" s="108"/>
    </row>
    <row r="284" spans="1:19" s="2" customFormat="1" ht="19.649999999999999" customHeight="1" x14ac:dyDescent="0.2">
      <c r="A284" s="84" t="s">
        <v>234</v>
      </c>
      <c r="B284" s="84"/>
      <c r="C284" s="276">
        <v>18</v>
      </c>
      <c r="D284" s="20">
        <f>+D278+1</f>
        <v>192</v>
      </c>
      <c r="E284" s="20" t="s">
        <v>108</v>
      </c>
      <c r="F284" s="20" t="s">
        <v>109</v>
      </c>
      <c r="G284" s="253" t="s">
        <v>110</v>
      </c>
      <c r="H284" s="84">
        <v>1</v>
      </c>
      <c r="I284" s="235">
        <v>9580</v>
      </c>
      <c r="J284" s="39">
        <f>H284*I284</f>
        <v>9580</v>
      </c>
      <c r="K284" s="1"/>
      <c r="L284" s="25" t="s">
        <v>139</v>
      </c>
      <c r="M284" s="21"/>
      <c r="N284" s="21"/>
      <c r="O284" s="8"/>
      <c r="P284" s="20"/>
      <c r="Q284" s="100"/>
      <c r="R284" s="8"/>
      <c r="S284" s="108"/>
    </row>
    <row r="285" spans="1:19" s="2" customFormat="1" ht="19.649999999999999" customHeight="1" x14ac:dyDescent="0.2">
      <c r="A285" s="84" t="s">
        <v>234</v>
      </c>
      <c r="B285" s="84"/>
      <c r="C285" s="276">
        <v>18</v>
      </c>
      <c r="D285" s="20">
        <f>+D284+1</f>
        <v>193</v>
      </c>
      <c r="E285" s="20" t="s">
        <v>108</v>
      </c>
      <c r="F285" s="20" t="s">
        <v>109</v>
      </c>
      <c r="G285" s="253" t="s">
        <v>414</v>
      </c>
      <c r="H285" s="232">
        <v>1</v>
      </c>
      <c r="I285" s="235">
        <v>12500</v>
      </c>
      <c r="J285" s="39">
        <f>H285*I285</f>
        <v>12500</v>
      </c>
      <c r="K285" s="69"/>
      <c r="L285" s="25" t="s">
        <v>418</v>
      </c>
      <c r="M285" s="21"/>
      <c r="N285" s="21"/>
      <c r="O285" s="8"/>
      <c r="P285" s="20"/>
      <c r="Q285" s="100"/>
      <c r="R285" s="8"/>
      <c r="S285" s="108"/>
    </row>
    <row r="286" spans="1:19" s="2" customFormat="1" ht="19.649999999999999" customHeight="1" x14ac:dyDescent="0.2">
      <c r="A286" s="84" t="s">
        <v>103</v>
      </c>
      <c r="B286" s="84"/>
      <c r="C286" s="276">
        <v>18</v>
      </c>
      <c r="D286" s="20">
        <f t="shared" ref="D286:D328" si="33">+D285+1</f>
        <v>194</v>
      </c>
      <c r="E286" s="20" t="s">
        <v>23</v>
      </c>
      <c r="F286" s="20" t="s">
        <v>23</v>
      </c>
      <c r="G286" s="253" t="s">
        <v>235</v>
      </c>
      <c r="H286" s="232">
        <v>1</v>
      </c>
      <c r="I286" s="235">
        <v>5906</v>
      </c>
      <c r="J286" s="39">
        <f t="shared" ref="J286:J324" si="34">H286*I286</f>
        <v>5906</v>
      </c>
      <c r="K286" s="69"/>
      <c r="L286" s="22" t="s">
        <v>236</v>
      </c>
      <c r="M286" s="21" t="s">
        <v>138</v>
      </c>
      <c r="N286" s="21"/>
      <c r="O286" s="8"/>
      <c r="P286" s="20"/>
      <c r="Q286" s="100"/>
      <c r="R286" s="8"/>
      <c r="S286" s="108"/>
    </row>
    <row r="287" spans="1:19" s="2" customFormat="1" ht="19.649999999999999" customHeight="1" x14ac:dyDescent="0.2">
      <c r="A287" s="84" t="s">
        <v>103</v>
      </c>
      <c r="B287" s="84"/>
      <c r="C287" s="276">
        <v>18</v>
      </c>
      <c r="D287" s="20">
        <f t="shared" si="33"/>
        <v>195</v>
      </c>
      <c r="E287" s="20" t="s">
        <v>23</v>
      </c>
      <c r="F287" s="20" t="s">
        <v>23</v>
      </c>
      <c r="G287" s="253" t="s">
        <v>140</v>
      </c>
      <c r="H287" s="232">
        <v>1</v>
      </c>
      <c r="I287" s="235">
        <v>5117</v>
      </c>
      <c r="J287" s="39">
        <f t="shared" si="34"/>
        <v>5117</v>
      </c>
      <c r="K287" s="69"/>
      <c r="L287" s="22" t="s">
        <v>141</v>
      </c>
      <c r="M287" s="21"/>
      <c r="N287" s="21"/>
      <c r="O287" s="8"/>
      <c r="P287" s="20"/>
      <c r="Q287" s="100"/>
      <c r="R287" s="8"/>
      <c r="S287" s="108"/>
    </row>
    <row r="288" spans="1:19" s="2" customFormat="1" ht="19.649999999999999" customHeight="1" x14ac:dyDescent="0.2">
      <c r="A288" s="84" t="s">
        <v>103</v>
      </c>
      <c r="B288" s="84"/>
      <c r="C288" s="276">
        <v>18</v>
      </c>
      <c r="D288" s="20">
        <f t="shared" si="33"/>
        <v>196</v>
      </c>
      <c r="E288" s="20" t="s">
        <v>413</v>
      </c>
      <c r="F288" s="20" t="s">
        <v>23</v>
      </c>
      <c r="G288" s="253" t="s">
        <v>411</v>
      </c>
      <c r="H288" s="232">
        <v>1</v>
      </c>
      <c r="I288" s="235">
        <v>3774</v>
      </c>
      <c r="J288" s="39">
        <f t="shared" si="34"/>
        <v>3774</v>
      </c>
      <c r="K288" s="69"/>
      <c r="L288" s="22" t="s">
        <v>412</v>
      </c>
      <c r="M288" s="21"/>
      <c r="N288" s="21"/>
      <c r="O288" s="8"/>
      <c r="P288" s="20"/>
      <c r="Q288" s="100"/>
      <c r="R288" s="8"/>
      <c r="S288" s="108"/>
    </row>
    <row r="289" spans="1:19" s="2" customFormat="1" ht="19.649999999999999" customHeight="1" x14ac:dyDescent="0.2">
      <c r="A289" s="84" t="s">
        <v>63</v>
      </c>
      <c r="B289" s="84"/>
      <c r="C289" s="276">
        <v>18</v>
      </c>
      <c r="D289" s="20">
        <f t="shared" si="33"/>
        <v>197</v>
      </c>
      <c r="E289" s="141" t="s">
        <v>55</v>
      </c>
      <c r="F289" s="141" t="s">
        <v>177</v>
      </c>
      <c r="G289" s="253" t="s">
        <v>428</v>
      </c>
      <c r="H289" s="232">
        <v>1</v>
      </c>
      <c r="I289" s="235">
        <v>2270</v>
      </c>
      <c r="J289" s="39">
        <f t="shared" si="34"/>
        <v>2270</v>
      </c>
      <c r="K289" s="69"/>
      <c r="L289" s="22" t="s">
        <v>429</v>
      </c>
      <c r="M289" s="21"/>
      <c r="N289" s="21"/>
      <c r="O289" s="8"/>
      <c r="P289" s="20"/>
      <c r="Q289" s="100"/>
      <c r="R289" s="8"/>
      <c r="S289" s="108"/>
    </row>
    <row r="290" spans="1:19" s="2" customFormat="1" ht="19.649999999999999" customHeight="1" x14ac:dyDescent="0.2">
      <c r="A290" s="84" t="s">
        <v>64</v>
      </c>
      <c r="B290" s="84"/>
      <c r="C290" s="276">
        <v>18</v>
      </c>
      <c r="D290" s="20">
        <f t="shared" si="33"/>
        <v>198</v>
      </c>
      <c r="E290" s="23" t="s">
        <v>113</v>
      </c>
      <c r="F290" s="23" t="s">
        <v>113</v>
      </c>
      <c r="G290" s="259" t="s">
        <v>424</v>
      </c>
      <c r="H290" s="228">
        <v>1</v>
      </c>
      <c r="I290" s="233">
        <v>219</v>
      </c>
      <c r="J290" s="98">
        <f t="shared" ref="J290" si="35">H290*I290</f>
        <v>219</v>
      </c>
      <c r="K290" s="46"/>
      <c r="L290" s="36" t="s">
        <v>426</v>
      </c>
      <c r="M290" s="106" t="s">
        <v>425</v>
      </c>
      <c r="N290" s="21"/>
      <c r="O290" s="8"/>
      <c r="P290" s="20"/>
      <c r="Q290" s="100"/>
      <c r="R290" s="8"/>
      <c r="S290" s="108"/>
    </row>
    <row r="291" spans="1:19" s="2" customFormat="1" ht="19.649999999999999" customHeight="1" x14ac:dyDescent="0.2">
      <c r="A291" s="84" t="s">
        <v>64</v>
      </c>
      <c r="B291" s="84"/>
      <c r="C291" s="276">
        <v>18</v>
      </c>
      <c r="D291" s="20">
        <f t="shared" si="33"/>
        <v>199</v>
      </c>
      <c r="E291" s="35" t="s">
        <v>23</v>
      </c>
      <c r="F291" s="35" t="s">
        <v>23</v>
      </c>
      <c r="G291" s="253" t="s">
        <v>26</v>
      </c>
      <c r="H291" s="84">
        <v>2</v>
      </c>
      <c r="I291" s="255">
        <v>72</v>
      </c>
      <c r="J291" s="39">
        <f t="shared" ref="J291:J292" si="36">H291*I291</f>
        <v>144</v>
      </c>
      <c r="K291" s="69"/>
      <c r="L291" s="25" t="s">
        <v>27</v>
      </c>
      <c r="M291" s="21"/>
      <c r="N291" s="21"/>
      <c r="O291" s="8"/>
      <c r="P291" s="20"/>
      <c r="Q291" s="100"/>
      <c r="R291" s="8"/>
      <c r="S291" s="108"/>
    </row>
    <row r="292" spans="1:19" s="2" customFormat="1" ht="19.649999999999999" customHeight="1" x14ac:dyDescent="0.2">
      <c r="A292" s="84" t="s">
        <v>64</v>
      </c>
      <c r="B292" s="84"/>
      <c r="C292" s="276">
        <v>18</v>
      </c>
      <c r="D292" s="20">
        <f t="shared" si="33"/>
        <v>200</v>
      </c>
      <c r="E292" s="35" t="s">
        <v>23</v>
      </c>
      <c r="F292" s="35" t="s">
        <v>23</v>
      </c>
      <c r="G292" s="253" t="s">
        <v>28</v>
      </c>
      <c r="H292" s="84">
        <v>2</v>
      </c>
      <c r="I292" s="255">
        <v>31</v>
      </c>
      <c r="J292" s="39">
        <f t="shared" si="36"/>
        <v>62</v>
      </c>
      <c r="K292" s="69"/>
      <c r="L292" s="25" t="s">
        <v>29</v>
      </c>
      <c r="M292" s="21"/>
      <c r="N292" s="21"/>
      <c r="O292" s="8"/>
      <c r="P292" s="20"/>
      <c r="Q292" s="100"/>
      <c r="R292" s="8"/>
      <c r="S292" s="108"/>
    </row>
    <row r="293" spans="1:19" s="2" customFormat="1" ht="19.649999999999999" customHeight="1" x14ac:dyDescent="0.2">
      <c r="A293" s="84" t="s">
        <v>64</v>
      </c>
      <c r="B293" s="84"/>
      <c r="C293" s="276">
        <v>18</v>
      </c>
      <c r="D293" s="20">
        <f t="shared" si="33"/>
        <v>201</v>
      </c>
      <c r="E293" s="23" t="s">
        <v>23</v>
      </c>
      <c r="F293" s="23" t="s">
        <v>23</v>
      </c>
      <c r="G293" s="259" t="s">
        <v>237</v>
      </c>
      <c r="H293" s="228">
        <v>1</v>
      </c>
      <c r="I293" s="233">
        <v>894</v>
      </c>
      <c r="J293" s="98">
        <f t="shared" si="34"/>
        <v>894</v>
      </c>
      <c r="K293" s="46"/>
      <c r="L293" s="36" t="s">
        <v>238</v>
      </c>
      <c r="M293" s="21"/>
      <c r="N293" s="21"/>
      <c r="O293" s="8"/>
      <c r="P293" s="20"/>
      <c r="Q293" s="100"/>
      <c r="R293" s="8"/>
      <c r="S293" s="108"/>
    </row>
    <row r="294" spans="1:19" s="2" customFormat="1" ht="19.649999999999999" customHeight="1" x14ac:dyDescent="0.2">
      <c r="A294" s="84" t="s">
        <v>64</v>
      </c>
      <c r="B294" s="84"/>
      <c r="C294" s="276">
        <v>18</v>
      </c>
      <c r="D294" s="20">
        <f t="shared" si="33"/>
        <v>202</v>
      </c>
      <c r="E294" s="23" t="s">
        <v>113</v>
      </c>
      <c r="F294" s="23" t="s">
        <v>113</v>
      </c>
      <c r="G294" s="259" t="s">
        <v>239</v>
      </c>
      <c r="H294" s="228">
        <v>1</v>
      </c>
      <c r="I294" s="233">
        <v>249</v>
      </c>
      <c r="J294" s="98">
        <f t="shared" si="34"/>
        <v>249</v>
      </c>
      <c r="K294" s="46"/>
      <c r="L294" s="36" t="s">
        <v>427</v>
      </c>
      <c r="M294" s="106" t="s">
        <v>423</v>
      </c>
      <c r="N294" s="21"/>
      <c r="O294" s="8"/>
      <c r="P294" s="20"/>
      <c r="Q294" s="100"/>
      <c r="R294" s="8"/>
      <c r="S294" s="108"/>
    </row>
    <row r="295" spans="1:19" s="2" customFormat="1" ht="19.649999999999999" customHeight="1" x14ac:dyDescent="0.2">
      <c r="A295" s="84" t="s">
        <v>63</v>
      </c>
      <c r="B295" s="84"/>
      <c r="C295" s="276">
        <v>18</v>
      </c>
      <c r="D295" s="20">
        <f t="shared" si="33"/>
        <v>203</v>
      </c>
      <c r="E295" s="20" t="s">
        <v>23</v>
      </c>
      <c r="F295" s="20" t="s">
        <v>23</v>
      </c>
      <c r="G295" s="249" t="s">
        <v>422</v>
      </c>
      <c r="H295" s="84">
        <v>4</v>
      </c>
      <c r="I295" s="90">
        <v>1474</v>
      </c>
      <c r="J295" s="26">
        <f t="shared" si="34"/>
        <v>5896</v>
      </c>
      <c r="K295" s="72"/>
      <c r="L295" s="25" t="s">
        <v>49</v>
      </c>
      <c r="M295" s="16" t="s">
        <v>90</v>
      </c>
      <c r="N295" s="21"/>
      <c r="O295" s="8"/>
      <c r="P295" s="20"/>
      <c r="Q295" s="100"/>
      <c r="R295" s="8"/>
      <c r="S295" s="108"/>
    </row>
    <row r="296" spans="1:19" s="2" customFormat="1" ht="19.649999999999999" customHeight="1" x14ac:dyDescent="0.2">
      <c r="A296" s="84" t="s">
        <v>103</v>
      </c>
      <c r="B296" s="84"/>
      <c r="C296" s="276">
        <v>18</v>
      </c>
      <c r="D296" s="20">
        <f t="shared" si="33"/>
        <v>204</v>
      </c>
      <c r="E296" s="23" t="s">
        <v>23</v>
      </c>
      <c r="F296" s="23" t="s">
        <v>23</v>
      </c>
      <c r="G296" s="96" t="s">
        <v>419</v>
      </c>
      <c r="H296" s="84">
        <v>2</v>
      </c>
      <c r="I296" s="228">
        <v>1958</v>
      </c>
      <c r="J296" s="77">
        <f t="shared" si="34"/>
        <v>3916</v>
      </c>
      <c r="K296" s="70"/>
      <c r="L296" s="36" t="s">
        <v>86</v>
      </c>
      <c r="M296" s="16" t="s">
        <v>90</v>
      </c>
      <c r="N296" s="21"/>
      <c r="O296" s="8"/>
      <c r="P296" s="20"/>
      <c r="Q296" s="100"/>
      <c r="R296" s="8"/>
      <c r="S296" s="108"/>
    </row>
    <row r="297" spans="1:19" s="2" customFormat="1" ht="19.649999999999999" customHeight="1" x14ac:dyDescent="0.2">
      <c r="A297" s="84" t="s">
        <v>103</v>
      </c>
      <c r="B297" s="84"/>
      <c r="C297" s="276">
        <v>18</v>
      </c>
      <c r="D297" s="20">
        <f t="shared" si="33"/>
        <v>205</v>
      </c>
      <c r="E297" s="20" t="s">
        <v>240</v>
      </c>
      <c r="F297" s="20" t="s">
        <v>23</v>
      </c>
      <c r="G297" s="268" t="s">
        <v>241</v>
      </c>
      <c r="H297" s="84">
        <v>1</v>
      </c>
      <c r="I297" s="228">
        <v>2380</v>
      </c>
      <c r="J297" s="26">
        <f t="shared" si="34"/>
        <v>2380</v>
      </c>
      <c r="K297" s="72"/>
      <c r="L297" s="25" t="s">
        <v>85</v>
      </c>
      <c r="M297" s="16" t="s">
        <v>90</v>
      </c>
      <c r="N297" s="21"/>
      <c r="O297" s="8"/>
      <c r="P297" s="20"/>
      <c r="Q297" s="100"/>
      <c r="R297" s="8"/>
      <c r="S297" s="108"/>
    </row>
    <row r="298" spans="1:19" s="2" customFormat="1" ht="19.649999999999999" customHeight="1" x14ac:dyDescent="0.2">
      <c r="A298" s="84" t="s">
        <v>103</v>
      </c>
      <c r="B298" s="84"/>
      <c r="C298" s="276">
        <v>18</v>
      </c>
      <c r="D298" s="20">
        <f t="shared" si="33"/>
        <v>206</v>
      </c>
      <c r="E298" s="20" t="s">
        <v>240</v>
      </c>
      <c r="F298" s="20" t="s">
        <v>23</v>
      </c>
      <c r="G298" s="249" t="s">
        <v>242</v>
      </c>
      <c r="H298" s="260">
        <v>1</v>
      </c>
      <c r="I298" s="228">
        <v>2700</v>
      </c>
      <c r="J298" s="26">
        <f t="shared" si="34"/>
        <v>2700</v>
      </c>
      <c r="K298" s="72"/>
      <c r="L298" s="25" t="s">
        <v>243</v>
      </c>
      <c r="M298" s="16" t="s">
        <v>90</v>
      </c>
      <c r="N298" s="21"/>
      <c r="O298" s="8"/>
      <c r="P298" s="20"/>
      <c r="Q298" s="100"/>
      <c r="R298" s="8"/>
      <c r="S298" s="108"/>
    </row>
    <row r="299" spans="1:19" s="2" customFormat="1" ht="19.649999999999999" customHeight="1" x14ac:dyDescent="0.2">
      <c r="A299" s="84" t="s">
        <v>103</v>
      </c>
      <c r="B299" s="84"/>
      <c r="C299" s="276">
        <v>18</v>
      </c>
      <c r="D299" s="20">
        <f t="shared" si="33"/>
        <v>207</v>
      </c>
      <c r="E299" s="20" t="s">
        <v>240</v>
      </c>
      <c r="F299" s="20" t="s">
        <v>23</v>
      </c>
      <c r="G299" s="249" t="s">
        <v>244</v>
      </c>
      <c r="H299" s="260">
        <v>1</v>
      </c>
      <c r="I299" s="228">
        <v>2700</v>
      </c>
      <c r="J299" s="26">
        <f t="shared" si="34"/>
        <v>2700</v>
      </c>
      <c r="K299" s="72"/>
      <c r="L299" s="25" t="s">
        <v>245</v>
      </c>
      <c r="M299" s="16" t="s">
        <v>90</v>
      </c>
      <c r="N299" s="21"/>
      <c r="O299" s="8"/>
      <c r="P299" s="20"/>
      <c r="Q299" s="100"/>
      <c r="R299" s="8"/>
      <c r="S299" s="108"/>
    </row>
    <row r="300" spans="1:19" s="2" customFormat="1" ht="19.649999999999999" customHeight="1" x14ac:dyDescent="0.2">
      <c r="A300" s="84" t="s">
        <v>103</v>
      </c>
      <c r="B300" s="84"/>
      <c r="C300" s="276">
        <v>18</v>
      </c>
      <c r="D300" s="20">
        <f t="shared" si="33"/>
        <v>208</v>
      </c>
      <c r="E300" s="20" t="s">
        <v>240</v>
      </c>
      <c r="F300" s="20" t="s">
        <v>23</v>
      </c>
      <c r="G300" s="249" t="s">
        <v>246</v>
      </c>
      <c r="H300" s="228">
        <v>1</v>
      </c>
      <c r="I300" s="228">
        <v>2700</v>
      </c>
      <c r="J300" s="26">
        <f t="shared" si="34"/>
        <v>2700</v>
      </c>
      <c r="K300" s="72"/>
      <c r="L300" s="25" t="s">
        <v>76</v>
      </c>
      <c r="M300" s="16" t="s">
        <v>90</v>
      </c>
      <c r="N300" s="21"/>
      <c r="O300" s="8"/>
      <c r="P300" s="20"/>
      <c r="Q300" s="100"/>
      <c r="R300" s="8"/>
      <c r="S300" s="108"/>
    </row>
    <row r="301" spans="1:19" s="2" customFormat="1" ht="19.649999999999999" customHeight="1" x14ac:dyDescent="0.2">
      <c r="A301" s="84" t="s">
        <v>103</v>
      </c>
      <c r="B301" s="84"/>
      <c r="C301" s="276">
        <v>18</v>
      </c>
      <c r="D301" s="20">
        <f t="shared" si="33"/>
        <v>209</v>
      </c>
      <c r="E301" s="20" t="s">
        <v>240</v>
      </c>
      <c r="F301" s="20" t="s">
        <v>23</v>
      </c>
      <c r="G301" s="249" t="s">
        <v>247</v>
      </c>
      <c r="H301" s="228">
        <v>1</v>
      </c>
      <c r="I301" s="228">
        <v>2700</v>
      </c>
      <c r="J301" s="26">
        <f>H301*I301</f>
        <v>2700</v>
      </c>
      <c r="K301" s="72"/>
      <c r="L301" s="25" t="s">
        <v>77</v>
      </c>
      <c r="M301" s="16" t="s">
        <v>90</v>
      </c>
      <c r="N301" s="21"/>
      <c r="O301" s="8"/>
      <c r="P301" s="20"/>
      <c r="Q301" s="100"/>
      <c r="R301" s="8"/>
      <c r="S301" s="108"/>
    </row>
    <row r="302" spans="1:19" s="2" customFormat="1" ht="19.649999999999999" customHeight="1" x14ac:dyDescent="0.2">
      <c r="A302" s="84" t="s">
        <v>103</v>
      </c>
      <c r="B302" s="84"/>
      <c r="C302" s="276">
        <v>18</v>
      </c>
      <c r="D302" s="20">
        <f t="shared" si="33"/>
        <v>210</v>
      </c>
      <c r="E302" s="20" t="s">
        <v>240</v>
      </c>
      <c r="F302" s="20" t="s">
        <v>23</v>
      </c>
      <c r="G302" s="249" t="s">
        <v>248</v>
      </c>
      <c r="H302" s="228">
        <v>1</v>
      </c>
      <c r="I302" s="228">
        <v>3650</v>
      </c>
      <c r="J302" s="26">
        <f>H302*I302</f>
        <v>3650</v>
      </c>
      <c r="K302" s="72"/>
      <c r="L302" s="25" t="s">
        <v>249</v>
      </c>
      <c r="M302" s="16" t="s">
        <v>90</v>
      </c>
      <c r="N302" s="21"/>
      <c r="O302" s="8"/>
      <c r="P302" s="20"/>
      <c r="Q302" s="100"/>
      <c r="R302" s="8"/>
      <c r="S302" s="108"/>
    </row>
    <row r="303" spans="1:19" s="2" customFormat="1" ht="19.649999999999999" customHeight="1" x14ac:dyDescent="0.2">
      <c r="A303" s="84" t="s">
        <v>103</v>
      </c>
      <c r="B303" s="84"/>
      <c r="C303" s="276">
        <v>18</v>
      </c>
      <c r="D303" s="20">
        <f t="shared" si="33"/>
        <v>211</v>
      </c>
      <c r="E303" s="20" t="s">
        <v>240</v>
      </c>
      <c r="F303" s="20" t="s">
        <v>23</v>
      </c>
      <c r="G303" s="249" t="s">
        <v>250</v>
      </c>
      <c r="H303" s="228">
        <v>1</v>
      </c>
      <c r="I303" s="228">
        <v>3650</v>
      </c>
      <c r="J303" s="26">
        <f>H303*I303</f>
        <v>3650</v>
      </c>
      <c r="K303" s="72"/>
      <c r="L303" s="25" t="s">
        <v>251</v>
      </c>
      <c r="M303" s="16" t="s">
        <v>90</v>
      </c>
      <c r="N303" s="21"/>
      <c r="O303" s="8"/>
      <c r="P303" s="20"/>
      <c r="Q303" s="100"/>
      <c r="R303" s="8"/>
      <c r="S303" s="108"/>
    </row>
    <row r="304" spans="1:19" s="2" customFormat="1" ht="19.649999999999999" customHeight="1" x14ac:dyDescent="0.2">
      <c r="A304" s="84" t="s">
        <v>103</v>
      </c>
      <c r="B304" s="84"/>
      <c r="C304" s="276">
        <v>18</v>
      </c>
      <c r="D304" s="20">
        <f t="shared" si="33"/>
        <v>212</v>
      </c>
      <c r="E304" s="119" t="s">
        <v>252</v>
      </c>
      <c r="F304" s="119" t="s">
        <v>23</v>
      </c>
      <c r="G304" s="244" t="s">
        <v>91</v>
      </c>
      <c r="H304" s="92">
        <v>1</v>
      </c>
      <c r="I304" s="92">
        <v>1989</v>
      </c>
      <c r="J304" s="26">
        <f>H304*I304</f>
        <v>1989</v>
      </c>
      <c r="K304" s="60"/>
      <c r="L304" s="33" t="s">
        <v>50</v>
      </c>
      <c r="M304" s="16" t="s">
        <v>90</v>
      </c>
      <c r="N304" s="21"/>
      <c r="O304" s="8"/>
      <c r="P304" s="20"/>
      <c r="Q304" s="100"/>
      <c r="R304" s="8"/>
      <c r="S304" s="108"/>
    </row>
    <row r="305" spans="1:19" s="2" customFormat="1" ht="19.649999999999999" customHeight="1" x14ac:dyDescent="0.2">
      <c r="A305" s="84" t="s">
        <v>103</v>
      </c>
      <c r="B305" s="84"/>
      <c r="C305" s="276">
        <v>18</v>
      </c>
      <c r="D305" s="20">
        <f t="shared" si="33"/>
        <v>213</v>
      </c>
      <c r="E305" s="20" t="s">
        <v>23</v>
      </c>
      <c r="F305" s="20" t="s">
        <v>23</v>
      </c>
      <c r="G305" s="269" t="s">
        <v>253</v>
      </c>
      <c r="H305" s="84">
        <v>1</v>
      </c>
      <c r="I305" s="92">
        <v>12895</v>
      </c>
      <c r="J305" s="26">
        <f t="shared" si="34"/>
        <v>12895</v>
      </c>
      <c r="K305" s="69"/>
      <c r="L305" s="22" t="s">
        <v>254</v>
      </c>
      <c r="M305" s="16" t="s">
        <v>90</v>
      </c>
      <c r="N305" s="21"/>
      <c r="O305" s="8"/>
      <c r="P305" s="20"/>
      <c r="Q305" s="100"/>
      <c r="R305" s="8"/>
      <c r="S305" s="108"/>
    </row>
    <row r="306" spans="1:19" s="2" customFormat="1" ht="19.649999999999999" customHeight="1" x14ac:dyDescent="0.2">
      <c r="A306" s="164" t="s">
        <v>142</v>
      </c>
      <c r="B306" s="84"/>
      <c r="C306" s="276">
        <v>18</v>
      </c>
      <c r="D306" s="20">
        <f t="shared" si="33"/>
        <v>214</v>
      </c>
      <c r="E306" s="116" t="s">
        <v>67</v>
      </c>
      <c r="F306" s="20" t="s">
        <v>102</v>
      </c>
      <c r="G306" s="230" t="s">
        <v>95</v>
      </c>
      <c r="H306" s="84">
        <v>1</v>
      </c>
      <c r="I306" s="84">
        <v>850</v>
      </c>
      <c r="J306" s="62">
        <f t="shared" si="34"/>
        <v>850</v>
      </c>
      <c r="K306" s="94"/>
      <c r="L306" s="25" t="s">
        <v>96</v>
      </c>
      <c r="M306" s="16" t="s">
        <v>101</v>
      </c>
      <c r="N306" s="21"/>
      <c r="O306" s="8"/>
      <c r="P306" s="20"/>
      <c r="Q306" s="100"/>
      <c r="R306" s="8"/>
      <c r="S306" s="108"/>
    </row>
    <row r="307" spans="1:19" s="2" customFormat="1" ht="19.649999999999999" customHeight="1" x14ac:dyDescent="0.2">
      <c r="A307" s="61" t="s">
        <v>112</v>
      </c>
      <c r="B307" s="21"/>
      <c r="C307" s="276">
        <v>18</v>
      </c>
      <c r="D307" s="20">
        <f t="shared" si="33"/>
        <v>215</v>
      </c>
      <c r="E307" s="20" t="s">
        <v>23</v>
      </c>
      <c r="F307" s="20" t="s">
        <v>23</v>
      </c>
      <c r="G307" s="184" t="s">
        <v>431</v>
      </c>
      <c r="H307" s="61">
        <v>1</v>
      </c>
      <c r="I307" s="169">
        <v>50000</v>
      </c>
      <c r="J307" s="26">
        <f t="shared" si="34"/>
        <v>50000</v>
      </c>
      <c r="K307" s="1"/>
      <c r="L307" s="22" t="s">
        <v>94</v>
      </c>
      <c r="M307" s="16" t="s">
        <v>90</v>
      </c>
      <c r="N307" s="21"/>
      <c r="O307" s="8"/>
      <c r="P307" s="20"/>
      <c r="Q307" s="100"/>
      <c r="R307" s="8"/>
      <c r="S307" s="108"/>
    </row>
    <row r="308" spans="1:19" s="2" customFormat="1" ht="19.649999999999999" customHeight="1" x14ac:dyDescent="0.2">
      <c r="A308" s="84" t="s">
        <v>103</v>
      </c>
      <c r="B308" s="84"/>
      <c r="C308" s="276">
        <v>18</v>
      </c>
      <c r="D308" s="20">
        <f t="shared" si="33"/>
        <v>216</v>
      </c>
      <c r="E308" s="165" t="s">
        <v>255</v>
      </c>
      <c r="F308" s="23" t="s">
        <v>23</v>
      </c>
      <c r="G308" s="259" t="s">
        <v>69</v>
      </c>
      <c r="H308" s="228">
        <v>5</v>
      </c>
      <c r="I308" s="233">
        <v>165</v>
      </c>
      <c r="J308" s="98">
        <f t="shared" si="34"/>
        <v>825</v>
      </c>
      <c r="K308" s="46"/>
      <c r="L308" s="36" t="s">
        <v>143</v>
      </c>
      <c r="M308" s="16" t="s">
        <v>256</v>
      </c>
      <c r="N308" s="21"/>
      <c r="O308" s="8"/>
      <c r="P308" s="20"/>
      <c r="Q308" s="100"/>
      <c r="R308" s="8"/>
      <c r="S308" s="108"/>
    </row>
    <row r="309" spans="1:19" s="2" customFormat="1" ht="19.649999999999999" customHeight="1" x14ac:dyDescent="0.2">
      <c r="A309" s="84" t="s">
        <v>63</v>
      </c>
      <c r="B309" s="84"/>
      <c r="C309" s="276">
        <v>18</v>
      </c>
      <c r="D309" s="20">
        <f t="shared" si="33"/>
        <v>217</v>
      </c>
      <c r="E309" s="20" t="s">
        <v>23</v>
      </c>
      <c r="F309" s="20" t="s">
        <v>23</v>
      </c>
      <c r="G309" s="253" t="s">
        <v>70</v>
      </c>
      <c r="H309" s="84">
        <v>6</v>
      </c>
      <c r="I309" s="235">
        <v>280</v>
      </c>
      <c r="J309" s="39">
        <f t="shared" si="34"/>
        <v>1680</v>
      </c>
      <c r="K309" s="1"/>
      <c r="L309" s="25" t="s">
        <v>71</v>
      </c>
      <c r="M309" s="16" t="s">
        <v>90</v>
      </c>
      <c r="N309" s="21"/>
      <c r="O309" s="8"/>
      <c r="P309" s="20"/>
      <c r="Q309" s="100"/>
      <c r="R309" s="8"/>
      <c r="S309" s="108"/>
    </row>
    <row r="310" spans="1:19" s="2" customFormat="1" ht="19.649999999999999" customHeight="1" x14ac:dyDescent="0.2">
      <c r="A310" s="84" t="s">
        <v>64</v>
      </c>
      <c r="B310" s="84"/>
      <c r="C310" s="276">
        <v>18</v>
      </c>
      <c r="D310" s="20">
        <f t="shared" si="33"/>
        <v>218</v>
      </c>
      <c r="E310" s="80" t="s">
        <v>31</v>
      </c>
      <c r="F310" s="80" t="s">
        <v>31</v>
      </c>
      <c r="G310" s="81" t="s">
        <v>58</v>
      </c>
      <c r="H310" s="166"/>
      <c r="I310" s="97">
        <v>25</v>
      </c>
      <c r="J310" s="167">
        <f t="shared" si="34"/>
        <v>0</v>
      </c>
      <c r="K310" s="82"/>
      <c r="L310" s="81" t="s">
        <v>430</v>
      </c>
      <c r="M310" s="16" t="s">
        <v>90</v>
      </c>
      <c r="N310" s="21"/>
      <c r="O310" s="8"/>
      <c r="P310" s="20"/>
      <c r="Q310" s="100"/>
      <c r="R310" s="8"/>
      <c r="S310" s="108"/>
    </row>
    <row r="311" spans="1:19" s="2" customFormat="1" ht="19.649999999999999" customHeight="1" x14ac:dyDescent="0.2">
      <c r="A311" s="84" t="s">
        <v>103</v>
      </c>
      <c r="B311" s="84"/>
      <c r="C311" s="276">
        <v>18</v>
      </c>
      <c r="D311" s="20">
        <f t="shared" si="33"/>
        <v>219</v>
      </c>
      <c r="E311" s="20" t="s">
        <v>23</v>
      </c>
      <c r="F311" s="20" t="s">
        <v>23</v>
      </c>
      <c r="G311" s="270" t="s">
        <v>93</v>
      </c>
      <c r="H311" s="228">
        <v>2</v>
      </c>
      <c r="I311" s="243">
        <v>839</v>
      </c>
      <c r="J311" s="39">
        <f t="shared" si="34"/>
        <v>1678</v>
      </c>
      <c r="K311" s="93"/>
      <c r="L311" s="36" t="s">
        <v>92</v>
      </c>
      <c r="M311" s="16" t="s">
        <v>90</v>
      </c>
      <c r="N311" s="21"/>
      <c r="O311" s="8"/>
      <c r="P311" s="20"/>
      <c r="Q311" s="100"/>
      <c r="R311" s="8"/>
      <c r="S311" s="108"/>
    </row>
    <row r="312" spans="1:19" s="2" customFormat="1" ht="19.649999999999999" customHeight="1" x14ac:dyDescent="0.2">
      <c r="A312" s="84" t="s">
        <v>103</v>
      </c>
      <c r="B312" s="84"/>
      <c r="C312" s="276">
        <v>18</v>
      </c>
      <c r="D312" s="20">
        <f t="shared" si="33"/>
        <v>220</v>
      </c>
      <c r="E312" s="20" t="s">
        <v>104</v>
      </c>
      <c r="F312" s="20" t="s">
        <v>31</v>
      </c>
      <c r="G312" s="249" t="s">
        <v>144</v>
      </c>
      <c r="H312" s="84">
        <v>8</v>
      </c>
      <c r="I312" s="84">
        <v>166</v>
      </c>
      <c r="J312" s="39">
        <f t="shared" si="34"/>
        <v>1328</v>
      </c>
      <c r="K312" s="21"/>
      <c r="L312" s="22" t="s">
        <v>257</v>
      </c>
      <c r="M312" s="16" t="s">
        <v>90</v>
      </c>
      <c r="N312" s="21"/>
      <c r="O312" s="8"/>
      <c r="P312" s="20"/>
      <c r="Q312" s="100"/>
      <c r="R312" s="8"/>
      <c r="S312" s="108"/>
    </row>
    <row r="313" spans="1:19" s="2" customFormat="1" ht="19.649999999999999" customHeight="1" x14ac:dyDescent="0.2">
      <c r="A313" s="84" t="s">
        <v>103</v>
      </c>
      <c r="B313" s="84"/>
      <c r="C313" s="276">
        <v>18</v>
      </c>
      <c r="D313" s="20">
        <f t="shared" si="33"/>
        <v>221</v>
      </c>
      <c r="E313" s="20" t="s">
        <v>104</v>
      </c>
      <c r="F313" s="20" t="s">
        <v>31</v>
      </c>
      <c r="G313" s="249" t="s">
        <v>145</v>
      </c>
      <c r="H313" s="84">
        <v>4</v>
      </c>
      <c r="I313" s="84">
        <v>574</v>
      </c>
      <c r="J313" s="39">
        <f t="shared" si="34"/>
        <v>2296</v>
      </c>
      <c r="K313" s="21"/>
      <c r="L313" s="22" t="s">
        <v>258</v>
      </c>
      <c r="M313" s="16" t="s">
        <v>90</v>
      </c>
      <c r="N313" s="21"/>
      <c r="O313" s="8"/>
      <c r="P313" s="20"/>
      <c r="Q313" s="100"/>
      <c r="R313" s="8"/>
      <c r="S313" s="108"/>
    </row>
    <row r="314" spans="1:19" s="2" customFormat="1" ht="19.649999999999999" customHeight="1" x14ac:dyDescent="0.2">
      <c r="A314" s="84" t="s">
        <v>103</v>
      </c>
      <c r="B314" s="84"/>
      <c r="C314" s="276">
        <v>18</v>
      </c>
      <c r="D314" s="20">
        <f t="shared" si="33"/>
        <v>222</v>
      </c>
      <c r="E314" s="20" t="s">
        <v>104</v>
      </c>
      <c r="F314" s="20" t="s">
        <v>31</v>
      </c>
      <c r="G314" s="249" t="s">
        <v>420</v>
      </c>
      <c r="H314" s="84">
        <v>5</v>
      </c>
      <c r="I314" s="84">
        <v>204</v>
      </c>
      <c r="J314" s="39">
        <f t="shared" si="34"/>
        <v>1020</v>
      </c>
      <c r="K314" s="21"/>
      <c r="L314" s="22" t="s">
        <v>259</v>
      </c>
      <c r="M314" s="16" t="s">
        <v>90</v>
      </c>
      <c r="N314" s="21"/>
      <c r="O314" s="8"/>
      <c r="P314" s="20"/>
      <c r="Q314" s="100"/>
      <c r="R314" s="8"/>
      <c r="S314" s="108"/>
    </row>
    <row r="315" spans="1:19" s="2" customFormat="1" ht="19.649999999999999" customHeight="1" x14ac:dyDescent="0.2">
      <c r="A315" s="84" t="s">
        <v>103</v>
      </c>
      <c r="B315" s="84"/>
      <c r="C315" s="276">
        <v>18</v>
      </c>
      <c r="D315" s="20">
        <f t="shared" si="33"/>
        <v>223</v>
      </c>
      <c r="E315" s="20" t="s">
        <v>104</v>
      </c>
      <c r="F315" s="20" t="s">
        <v>31</v>
      </c>
      <c r="G315" s="249" t="s">
        <v>146</v>
      </c>
      <c r="H315" s="84">
        <v>5</v>
      </c>
      <c r="I315" s="84">
        <v>95</v>
      </c>
      <c r="J315" s="39">
        <f t="shared" si="34"/>
        <v>475</v>
      </c>
      <c r="K315" s="21"/>
      <c r="L315" s="22" t="s">
        <v>260</v>
      </c>
      <c r="M315" s="16" t="s">
        <v>90</v>
      </c>
      <c r="N315" s="21"/>
      <c r="O315" s="8"/>
      <c r="P315" s="20"/>
      <c r="Q315" s="100"/>
      <c r="R315" s="8"/>
      <c r="S315" s="108"/>
    </row>
    <row r="316" spans="1:19" s="2" customFormat="1" ht="19.649999999999999" customHeight="1" x14ac:dyDescent="0.2">
      <c r="A316" s="84" t="s">
        <v>103</v>
      </c>
      <c r="B316" s="84"/>
      <c r="C316" s="276">
        <v>18</v>
      </c>
      <c r="D316" s="20">
        <f t="shared" si="33"/>
        <v>224</v>
      </c>
      <c r="E316" s="20" t="s">
        <v>23</v>
      </c>
      <c r="F316" s="20" t="s">
        <v>23</v>
      </c>
      <c r="G316" s="271" t="s">
        <v>417</v>
      </c>
      <c r="H316" s="84">
        <v>1</v>
      </c>
      <c r="I316" s="92">
        <v>6070</v>
      </c>
      <c r="J316" s="26">
        <f t="shared" si="34"/>
        <v>6070</v>
      </c>
      <c r="K316" s="1"/>
      <c r="L316" s="22" t="s">
        <v>88</v>
      </c>
      <c r="M316" s="22" t="s">
        <v>89</v>
      </c>
      <c r="N316" s="21"/>
      <c r="O316" s="8"/>
      <c r="P316" s="20"/>
      <c r="Q316" s="100"/>
      <c r="R316" s="8"/>
      <c r="S316" s="108"/>
    </row>
    <row r="317" spans="1:19" s="2" customFormat="1" ht="19.649999999999999" customHeight="1" x14ac:dyDescent="0.2">
      <c r="A317" s="84" t="s">
        <v>103</v>
      </c>
      <c r="B317" s="84"/>
      <c r="C317" s="276">
        <v>18</v>
      </c>
      <c r="D317" s="20">
        <f t="shared" si="33"/>
        <v>225</v>
      </c>
      <c r="E317" s="23" t="s">
        <v>23</v>
      </c>
      <c r="F317" s="23" t="s">
        <v>23</v>
      </c>
      <c r="G317" s="259" t="s">
        <v>147</v>
      </c>
      <c r="H317" s="228">
        <v>1</v>
      </c>
      <c r="I317" s="233">
        <v>237</v>
      </c>
      <c r="J317" s="77">
        <f>H317*I317</f>
        <v>237</v>
      </c>
      <c r="K317" s="46"/>
      <c r="L317" s="36" t="s">
        <v>148</v>
      </c>
      <c r="M317" s="16" t="s">
        <v>149</v>
      </c>
      <c r="N317" s="21"/>
      <c r="O317" s="8"/>
      <c r="P317" s="20"/>
      <c r="Q317" s="100"/>
      <c r="R317" s="8"/>
      <c r="S317" s="108"/>
    </row>
    <row r="318" spans="1:19" s="2" customFormat="1" ht="19.649999999999999" customHeight="1" x14ac:dyDescent="0.2">
      <c r="A318" s="164" t="s">
        <v>234</v>
      </c>
      <c r="B318" s="84"/>
      <c r="C318" s="276">
        <v>18</v>
      </c>
      <c r="D318" s="20">
        <f t="shared" si="33"/>
        <v>226</v>
      </c>
      <c r="E318" s="20" t="s">
        <v>67</v>
      </c>
      <c r="F318" s="20" t="s">
        <v>102</v>
      </c>
      <c r="G318" s="253" t="s">
        <v>150</v>
      </c>
      <c r="H318" s="84">
        <v>2</v>
      </c>
      <c r="I318" s="235">
        <v>1820</v>
      </c>
      <c r="J318" s="39">
        <f>H318*I318</f>
        <v>3640</v>
      </c>
      <c r="K318" s="1"/>
      <c r="L318" s="25" t="s">
        <v>68</v>
      </c>
      <c r="M318" s="22" t="s">
        <v>416</v>
      </c>
      <c r="N318" s="21"/>
      <c r="O318" s="8"/>
      <c r="P318" s="20"/>
      <c r="Q318" s="100"/>
      <c r="R318" s="8"/>
      <c r="S318" s="108"/>
    </row>
    <row r="319" spans="1:19" s="2" customFormat="1" ht="19.649999999999999" customHeight="1" x14ac:dyDescent="0.2">
      <c r="A319" s="164" t="s">
        <v>234</v>
      </c>
      <c r="B319" s="84"/>
      <c r="C319" s="276">
        <v>18</v>
      </c>
      <c r="D319" s="20">
        <f t="shared" si="33"/>
        <v>227</v>
      </c>
      <c r="E319" s="20" t="s">
        <v>67</v>
      </c>
      <c r="F319" s="20" t="s">
        <v>102</v>
      </c>
      <c r="G319" s="253" t="s">
        <v>151</v>
      </c>
      <c r="H319" s="84">
        <v>1</v>
      </c>
      <c r="I319" s="235">
        <v>1820</v>
      </c>
      <c r="J319" s="39">
        <f>H319*I319</f>
        <v>1820</v>
      </c>
      <c r="K319" s="1"/>
      <c r="L319" s="25" t="s">
        <v>68</v>
      </c>
      <c r="M319" s="22" t="s">
        <v>415</v>
      </c>
      <c r="N319" s="21"/>
      <c r="O319" s="8"/>
      <c r="P319" s="20"/>
      <c r="Q319" s="100"/>
      <c r="R319" s="8"/>
      <c r="S319" s="108"/>
    </row>
    <row r="320" spans="1:19" s="2" customFormat="1" ht="19.649999999999999" customHeight="1" x14ac:dyDescent="0.2">
      <c r="A320" s="84" t="s">
        <v>64</v>
      </c>
      <c r="B320" s="84"/>
      <c r="C320" s="276">
        <v>18</v>
      </c>
      <c r="D320" s="20">
        <f t="shared" si="33"/>
        <v>228</v>
      </c>
      <c r="E320" s="23" t="s">
        <v>261</v>
      </c>
      <c r="F320" s="23" t="s">
        <v>23</v>
      </c>
      <c r="G320" s="259" t="s">
        <v>74</v>
      </c>
      <c r="H320" s="228">
        <v>1</v>
      </c>
      <c r="I320" s="233">
        <v>769</v>
      </c>
      <c r="J320" s="98">
        <f t="shared" si="34"/>
        <v>769</v>
      </c>
      <c r="K320" s="46"/>
      <c r="L320" s="36" t="s">
        <v>152</v>
      </c>
      <c r="M320" s="45" t="s">
        <v>153</v>
      </c>
      <c r="N320" s="21"/>
      <c r="O320" s="8"/>
      <c r="P320" s="20"/>
      <c r="Q320" s="100"/>
      <c r="R320" s="8"/>
      <c r="S320" s="108"/>
    </row>
    <row r="321" spans="1:19" s="2" customFormat="1" ht="19.649999999999999" customHeight="1" x14ac:dyDescent="0.2">
      <c r="A321" s="84" t="s">
        <v>64</v>
      </c>
      <c r="B321" s="84"/>
      <c r="C321" s="276">
        <v>18</v>
      </c>
      <c r="D321" s="20">
        <f t="shared" si="33"/>
        <v>229</v>
      </c>
      <c r="E321" s="23" t="s">
        <v>261</v>
      </c>
      <c r="F321" s="23" t="s">
        <v>23</v>
      </c>
      <c r="G321" s="259" t="s">
        <v>75</v>
      </c>
      <c r="H321" s="228">
        <v>1</v>
      </c>
      <c r="I321" s="233">
        <v>1429</v>
      </c>
      <c r="J321" s="98">
        <f t="shared" si="34"/>
        <v>1429</v>
      </c>
      <c r="K321" s="46"/>
      <c r="L321" s="36" t="s">
        <v>152</v>
      </c>
      <c r="M321" s="45" t="s">
        <v>154</v>
      </c>
      <c r="N321" s="21"/>
      <c r="O321" s="8"/>
      <c r="P321" s="20"/>
      <c r="Q321" s="100"/>
      <c r="R321" s="8"/>
      <c r="S321" s="108"/>
    </row>
    <row r="322" spans="1:19" s="2" customFormat="1" ht="19.649999999999999" customHeight="1" x14ac:dyDescent="0.2">
      <c r="A322" s="84" t="s">
        <v>64</v>
      </c>
      <c r="B322" s="84"/>
      <c r="C322" s="276">
        <v>18</v>
      </c>
      <c r="D322" s="20">
        <f t="shared" si="33"/>
        <v>230</v>
      </c>
      <c r="E322" s="23" t="s">
        <v>261</v>
      </c>
      <c r="F322" s="23" t="s">
        <v>23</v>
      </c>
      <c r="G322" s="249" t="s">
        <v>155</v>
      </c>
      <c r="H322" s="228">
        <v>1</v>
      </c>
      <c r="I322" s="228">
        <v>1312</v>
      </c>
      <c r="J322" s="46">
        <f t="shared" si="34"/>
        <v>1312</v>
      </c>
      <c r="K322" s="70"/>
      <c r="L322" s="36" t="s">
        <v>152</v>
      </c>
      <c r="M322" s="45" t="s">
        <v>156</v>
      </c>
      <c r="N322" s="21"/>
      <c r="O322" s="8"/>
      <c r="P322" s="20"/>
      <c r="Q322" s="100"/>
      <c r="R322" s="8"/>
      <c r="S322" s="108"/>
    </row>
    <row r="323" spans="1:19" s="2" customFormat="1" ht="19.649999999999999" customHeight="1" x14ac:dyDescent="0.2">
      <c r="A323" s="84" t="s">
        <v>64</v>
      </c>
      <c r="B323" s="84"/>
      <c r="C323" s="276">
        <v>18</v>
      </c>
      <c r="D323" s="20">
        <f t="shared" si="33"/>
        <v>231</v>
      </c>
      <c r="E323" s="47" t="s">
        <v>23</v>
      </c>
      <c r="F323" s="47" t="s">
        <v>23</v>
      </c>
      <c r="G323" s="212" t="s">
        <v>97</v>
      </c>
      <c r="H323" s="48"/>
      <c r="I323" s="214">
        <v>985</v>
      </c>
      <c r="J323" s="214">
        <f t="shared" si="34"/>
        <v>0</v>
      </c>
      <c r="K323" s="239"/>
      <c r="L323" s="250" t="s">
        <v>262</v>
      </c>
      <c r="M323" s="45" t="s">
        <v>90</v>
      </c>
      <c r="N323" s="21"/>
      <c r="O323" s="8"/>
      <c r="P323" s="20"/>
      <c r="Q323" s="100"/>
      <c r="R323" s="8"/>
      <c r="S323" s="108"/>
    </row>
    <row r="324" spans="1:19" s="2" customFormat="1" ht="19.649999999999999" customHeight="1" x14ac:dyDescent="0.2">
      <c r="A324" s="84" t="s">
        <v>64</v>
      </c>
      <c r="B324" s="84"/>
      <c r="C324" s="276">
        <v>18</v>
      </c>
      <c r="D324" s="20">
        <f t="shared" si="33"/>
        <v>232</v>
      </c>
      <c r="E324" s="47" t="s">
        <v>23</v>
      </c>
      <c r="F324" s="47" t="s">
        <v>23</v>
      </c>
      <c r="G324" s="212" t="s">
        <v>98</v>
      </c>
      <c r="H324" s="48"/>
      <c r="I324" s="214">
        <v>1054</v>
      </c>
      <c r="J324" s="214">
        <f t="shared" si="34"/>
        <v>0</v>
      </c>
      <c r="K324" s="239"/>
      <c r="L324" s="250" t="s">
        <v>157</v>
      </c>
      <c r="M324" s="45" t="s">
        <v>90</v>
      </c>
      <c r="N324" s="21"/>
      <c r="O324" s="8"/>
      <c r="P324" s="20"/>
      <c r="Q324" s="100"/>
      <c r="R324" s="8"/>
      <c r="S324" s="108"/>
    </row>
    <row r="325" spans="1:19" s="2" customFormat="1" ht="19.649999999999999" customHeight="1" x14ac:dyDescent="0.2">
      <c r="A325" s="84" t="s">
        <v>103</v>
      </c>
      <c r="B325" s="84"/>
      <c r="C325" s="276">
        <v>18</v>
      </c>
      <c r="D325" s="20">
        <f t="shared" si="33"/>
        <v>233</v>
      </c>
      <c r="E325" s="20" t="s">
        <v>104</v>
      </c>
      <c r="F325" s="20" t="s">
        <v>31</v>
      </c>
      <c r="G325" s="249" t="s">
        <v>105</v>
      </c>
      <c r="H325" s="84">
        <v>20</v>
      </c>
      <c r="I325" s="84">
        <v>119</v>
      </c>
      <c r="J325" s="39">
        <f>H325*I325</f>
        <v>2380</v>
      </c>
      <c r="K325" s="69"/>
      <c r="L325" s="22" t="s">
        <v>263</v>
      </c>
      <c r="M325" s="21"/>
      <c r="N325" s="21"/>
      <c r="O325" s="8"/>
      <c r="P325" s="20"/>
      <c r="Q325" s="100"/>
      <c r="R325" s="8"/>
      <c r="S325" s="108"/>
    </row>
    <row r="326" spans="1:19" s="2" customFormat="1" ht="19.649999999999999" customHeight="1" x14ac:dyDescent="0.2">
      <c r="A326" s="84" t="s">
        <v>103</v>
      </c>
      <c r="B326" s="84"/>
      <c r="C326" s="276">
        <v>18</v>
      </c>
      <c r="D326" s="20">
        <f t="shared" si="33"/>
        <v>234</v>
      </c>
      <c r="E326" s="20" t="s">
        <v>104</v>
      </c>
      <c r="F326" s="20" t="s">
        <v>31</v>
      </c>
      <c r="G326" s="249" t="s">
        <v>106</v>
      </c>
      <c r="H326" s="84">
        <v>8</v>
      </c>
      <c r="I326" s="84">
        <v>50</v>
      </c>
      <c r="J326" s="39">
        <f>H326*I326</f>
        <v>400</v>
      </c>
      <c r="K326" s="21"/>
      <c r="L326" s="22" t="s">
        <v>264</v>
      </c>
      <c r="M326" s="21"/>
      <c r="N326" s="21"/>
      <c r="O326" s="8"/>
      <c r="P326" s="20"/>
      <c r="Q326" s="100"/>
      <c r="R326" s="8"/>
      <c r="S326" s="108"/>
    </row>
    <row r="327" spans="1:19" s="2" customFormat="1" ht="19.649999999999999" customHeight="1" x14ac:dyDescent="0.2">
      <c r="A327" s="84" t="s">
        <v>103</v>
      </c>
      <c r="B327" s="84"/>
      <c r="C327" s="276">
        <v>18</v>
      </c>
      <c r="D327" s="20">
        <f t="shared" si="33"/>
        <v>235</v>
      </c>
      <c r="E327" s="20" t="s">
        <v>104</v>
      </c>
      <c r="F327" s="20" t="s">
        <v>31</v>
      </c>
      <c r="G327" s="249" t="s">
        <v>107</v>
      </c>
      <c r="H327" s="84">
        <v>4</v>
      </c>
      <c r="I327" s="84">
        <v>177</v>
      </c>
      <c r="J327" s="39">
        <f>H327*I327</f>
        <v>708</v>
      </c>
      <c r="K327" s="69"/>
      <c r="L327" s="22" t="s">
        <v>265</v>
      </c>
      <c r="M327" s="106"/>
      <c r="N327" s="21"/>
      <c r="O327" s="8"/>
      <c r="P327" s="20"/>
      <c r="Q327" s="100"/>
      <c r="R327" s="8"/>
      <c r="S327" s="108"/>
    </row>
    <row r="328" spans="1:19" s="2" customFormat="1" ht="19.649999999999999" customHeight="1" x14ac:dyDescent="0.2">
      <c r="A328" s="84" t="s">
        <v>103</v>
      </c>
      <c r="B328" s="84"/>
      <c r="C328" s="276">
        <v>18</v>
      </c>
      <c r="D328" s="20">
        <f t="shared" si="33"/>
        <v>236</v>
      </c>
      <c r="E328" s="20" t="s">
        <v>104</v>
      </c>
      <c r="F328" s="20" t="s">
        <v>31</v>
      </c>
      <c r="G328" s="249" t="s">
        <v>421</v>
      </c>
      <c r="H328" s="84">
        <v>4</v>
      </c>
      <c r="I328" s="84">
        <v>127</v>
      </c>
      <c r="J328" s="39">
        <f>H328*I328</f>
        <v>508</v>
      </c>
      <c r="K328" s="69"/>
      <c r="L328" s="22" t="s">
        <v>265</v>
      </c>
      <c r="M328" s="106"/>
      <c r="N328" s="21"/>
      <c r="O328" s="8"/>
      <c r="P328" s="20"/>
      <c r="Q328" s="100"/>
      <c r="R328" s="8"/>
      <c r="S328" s="108"/>
    </row>
    <row r="329" spans="1:19" s="2" customFormat="1" ht="19.649999999999999" customHeight="1" x14ac:dyDescent="0.2">
      <c r="A329" s="21"/>
      <c r="B329" s="21"/>
      <c r="C329" s="21"/>
      <c r="D329" s="20"/>
      <c r="E329" s="20"/>
      <c r="F329" s="20"/>
      <c r="G329" s="45"/>
      <c r="H329" s="163"/>
      <c r="I329" s="21"/>
      <c r="J329" s="26"/>
      <c r="K329" s="69"/>
      <c r="L329" s="22"/>
      <c r="M329" s="106"/>
      <c r="N329" s="21"/>
      <c r="O329" s="8"/>
      <c r="P329" s="20"/>
      <c r="Q329" s="100"/>
      <c r="R329" s="8"/>
      <c r="S329" s="108"/>
    </row>
    <row r="330" spans="1:19" s="2" customFormat="1" ht="19.649999999999999" customHeight="1" x14ac:dyDescent="0.2">
      <c r="A330" s="21"/>
      <c r="B330" s="21"/>
      <c r="C330" s="21"/>
      <c r="D330" s="20"/>
      <c r="E330" s="20"/>
      <c r="F330" s="20"/>
      <c r="G330" s="45"/>
      <c r="H330" s="163"/>
      <c r="I330" s="21"/>
      <c r="J330" s="26"/>
      <c r="K330" s="69"/>
      <c r="L330" s="22"/>
      <c r="M330" s="106"/>
      <c r="N330" s="21"/>
      <c r="O330" s="8"/>
      <c r="P330" s="20"/>
      <c r="Q330" s="100"/>
      <c r="R330" s="8"/>
      <c r="S330" s="108"/>
    </row>
    <row r="331" spans="1:19" s="2" customFormat="1" ht="19.649999999999999" customHeight="1" x14ac:dyDescent="0.2">
      <c r="A331" s="21"/>
      <c r="B331" s="162">
        <v>8</v>
      </c>
      <c r="C331" s="156" t="s">
        <v>189</v>
      </c>
      <c r="D331" s="20"/>
      <c r="E331" s="20"/>
      <c r="F331" s="20"/>
      <c r="G331" s="78"/>
      <c r="H331" s="163"/>
      <c r="I331" s="39"/>
      <c r="J331" s="26"/>
      <c r="K331" s="69"/>
      <c r="L331" s="22"/>
      <c r="M331" s="106"/>
      <c r="N331" s="21"/>
      <c r="O331" s="8"/>
      <c r="P331" s="20"/>
      <c r="Q331" s="100"/>
      <c r="R331" s="8"/>
      <c r="S331" s="108"/>
    </row>
    <row r="332" spans="1:19" s="2" customFormat="1" ht="19.649999999999999" customHeight="1" x14ac:dyDescent="0.2">
      <c r="D332" s="20"/>
      <c r="E332" s="20"/>
      <c r="F332" s="20"/>
      <c r="G332" s="78"/>
      <c r="H332" s="21"/>
      <c r="I332" s="39"/>
      <c r="J332" s="101"/>
      <c r="K332" s="1"/>
      <c r="L332" s="25"/>
      <c r="M332" s="21"/>
      <c r="N332" s="21"/>
      <c r="O332" s="8"/>
      <c r="P332" s="20"/>
      <c r="Q332" s="21"/>
      <c r="R332" s="8"/>
      <c r="S332" s="108"/>
    </row>
    <row r="333" spans="1:19" s="2" customFormat="1" ht="19.649999999999999" customHeight="1" x14ac:dyDescent="0.2">
      <c r="D333" s="20"/>
      <c r="E333" s="20"/>
      <c r="F333" s="20"/>
      <c r="G333" s="54">
        <f>SUM(J284:J331)</f>
        <v>165316</v>
      </c>
      <c r="H333" s="21"/>
      <c r="I333" s="21"/>
      <c r="J333" s="1"/>
      <c r="K333" s="69"/>
      <c r="L333" s="21"/>
      <c r="M333" s="21"/>
      <c r="N333" s="21"/>
      <c r="O333" s="8"/>
      <c r="P333" s="20"/>
      <c r="Q333" s="21"/>
      <c r="R333" s="8"/>
      <c r="S333" s="108"/>
    </row>
    <row r="334" spans="1:19" s="2" customFormat="1" ht="19.649999999999999" customHeight="1" x14ac:dyDescent="0.2">
      <c r="D334" s="20"/>
      <c r="E334" s="20"/>
      <c r="F334" s="20"/>
      <c r="G334" s="21"/>
      <c r="H334" s="21"/>
      <c r="I334" s="21"/>
      <c r="J334" s="1"/>
      <c r="K334" s="69"/>
      <c r="L334" s="21"/>
      <c r="M334" s="21"/>
      <c r="N334" s="21"/>
      <c r="O334" s="8"/>
      <c r="P334" s="20"/>
      <c r="Q334" s="21"/>
      <c r="R334" s="8"/>
      <c r="S334" s="108"/>
    </row>
    <row r="335" spans="1:19" s="2" customFormat="1" ht="19.649999999999999" customHeight="1" x14ac:dyDescent="0.2">
      <c r="D335" s="20"/>
      <c r="E335" s="20"/>
      <c r="F335" s="20"/>
      <c r="G335" s="21"/>
      <c r="H335" s="21"/>
      <c r="I335" s="21"/>
      <c r="J335" s="1"/>
      <c r="K335" s="69"/>
      <c r="L335" s="21"/>
      <c r="M335" s="21"/>
      <c r="N335" s="21"/>
      <c r="O335" s="8"/>
      <c r="P335" s="20"/>
      <c r="Q335" s="21"/>
      <c r="R335" s="8"/>
      <c r="S335" s="108"/>
    </row>
    <row r="336" spans="1:19" s="2" customFormat="1" ht="19.649999999999999" customHeight="1" x14ac:dyDescent="0.2">
      <c r="D336" s="20"/>
      <c r="E336" s="20"/>
      <c r="F336" s="20"/>
      <c r="G336" s="21"/>
      <c r="H336" s="21"/>
      <c r="I336" s="21"/>
      <c r="J336" s="1"/>
      <c r="K336" s="69"/>
      <c r="L336" s="21"/>
      <c r="M336" s="21"/>
      <c r="N336" s="21"/>
      <c r="O336" s="8"/>
      <c r="P336" s="20"/>
      <c r="Q336" s="21"/>
      <c r="R336" s="8"/>
      <c r="S336" s="108"/>
    </row>
    <row r="337" spans="4:19" s="2" customFormat="1" ht="19.649999999999999" customHeight="1" x14ac:dyDescent="0.2">
      <c r="D337" s="20"/>
      <c r="E337" s="38"/>
      <c r="F337" s="38"/>
      <c r="G337" s="59" t="s">
        <v>56</v>
      </c>
      <c r="H337" s="161"/>
      <c r="I337" s="61">
        <v>70000</v>
      </c>
      <c r="J337" s="67">
        <f>H337*I337</f>
        <v>0</v>
      </c>
      <c r="K337" s="69"/>
      <c r="L337" s="21"/>
      <c r="M337" s="21"/>
      <c r="N337" s="21"/>
      <c r="O337" s="8"/>
      <c r="P337" s="20"/>
      <c r="Q337" s="21"/>
      <c r="R337" s="8"/>
      <c r="S337" s="108"/>
    </row>
    <row r="338" spans="4:19" s="2" customFormat="1" ht="19.649999999999999" customHeight="1" x14ac:dyDescent="0.2">
      <c r="D338" s="20"/>
      <c r="E338" s="20"/>
      <c r="F338" s="20"/>
      <c r="G338" s="22" t="s">
        <v>57</v>
      </c>
      <c r="H338" s="21"/>
      <c r="I338" s="21"/>
      <c r="J338" s="1"/>
      <c r="K338" s="69"/>
      <c r="L338" s="21"/>
      <c r="M338" s="21"/>
      <c r="N338" s="21"/>
      <c r="O338" s="8"/>
      <c r="P338" s="20"/>
      <c r="Q338" s="21"/>
      <c r="R338" s="8"/>
      <c r="S338" s="108"/>
    </row>
    <row r="339" spans="4:19" s="2" customFormat="1" ht="19.649999999999999" customHeight="1" x14ac:dyDescent="0.2">
      <c r="D339" s="20"/>
      <c r="E339" s="20"/>
      <c r="F339" s="20"/>
      <c r="G339" s="21"/>
      <c r="H339" s="21"/>
      <c r="I339" s="21"/>
      <c r="J339" s="1"/>
      <c r="K339" s="69"/>
      <c r="L339" s="21"/>
      <c r="M339" s="21"/>
      <c r="N339" s="21"/>
      <c r="O339" s="8"/>
      <c r="P339" s="20"/>
      <c r="Q339" s="21"/>
      <c r="R339" s="8"/>
      <c r="S339" s="108"/>
    </row>
    <row r="340" spans="4:19" s="2" customFormat="1" ht="19.649999999999999" customHeight="1" x14ac:dyDescent="0.2">
      <c r="D340" s="20"/>
      <c r="E340" s="20"/>
      <c r="F340" s="20"/>
      <c r="G340" s="21"/>
      <c r="H340" s="21"/>
      <c r="I340" s="21"/>
      <c r="J340" s="1"/>
      <c r="K340" s="69"/>
      <c r="L340" s="21"/>
      <c r="M340" s="21"/>
      <c r="N340" s="21"/>
      <c r="O340" s="8"/>
      <c r="P340" s="20"/>
      <c r="Q340" s="21"/>
      <c r="R340" s="8"/>
      <c r="S340" s="108"/>
    </row>
    <row r="341" spans="4:19" s="2" customFormat="1" ht="19.649999999999999" customHeight="1" x14ac:dyDescent="0.2">
      <c r="D341" s="20"/>
      <c r="E341" s="20"/>
      <c r="F341" s="20"/>
      <c r="G341" s="21"/>
      <c r="H341" s="21"/>
      <c r="I341" s="21"/>
      <c r="J341" s="1"/>
      <c r="K341" s="69"/>
      <c r="L341" s="21"/>
      <c r="M341" s="21"/>
      <c r="N341" s="21"/>
      <c r="O341" s="8"/>
      <c r="P341" s="20"/>
      <c r="Q341" s="21"/>
      <c r="R341" s="8"/>
      <c r="S341" s="108"/>
    </row>
    <row r="342" spans="4:19" s="2" customFormat="1" ht="19.649999999999999" customHeight="1" x14ac:dyDescent="0.2">
      <c r="D342" s="20"/>
      <c r="E342" s="20"/>
      <c r="F342" s="20"/>
      <c r="G342" s="21"/>
      <c r="H342" s="21"/>
      <c r="I342" s="21"/>
      <c r="J342" s="1"/>
      <c r="K342" s="69"/>
      <c r="L342" s="21"/>
      <c r="M342" s="21"/>
      <c r="N342" s="21"/>
      <c r="O342" s="8"/>
      <c r="P342" s="20"/>
      <c r="Q342" s="21"/>
      <c r="R342" s="8"/>
      <c r="S342" s="108"/>
    </row>
    <row r="343" spans="4:19" s="2" customFormat="1" ht="19.649999999999999" customHeight="1" x14ac:dyDescent="0.2">
      <c r="D343" s="20"/>
      <c r="E343" s="20"/>
      <c r="F343" s="20"/>
      <c r="G343" s="21"/>
      <c r="H343" s="21"/>
      <c r="I343" s="21"/>
      <c r="J343" s="1"/>
      <c r="K343" s="69"/>
      <c r="L343" s="21"/>
      <c r="M343" s="21"/>
      <c r="N343" s="21"/>
      <c r="O343" s="8"/>
      <c r="P343" s="20"/>
      <c r="Q343" s="21"/>
      <c r="R343" s="8"/>
      <c r="S343" s="108"/>
    </row>
    <row r="344" spans="4:19" s="2" customFormat="1" ht="19.649999999999999" customHeight="1" x14ac:dyDescent="0.2">
      <c r="D344" s="20"/>
      <c r="E344" s="20"/>
      <c r="F344" s="20"/>
      <c r="G344" s="21"/>
      <c r="H344" s="21"/>
      <c r="I344" s="21"/>
      <c r="J344" s="1"/>
      <c r="K344" s="69"/>
      <c r="L344" s="21"/>
      <c r="M344" s="21"/>
      <c r="N344" s="21"/>
      <c r="O344" s="8"/>
      <c r="P344" s="20"/>
      <c r="Q344" s="21"/>
      <c r="R344" s="8"/>
      <c r="S344" s="108"/>
    </row>
    <row r="345" spans="4:19" s="2" customFormat="1" ht="19.649999999999999" customHeight="1" x14ac:dyDescent="0.2">
      <c r="D345" s="20"/>
      <c r="E345" s="20"/>
      <c r="F345" s="20"/>
      <c r="G345" s="21"/>
      <c r="H345" s="21"/>
      <c r="I345" s="21"/>
      <c r="J345" s="1"/>
      <c r="K345" s="69"/>
      <c r="L345" s="21"/>
      <c r="M345" s="21"/>
      <c r="N345" s="21"/>
      <c r="O345" s="8"/>
      <c r="P345" s="20"/>
      <c r="Q345" s="21"/>
      <c r="R345" s="8"/>
      <c r="S345" s="108"/>
    </row>
    <row r="346" spans="4:19" s="2" customFormat="1" ht="19.649999999999999" customHeight="1" x14ac:dyDescent="0.2">
      <c r="D346" s="20"/>
      <c r="E346" s="20"/>
      <c r="F346" s="20"/>
      <c r="G346" s="21"/>
      <c r="H346" s="21"/>
      <c r="I346" s="21"/>
      <c r="J346" s="1"/>
      <c r="K346" s="69"/>
      <c r="L346" s="21"/>
      <c r="M346" s="21"/>
      <c r="N346" s="21"/>
      <c r="O346" s="8"/>
      <c r="P346" s="20"/>
      <c r="Q346" s="21"/>
      <c r="R346" s="8"/>
      <c r="S346" s="108"/>
    </row>
    <row r="347" spans="4:19" s="2" customFormat="1" ht="19.649999999999999" customHeight="1" x14ac:dyDescent="0.2">
      <c r="D347" s="20"/>
      <c r="E347" s="20"/>
      <c r="F347" s="20"/>
      <c r="G347" s="21"/>
      <c r="H347" s="21"/>
      <c r="I347" s="21"/>
      <c r="J347" s="1"/>
      <c r="K347" s="69"/>
      <c r="L347" s="21"/>
      <c r="M347" s="21"/>
      <c r="N347" s="21"/>
      <c r="O347" s="8"/>
      <c r="P347" s="20"/>
      <c r="Q347" s="21"/>
      <c r="R347" s="8"/>
      <c r="S347" s="108"/>
    </row>
    <row r="348" spans="4:19" s="2" customFormat="1" ht="19.649999999999999" customHeight="1" x14ac:dyDescent="0.2">
      <c r="D348" s="20"/>
      <c r="E348" s="20"/>
      <c r="F348" s="20"/>
      <c r="G348" s="21"/>
      <c r="H348" s="21"/>
      <c r="I348" s="21"/>
      <c r="J348" s="1"/>
      <c r="K348" s="69"/>
      <c r="L348" s="21"/>
      <c r="M348" s="21"/>
      <c r="N348" s="21"/>
      <c r="O348" s="8"/>
      <c r="P348" s="20"/>
      <c r="Q348" s="21"/>
      <c r="R348" s="8"/>
      <c r="S348" s="108"/>
    </row>
    <row r="349" spans="4:19" s="2" customFormat="1" ht="19.649999999999999" customHeight="1" x14ac:dyDescent="0.2">
      <c r="D349" s="20"/>
      <c r="E349" s="20"/>
      <c r="F349" s="20"/>
      <c r="G349" s="21"/>
      <c r="H349" s="21"/>
      <c r="I349" s="21"/>
      <c r="J349" s="1"/>
      <c r="K349" s="69"/>
      <c r="L349" s="21"/>
      <c r="M349" s="21"/>
      <c r="N349" s="21"/>
      <c r="O349" s="8"/>
      <c r="P349" s="20"/>
      <c r="Q349" s="21"/>
      <c r="R349" s="8"/>
      <c r="S349" s="108"/>
    </row>
    <row r="350" spans="4:19" s="2" customFormat="1" ht="19.649999999999999" customHeight="1" x14ac:dyDescent="0.2">
      <c r="D350" s="20"/>
      <c r="E350" s="20"/>
      <c r="F350" s="20"/>
      <c r="G350" s="21"/>
      <c r="H350" s="21"/>
      <c r="I350" s="21"/>
      <c r="J350" s="1"/>
      <c r="K350" s="69"/>
      <c r="L350" s="21"/>
      <c r="M350" s="21"/>
      <c r="N350" s="21"/>
      <c r="O350" s="8"/>
      <c r="P350" s="20"/>
      <c r="Q350" s="21"/>
      <c r="R350" s="8"/>
      <c r="S350" s="108"/>
    </row>
    <row r="351" spans="4:19" s="2" customFormat="1" ht="19.649999999999999" customHeight="1" x14ac:dyDescent="0.2">
      <c r="D351" s="20"/>
      <c r="E351" s="20"/>
      <c r="F351" s="20"/>
      <c r="G351" s="21"/>
      <c r="H351" s="21"/>
      <c r="I351" s="21"/>
      <c r="J351" s="1"/>
      <c r="K351" s="69"/>
      <c r="L351" s="21"/>
      <c r="M351" s="21"/>
      <c r="N351" s="21"/>
      <c r="O351" s="8"/>
      <c r="P351" s="20"/>
      <c r="Q351" s="21"/>
      <c r="R351" s="8"/>
      <c r="S351" s="108"/>
    </row>
    <row r="352" spans="4:19" s="2" customFormat="1" ht="19.649999999999999" customHeight="1" x14ac:dyDescent="0.2">
      <c r="D352" s="20"/>
      <c r="E352" s="20"/>
      <c r="F352" s="20"/>
      <c r="G352" s="21"/>
      <c r="H352" s="21"/>
      <c r="I352" s="21"/>
      <c r="J352" s="1"/>
      <c r="K352" s="69"/>
      <c r="L352" s="21"/>
      <c r="M352" s="21"/>
      <c r="N352" s="21"/>
      <c r="O352" s="8"/>
      <c r="P352" s="20"/>
      <c r="Q352" s="21"/>
      <c r="R352" s="8"/>
      <c r="S352" s="108"/>
    </row>
    <row r="353" spans="4:19" s="2" customFormat="1" ht="19.649999999999999" customHeight="1" x14ac:dyDescent="0.2">
      <c r="D353" s="20"/>
      <c r="E353" s="20"/>
      <c r="F353" s="20"/>
      <c r="G353" s="21"/>
      <c r="H353" s="21"/>
      <c r="I353" s="21"/>
      <c r="J353" s="1"/>
      <c r="K353" s="69"/>
      <c r="L353" s="21"/>
      <c r="M353" s="21"/>
      <c r="N353" s="21"/>
      <c r="O353" s="8"/>
      <c r="P353" s="20"/>
      <c r="Q353" s="21"/>
      <c r="R353" s="8"/>
      <c r="S353" s="108"/>
    </row>
    <row r="354" spans="4:19" s="2" customFormat="1" ht="19.649999999999999" customHeight="1" x14ac:dyDescent="0.2">
      <c r="D354" s="20"/>
      <c r="E354" s="20"/>
      <c r="F354" s="20"/>
      <c r="G354" s="21"/>
      <c r="H354" s="21"/>
      <c r="I354" s="21"/>
      <c r="J354" s="1"/>
      <c r="K354" s="69"/>
      <c r="L354" s="21"/>
      <c r="M354" s="21"/>
      <c r="N354" s="21"/>
      <c r="O354" s="8"/>
      <c r="P354" s="20"/>
      <c r="Q354" s="21"/>
      <c r="R354" s="8"/>
      <c r="S354" s="108"/>
    </row>
    <row r="355" spans="4:19" s="2" customFormat="1" ht="19.649999999999999" customHeight="1" x14ac:dyDescent="0.2">
      <c r="D355" s="20"/>
      <c r="E355" s="20"/>
      <c r="F355" s="20"/>
      <c r="G355" s="21"/>
      <c r="H355" s="21"/>
      <c r="I355" s="21"/>
      <c r="J355" s="1"/>
      <c r="K355" s="69"/>
      <c r="L355" s="21"/>
      <c r="M355" s="21"/>
      <c r="N355" s="21"/>
      <c r="O355" s="8"/>
      <c r="P355" s="20"/>
      <c r="Q355" s="21"/>
      <c r="R355" s="8"/>
      <c r="S355" s="108"/>
    </row>
    <row r="356" spans="4:19" s="2" customFormat="1" ht="19.649999999999999" customHeight="1" x14ac:dyDescent="0.2">
      <c r="D356" s="20"/>
      <c r="E356" s="20"/>
      <c r="F356" s="20"/>
      <c r="G356" s="21"/>
      <c r="H356" s="21"/>
      <c r="I356" s="21"/>
      <c r="J356" s="1"/>
      <c r="K356" s="69"/>
      <c r="L356" s="21"/>
      <c r="M356" s="21"/>
      <c r="N356" s="21"/>
      <c r="O356" s="8"/>
      <c r="P356" s="20"/>
      <c r="Q356" s="21"/>
      <c r="R356" s="8"/>
      <c r="S356" s="108"/>
    </row>
    <row r="357" spans="4:19" s="2" customFormat="1" ht="19.649999999999999" customHeight="1" x14ac:dyDescent="0.2">
      <c r="D357" s="20"/>
      <c r="E357" s="20"/>
      <c r="F357" s="20"/>
      <c r="G357" s="21"/>
      <c r="H357" s="21"/>
      <c r="I357" s="21"/>
      <c r="J357" s="1"/>
      <c r="K357" s="69"/>
      <c r="L357" s="21"/>
      <c r="M357" s="21"/>
      <c r="N357" s="21"/>
      <c r="O357" s="8"/>
      <c r="P357" s="20"/>
      <c r="Q357" s="21"/>
      <c r="R357" s="8"/>
      <c r="S357" s="108"/>
    </row>
    <row r="358" spans="4:19" s="2" customFormat="1" ht="19.649999999999999" customHeight="1" x14ac:dyDescent="0.2">
      <c r="D358" s="20"/>
      <c r="E358" s="20"/>
      <c r="F358" s="20"/>
      <c r="G358" s="21"/>
      <c r="H358" s="21"/>
      <c r="I358" s="21"/>
      <c r="J358" s="1"/>
      <c r="K358" s="69"/>
      <c r="L358" s="21"/>
      <c r="M358" s="21"/>
      <c r="N358" s="21"/>
      <c r="O358" s="8"/>
      <c r="P358" s="20"/>
      <c r="Q358" s="21"/>
      <c r="R358" s="8"/>
      <c r="S358" s="108"/>
    </row>
    <row r="359" spans="4:19" s="2" customFormat="1" ht="19.649999999999999" customHeight="1" x14ac:dyDescent="0.2">
      <c r="D359" s="20"/>
      <c r="E359" s="20"/>
      <c r="F359" s="20"/>
      <c r="G359" s="21"/>
      <c r="H359" s="21"/>
      <c r="I359" s="21"/>
      <c r="J359" s="1"/>
      <c r="K359" s="69"/>
      <c r="L359" s="21"/>
      <c r="M359" s="21"/>
      <c r="N359" s="21"/>
      <c r="O359" s="8"/>
      <c r="P359" s="20"/>
      <c r="Q359" s="21"/>
      <c r="R359" s="8"/>
      <c r="S359" s="108"/>
    </row>
    <row r="360" spans="4:19" s="2" customFormat="1" ht="19.649999999999999" customHeight="1" x14ac:dyDescent="0.2">
      <c r="D360" s="20"/>
      <c r="E360" s="20"/>
      <c r="F360" s="20"/>
      <c r="G360" s="21"/>
      <c r="H360" s="21"/>
      <c r="I360" s="21"/>
      <c r="J360" s="1"/>
      <c r="K360" s="69"/>
      <c r="L360" s="21"/>
      <c r="M360" s="21"/>
      <c r="N360" s="21"/>
      <c r="O360" s="8"/>
      <c r="P360" s="20"/>
      <c r="Q360" s="21"/>
      <c r="R360" s="8"/>
      <c r="S360" s="108"/>
    </row>
    <row r="361" spans="4:19" s="2" customFormat="1" ht="19.649999999999999" customHeight="1" x14ac:dyDescent="0.2">
      <c r="D361" s="20"/>
      <c r="E361" s="20"/>
      <c r="F361" s="20"/>
      <c r="G361" s="21"/>
      <c r="H361" s="21"/>
      <c r="I361" s="21"/>
      <c r="J361" s="1"/>
      <c r="K361" s="69"/>
      <c r="L361" s="21"/>
      <c r="M361" s="21"/>
      <c r="N361" s="21"/>
      <c r="O361" s="8"/>
      <c r="P361" s="20"/>
      <c r="Q361" s="21"/>
      <c r="R361" s="8"/>
      <c r="S361" s="108"/>
    </row>
    <row r="362" spans="4:19" s="2" customFormat="1" ht="19.649999999999999" customHeight="1" x14ac:dyDescent="0.2">
      <c r="D362" s="20"/>
      <c r="E362" s="20"/>
      <c r="F362" s="20"/>
      <c r="G362" s="21"/>
      <c r="H362" s="21"/>
      <c r="I362" s="21"/>
      <c r="J362" s="1"/>
      <c r="K362" s="69"/>
      <c r="L362" s="21"/>
      <c r="M362" s="21"/>
      <c r="N362" s="21"/>
      <c r="O362" s="8"/>
      <c r="P362" s="20"/>
      <c r="Q362" s="21"/>
      <c r="R362" s="8"/>
      <c r="S362" s="108"/>
    </row>
    <row r="363" spans="4:19" s="2" customFormat="1" ht="19.649999999999999" customHeight="1" x14ac:dyDescent="0.2">
      <c r="D363" s="20"/>
      <c r="E363" s="20"/>
      <c r="F363" s="20"/>
      <c r="G363" s="21"/>
      <c r="H363" s="21"/>
      <c r="I363" s="21"/>
      <c r="J363" s="1"/>
      <c r="K363" s="69"/>
      <c r="L363" s="21"/>
      <c r="M363" s="21"/>
      <c r="N363" s="21"/>
      <c r="O363" s="8"/>
      <c r="P363" s="20"/>
      <c r="Q363" s="21"/>
      <c r="R363" s="8"/>
      <c r="S363" s="108"/>
    </row>
    <row r="364" spans="4:19" s="2" customFormat="1" ht="19.649999999999999" customHeight="1" x14ac:dyDescent="0.2">
      <c r="D364" s="20"/>
      <c r="E364" s="20"/>
      <c r="F364" s="20"/>
      <c r="G364" s="21"/>
      <c r="H364" s="21"/>
      <c r="I364" s="21"/>
      <c r="J364" s="1"/>
      <c r="K364" s="69"/>
      <c r="L364" s="21"/>
      <c r="M364" s="21"/>
      <c r="N364" s="21"/>
      <c r="O364" s="8"/>
      <c r="P364" s="20"/>
      <c r="Q364" s="21"/>
      <c r="R364" s="8"/>
      <c r="S364" s="108"/>
    </row>
    <row r="365" spans="4:19" s="2" customFormat="1" ht="19.649999999999999" customHeight="1" x14ac:dyDescent="0.2">
      <c r="D365" s="20"/>
      <c r="E365" s="20"/>
      <c r="F365" s="20"/>
      <c r="G365" s="21"/>
      <c r="H365" s="21"/>
      <c r="I365" s="21"/>
      <c r="J365" s="1"/>
      <c r="K365" s="69"/>
      <c r="L365" s="21"/>
      <c r="M365" s="21"/>
      <c r="N365" s="21"/>
      <c r="O365" s="8"/>
      <c r="P365" s="20"/>
      <c r="Q365" s="21"/>
      <c r="R365" s="8"/>
      <c r="S365" s="108"/>
    </row>
    <row r="366" spans="4:19" s="2" customFormat="1" ht="19.649999999999999" customHeight="1" x14ac:dyDescent="0.2">
      <c r="D366" s="20"/>
      <c r="E366" s="20"/>
      <c r="F366" s="20"/>
      <c r="G366" s="21"/>
      <c r="H366" s="21"/>
      <c r="I366" s="21"/>
      <c r="J366" s="1"/>
      <c r="K366" s="69"/>
      <c r="L366" s="21"/>
      <c r="M366" s="21"/>
      <c r="N366" s="21"/>
      <c r="O366" s="8"/>
      <c r="P366" s="20"/>
      <c r="Q366" s="21"/>
      <c r="R366" s="8"/>
      <c r="S366" s="108"/>
    </row>
    <row r="367" spans="4:19" s="2" customFormat="1" ht="19.649999999999999" customHeight="1" x14ac:dyDescent="0.2">
      <c r="D367" s="20"/>
      <c r="E367" s="20"/>
      <c r="F367" s="20"/>
      <c r="G367" s="21"/>
      <c r="H367" s="21"/>
      <c r="I367" s="21"/>
      <c r="J367" s="1"/>
      <c r="K367" s="69"/>
      <c r="L367" s="21"/>
      <c r="M367" s="21"/>
      <c r="N367" s="21"/>
      <c r="O367" s="8"/>
      <c r="P367" s="20"/>
      <c r="Q367" s="21"/>
      <c r="R367" s="8"/>
      <c r="S367" s="108"/>
    </row>
    <row r="368" spans="4:19" s="2" customFormat="1" ht="19.649999999999999" customHeight="1" x14ac:dyDescent="0.2">
      <c r="D368" s="20"/>
      <c r="E368" s="20"/>
      <c r="F368" s="20"/>
      <c r="G368" s="21"/>
      <c r="H368" s="21"/>
      <c r="I368" s="21"/>
      <c r="J368" s="1"/>
      <c r="K368" s="69"/>
      <c r="L368" s="21"/>
      <c r="M368" s="21"/>
      <c r="N368" s="21"/>
      <c r="O368" s="8"/>
      <c r="P368" s="20"/>
      <c r="Q368" s="21"/>
      <c r="R368" s="8"/>
      <c r="S368" s="108"/>
    </row>
    <row r="369" spans="4:19" s="2" customFormat="1" ht="19.649999999999999" customHeight="1" x14ac:dyDescent="0.2">
      <c r="D369" s="20"/>
      <c r="E369" s="20"/>
      <c r="F369" s="20"/>
      <c r="G369" s="21"/>
      <c r="H369" s="21"/>
      <c r="I369" s="21"/>
      <c r="J369" s="1"/>
      <c r="K369" s="69"/>
      <c r="L369" s="21"/>
      <c r="M369" s="21"/>
      <c r="N369" s="21"/>
      <c r="O369" s="8"/>
      <c r="P369" s="20"/>
      <c r="Q369" s="21"/>
      <c r="R369" s="8"/>
      <c r="S369" s="108"/>
    </row>
    <row r="370" spans="4:19" s="2" customFormat="1" ht="19.649999999999999" customHeight="1" x14ac:dyDescent="0.2">
      <c r="D370" s="20"/>
      <c r="E370" s="20"/>
      <c r="F370" s="20"/>
      <c r="G370" s="21"/>
      <c r="H370" s="21"/>
      <c r="I370" s="21"/>
      <c r="J370" s="1"/>
      <c r="K370" s="69"/>
      <c r="L370" s="21"/>
      <c r="M370" s="21"/>
      <c r="N370" s="21"/>
      <c r="O370" s="8"/>
      <c r="P370" s="20"/>
      <c r="Q370" s="21"/>
      <c r="R370" s="8"/>
      <c r="S370" s="108"/>
    </row>
    <row r="371" spans="4:19" s="2" customFormat="1" ht="19.649999999999999" customHeight="1" x14ac:dyDescent="0.2">
      <c r="D371" s="20"/>
      <c r="E371" s="20"/>
      <c r="F371" s="20"/>
      <c r="G371" s="21"/>
      <c r="H371" s="21"/>
      <c r="I371" s="21"/>
      <c r="J371" s="1"/>
      <c r="K371" s="69"/>
      <c r="L371" s="21"/>
      <c r="M371" s="21"/>
      <c r="N371" s="21"/>
      <c r="O371" s="8"/>
      <c r="P371" s="20"/>
      <c r="Q371" s="21"/>
      <c r="R371" s="8"/>
      <c r="S371" s="108"/>
    </row>
    <row r="372" spans="4:19" s="2" customFormat="1" ht="19.649999999999999" customHeight="1" x14ac:dyDescent="0.2">
      <c r="D372" s="20"/>
      <c r="E372" s="20"/>
      <c r="F372" s="20"/>
      <c r="G372" s="21"/>
      <c r="H372" s="21"/>
      <c r="I372" s="21"/>
      <c r="J372" s="1"/>
      <c r="K372" s="69"/>
      <c r="L372" s="21"/>
      <c r="M372" s="21"/>
      <c r="N372" s="21"/>
      <c r="O372" s="8"/>
      <c r="P372" s="20"/>
      <c r="Q372" s="21"/>
      <c r="R372" s="8"/>
      <c r="S372" s="108"/>
    </row>
    <row r="373" spans="4:19" s="2" customFormat="1" ht="19.649999999999999" customHeight="1" x14ac:dyDescent="0.2">
      <c r="D373" s="20"/>
      <c r="E373" s="20"/>
      <c r="F373" s="20"/>
      <c r="G373" s="21"/>
      <c r="H373" s="21"/>
      <c r="I373" s="21"/>
      <c r="J373" s="1"/>
      <c r="K373" s="69"/>
      <c r="L373" s="21"/>
      <c r="M373" s="21"/>
      <c r="N373" s="21"/>
      <c r="O373" s="8"/>
      <c r="P373" s="20"/>
      <c r="Q373" s="21"/>
      <c r="R373" s="8"/>
      <c r="S373" s="108"/>
    </row>
    <row r="374" spans="4:19" s="2" customFormat="1" ht="19.649999999999999" customHeight="1" x14ac:dyDescent="0.2">
      <c r="D374" s="20"/>
      <c r="E374" s="20"/>
      <c r="F374" s="20"/>
      <c r="G374" s="21"/>
      <c r="H374" s="21"/>
      <c r="I374" s="21"/>
      <c r="J374" s="1"/>
      <c r="K374" s="69"/>
      <c r="L374" s="21"/>
      <c r="M374" s="21"/>
      <c r="N374" s="21"/>
      <c r="O374" s="8"/>
      <c r="P374" s="20"/>
      <c r="Q374" s="21"/>
      <c r="R374" s="8"/>
      <c r="S374" s="108"/>
    </row>
    <row r="375" spans="4:19" s="2" customFormat="1" ht="19.649999999999999" customHeight="1" x14ac:dyDescent="0.2">
      <c r="D375" s="20"/>
      <c r="E375" s="20"/>
      <c r="F375" s="20"/>
      <c r="G375" s="21"/>
      <c r="H375" s="21"/>
      <c r="I375" s="21"/>
      <c r="J375" s="1"/>
      <c r="K375" s="69"/>
      <c r="L375" s="21"/>
      <c r="M375" s="21"/>
      <c r="N375" s="21"/>
      <c r="O375" s="8"/>
      <c r="P375" s="20"/>
      <c r="Q375" s="21"/>
      <c r="R375" s="8"/>
      <c r="S375" s="108"/>
    </row>
    <row r="376" spans="4:19" s="2" customFormat="1" ht="19.649999999999999" customHeight="1" x14ac:dyDescent="0.2">
      <c r="D376" s="20"/>
      <c r="E376" s="20"/>
      <c r="F376" s="20"/>
      <c r="G376" s="21"/>
      <c r="H376" s="21"/>
      <c r="I376" s="21"/>
      <c r="J376" s="1"/>
      <c r="K376" s="69"/>
      <c r="L376" s="21"/>
      <c r="M376" s="21"/>
      <c r="N376" s="21"/>
      <c r="O376" s="8"/>
      <c r="P376" s="20"/>
      <c r="Q376" s="21"/>
      <c r="R376" s="8"/>
      <c r="S376" s="108"/>
    </row>
    <row r="377" spans="4:19" s="2" customFormat="1" ht="19.649999999999999" customHeight="1" x14ac:dyDescent="0.2">
      <c r="D377" s="20"/>
      <c r="E377" s="20"/>
      <c r="F377" s="20"/>
      <c r="G377" s="21"/>
      <c r="H377" s="21"/>
      <c r="I377" s="21"/>
      <c r="J377" s="1"/>
      <c r="K377" s="69"/>
      <c r="L377" s="21"/>
      <c r="M377" s="21"/>
      <c r="N377" s="21"/>
      <c r="O377" s="8"/>
      <c r="P377" s="20"/>
      <c r="Q377" s="21"/>
      <c r="R377" s="8"/>
      <c r="S377" s="108"/>
    </row>
    <row r="378" spans="4:19" s="2" customFormat="1" ht="19.649999999999999" customHeight="1" x14ac:dyDescent="0.2">
      <c r="D378" s="20"/>
      <c r="E378" s="20"/>
      <c r="F378" s="20"/>
      <c r="G378" s="21"/>
      <c r="H378" s="21"/>
      <c r="I378" s="21"/>
      <c r="J378" s="1"/>
      <c r="K378" s="69"/>
      <c r="L378" s="21"/>
      <c r="M378" s="21"/>
      <c r="N378" s="21"/>
      <c r="O378" s="8"/>
      <c r="P378" s="20"/>
      <c r="Q378" s="21"/>
      <c r="R378" s="8"/>
      <c r="S378" s="108"/>
    </row>
    <row r="379" spans="4:19" s="2" customFormat="1" ht="19.649999999999999" customHeight="1" x14ac:dyDescent="0.2">
      <c r="D379" s="20"/>
      <c r="E379" s="20"/>
      <c r="F379" s="20"/>
      <c r="G379" s="21"/>
      <c r="H379" s="21"/>
      <c r="I379" s="21"/>
      <c r="J379" s="1"/>
      <c r="K379" s="69"/>
      <c r="L379" s="21"/>
      <c r="M379" s="21"/>
      <c r="N379" s="21"/>
      <c r="O379" s="8"/>
      <c r="P379" s="20"/>
      <c r="Q379" s="21"/>
      <c r="R379" s="8"/>
      <c r="S379" s="108"/>
    </row>
    <row r="380" spans="4:19" s="2" customFormat="1" ht="19.649999999999999" customHeight="1" x14ac:dyDescent="0.2">
      <c r="D380" s="20"/>
      <c r="E380" s="20"/>
      <c r="F380" s="20"/>
      <c r="G380" s="21"/>
      <c r="H380" s="21"/>
      <c r="I380" s="21"/>
      <c r="J380" s="1"/>
      <c r="K380" s="69"/>
      <c r="L380" s="21"/>
      <c r="M380" s="21"/>
      <c r="N380" s="21"/>
      <c r="O380" s="8"/>
      <c r="P380" s="20"/>
      <c r="Q380" s="21"/>
      <c r="R380" s="8"/>
      <c r="S380" s="108"/>
    </row>
    <row r="381" spans="4:19" s="2" customFormat="1" ht="19.649999999999999" customHeight="1" x14ac:dyDescent="0.2">
      <c r="D381" s="20"/>
      <c r="E381" s="20"/>
      <c r="F381" s="20"/>
      <c r="G381" s="21"/>
      <c r="H381" s="21"/>
      <c r="I381" s="21"/>
      <c r="J381" s="1"/>
      <c r="K381" s="69"/>
      <c r="L381" s="21"/>
      <c r="M381" s="21"/>
      <c r="N381" s="21"/>
      <c r="O381" s="8"/>
      <c r="P381" s="20"/>
      <c r="Q381" s="21"/>
      <c r="R381" s="8"/>
      <c r="S381" s="108"/>
    </row>
    <row r="382" spans="4:19" s="2" customFormat="1" ht="19.649999999999999" customHeight="1" x14ac:dyDescent="0.2">
      <c r="D382" s="20"/>
      <c r="E382" s="20"/>
      <c r="F382" s="20"/>
      <c r="G382" s="21"/>
      <c r="H382" s="21"/>
      <c r="I382" s="21"/>
      <c r="J382" s="1"/>
      <c r="K382" s="69"/>
      <c r="L382" s="21"/>
      <c r="M382" s="21"/>
      <c r="N382" s="21"/>
      <c r="O382" s="8"/>
      <c r="P382" s="20"/>
      <c r="Q382" s="21"/>
      <c r="R382" s="8"/>
      <c r="S382" s="108"/>
    </row>
    <row r="383" spans="4:19" s="2" customFormat="1" ht="19.649999999999999" customHeight="1" x14ac:dyDescent="0.2">
      <c r="D383" s="20"/>
      <c r="E383" s="20"/>
      <c r="F383" s="20"/>
      <c r="G383" s="21"/>
      <c r="H383" s="21"/>
      <c r="I383" s="21"/>
      <c r="J383" s="1"/>
      <c r="K383" s="69"/>
      <c r="L383" s="21"/>
      <c r="M383" s="21"/>
      <c r="N383" s="21"/>
      <c r="O383" s="8"/>
      <c r="P383" s="20"/>
      <c r="Q383" s="21"/>
      <c r="R383" s="8"/>
      <c r="S383" s="108"/>
    </row>
    <row r="384" spans="4:19" s="2" customFormat="1" ht="19.649999999999999" customHeight="1" x14ac:dyDescent="0.2">
      <c r="D384" s="20"/>
      <c r="E384" s="20"/>
      <c r="F384" s="20"/>
      <c r="G384" s="21"/>
      <c r="H384" s="21"/>
      <c r="I384" s="21"/>
      <c r="J384" s="1"/>
      <c r="K384" s="69"/>
      <c r="L384" s="21"/>
      <c r="M384" s="21"/>
      <c r="N384" s="21"/>
      <c r="O384" s="8"/>
      <c r="P384" s="20"/>
      <c r="Q384" s="21"/>
      <c r="R384" s="8"/>
      <c r="S384" s="108"/>
    </row>
    <row r="385" spans="4:19" s="2" customFormat="1" ht="19.649999999999999" customHeight="1" x14ac:dyDescent="0.2">
      <c r="D385" s="20"/>
      <c r="E385" s="20"/>
      <c r="F385" s="20"/>
      <c r="G385" s="21"/>
      <c r="H385" s="21"/>
      <c r="I385" s="21"/>
      <c r="J385" s="1"/>
      <c r="K385" s="69"/>
      <c r="L385" s="21"/>
      <c r="M385" s="21"/>
      <c r="N385" s="21"/>
      <c r="O385" s="8"/>
      <c r="P385" s="20"/>
      <c r="Q385" s="21"/>
      <c r="R385" s="8"/>
      <c r="S385" s="108"/>
    </row>
    <row r="386" spans="4:19" s="2" customFormat="1" ht="19.649999999999999" customHeight="1" x14ac:dyDescent="0.2">
      <c r="D386" s="20"/>
      <c r="E386" s="20"/>
      <c r="F386" s="20"/>
      <c r="G386" s="21"/>
      <c r="H386" s="21"/>
      <c r="I386" s="21"/>
      <c r="J386" s="1"/>
      <c r="K386" s="69"/>
      <c r="L386" s="21"/>
      <c r="M386" s="21"/>
      <c r="N386" s="21"/>
      <c r="O386" s="8"/>
      <c r="P386" s="20"/>
      <c r="Q386" s="21"/>
      <c r="R386" s="8"/>
      <c r="S386" s="108"/>
    </row>
    <row r="387" spans="4:19" s="2" customFormat="1" ht="19.649999999999999" customHeight="1" x14ac:dyDescent="0.2">
      <c r="D387" s="20"/>
      <c r="E387" s="20"/>
      <c r="F387" s="20"/>
      <c r="G387" s="21"/>
      <c r="H387" s="21"/>
      <c r="I387" s="21"/>
      <c r="J387" s="1"/>
      <c r="K387" s="69"/>
      <c r="L387" s="21"/>
      <c r="M387" s="21"/>
      <c r="N387" s="21"/>
      <c r="O387" s="8"/>
      <c r="P387" s="20"/>
      <c r="Q387" s="21"/>
      <c r="R387" s="8"/>
      <c r="S387" s="108"/>
    </row>
    <row r="388" spans="4:19" s="2" customFormat="1" ht="19.649999999999999" customHeight="1" x14ac:dyDescent="0.2">
      <c r="D388" s="20"/>
      <c r="E388" s="20"/>
      <c r="F388" s="20"/>
      <c r="G388" s="21"/>
      <c r="H388" s="21"/>
      <c r="I388" s="21"/>
      <c r="J388" s="1"/>
      <c r="K388" s="69"/>
      <c r="L388" s="21"/>
      <c r="M388" s="21"/>
      <c r="N388" s="21"/>
      <c r="O388" s="8"/>
      <c r="P388" s="20"/>
      <c r="Q388" s="21"/>
      <c r="R388" s="8"/>
      <c r="S388" s="108"/>
    </row>
    <row r="389" spans="4:19" s="2" customFormat="1" ht="19.649999999999999" customHeight="1" x14ac:dyDescent="0.2">
      <c r="D389" s="20"/>
      <c r="E389" s="20"/>
      <c r="F389" s="20"/>
      <c r="G389" s="21"/>
      <c r="H389" s="21"/>
      <c r="I389" s="21"/>
      <c r="J389" s="1"/>
      <c r="K389" s="69"/>
      <c r="L389" s="21"/>
      <c r="M389" s="21"/>
      <c r="N389" s="21"/>
      <c r="O389" s="8"/>
      <c r="P389" s="20"/>
      <c r="Q389" s="21"/>
      <c r="R389" s="8"/>
      <c r="S389" s="108"/>
    </row>
    <row r="390" spans="4:19" s="2" customFormat="1" ht="19.649999999999999" customHeight="1" x14ac:dyDescent="0.2">
      <c r="D390" s="20"/>
      <c r="E390" s="20"/>
      <c r="F390" s="20"/>
      <c r="G390" s="21"/>
      <c r="H390" s="21"/>
      <c r="I390" s="21"/>
      <c r="J390" s="1"/>
      <c r="K390" s="69"/>
      <c r="L390" s="21"/>
      <c r="M390" s="21"/>
      <c r="N390" s="21"/>
      <c r="O390" s="8"/>
      <c r="P390" s="20"/>
      <c r="Q390" s="21"/>
      <c r="R390" s="8"/>
      <c r="S390" s="108"/>
    </row>
    <row r="391" spans="4:19" s="2" customFormat="1" ht="19.649999999999999" customHeight="1" x14ac:dyDescent="0.2">
      <c r="D391" s="20"/>
      <c r="E391" s="20"/>
      <c r="F391" s="20"/>
      <c r="G391" s="21"/>
      <c r="H391" s="21"/>
      <c r="I391" s="21"/>
      <c r="J391" s="1"/>
      <c r="K391" s="69"/>
      <c r="L391" s="21"/>
      <c r="M391" s="21"/>
      <c r="N391" s="21"/>
      <c r="O391" s="8"/>
      <c r="P391" s="20"/>
      <c r="Q391" s="21"/>
      <c r="R391" s="8"/>
      <c r="S391" s="108"/>
    </row>
    <row r="392" spans="4:19" s="2" customFormat="1" ht="19.649999999999999" customHeight="1" x14ac:dyDescent="0.2">
      <c r="D392" s="20"/>
      <c r="E392" s="20"/>
      <c r="F392" s="20"/>
      <c r="G392" s="21"/>
      <c r="H392" s="21"/>
      <c r="I392" s="21"/>
      <c r="J392" s="1"/>
      <c r="K392" s="69"/>
      <c r="L392" s="21"/>
      <c r="M392" s="21"/>
      <c r="N392" s="21"/>
      <c r="O392" s="8"/>
      <c r="P392" s="20"/>
      <c r="Q392" s="21"/>
      <c r="R392" s="8"/>
      <c r="S392" s="108"/>
    </row>
    <row r="393" spans="4:19" s="2" customFormat="1" ht="19.649999999999999" customHeight="1" x14ac:dyDescent="0.2">
      <c r="D393" s="20"/>
      <c r="E393" s="20"/>
      <c r="F393" s="20"/>
      <c r="G393" s="21"/>
      <c r="H393" s="21"/>
      <c r="I393" s="21"/>
      <c r="J393" s="1"/>
      <c r="K393" s="69"/>
      <c r="L393" s="21"/>
      <c r="M393" s="21"/>
      <c r="N393" s="21"/>
      <c r="O393" s="8"/>
      <c r="P393" s="20"/>
      <c r="Q393" s="21"/>
      <c r="R393" s="8"/>
      <c r="S393" s="108"/>
    </row>
    <row r="394" spans="4:19" s="2" customFormat="1" ht="19.649999999999999" customHeight="1" x14ac:dyDescent="0.2">
      <c r="D394" s="20"/>
      <c r="E394" s="20"/>
      <c r="F394" s="20"/>
      <c r="G394" s="21"/>
      <c r="H394" s="21"/>
      <c r="I394" s="21"/>
      <c r="J394" s="1"/>
      <c r="K394" s="69"/>
      <c r="L394" s="21"/>
      <c r="M394" s="21"/>
      <c r="N394" s="21"/>
      <c r="O394" s="8"/>
      <c r="P394" s="20"/>
      <c r="Q394" s="21"/>
      <c r="R394" s="8"/>
      <c r="S394" s="108"/>
    </row>
    <row r="395" spans="4:19" s="2" customFormat="1" ht="19.649999999999999" customHeight="1" x14ac:dyDescent="0.2">
      <c r="D395" s="20"/>
      <c r="E395" s="20"/>
      <c r="F395" s="20"/>
      <c r="G395" s="21"/>
      <c r="H395" s="21"/>
      <c r="I395" s="21"/>
      <c r="J395" s="1"/>
      <c r="K395" s="69"/>
      <c r="L395" s="21"/>
      <c r="M395" s="21"/>
      <c r="N395" s="21"/>
      <c r="O395" s="8"/>
      <c r="P395" s="20"/>
      <c r="Q395" s="21"/>
      <c r="R395" s="8"/>
      <c r="S395" s="108"/>
    </row>
    <row r="396" spans="4:19" s="2" customFormat="1" ht="19.649999999999999" customHeight="1" x14ac:dyDescent="0.2">
      <c r="D396" s="20"/>
      <c r="E396" s="20"/>
      <c r="F396" s="20"/>
      <c r="G396" s="21"/>
      <c r="H396" s="21"/>
      <c r="I396" s="21"/>
      <c r="J396" s="1"/>
      <c r="K396" s="69"/>
      <c r="L396" s="21"/>
      <c r="M396" s="21"/>
      <c r="N396" s="21"/>
      <c r="O396" s="8"/>
      <c r="P396" s="20"/>
      <c r="Q396" s="21"/>
      <c r="R396" s="8"/>
      <c r="S396" s="108"/>
    </row>
    <row r="397" spans="4:19" s="2" customFormat="1" ht="19.649999999999999" customHeight="1" x14ac:dyDescent="0.2">
      <c r="D397" s="20"/>
      <c r="E397" s="20"/>
      <c r="F397" s="20"/>
      <c r="G397" s="21"/>
      <c r="H397" s="21"/>
      <c r="I397" s="21"/>
      <c r="J397" s="1"/>
      <c r="K397" s="69"/>
      <c r="L397" s="21"/>
      <c r="M397" s="21"/>
      <c r="N397" s="21"/>
      <c r="O397" s="8"/>
      <c r="P397" s="20"/>
      <c r="Q397" s="21"/>
      <c r="R397" s="8"/>
      <c r="S397" s="108"/>
    </row>
    <row r="398" spans="4:19" s="2" customFormat="1" ht="19.649999999999999" customHeight="1" x14ac:dyDescent="0.2">
      <c r="D398" s="20"/>
      <c r="E398" s="23"/>
      <c r="F398" s="23"/>
      <c r="G398" s="22"/>
      <c r="H398" s="227"/>
      <c r="I398" s="21"/>
      <c r="J398" s="26"/>
      <c r="K398" s="69"/>
      <c r="L398" s="36"/>
      <c r="M398" s="21"/>
      <c r="N398" s="22"/>
      <c r="O398" s="8"/>
      <c r="P398" s="20"/>
      <c r="Q398" s="21"/>
      <c r="R398" s="8"/>
      <c r="S398" s="108"/>
    </row>
    <row r="399" spans="4:19" s="2" customFormat="1" ht="19.649999999999999" customHeight="1" x14ac:dyDescent="0.2">
      <c r="D399" s="20"/>
      <c r="E399" s="20"/>
      <c r="F399" s="23"/>
      <c r="G399" s="22"/>
      <c r="H399" s="227"/>
      <c r="I399" s="21"/>
      <c r="J399" s="26"/>
      <c r="K399" s="69"/>
      <c r="L399" s="36"/>
      <c r="M399" s="21"/>
      <c r="N399" s="22"/>
      <c r="O399" s="8"/>
      <c r="P399" s="20"/>
      <c r="Q399" s="21"/>
      <c r="R399" s="8"/>
      <c r="S399" s="108"/>
    </row>
    <row r="400" spans="4:19" s="2" customFormat="1" ht="19.649999999999999" customHeight="1" x14ac:dyDescent="0.2">
      <c r="D400" s="20"/>
      <c r="E400" s="20"/>
      <c r="F400" s="23"/>
      <c r="G400" s="22"/>
      <c r="H400" s="227"/>
      <c r="I400" s="21"/>
      <c r="J400" s="26"/>
      <c r="K400" s="69"/>
      <c r="L400" s="36"/>
      <c r="M400" s="21"/>
      <c r="N400" s="22"/>
      <c r="O400" s="8"/>
      <c r="P400" s="20"/>
      <c r="Q400" s="21"/>
      <c r="R400" s="8"/>
      <c r="S400" s="108"/>
    </row>
    <row r="401" spans="4:19" s="2" customFormat="1" ht="19.649999999999999" customHeight="1" x14ac:dyDescent="0.2">
      <c r="D401" s="20"/>
      <c r="E401" s="20"/>
      <c r="F401" s="23"/>
      <c r="G401" s="22"/>
      <c r="H401" s="227"/>
      <c r="I401" s="21"/>
      <c r="J401" s="26"/>
      <c r="K401" s="69"/>
      <c r="L401" s="36"/>
      <c r="M401" s="21"/>
      <c r="N401" s="22"/>
      <c r="O401" s="8"/>
      <c r="P401" s="20"/>
      <c r="Q401" s="21"/>
      <c r="R401" s="8"/>
      <c r="S401" s="108"/>
    </row>
    <row r="402" spans="4:19" s="2" customFormat="1" ht="19.649999999999999" customHeight="1" x14ac:dyDescent="0.2">
      <c r="D402" s="20"/>
      <c r="E402" s="20"/>
      <c r="F402" s="23"/>
      <c r="G402" s="22"/>
      <c r="H402" s="227"/>
      <c r="I402" s="21"/>
      <c r="J402" s="26"/>
      <c r="K402" s="69"/>
      <c r="L402" s="36"/>
      <c r="M402" s="21"/>
      <c r="N402" s="22"/>
      <c r="O402" s="8"/>
      <c r="P402" s="20"/>
      <c r="Q402" s="21"/>
      <c r="R402" s="8"/>
      <c r="S402" s="108"/>
    </row>
    <row r="403" spans="4:19" s="2" customFormat="1" ht="19.649999999999999" customHeight="1" x14ac:dyDescent="0.2">
      <c r="D403" s="20"/>
      <c r="E403" s="20"/>
      <c r="F403" s="23"/>
      <c r="G403" s="22"/>
      <c r="H403" s="227"/>
      <c r="I403" s="21"/>
      <c r="J403" s="26"/>
      <c r="K403" s="69"/>
      <c r="L403" s="36"/>
      <c r="M403" s="21"/>
      <c r="N403" s="22"/>
      <c r="O403" s="8"/>
      <c r="P403" s="20"/>
      <c r="Q403" s="21"/>
      <c r="R403" s="8"/>
      <c r="S403" s="108"/>
    </row>
    <row r="404" spans="4:19" s="2" customFormat="1" ht="19.350000000000001" customHeight="1" x14ac:dyDescent="0.2">
      <c r="D404" s="20"/>
      <c r="E404" s="23"/>
      <c r="F404" s="23"/>
      <c r="G404" s="22"/>
      <c r="H404" s="227"/>
      <c r="I404" s="21"/>
      <c r="J404" s="26"/>
      <c r="K404" s="69"/>
      <c r="L404" s="36"/>
      <c r="M404" s="21"/>
      <c r="N404" s="22"/>
      <c r="O404" s="8"/>
      <c r="P404" s="20"/>
      <c r="Q404" s="21"/>
      <c r="R404" s="8"/>
      <c r="S404" s="108"/>
    </row>
    <row r="405" spans="4:19" s="2" customFormat="1" ht="19.350000000000001" customHeight="1" x14ac:dyDescent="0.2">
      <c r="D405" s="20"/>
      <c r="E405" s="23"/>
      <c r="F405" s="23"/>
      <c r="G405" s="45"/>
      <c r="H405" s="227"/>
      <c r="I405" s="21"/>
      <c r="J405" s="26"/>
      <c r="K405" s="69"/>
      <c r="L405" s="36"/>
      <c r="M405" s="21"/>
      <c r="N405" s="22"/>
      <c r="O405" s="8"/>
      <c r="P405" s="20"/>
      <c r="Q405" s="21"/>
      <c r="R405" s="8"/>
      <c r="S405" s="108"/>
    </row>
    <row r="406" spans="4:19" s="2" customFormat="1" ht="19.350000000000001" customHeight="1" x14ac:dyDescent="0.2">
      <c r="D406" s="20"/>
      <c r="E406" s="23"/>
      <c r="F406" s="23"/>
      <c r="G406" s="32"/>
      <c r="H406" s="227"/>
      <c r="I406" s="21"/>
      <c r="J406" s="26"/>
      <c r="K406" s="69"/>
      <c r="L406" s="36"/>
      <c r="M406" s="21"/>
      <c r="N406" s="22"/>
      <c r="O406" s="8"/>
      <c r="P406" s="20"/>
      <c r="Q406" s="21"/>
      <c r="R406" s="8"/>
      <c r="S406" s="108"/>
    </row>
    <row r="407" spans="4:19" s="2" customFormat="1" ht="19.649999999999999" customHeight="1" x14ac:dyDescent="0.2">
      <c r="D407" s="20"/>
      <c r="E407" s="23"/>
      <c r="F407" s="23"/>
      <c r="G407" s="32"/>
      <c r="H407" s="227"/>
      <c r="I407" s="21"/>
      <c r="J407" s="26"/>
      <c r="K407" s="69"/>
      <c r="L407" s="36"/>
      <c r="M407" s="21"/>
      <c r="N407" s="22"/>
      <c r="O407" s="8"/>
      <c r="P407" s="20"/>
      <c r="Q407" s="21"/>
      <c r="R407" s="8"/>
      <c r="S407" s="108"/>
    </row>
    <row r="408" spans="4:19" s="2" customFormat="1" ht="19.649999999999999" customHeight="1" x14ac:dyDescent="0.2">
      <c r="D408" s="20"/>
      <c r="E408" s="23"/>
      <c r="F408" s="23"/>
      <c r="G408" s="32"/>
      <c r="H408" s="227"/>
      <c r="I408" s="21"/>
      <c r="J408" s="26"/>
      <c r="K408" s="69"/>
      <c r="L408" s="36"/>
      <c r="M408" s="21"/>
      <c r="N408" s="22"/>
      <c r="O408" s="8"/>
      <c r="P408" s="20"/>
      <c r="Q408" s="21"/>
      <c r="R408" s="8"/>
      <c r="S408" s="108"/>
    </row>
    <row r="409" spans="4:19" s="2" customFormat="1" ht="19.649999999999999" customHeight="1" x14ac:dyDescent="0.2">
      <c r="D409" s="20"/>
      <c r="E409" s="23"/>
      <c r="F409" s="23"/>
      <c r="G409" s="32"/>
      <c r="H409" s="227"/>
      <c r="I409" s="21"/>
      <c r="J409" s="26"/>
      <c r="K409" s="69"/>
      <c r="L409" s="36"/>
      <c r="M409" s="21"/>
      <c r="N409" s="22"/>
      <c r="O409" s="8"/>
      <c r="P409" s="20"/>
      <c r="Q409" s="21"/>
      <c r="R409" s="8"/>
      <c r="S409" s="108"/>
    </row>
    <row r="410" spans="4:19" s="2" customFormat="1" ht="19.649999999999999" customHeight="1" x14ac:dyDescent="0.2">
      <c r="D410" s="20"/>
      <c r="E410" s="23"/>
      <c r="F410" s="23"/>
      <c r="G410" s="32"/>
      <c r="H410" s="227"/>
      <c r="I410" s="21"/>
      <c r="J410" s="26"/>
      <c r="K410" s="69"/>
      <c r="L410" s="36"/>
      <c r="M410" s="21"/>
      <c r="N410" s="22"/>
      <c r="O410" s="8"/>
      <c r="P410" s="20"/>
      <c r="Q410" s="21"/>
      <c r="R410" s="8"/>
      <c r="S410" s="108"/>
    </row>
    <row r="411" spans="4:19" s="2" customFormat="1" ht="19.649999999999999" customHeight="1" x14ac:dyDescent="0.2">
      <c r="D411" s="20"/>
      <c r="E411" s="23"/>
      <c r="F411" s="23"/>
      <c r="G411" s="32"/>
      <c r="H411" s="227"/>
      <c r="I411" s="21"/>
      <c r="J411" s="26"/>
      <c r="K411" s="69"/>
      <c r="L411" s="36"/>
      <c r="M411" s="21"/>
      <c r="N411" s="22"/>
      <c r="O411" s="8"/>
      <c r="P411" s="20"/>
      <c r="Q411" s="21"/>
      <c r="R411" s="8"/>
      <c r="S411" s="108"/>
    </row>
    <row r="412" spans="4:19" s="2" customFormat="1" ht="19.649999999999999" customHeight="1" x14ac:dyDescent="0.2">
      <c r="D412" s="20"/>
      <c r="E412" s="20"/>
      <c r="F412" s="20"/>
      <c r="G412" s="22"/>
      <c r="H412" s="21"/>
      <c r="I412" s="26"/>
      <c r="J412" s="62"/>
      <c r="K412" s="75"/>
      <c r="L412" s="63"/>
      <c r="M412" s="21"/>
      <c r="N412" s="22"/>
      <c r="O412" s="8"/>
      <c r="P412" s="20"/>
      <c r="Q412" s="21"/>
      <c r="R412" s="8"/>
      <c r="S412" s="108"/>
    </row>
    <row r="413" spans="4:19" s="2" customFormat="1" ht="19.649999999999999" customHeight="1" x14ac:dyDescent="0.2">
      <c r="D413" s="20"/>
      <c r="E413" s="20"/>
      <c r="F413" s="20"/>
      <c r="G413" s="22"/>
      <c r="H413" s="21"/>
      <c r="I413" s="26"/>
      <c r="J413" s="64"/>
      <c r="K413" s="72"/>
      <c r="L413" s="63"/>
      <c r="M413" s="21"/>
      <c r="N413" s="22"/>
      <c r="O413" s="8"/>
      <c r="P413" s="20"/>
      <c r="Q413" s="21"/>
      <c r="R413" s="8"/>
      <c r="S413" s="108"/>
    </row>
    <row r="414" spans="4:19" s="2" customFormat="1" ht="19.649999999999999" customHeight="1" x14ac:dyDescent="0.2">
      <c r="D414" s="20"/>
      <c r="E414" s="23"/>
      <c r="F414" s="23"/>
      <c r="G414" s="65"/>
      <c r="H414" s="227"/>
      <c r="I414" s="21"/>
      <c r="J414" s="26"/>
      <c r="K414" s="69"/>
      <c r="L414" s="36"/>
      <c r="M414" s="21"/>
      <c r="N414" s="22"/>
      <c r="O414" s="8"/>
      <c r="P414" s="20"/>
      <c r="Q414" s="21"/>
      <c r="R414" s="8"/>
      <c r="S414" s="108"/>
    </row>
    <row r="415" spans="4:19" s="2" customFormat="1" ht="19.649999999999999" customHeight="1" x14ac:dyDescent="0.2">
      <c r="D415" s="20"/>
      <c r="E415" s="23"/>
      <c r="F415" s="23"/>
      <c r="G415" s="32"/>
      <c r="H415" s="227"/>
      <c r="I415" s="21"/>
      <c r="J415" s="26"/>
      <c r="K415" s="69"/>
      <c r="L415" s="36"/>
      <c r="M415" s="21"/>
      <c r="N415" s="22"/>
      <c r="O415" s="8"/>
      <c r="P415" s="20"/>
      <c r="Q415" s="21"/>
      <c r="R415" s="8"/>
      <c r="S415" s="108"/>
    </row>
    <row r="416" spans="4:19" s="2" customFormat="1" ht="19.649999999999999" customHeight="1" x14ac:dyDescent="0.2">
      <c r="D416" s="20"/>
      <c r="E416" s="23"/>
      <c r="F416" s="23"/>
      <c r="G416" s="32"/>
      <c r="H416" s="227"/>
      <c r="I416" s="21"/>
      <c r="J416" s="26"/>
      <c r="K416" s="69"/>
      <c r="L416" s="36"/>
      <c r="M416" s="21"/>
      <c r="N416" s="22"/>
      <c r="O416" s="8"/>
      <c r="P416" s="20"/>
      <c r="Q416" s="21"/>
      <c r="R416" s="8"/>
      <c r="S416" s="108"/>
    </row>
    <row r="417" spans="4:19" s="2" customFormat="1" ht="19.649999999999999" customHeight="1" x14ac:dyDescent="0.2">
      <c r="D417" s="20"/>
      <c r="E417" s="23"/>
      <c r="F417" s="23"/>
      <c r="G417" s="32"/>
      <c r="H417" s="227"/>
      <c r="I417" s="21"/>
      <c r="J417" s="26"/>
      <c r="K417" s="69"/>
      <c r="L417" s="36"/>
      <c r="M417" s="21"/>
      <c r="N417" s="22"/>
      <c r="O417" s="8"/>
      <c r="P417" s="20"/>
      <c r="Q417" s="21"/>
      <c r="R417" s="8"/>
      <c r="S417" s="108"/>
    </row>
    <row r="418" spans="4:19" s="2" customFormat="1" ht="19.649999999999999" customHeight="1" x14ac:dyDescent="0.2">
      <c r="D418" s="20"/>
      <c r="E418" s="23"/>
      <c r="F418" s="23"/>
      <c r="G418" s="32"/>
      <c r="H418" s="227"/>
      <c r="I418" s="21"/>
      <c r="J418" s="26"/>
      <c r="K418" s="69"/>
      <c r="L418" s="36"/>
      <c r="M418" s="21"/>
      <c r="N418" s="22"/>
      <c r="O418" s="8"/>
      <c r="P418" s="20"/>
      <c r="Q418" s="21"/>
      <c r="R418" s="8"/>
      <c r="S418" s="108"/>
    </row>
    <row r="419" spans="4:19" s="2" customFormat="1" ht="19.649999999999999" customHeight="1" x14ac:dyDescent="0.2">
      <c r="D419" s="20"/>
      <c r="E419" s="23"/>
      <c r="F419" s="23"/>
      <c r="G419" s="32"/>
      <c r="H419" s="227"/>
      <c r="I419" s="21"/>
      <c r="J419" s="26"/>
      <c r="K419" s="69"/>
      <c r="L419" s="36"/>
      <c r="M419" s="21"/>
      <c r="N419" s="22"/>
      <c r="O419" s="8"/>
      <c r="P419" s="20"/>
      <c r="Q419" s="21"/>
      <c r="R419" s="8"/>
      <c r="S419" s="108"/>
    </row>
    <row r="420" spans="4:19" s="2" customFormat="1" ht="19.649999999999999" customHeight="1" x14ac:dyDescent="0.2">
      <c r="D420" s="20"/>
      <c r="E420" s="23"/>
      <c r="F420" s="23"/>
      <c r="G420" s="32"/>
      <c r="H420" s="227"/>
      <c r="I420" s="21"/>
      <c r="J420" s="26"/>
      <c r="K420" s="69"/>
      <c r="L420" s="36"/>
      <c r="M420" s="21"/>
      <c r="N420" s="22"/>
      <c r="O420" s="8"/>
      <c r="P420" s="20"/>
      <c r="Q420" s="21"/>
      <c r="R420" s="8"/>
      <c r="S420" s="108"/>
    </row>
    <row r="421" spans="4:19" s="2" customFormat="1" ht="19.649999999999999" customHeight="1" x14ac:dyDescent="0.2">
      <c r="D421" s="20"/>
      <c r="E421" s="23"/>
      <c r="F421" s="23"/>
      <c r="G421" s="32"/>
      <c r="H421" s="227"/>
      <c r="I421" s="21"/>
      <c r="J421" s="26"/>
      <c r="K421" s="69"/>
      <c r="L421" s="36"/>
      <c r="M421" s="21"/>
      <c r="N421" s="22"/>
      <c r="O421" s="8"/>
      <c r="P421" s="20"/>
      <c r="Q421" s="21"/>
      <c r="R421" s="8"/>
      <c r="S421" s="108"/>
    </row>
    <row r="422" spans="4:19" s="2" customFormat="1" ht="19.649999999999999" customHeight="1" x14ac:dyDescent="0.2">
      <c r="D422" s="20"/>
      <c r="E422" s="23"/>
      <c r="F422" s="23"/>
      <c r="G422" s="32"/>
      <c r="H422" s="227"/>
      <c r="I422" s="21"/>
      <c r="J422" s="26"/>
      <c r="K422" s="69"/>
      <c r="L422" s="36"/>
      <c r="M422" s="21"/>
      <c r="N422" s="22"/>
      <c r="O422" s="8"/>
      <c r="P422" s="20"/>
      <c r="Q422" s="21"/>
      <c r="R422" s="8"/>
      <c r="S422" s="108"/>
    </row>
    <row r="423" spans="4:19" s="2" customFormat="1" ht="19.649999999999999" customHeight="1" x14ac:dyDescent="0.2">
      <c r="D423" s="20"/>
      <c r="E423" s="23"/>
      <c r="F423" s="23"/>
      <c r="G423" s="32"/>
      <c r="H423" s="227"/>
      <c r="I423" s="21"/>
      <c r="J423" s="26"/>
      <c r="K423" s="69"/>
      <c r="L423" s="36"/>
      <c r="M423" s="21"/>
      <c r="N423" s="22"/>
      <c r="O423" s="8"/>
      <c r="P423" s="20"/>
      <c r="Q423" s="21"/>
      <c r="R423" s="8"/>
      <c r="S423" s="108"/>
    </row>
    <row r="424" spans="4:19" s="2" customFormat="1" ht="19.649999999999999" customHeight="1" x14ac:dyDescent="0.2">
      <c r="D424" s="20"/>
      <c r="E424" s="23"/>
      <c r="F424" s="23"/>
      <c r="G424" s="32"/>
      <c r="H424" s="227"/>
      <c r="I424" s="21"/>
      <c r="J424" s="26"/>
      <c r="K424" s="69"/>
      <c r="L424" s="36"/>
      <c r="M424" s="21"/>
      <c r="N424" s="22"/>
      <c r="O424" s="8"/>
      <c r="P424" s="20"/>
      <c r="Q424" s="21"/>
      <c r="R424" s="8"/>
      <c r="S424" s="108"/>
    </row>
    <row r="425" spans="4:19" s="2" customFormat="1" ht="19.649999999999999" customHeight="1" x14ac:dyDescent="0.2">
      <c r="D425" s="20"/>
      <c r="E425" s="23"/>
      <c r="F425" s="23"/>
      <c r="G425" s="32"/>
      <c r="H425" s="227"/>
      <c r="I425" s="21"/>
      <c r="J425" s="26"/>
      <c r="K425" s="69"/>
      <c r="L425" s="36"/>
      <c r="M425" s="21"/>
      <c r="N425" s="22"/>
      <c r="O425" s="8"/>
      <c r="P425" s="20"/>
      <c r="Q425" s="21"/>
      <c r="R425" s="8"/>
      <c r="S425" s="108"/>
    </row>
    <row r="426" spans="4:19" s="2" customFormat="1" ht="19.649999999999999" customHeight="1" x14ac:dyDescent="0.2">
      <c r="D426" s="20"/>
      <c r="E426" s="23"/>
      <c r="F426" s="23"/>
      <c r="G426" s="32"/>
      <c r="H426" s="227"/>
      <c r="I426" s="21"/>
      <c r="J426" s="26"/>
      <c r="K426" s="69"/>
      <c r="L426" s="36"/>
      <c r="M426" s="21"/>
      <c r="N426" s="22"/>
      <c r="O426" s="8"/>
      <c r="P426" s="20"/>
      <c r="Q426" s="21"/>
      <c r="R426" s="8"/>
      <c r="S426" s="108"/>
    </row>
    <row r="427" spans="4:19" s="2" customFormat="1" ht="19.649999999999999" customHeight="1" x14ac:dyDescent="0.2">
      <c r="D427" s="20"/>
      <c r="E427" s="23"/>
      <c r="F427" s="23"/>
      <c r="G427" s="32"/>
      <c r="H427" s="227"/>
      <c r="I427" s="21"/>
      <c r="J427" s="26"/>
      <c r="K427" s="69"/>
      <c r="L427" s="36"/>
      <c r="M427" s="21"/>
      <c r="N427" s="22"/>
      <c r="O427" s="8"/>
      <c r="P427" s="20"/>
      <c r="Q427" s="21"/>
      <c r="R427" s="8"/>
      <c r="S427" s="108"/>
    </row>
    <row r="428" spans="4:19" s="2" customFormat="1" ht="19.649999999999999" customHeight="1" x14ac:dyDescent="0.2">
      <c r="D428" s="20"/>
      <c r="E428" s="23"/>
      <c r="F428" s="23"/>
      <c r="G428" s="32"/>
      <c r="H428" s="227"/>
      <c r="I428" s="21"/>
      <c r="J428" s="26"/>
      <c r="K428" s="69"/>
      <c r="L428" s="36"/>
      <c r="M428" s="21"/>
      <c r="N428" s="22"/>
      <c r="O428" s="8"/>
      <c r="P428" s="20"/>
      <c r="Q428" s="21"/>
      <c r="R428" s="8"/>
      <c r="S428" s="108"/>
    </row>
    <row r="429" spans="4:19" s="2" customFormat="1" ht="19.649999999999999" customHeight="1" x14ac:dyDescent="0.2">
      <c r="D429" s="20"/>
      <c r="E429" s="23"/>
      <c r="F429" s="23"/>
      <c r="G429" s="32"/>
      <c r="H429" s="227"/>
      <c r="I429" s="21"/>
      <c r="J429" s="26"/>
      <c r="K429" s="69"/>
      <c r="L429" s="36"/>
      <c r="M429" s="21"/>
      <c r="N429" s="22"/>
      <c r="O429" s="8"/>
      <c r="P429" s="20"/>
      <c r="Q429" s="21"/>
      <c r="R429" s="8"/>
      <c r="S429" s="108"/>
    </row>
    <row r="430" spans="4:19" s="2" customFormat="1" ht="19.649999999999999" customHeight="1" x14ac:dyDescent="0.2">
      <c r="D430" s="20"/>
      <c r="E430" s="23"/>
      <c r="F430" s="23"/>
      <c r="G430" s="32"/>
      <c r="H430" s="227"/>
      <c r="I430" s="21"/>
      <c r="J430" s="26"/>
      <c r="K430" s="69"/>
      <c r="L430" s="36"/>
      <c r="M430" s="21"/>
      <c r="N430" s="22"/>
      <c r="O430" s="8"/>
      <c r="P430" s="20"/>
      <c r="Q430" s="21"/>
      <c r="R430" s="8"/>
      <c r="S430" s="108"/>
    </row>
    <row r="431" spans="4:19" s="2" customFormat="1" ht="19.649999999999999" customHeight="1" x14ac:dyDescent="0.2">
      <c r="D431" s="20"/>
      <c r="E431" s="23"/>
      <c r="F431" s="23"/>
      <c r="G431" s="32"/>
      <c r="H431" s="227"/>
      <c r="I431" s="21"/>
      <c r="J431" s="26"/>
      <c r="K431" s="69"/>
      <c r="L431" s="36"/>
      <c r="M431" s="21"/>
      <c r="N431" s="22"/>
      <c r="O431" s="8"/>
      <c r="P431" s="20"/>
      <c r="Q431" s="21"/>
      <c r="R431" s="8"/>
      <c r="S431" s="108"/>
    </row>
    <row r="432" spans="4:19" s="2" customFormat="1" ht="19.649999999999999" customHeight="1" x14ac:dyDescent="0.2">
      <c r="D432" s="20"/>
      <c r="E432" s="23"/>
      <c r="F432" s="23"/>
      <c r="G432" s="32"/>
      <c r="H432" s="227"/>
      <c r="I432" s="21"/>
      <c r="J432" s="26"/>
      <c r="K432" s="69"/>
      <c r="L432" s="36"/>
      <c r="M432" s="21"/>
      <c r="N432" s="22"/>
      <c r="O432" s="8"/>
      <c r="P432" s="20"/>
      <c r="Q432" s="21"/>
      <c r="R432" s="8"/>
      <c r="S432" s="108"/>
    </row>
    <row r="433" spans="4:19" s="2" customFormat="1" ht="19.649999999999999" customHeight="1" x14ac:dyDescent="0.2">
      <c r="D433" s="20"/>
      <c r="E433" s="23"/>
      <c r="F433" s="23"/>
      <c r="G433" s="32"/>
      <c r="H433" s="227"/>
      <c r="I433" s="21"/>
      <c r="J433" s="26"/>
      <c r="K433" s="69"/>
      <c r="L433" s="36"/>
      <c r="M433" s="21"/>
      <c r="N433" s="22"/>
      <c r="O433" s="8"/>
      <c r="P433" s="20"/>
      <c r="Q433" s="21"/>
      <c r="R433" s="8"/>
      <c r="S433" s="108"/>
    </row>
    <row r="434" spans="4:19" s="2" customFormat="1" ht="19.649999999999999" customHeight="1" x14ac:dyDescent="0.2">
      <c r="D434" s="20"/>
      <c r="E434" s="23"/>
      <c r="F434" s="23"/>
      <c r="G434" s="32"/>
      <c r="H434" s="227"/>
      <c r="I434" s="21"/>
      <c r="J434" s="26"/>
      <c r="K434" s="69"/>
      <c r="L434" s="36"/>
      <c r="M434" s="21"/>
      <c r="N434" s="22"/>
      <c r="O434" s="8"/>
      <c r="P434" s="20"/>
      <c r="Q434" s="21"/>
      <c r="R434" s="8"/>
      <c r="S434" s="108"/>
    </row>
    <row r="435" spans="4:19" s="2" customFormat="1" ht="19.649999999999999" customHeight="1" x14ac:dyDescent="0.2">
      <c r="D435" s="20"/>
      <c r="E435" s="23"/>
      <c r="F435" s="23"/>
      <c r="G435" s="32"/>
      <c r="H435" s="227"/>
      <c r="I435" s="21"/>
      <c r="J435" s="26"/>
      <c r="K435" s="69"/>
      <c r="L435" s="66"/>
      <c r="M435" s="21"/>
      <c r="N435" s="22"/>
      <c r="O435" s="8"/>
      <c r="P435" s="20"/>
      <c r="Q435" s="21"/>
      <c r="R435" s="8"/>
      <c r="S435" s="108"/>
    </row>
    <row r="436" spans="4:19" s="2" customFormat="1" ht="19.649999999999999" customHeight="1" x14ac:dyDescent="0.2">
      <c r="D436" s="20"/>
      <c r="E436" s="23"/>
      <c r="F436" s="23"/>
      <c r="G436" s="32"/>
      <c r="H436" s="227"/>
      <c r="I436" s="21"/>
      <c r="J436" s="26"/>
      <c r="K436" s="69"/>
      <c r="L436" s="36"/>
      <c r="M436" s="21"/>
      <c r="N436" s="22"/>
      <c r="O436" s="8"/>
      <c r="P436" s="20"/>
      <c r="Q436" s="21"/>
      <c r="R436" s="8"/>
      <c r="S436" s="108"/>
    </row>
    <row r="437" spans="4:19" s="2" customFormat="1" ht="19.649999999999999" customHeight="1" x14ac:dyDescent="0.2">
      <c r="D437" s="20"/>
      <c r="E437" s="23"/>
      <c r="F437" s="23"/>
      <c r="G437" s="32"/>
      <c r="H437" s="227"/>
      <c r="I437" s="21"/>
      <c r="J437" s="26"/>
      <c r="K437" s="69"/>
      <c r="L437" s="36"/>
      <c r="M437" s="21"/>
      <c r="N437" s="22"/>
      <c r="O437" s="8"/>
      <c r="P437" s="20"/>
      <c r="Q437" s="21"/>
      <c r="R437" s="8"/>
      <c r="S437" s="108"/>
    </row>
    <row r="438" spans="4:19" s="2" customFormat="1" ht="19.649999999999999" customHeight="1" x14ac:dyDescent="0.2">
      <c r="D438" s="20"/>
      <c r="E438" s="23"/>
      <c r="F438" s="23"/>
      <c r="G438" s="32"/>
      <c r="H438" s="227"/>
      <c r="I438" s="21"/>
      <c r="J438" s="26"/>
      <c r="K438" s="69"/>
      <c r="L438" s="36"/>
      <c r="M438" s="21"/>
      <c r="N438" s="22"/>
      <c r="O438" s="8"/>
      <c r="P438" s="20"/>
      <c r="Q438" s="21"/>
      <c r="R438" s="8"/>
      <c r="S438" s="108"/>
    </row>
    <row r="439" spans="4:19" s="2" customFormat="1" ht="19.649999999999999" customHeight="1" x14ac:dyDescent="0.2">
      <c r="D439" s="20"/>
      <c r="E439" s="23"/>
      <c r="F439" s="23"/>
      <c r="G439" s="32"/>
      <c r="H439" s="227"/>
      <c r="I439" s="21"/>
      <c r="J439" s="26"/>
      <c r="K439" s="69"/>
      <c r="L439" s="36"/>
      <c r="M439" s="21"/>
      <c r="N439" s="22"/>
      <c r="O439" s="8"/>
      <c r="P439" s="20"/>
      <c r="Q439" s="21"/>
      <c r="R439" s="8"/>
      <c r="S439" s="108"/>
    </row>
    <row r="440" spans="4:19" s="2" customFormat="1" ht="19.649999999999999" customHeight="1" x14ac:dyDescent="0.2">
      <c r="D440" s="20"/>
      <c r="E440" s="23"/>
      <c r="F440" s="23"/>
      <c r="G440" s="32"/>
      <c r="H440" s="227"/>
      <c r="I440" s="21"/>
      <c r="J440" s="26"/>
      <c r="K440" s="69"/>
      <c r="L440" s="36"/>
      <c r="M440" s="21"/>
      <c r="N440" s="22"/>
      <c r="O440" s="8"/>
      <c r="P440" s="20"/>
      <c r="Q440" s="21"/>
      <c r="R440" s="8"/>
      <c r="S440" s="108"/>
    </row>
    <row r="441" spans="4:19" s="2" customFormat="1" ht="19.649999999999999" customHeight="1" x14ac:dyDescent="0.2">
      <c r="D441" s="20"/>
      <c r="E441" s="23"/>
      <c r="F441" s="23"/>
      <c r="G441" s="32"/>
      <c r="H441" s="227"/>
      <c r="I441" s="21"/>
      <c r="J441" s="26"/>
      <c r="K441" s="69"/>
      <c r="L441" s="36"/>
      <c r="M441" s="21"/>
      <c r="N441" s="22"/>
      <c r="O441" s="8"/>
      <c r="P441" s="20"/>
      <c r="Q441" s="21"/>
      <c r="R441" s="8"/>
      <c r="S441" s="108"/>
    </row>
    <row r="442" spans="4:19" s="2" customFormat="1" ht="19.649999999999999" customHeight="1" x14ac:dyDescent="0.2">
      <c r="D442" s="20"/>
      <c r="E442" s="23"/>
      <c r="F442" s="23"/>
      <c r="G442" s="32"/>
      <c r="H442" s="227"/>
      <c r="I442" s="21"/>
      <c r="J442" s="26"/>
      <c r="K442" s="69"/>
      <c r="L442" s="66"/>
      <c r="M442" s="21"/>
      <c r="N442" s="22"/>
      <c r="O442" s="8"/>
      <c r="P442" s="20"/>
      <c r="Q442" s="21"/>
      <c r="R442" s="8"/>
      <c r="S442" s="108"/>
    </row>
    <row r="443" spans="4:19" s="2" customFormat="1" ht="19.649999999999999" customHeight="1" x14ac:dyDescent="0.2">
      <c r="D443" s="20"/>
      <c r="E443" s="20"/>
      <c r="F443" s="20"/>
      <c r="G443" s="32"/>
      <c r="H443" s="227"/>
      <c r="I443" s="21"/>
      <c r="J443" s="26"/>
      <c r="K443" s="69"/>
      <c r="L443" s="36"/>
      <c r="M443" s="21"/>
      <c r="N443" s="22"/>
      <c r="O443" s="8"/>
      <c r="P443" s="20"/>
      <c r="Q443" s="21"/>
      <c r="R443" s="8"/>
      <c r="S443" s="108"/>
    </row>
    <row r="444" spans="4:19" s="2" customFormat="1" ht="19.649999999999999" customHeight="1" x14ac:dyDescent="0.2">
      <c r="D444" s="20"/>
      <c r="E444" s="23"/>
      <c r="F444" s="23"/>
      <c r="G444" s="32"/>
      <c r="H444" s="227"/>
      <c r="I444" s="21"/>
      <c r="J444" s="26"/>
      <c r="K444" s="69"/>
      <c r="L444" s="36"/>
      <c r="M444" s="21"/>
      <c r="N444" s="22"/>
      <c r="O444" s="8"/>
      <c r="P444" s="20"/>
      <c r="Q444" s="21"/>
      <c r="R444" s="8"/>
      <c r="S444" s="108"/>
    </row>
    <row r="445" spans="4:19" s="2" customFormat="1" ht="19.649999999999999" customHeight="1" x14ac:dyDescent="0.2">
      <c r="D445" s="20"/>
      <c r="E445" s="23"/>
      <c r="F445" s="23"/>
      <c r="G445" s="32"/>
      <c r="H445" s="227"/>
      <c r="I445" s="21"/>
      <c r="J445" s="26"/>
      <c r="K445" s="69"/>
      <c r="L445" s="36"/>
      <c r="M445" s="21"/>
      <c r="N445" s="22"/>
      <c r="O445" s="8"/>
      <c r="P445" s="20"/>
      <c r="Q445" s="21"/>
      <c r="R445" s="8"/>
      <c r="S445" s="108"/>
    </row>
    <row r="446" spans="4:19" s="2" customFormat="1" ht="19.649999999999999" customHeight="1" x14ac:dyDescent="0.2">
      <c r="D446" s="20"/>
      <c r="E446" s="20"/>
      <c r="F446" s="20"/>
      <c r="G446" s="32"/>
      <c r="H446" s="227"/>
      <c r="I446" s="21"/>
      <c r="J446" s="26"/>
      <c r="K446" s="69"/>
      <c r="L446" s="36"/>
      <c r="M446" s="21"/>
      <c r="N446" s="22"/>
      <c r="O446" s="8"/>
      <c r="P446" s="20"/>
      <c r="Q446" s="21"/>
      <c r="R446" s="8"/>
      <c r="S446" s="108"/>
    </row>
    <row r="447" spans="4:19" s="2" customFormat="1" ht="19.350000000000001" customHeight="1" x14ac:dyDescent="0.2">
      <c r="D447" s="20"/>
      <c r="E447" s="23"/>
      <c r="F447" s="23"/>
      <c r="G447" s="32"/>
      <c r="H447" s="227"/>
      <c r="I447" s="21"/>
      <c r="J447" s="26"/>
      <c r="K447" s="69"/>
      <c r="L447" s="36"/>
      <c r="M447" s="21"/>
      <c r="N447" s="22"/>
      <c r="O447" s="8"/>
      <c r="P447" s="20"/>
      <c r="Q447" s="21"/>
      <c r="R447" s="8"/>
      <c r="S447" s="108"/>
    </row>
    <row r="448" spans="4:19" s="2" customFormat="1" ht="19.649999999999999" customHeight="1" x14ac:dyDescent="0.2">
      <c r="D448" s="20"/>
      <c r="E448" s="20"/>
      <c r="F448" s="20"/>
      <c r="G448" s="12"/>
      <c r="H448" s="163"/>
      <c r="I448" s="21"/>
      <c r="J448" s="26"/>
      <c r="K448" s="69"/>
      <c r="L448" s="13"/>
      <c r="M448" s="21"/>
      <c r="N448" s="21"/>
      <c r="O448" s="8"/>
      <c r="P448" s="20"/>
      <c r="Q448" s="21"/>
      <c r="R448" s="8"/>
      <c r="S448" s="108"/>
    </row>
    <row r="449" spans="1:19" s="2" customFormat="1" ht="19.649999999999999" customHeight="1" x14ac:dyDescent="0.2">
      <c r="D449" s="20"/>
      <c r="E449" s="20"/>
      <c r="F449" s="20"/>
      <c r="G449" s="14">
        <f>SUM(J398:J448)</f>
        <v>0</v>
      </c>
      <c r="H449" s="163"/>
      <c r="I449" s="21"/>
      <c r="J449" s="26"/>
      <c r="K449" s="69"/>
      <c r="L449" s="22"/>
      <c r="M449" s="21"/>
      <c r="N449" s="21"/>
      <c r="O449" s="8"/>
      <c r="P449" s="20"/>
      <c r="Q449" s="21"/>
      <c r="R449" s="8"/>
      <c r="S449" s="108"/>
    </row>
    <row r="450" spans="1:19" s="2" customFormat="1" ht="19.649999999999999" customHeight="1" x14ac:dyDescent="0.2">
      <c r="D450" s="20"/>
      <c r="E450" s="20"/>
      <c r="F450" s="20"/>
      <c r="G450" s="22"/>
      <c r="H450" s="163"/>
      <c r="I450" s="21"/>
      <c r="J450" s="26"/>
      <c r="K450" s="69"/>
      <c r="L450" s="22"/>
      <c r="M450" s="21"/>
      <c r="N450" s="21"/>
      <c r="O450" s="8"/>
      <c r="P450" s="20"/>
      <c r="Q450" s="21"/>
      <c r="R450" s="8"/>
      <c r="S450" s="108"/>
    </row>
    <row r="451" spans="1:19" s="2" customFormat="1" ht="19.649999999999999" customHeight="1" x14ac:dyDescent="0.2">
      <c r="D451" s="20"/>
      <c r="E451" s="20"/>
      <c r="F451" s="20"/>
      <c r="G451" s="22"/>
      <c r="H451" s="163"/>
      <c r="I451" s="21"/>
      <c r="J451" s="26"/>
      <c r="K451" s="69"/>
      <c r="L451" s="22"/>
      <c r="M451" s="22"/>
      <c r="N451" s="21"/>
      <c r="O451" s="8"/>
      <c r="P451" s="20"/>
      <c r="Q451" s="21"/>
      <c r="R451" s="8"/>
      <c r="S451" s="108"/>
    </row>
    <row r="452" spans="1:19" x14ac:dyDescent="0.2">
      <c r="A452" s="2"/>
      <c r="B452" s="2"/>
      <c r="C452" s="2"/>
      <c r="D452" s="20"/>
      <c r="E452" s="20"/>
      <c r="F452" s="20"/>
      <c r="G452" s="22"/>
      <c r="H452" s="163"/>
      <c r="I452" s="21"/>
      <c r="J452" s="26"/>
      <c r="K452" s="69"/>
      <c r="L452" s="22"/>
      <c r="M452" s="21"/>
      <c r="N452" s="21"/>
      <c r="O452" s="8"/>
      <c r="P452" s="20"/>
      <c r="Q452" s="21"/>
      <c r="R452" s="8"/>
      <c r="S452" s="108"/>
    </row>
    <row r="453" spans="1:19" s="68" customFormat="1" x14ac:dyDescent="0.2">
      <c r="A453"/>
      <c r="B453"/>
      <c r="C453"/>
      <c r="D453" s="2"/>
      <c r="E453"/>
      <c r="F453"/>
      <c r="G453"/>
      <c r="H453" s="2"/>
      <c r="I453" s="2"/>
      <c r="J453" s="114"/>
      <c r="L453"/>
      <c r="M453"/>
      <c r="N453" s="2"/>
      <c r="O453" s="9"/>
      <c r="P453"/>
      <c r="Q453" s="6"/>
      <c r="R453" s="10"/>
      <c r="S453" s="11"/>
    </row>
  </sheetData>
  <mergeCells count="8">
    <mergeCell ref="D6:F6"/>
    <mergeCell ref="D2:F2"/>
    <mergeCell ref="I2:K2"/>
    <mergeCell ref="D3:F3"/>
    <mergeCell ref="J3:M4"/>
    <mergeCell ref="D4:F4"/>
    <mergeCell ref="D5:F5"/>
    <mergeCell ref="I4:I5"/>
  </mergeCells>
  <phoneticPr fontId="20"/>
  <dataValidations disablePrompts="1" count="1">
    <dataValidation imeMode="hiragana" allowBlank="1" showInputMessage="1" showErrorMessage="1" sqref="L72:L73 L184 L22 L62 L67:L68 L57 L20 L41:L42 L44 L59 L36:L39 L27:L29 L51 L75:L76 L112:L113 L31:L33 L152:L153 L233 L97 L101 L104:L107 L216 L225 L223 L148:L150 L94 L257 L261 L264:L267 L79:L90 L254 L163:L164 L131 L136 L143 L239:L250" xr:uid="{00000000-0002-0000-0000-000000000000}"/>
  </dataValidations>
  <hyperlinks>
    <hyperlink ref="M294" r:id="rId1" xr:uid="{A84BEF69-F836-4A74-8B0D-3273A714D28F}"/>
    <hyperlink ref="M290" r:id="rId2" xr:uid="{D3C172DF-2F10-442F-8BC9-EFCACC8B3714}"/>
  </hyperlinks>
  <pageMargins left="0" right="0" top="0" bottom="0" header="0" footer="0"/>
  <pageSetup paperSize="8" scale="65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2" x14ac:dyDescent="0.2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2" x14ac:dyDescent="0.2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SETB0164-A01　②ecoPEN300用　1218</vt:lpstr>
      <vt:lpstr>元データSEB0164-A01　②ecoPEN300用1218</vt:lpstr>
      <vt:lpstr>Sheet2</vt:lpstr>
      <vt:lpstr>Sheet3</vt:lpstr>
      <vt:lpstr>'SETB0164-A01　②ecoPEN300用　1218'!Print_Area</vt:lpstr>
      <vt:lpstr>'元データSEB0164-A01　②ecoPEN300用1218'!Print_Area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2024-03-08T04:55:22Z</dcterms:modified>
</cp:coreProperties>
</file>