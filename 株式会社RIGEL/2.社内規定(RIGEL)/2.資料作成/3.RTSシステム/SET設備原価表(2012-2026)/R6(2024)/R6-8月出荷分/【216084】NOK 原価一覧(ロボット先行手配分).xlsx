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2FFA191-744D-4170-86F9-810D3A3879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2" r:id="rId2"/>
  </sheets>
  <definedNames>
    <definedName name="_xlnm._FilterDatabase" localSheetId="0" hidden="1">原価表!$B$9:$O$14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4" i="1"/>
  <c r="H10" i="1"/>
  <c r="J2" i="1" l="1"/>
</calcChain>
</file>

<file path=xl/sharedStrings.xml><?xml version="1.0" encoding="utf-8"?>
<sst xmlns="http://schemas.openxmlformats.org/spreadsheetml/2006/main" count="53" uniqueCount="36">
  <si>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</si>
  <si>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</si>
  <si>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</si>
  <si>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</si>
  <si>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</si>
  <si>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</si>
  <si>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</si>
  <si>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</si>
  <si>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</si>
  <si>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</si>
  <si>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</si>
  <si>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</si>
  <si>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</si>
  <si>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</si>
  <si>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</si>
  <si>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</si>
  <si>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</si>
  <si>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</si>
  <si>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</si>
  <si>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</si>
  <si>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</si>
  <si>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</si>
  <si>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</si>
  <si>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株式会社啓愛社</t>
    <rPh sb="0" eb="4">
      <t>カブシキカイシャ</t>
    </rPh>
    <rPh sb="4" eb="7">
      <t>ケイアイシャ</t>
    </rPh>
    <phoneticPr fontId="1"/>
  </si>
  <si>
    <t>NOK</t>
    <phoneticPr fontId="1"/>
  </si>
  <si>
    <t>山澤</t>
    <rPh sb="0" eb="2">
      <t>ヤマサワ</t>
    </rPh>
    <phoneticPr fontId="1"/>
  </si>
  <si>
    <t>JANOME</t>
    <phoneticPr fontId="6"/>
  </si>
  <si>
    <t>JR3-TB2</t>
    <phoneticPr fontId="6"/>
  </si>
  <si>
    <t>ｵﾌﾟｼｮﾝSW付ｽｲｯﾁﾎﾞｯｸｽ 1.5m</t>
    <rPh sb="8" eb="9">
      <t>ツ</t>
    </rPh>
    <phoneticPr fontId="6"/>
  </si>
  <si>
    <t>荷造運賃</t>
    <rPh sb="0" eb="4">
      <t>ニヅクリウンチン</t>
    </rPh>
    <phoneticPr fontId="1"/>
  </si>
  <si>
    <t>特別出精値引き（今回限り）</t>
    <rPh sb="0" eb="2">
      <t>トクベツ</t>
    </rPh>
    <rPh sb="2" eb="4">
      <t>シュッセイ</t>
    </rPh>
    <rPh sb="4" eb="6">
      <t>ネビ</t>
    </rPh>
    <rPh sb="8" eb="10">
      <t>コンカイ</t>
    </rPh>
    <rPh sb="10" eb="11">
      <t>カギ</t>
    </rPh>
    <phoneticPr fontId="1"/>
  </si>
  <si>
    <t>発注願います</t>
    <rPh sb="0" eb="3">
      <t>ハッチュウネガ</t>
    </rPh>
    <phoneticPr fontId="1"/>
  </si>
  <si>
    <t>※在庫使用のため、発注しておりません。</t>
    <rPh sb="1" eb="3">
      <t>ザイコ</t>
    </rPh>
    <rPh sb="3" eb="5">
      <t>シヨウ</t>
    </rPh>
    <rPh sb="9" eb="11">
      <t>ハッチュウ</t>
    </rPh>
    <phoneticPr fontId="1"/>
  </si>
  <si>
    <t>山澤Mと調整</t>
    <rPh sb="0" eb="2">
      <t>ヤマサワ</t>
    </rPh>
    <rPh sb="4" eb="6">
      <t>チョウセイ</t>
    </rPh>
    <phoneticPr fontId="1"/>
  </si>
  <si>
    <t>JR3603</t>
    <phoneticPr fontId="6"/>
  </si>
  <si>
    <t>SET手配のﾁｬｰﾀｰ便に変更</t>
    <rPh sb="3" eb="5">
      <t>テハイ</t>
    </rPh>
    <rPh sb="11" eb="12">
      <t>ビン</t>
    </rPh>
    <rPh sb="13" eb="15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</si>
</sst>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6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00B05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7" fillId="0" borderId="0" xfId="0" applyNumberFormat="1" applyFont="1">
      <alignment vertical="center"/>
    </xf>
    <xf numFmtId="56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0" xfId="0" applyNumberFormat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41" fontId="0" fillId="3" borderId="1" xfId="0" applyNumberFormat="1" applyFill="1" applyBorder="1">
      <alignment vertical="center"/>
    </xf>
    <xf numFmtId="41" fontId="0" fillId="0" borderId="2" xfId="0" applyNumberFormat="1" applyBorder="1" applyAlignment="1">
      <alignment horizontal="right" vertical="center"/>
    </xf>
    <xf numFmtId="41" fontId="5" fillId="3" borderId="1" xfId="0" applyNumberFormat="1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0" fontId="15" fillId="3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5"/>
  <sheetViews>
    <sheetView tabSelected="1" zoomScaleNormal="100" workbookViewId="0">
      <pane xSplit="8" topLeftCell="L1" activePane="topRight" state="frozen"/>
      <selection pane="topRight" activeCell="P22" sqref="P22"/>
    </sheetView>
  </sheetViews>
  <sheetFormatPr defaultColWidth="9" defaultRowHeight="13.5" x14ac:dyDescent="0.15"/>
  <cols>
    <col min="1" max="1" width="2.625" customWidth="1"/>
    <col min="2" max="2" width="8.625" style="3" customWidth="1"/>
    <col min="3" max="4" width="20.625" customWidth="1"/>
    <col min="5" max="5" width="33.5" customWidth="1"/>
    <col min="6" max="6" width="6.25" customWidth="1"/>
    <col min="7" max="7" width="20.5" style="32" customWidth="1"/>
    <col min="8" max="8" width="11.875" style="32" bestFit="1" customWidth="1"/>
    <col min="9" max="9" width="14.375" style="4" customWidth="1"/>
    <col min="10" max="10" width="35.25" bestFit="1" customWidth="1"/>
    <col min="11" max="11" width="26" customWidth="1"/>
    <col min="12" max="12" width="28.125" style="3" customWidth="1"/>
    <col min="13" max="13" width="13.75" style="28" customWidth="1"/>
    <col min="14" max="14" width="6.375" customWidth="1"/>
    <col min="15" max="15" width="13.25" style="3" customWidth="1"/>
    <col min="16" max="16" width="14.5" style="40" customWidth="1"/>
    <col min="17" max="17" width="15.625" style="28" customWidth="1"/>
  </cols>
  <sheetData>
    <row r="2" spans="2:17" ht="20.100000000000001" customHeight="1" x14ac:dyDescent="0.15">
      <c r="B2" s="44" t="s">
        <v>11</v>
      </c>
      <c r="C2" s="44"/>
      <c r="D2" s="44"/>
      <c r="E2" s="1" t="s">
        <v>24</v>
      </c>
      <c r="G2" s="45" t="s">
        <v>15</v>
      </c>
      <c r="H2" s="46"/>
      <c r="I2" s="47"/>
      <c r="J2" s="2">
        <f>SUM(H:H)</f>
        <v>958125</v>
      </c>
    </row>
    <row r="3" spans="2:17" ht="20.100000000000001" customHeight="1" x14ac:dyDescent="0.15">
      <c r="B3" s="44" t="s">
        <v>10</v>
      </c>
      <c r="C3" s="44"/>
      <c r="D3" s="44"/>
      <c r="E3" s="5" t="s">
        <v>25</v>
      </c>
      <c r="P3" s="41"/>
    </row>
    <row r="4" spans="2:17" ht="20.100000000000001" customHeight="1" x14ac:dyDescent="0.15">
      <c r="B4" s="44" t="s">
        <v>12</v>
      </c>
      <c r="C4" s="44"/>
      <c r="D4" s="44"/>
      <c r="E4" s="5">
        <v>216084</v>
      </c>
      <c r="I4" s="18"/>
      <c r="J4" s="4"/>
      <c r="K4" s="23"/>
      <c r="L4" s="21"/>
    </row>
    <row r="5" spans="2:17" ht="20.100000000000001" customHeight="1" x14ac:dyDescent="0.15">
      <c r="B5" s="44" t="s">
        <v>13</v>
      </c>
      <c r="C5" s="44"/>
      <c r="D5" s="44"/>
      <c r="E5" s="6">
        <v>45499</v>
      </c>
      <c r="G5" s="33"/>
      <c r="I5" s="26"/>
      <c r="J5" s="18"/>
      <c r="K5" s="25"/>
      <c r="L5" s="19"/>
    </row>
    <row r="6" spans="2:17" ht="20.100000000000001" customHeight="1" x14ac:dyDescent="0.15">
      <c r="B6" s="44" t="s">
        <v>14</v>
      </c>
      <c r="C6" s="44"/>
      <c r="D6" s="44"/>
      <c r="E6" s="6">
        <v>45530</v>
      </c>
      <c r="I6" s="27"/>
      <c r="J6" s="19"/>
      <c r="K6" s="24"/>
      <c r="L6" s="22"/>
    </row>
    <row r="7" spans="2:17" ht="20.100000000000001" customHeight="1" x14ac:dyDescent="0.15">
      <c r="B7" s="7"/>
      <c r="C7" s="7"/>
      <c r="D7" s="7"/>
      <c r="E7" s="17"/>
      <c r="J7" s="18"/>
      <c r="L7" s="18"/>
    </row>
    <row r="9" spans="2:17" s="3" customFormat="1" ht="19.7" customHeight="1" x14ac:dyDescent="0.15">
      <c r="B9" s="8" t="s">
        <v>4</v>
      </c>
      <c r="C9" s="8" t="s">
        <v>9</v>
      </c>
      <c r="D9" s="8" t="s">
        <v>5</v>
      </c>
      <c r="E9" s="9" t="s">
        <v>8</v>
      </c>
      <c r="F9" s="9" t="s">
        <v>0</v>
      </c>
      <c r="G9" s="34" t="s">
        <v>1</v>
      </c>
      <c r="H9" s="35" t="s">
        <v>2</v>
      </c>
      <c r="I9" s="10" t="s">
        <v>18</v>
      </c>
      <c r="J9" s="9" t="s">
        <v>3</v>
      </c>
      <c r="K9" s="9" t="s">
        <v>17</v>
      </c>
      <c r="L9" s="9" t="s">
        <v>16</v>
      </c>
      <c r="M9" s="12" t="s">
        <v>6</v>
      </c>
      <c r="N9" s="8" t="s">
        <v>19</v>
      </c>
      <c r="O9" s="9" t="s">
        <v>7</v>
      </c>
      <c r="P9" s="11" t="s">
        <v>20</v>
      </c>
      <c r="Q9" s="12" t="s">
        <v>21</v>
      </c>
    </row>
    <row r="10" spans="2:17" s="3" customFormat="1" ht="19.7" customHeight="1" x14ac:dyDescent="0.15">
      <c r="B10" s="8">
        <v>1</v>
      </c>
      <c r="C10" s="29" t="s">
        <v>26</v>
      </c>
      <c r="D10" s="29" t="s">
        <v>26</v>
      </c>
      <c r="E10" s="13" t="s">
        <v>34</v>
      </c>
      <c r="F10" s="14">
        <v>1</v>
      </c>
      <c r="G10" s="36">
        <v>993000</v>
      </c>
      <c r="H10" s="37">
        <f>G10*F10</f>
        <v>993000</v>
      </c>
      <c r="I10" s="10"/>
      <c r="J10" s="16"/>
      <c r="K10" s="39"/>
      <c r="L10" s="9"/>
      <c r="M10" s="12">
        <v>45478</v>
      </c>
      <c r="N10" s="8"/>
      <c r="O10" s="20" t="s">
        <v>33</v>
      </c>
      <c r="P10" s="11">
        <v>45511</v>
      </c>
      <c r="Q10" s="12">
        <v>45512</v>
      </c>
    </row>
    <row r="11" spans="2:17" s="3" customFormat="1" ht="19.7" customHeight="1" x14ac:dyDescent="0.15">
      <c r="B11" s="8">
        <v>1</v>
      </c>
      <c r="C11" s="29" t="s">
        <v>26</v>
      </c>
      <c r="D11" s="29" t="s">
        <v>26</v>
      </c>
      <c r="E11" s="13" t="s">
        <v>29</v>
      </c>
      <c r="F11" s="14">
        <v>1</v>
      </c>
      <c r="G11" s="36">
        <v>8125</v>
      </c>
      <c r="H11" s="37">
        <f t="shared" ref="H11:H12" si="0">G11*F11</f>
        <v>8125</v>
      </c>
      <c r="I11" s="10"/>
      <c r="J11" s="16" t="s">
        <v>35</v>
      </c>
      <c r="K11" s="39"/>
      <c r="L11" s="9"/>
      <c r="M11" s="12">
        <v>45478</v>
      </c>
      <c r="N11" s="8"/>
      <c r="O11" s="20" t="s">
        <v>33</v>
      </c>
      <c r="P11" s="11">
        <v>45511</v>
      </c>
      <c r="Q11" s="12"/>
    </row>
    <row r="12" spans="2:17" s="3" customFormat="1" ht="19.7" customHeight="1" x14ac:dyDescent="0.15">
      <c r="B12" s="8">
        <v>1</v>
      </c>
      <c r="C12" s="29" t="s">
        <v>26</v>
      </c>
      <c r="D12" s="29" t="s">
        <v>26</v>
      </c>
      <c r="E12" s="13" t="s">
        <v>30</v>
      </c>
      <c r="F12" s="16">
        <v>1</v>
      </c>
      <c r="G12" s="38">
        <v>-83000</v>
      </c>
      <c r="H12" s="37">
        <f t="shared" si="0"/>
        <v>-83000</v>
      </c>
      <c r="I12" s="16"/>
      <c r="J12" s="16"/>
      <c r="K12" s="39"/>
      <c r="L12" s="11"/>
      <c r="M12" s="12">
        <v>45478</v>
      </c>
      <c r="N12" s="20"/>
      <c r="O12" s="20" t="s">
        <v>33</v>
      </c>
      <c r="P12" s="11">
        <v>45511</v>
      </c>
      <c r="Q12" s="12">
        <v>45512</v>
      </c>
    </row>
    <row r="13" spans="2:17" s="3" customFormat="1" ht="19.7" customHeight="1" x14ac:dyDescent="0.15">
      <c r="B13" s="8">
        <v>2</v>
      </c>
      <c r="C13" s="29" t="s">
        <v>26</v>
      </c>
      <c r="D13" s="29" t="s">
        <v>26</v>
      </c>
      <c r="E13" s="13" t="s">
        <v>27</v>
      </c>
      <c r="F13" s="16">
        <v>1</v>
      </c>
      <c r="G13" s="36"/>
      <c r="H13" s="37"/>
      <c r="I13" s="16"/>
      <c r="J13" s="43" t="s">
        <v>32</v>
      </c>
      <c r="K13" s="39" t="s">
        <v>31</v>
      </c>
      <c r="L13" s="11"/>
      <c r="M13" s="12"/>
      <c r="N13" s="20"/>
      <c r="O13" s="20"/>
      <c r="P13" s="11"/>
      <c r="Q13" s="12"/>
    </row>
    <row r="14" spans="2:17" s="3" customFormat="1" ht="19.7" customHeight="1" x14ac:dyDescent="0.15">
      <c r="B14" s="8">
        <v>3</v>
      </c>
      <c r="C14" s="29" t="s">
        <v>26</v>
      </c>
      <c r="D14" s="29" t="s">
        <v>26</v>
      </c>
      <c r="E14" s="13" t="s">
        <v>28</v>
      </c>
      <c r="F14" s="16">
        <v>1</v>
      </c>
      <c r="G14" s="38">
        <v>40000</v>
      </c>
      <c r="H14" s="37">
        <f>G14*F14</f>
        <v>40000</v>
      </c>
      <c r="I14" s="16"/>
      <c r="J14" s="16"/>
      <c r="K14" s="39"/>
      <c r="L14" s="11"/>
      <c r="M14" s="12">
        <v>45478</v>
      </c>
      <c r="N14" s="20"/>
      <c r="O14" s="20" t="s">
        <v>33</v>
      </c>
      <c r="P14" s="11">
        <v>45511</v>
      </c>
      <c r="Q14" s="12">
        <v>45512</v>
      </c>
    </row>
    <row r="15" spans="2:17" ht="19.5" customHeight="1" x14ac:dyDescent="0.15">
      <c r="B15" s="29"/>
      <c r="C15" s="16"/>
      <c r="D15" s="16"/>
      <c r="E15" s="16"/>
      <c r="F15" s="16"/>
      <c r="G15" s="36"/>
      <c r="H15" s="37"/>
      <c r="I15" s="30"/>
      <c r="J15" s="16"/>
      <c r="K15" s="16"/>
      <c r="L15" s="29"/>
      <c r="M15" s="15"/>
      <c r="N15" s="16"/>
      <c r="O15" s="29"/>
      <c r="P15" s="42"/>
      <c r="Q15" s="15"/>
    </row>
  </sheetData>
  <autoFilter ref="B9:O12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C8B-E8F8-40AD-A086-F847B08F753B}">
  <dimension ref="A1:B5"/>
  <sheetViews>
    <sheetView view="pageBreakPreview" zoomScaleNormal="100" zoomScaleSheetLayoutView="100" workbookViewId="0">
      <selection activeCell="F15" sqref="F14:F15"/>
    </sheetView>
  </sheetViews>
  <sheetFormatPr defaultRowHeight="13.5" x14ac:dyDescent="0.15"/>
  <cols>
    <col min="1" max="1" width="12.125" bestFit="1" customWidth="1"/>
    <col min="2" max="2" width="20.75" bestFit="1" customWidth="1"/>
  </cols>
  <sheetData>
    <row r="1" spans="1:2" ht="17.25" x14ac:dyDescent="0.15">
      <c r="A1" s="31" t="s">
        <v>11</v>
      </c>
      <c r="B1" s="1" t="s">
        <v>23</v>
      </c>
    </row>
    <row r="2" spans="1:2" ht="17.25" x14ac:dyDescent="0.15">
      <c r="A2" s="31" t="s">
        <v>10</v>
      </c>
      <c r="B2" s="5" t="s">
        <v>22</v>
      </c>
    </row>
    <row r="3" spans="1:2" ht="17.25" x14ac:dyDescent="0.15">
      <c r="A3" s="31" t="s">
        <v>12</v>
      </c>
      <c r="B3" s="5">
        <v>201045</v>
      </c>
    </row>
    <row r="4" spans="1:2" ht="17.25" x14ac:dyDescent="0.15">
      <c r="A4" s="31" t="s">
        <v>13</v>
      </c>
      <c r="B4" s="6">
        <v>44946</v>
      </c>
    </row>
    <row r="5" spans="1:2" ht="17.25" x14ac:dyDescent="0.15">
      <c r="A5" s="31" t="s">
        <v>14</v>
      </c>
      <c r="B5" s="6">
        <v>45056</v>
      </c>
    </row>
  </sheetData>
  <phoneticPr fontId="14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原価表</vt:lpstr>
      <vt:lpstr>表紙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2023-01-10T11:04:14Z</cp:lastPrinted>
  <dcterms:created xsi:type="dcterms:W3CDTF">2011-12-13T06:48:43Z</dcterms:created>
  <dcterms:modified xsi:type="dcterms:W3CDTF">2024-08-08T00:01:10Z</dcterms:modified>
</cp:coreProperties>
</file>