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E3E62B8-8289-4669-B4BF-C1C3F4BE5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1227②" sheetId="14" r:id="rId1"/>
    <sheet name="20231227①" sheetId="13" r:id="rId2"/>
    <sheet name="Sheet2" sheetId="2" r:id="rId3"/>
    <sheet name="Sheet3" sheetId="3" r:id="rId4"/>
  </sheets>
  <definedNames>
    <definedName name="_xlnm._FilterDatabase" localSheetId="1" hidden="1">'20231227①'!$D$9:$Q$143</definedName>
    <definedName name="_xlnm._FilterDatabase" localSheetId="0" hidden="1">'20231227②'!$D$9:$Q$187</definedName>
    <definedName name="_xlnm.Print_Area" localSheetId="1">'20231227①'!$C$1:$L$88</definedName>
    <definedName name="_xlnm.Print_Area" localSheetId="0">'20231227②'!$C$1:$L$132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14" l="1"/>
  <c r="J62" i="14"/>
  <c r="J61" i="14"/>
  <c r="J60" i="14"/>
  <c r="J59" i="14"/>
  <c r="J58" i="14"/>
  <c r="J57" i="14"/>
  <c r="G65" i="14" s="1"/>
  <c r="D57" i="14"/>
  <c r="D58" i="14" s="1"/>
  <c r="D59" i="14" s="1"/>
  <c r="D60" i="14" s="1"/>
  <c r="D61" i="14" s="1"/>
  <c r="D62" i="14" s="1"/>
  <c r="D63" i="14" s="1"/>
  <c r="J51" i="14"/>
  <c r="J50" i="14"/>
  <c r="J49" i="14"/>
  <c r="J48" i="14"/>
  <c r="J43" i="14"/>
  <c r="J37" i="14"/>
  <c r="J36" i="14"/>
  <c r="J35" i="14"/>
  <c r="J34" i="14"/>
  <c r="J33" i="14"/>
  <c r="J32" i="14"/>
  <c r="G53" i="14" l="1"/>
  <c r="G39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D13" i="14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32" i="14" s="1"/>
  <c r="D33" i="14" s="1"/>
  <c r="D34" i="14" s="1"/>
  <c r="D35" i="14" s="1"/>
  <c r="D36" i="14" s="1"/>
  <c r="D37" i="14" s="1"/>
  <c r="D43" i="14" s="1"/>
  <c r="D48" i="14" s="1"/>
  <c r="D49" i="14" s="1"/>
  <c r="D50" i="14" s="1"/>
  <c r="D51" i="14" s="1"/>
  <c r="G184" i="14"/>
  <c r="J72" i="14"/>
  <c r="D13" i="13"/>
  <c r="D14" i="13" s="1"/>
  <c r="G140" i="13"/>
  <c r="J28" i="13"/>
  <c r="J17" i="13"/>
  <c r="J16" i="13"/>
  <c r="J15" i="13"/>
  <c r="J14" i="13"/>
  <c r="J13" i="13"/>
  <c r="J12" i="13"/>
  <c r="G27" i="14" l="1"/>
  <c r="L2" i="14"/>
  <c r="D15" i="13"/>
  <c r="G19" i="13"/>
  <c r="L2" i="13"/>
  <c r="D16" i="13" l="1"/>
  <c r="D17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<sst xmlns="http://schemas.openxmlformats.org/spreadsheetml/2006/main" count="311" uniqueCount="147">
  <si>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</si>
  <si>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</si>
  <si>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</si>
  <si>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</si>
  <si>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</si>
  <si>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</si>
  <si>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</si>
  <si>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</si>
  <si>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</si>
  <si>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</si>
  <si>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</si>
  <si>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</si>
  <si>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</si>
  <si>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</si>
  <si>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</si>
  <si>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</si>
  <si>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</si>
  <si>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</si>
  <si>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</si>
  <si>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</si>
  <si>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</si>
  <si>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</si>
  <si>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</si>
  <si>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</si>
  <si>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</si>
  <si>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</si>
  <si>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JR3000用ﾃｨｰﾁﾝｸﾞﾎﾞｯｸｽ   JR3-TB2</t>
    <phoneticPr fontId="2"/>
  </si>
  <si>
    <r>
      <t>SRO-TB500</t>
    </r>
    <r>
      <rPr>
        <b/>
        <sz val="11"/>
        <color indexed="10"/>
        <rFont val="ＭＳ Ｐゴシック"/>
        <family val="3"/>
        <charset val="128"/>
      </rPr>
      <t xml:space="preserve"> </t>
    </r>
    <phoneticPr fontId="2"/>
  </si>
  <si>
    <t>送料</t>
  </si>
  <si>
    <t>JR C-Point2 Ver8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</si>
  <si>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</si>
  <si>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</si>
  <si>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</si>
  <si>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</si>
  <si>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</si>
  <si>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</si>
  <si>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</si>
  <si>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</si>
  <si>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</si>
  <si>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</si>
  <si>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</si>
  <si>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</si>
  <si>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</si>
  <si>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</si>
  <si>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</si>
  <si>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</si>
  <si>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</si>
  <si>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</si>
  <si>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</si>
  <si>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</si>
  <si>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JR3303用Z軸強化ばね　</t>
    <rPh sb="6" eb="7">
      <t>ヨウ</t>
    </rPh>
    <rPh sb="8" eb="9">
      <t>ジク</t>
    </rPh>
    <rPh sb="9" eb="11">
      <t>キョウカ</t>
    </rPh>
    <phoneticPr fontId="2"/>
  </si>
  <si>
    <t>JR3303用　強化ばね　1式（2本）</t>
    <rPh sb="6" eb="7">
      <t>ヨウ</t>
    </rPh>
    <rPh sb="8" eb="10">
      <t>キョウカ</t>
    </rPh>
    <rPh sb="14" eb="15">
      <t>シキ</t>
    </rPh>
    <rPh sb="17" eb="18">
      <t>ホン</t>
    </rPh>
    <phoneticPr fontId="2"/>
  </si>
  <si>
    <t>列19</t>
  </si>
  <si>
    <t>kg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</si>
  <si>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1"/>
  </si>
  <si>
    <t>①</t>
    <phoneticPr fontId="11"/>
  </si>
  <si>
    <t>2Week</t>
    <phoneticPr fontId="11"/>
  </si>
  <si>
    <t>ばね　　送料</t>
    <phoneticPr fontId="11"/>
  </si>
  <si>
    <t>納品　機材へ</t>
    <rPh sb="0" eb="2">
      <t>ノウヒン</t>
    </rPh>
    <rPh sb="3" eb="5">
      <t>キザイ</t>
    </rPh>
    <phoneticPr fontId="11"/>
  </si>
  <si>
    <t>TQ23-1069</t>
    <phoneticPr fontId="11"/>
  </si>
  <si>
    <r>
      <rPr>
        <b/>
        <sz val="11"/>
        <color indexed="8"/>
        <rFont val="ＭＳ Ｐゴシック"/>
        <family val="3"/>
        <charset val="128"/>
      </rPr>
      <t>JR3303　　</t>
    </r>
    <r>
      <rPr>
        <sz val="11"/>
        <color theme="1"/>
        <rFont val="ＭＳ Ｐゴシック"/>
        <family val="3"/>
        <charset val="128"/>
        <scheme val="minor"/>
      </rPr>
      <t>　 3軸ﾛﾎﾞｯﾄ (内部ｽｲｯﾁ仕様)　</t>
    </r>
    <rPh sb="19" eb="20">
      <t>ウチ</t>
    </rPh>
    <phoneticPr fontId="2"/>
  </si>
  <si>
    <t>NO.211710</t>
    <phoneticPr fontId="2"/>
  </si>
  <si>
    <r>
      <t>JR3303+強化ﾊﾞﾈ+SV300-HM+ｹｰﾌﾞﾙﾍﾞｱ</t>
    </r>
    <r>
      <rPr>
        <sz val="20"/>
        <color indexed="8"/>
        <rFont val="ＭＳ Ｐゴシック"/>
        <family val="3"/>
        <charset val="128"/>
      </rPr>
      <t>+ＩＯ接続</t>
    </r>
    <rPh sb="7" eb="9">
      <t>キョウカ</t>
    </rPh>
    <rPh sb="31" eb="35">
      <t>ニラセツゾク</t>
    </rPh>
    <phoneticPr fontId="2"/>
  </si>
  <si>
    <t>JR3000用C-Points2 塗布編集ｿﾌ</t>
    <phoneticPr fontId="11"/>
  </si>
  <si>
    <r>
      <t>JR3303　　　SRS-S303　</t>
    </r>
    <r>
      <rPr>
        <b/>
        <sz val="11"/>
        <color indexed="10"/>
        <rFont val="ＭＳ Ｐゴシック"/>
        <family val="3"/>
        <charset val="128"/>
      </rPr>
      <t>　内部スイッチﾀｲﾌﾟ</t>
    </r>
    <rPh sb="19" eb="21">
      <t>ナイブ</t>
    </rPh>
    <phoneticPr fontId="2"/>
  </si>
  <si>
    <t>ダイドー株式会社　横浜営業所</t>
    <rPh sb="4" eb="8">
      <t>カブシキガイシャ</t>
    </rPh>
    <rPh sb="11" eb="14">
      <t>エイギョウショ</t>
    </rPh>
    <phoneticPr fontId="2"/>
  </si>
  <si>
    <t>山澤</t>
    <rPh sb="0" eb="2">
      <t>ヤマサワ</t>
    </rPh>
    <phoneticPr fontId="9"/>
  </si>
  <si>
    <t>②</t>
    <phoneticPr fontId="11"/>
  </si>
  <si>
    <t>ﾂｰﾙ治具</t>
    <rPh sb="3" eb="5">
      <t>ジグ</t>
    </rPh>
    <phoneticPr fontId="2"/>
  </si>
  <si>
    <t>SETB0200-Y01　断熱板ｽﾍﾟｰｻ　P1-NPLA-23348940:1</t>
    <phoneticPr fontId="25"/>
  </si>
  <si>
    <t>P1-NPLA-23348940</t>
    <phoneticPr fontId="25"/>
  </si>
  <si>
    <t>SETB0200-Y02 補強L字ﾌﾞﾗｹｯﾄ</t>
  </si>
  <si>
    <t>SBCB4-8</t>
    <phoneticPr fontId="25"/>
  </si>
  <si>
    <t>SBCB5-8</t>
    <phoneticPr fontId="25"/>
  </si>
  <si>
    <t xml:space="preserve"> 六角穴付ボタンボルト　M5×8</t>
    <phoneticPr fontId="25"/>
  </si>
  <si>
    <t>SETB0200-Y03 ﾛﾎﾞｯﾄ固定ﾌﾞﾗｹｯﾄ</t>
    <phoneticPr fontId="25"/>
  </si>
  <si>
    <t>AJPNGB4-P5.98-B6.0-G1-GC</t>
    <phoneticPr fontId="25"/>
  </si>
  <si>
    <t>CBSST5-16</t>
    <phoneticPr fontId="25"/>
  </si>
  <si>
    <t>MS3-10</t>
    <phoneticPr fontId="25"/>
  </si>
  <si>
    <t xml:space="preserve"> ノックピン</t>
    <phoneticPr fontId="25"/>
  </si>
  <si>
    <t>meviy</t>
    <phoneticPr fontId="25"/>
  </si>
  <si>
    <t>ﾐｽﾐ</t>
    <phoneticPr fontId="25"/>
  </si>
  <si>
    <t xml:space="preserve">SBCB4-8 </t>
    <phoneticPr fontId="25"/>
  </si>
  <si>
    <t>SBCB4-8 六角穴付ボタンボルト:</t>
    <phoneticPr fontId="25"/>
  </si>
  <si>
    <t>SETB0200-Y05  3ccｼﾘﾝｼﾞﾎﾙﾀﾞ</t>
    <phoneticPr fontId="25"/>
  </si>
  <si>
    <t>SETB0200-Y04 　3ccｼﾘﾝｼﾞﾎﾙﾀﾞﾌﾞﾗｹｯﾄ</t>
    <phoneticPr fontId="25"/>
  </si>
  <si>
    <t>CRKB4-8</t>
    <phoneticPr fontId="25"/>
  </si>
  <si>
    <t>LRLMF4-A12-L8-D8</t>
    <phoneticPr fontId="25"/>
  </si>
  <si>
    <t>SCB3-18</t>
    <phoneticPr fontId="25"/>
  </si>
  <si>
    <t>MVBLK-AMW-3MB-JEHEG</t>
    <phoneticPr fontId="25"/>
  </si>
  <si>
    <t>MVSHM-3N03052-3MB-S8AM4</t>
    <phoneticPr fontId="25"/>
  </si>
  <si>
    <t>MVSHM-3N03050-3MB-BK1GK</t>
    <phoneticPr fontId="25"/>
  </si>
  <si>
    <t>MVBLK-POW-3MB-STT2W</t>
    <phoneticPr fontId="25"/>
  </si>
  <si>
    <t>6日目</t>
    <rPh sb="1" eb="2">
      <t>ヒ</t>
    </rPh>
    <rPh sb="2" eb="3">
      <t>メ</t>
    </rPh>
    <phoneticPr fontId="25"/>
  </si>
  <si>
    <t>8日目</t>
    <rPh sb="1" eb="2">
      <t>ヒ</t>
    </rPh>
    <rPh sb="2" eb="3">
      <t>メ</t>
    </rPh>
    <phoneticPr fontId="25"/>
  </si>
  <si>
    <t>3日目</t>
    <rPh sb="1" eb="2">
      <t>ヒ</t>
    </rPh>
    <rPh sb="2" eb="3">
      <t>メ</t>
    </rPh>
    <phoneticPr fontId="25"/>
  </si>
  <si>
    <t>1日目</t>
    <rPh sb="1" eb="2">
      <t>ヒ</t>
    </rPh>
    <rPh sb="2" eb="3">
      <t>メ</t>
    </rPh>
    <phoneticPr fontId="25"/>
  </si>
  <si>
    <t>4日目</t>
    <rPh sb="1" eb="2">
      <t>ヒ</t>
    </rPh>
    <rPh sb="2" eb="3">
      <t>メ</t>
    </rPh>
    <phoneticPr fontId="25"/>
  </si>
  <si>
    <t>位置決めピン 高硬度ステンレス</t>
    <phoneticPr fontId="25"/>
  </si>
  <si>
    <t>低頭六角穴付ボルト</t>
    <phoneticPr fontId="25"/>
  </si>
  <si>
    <t>樹脂ローレット付ねじ-単品</t>
    <phoneticPr fontId="25"/>
  </si>
  <si>
    <t>全長指定長尺ローレット付ボルト</t>
    <phoneticPr fontId="25"/>
  </si>
  <si>
    <t>5日目</t>
    <rPh sb="1" eb="2">
      <t>ヒ</t>
    </rPh>
    <rPh sb="2" eb="3">
      <t>メ</t>
    </rPh>
    <phoneticPr fontId="25"/>
  </si>
  <si>
    <t>六角穴付ボルト　　2本</t>
    <rPh sb="10" eb="11">
      <t>ホン</t>
    </rPh>
    <phoneticPr fontId="25"/>
  </si>
  <si>
    <t>ケーブルベア　関連</t>
    <rPh sb="7" eb="9">
      <t>カンレン</t>
    </rPh>
    <phoneticPr fontId="2"/>
  </si>
  <si>
    <t>meviy</t>
    <phoneticPr fontId="2"/>
  </si>
  <si>
    <t>ミスミ</t>
    <phoneticPr fontId="2"/>
  </si>
  <si>
    <t>MVSHM-3N02052013017-2D1-ARXWG</t>
    <phoneticPr fontId="2"/>
  </si>
  <si>
    <t>159096-Z002　ケーブルベアヘッド横板金</t>
    <rPh sb="21" eb="22">
      <t>ヨコ</t>
    </rPh>
    <rPh sb="22" eb="24">
      <t>バンキン</t>
    </rPh>
    <phoneticPr fontId="2"/>
  </si>
  <si>
    <t>MVBLK-AMW-JPA226DKY111AB</t>
    <phoneticPr fontId="2"/>
  </si>
  <si>
    <t>159096-Z003　ケーブルベア下板</t>
    <rPh sb="18" eb="20">
      <t>シタイタ</t>
    </rPh>
    <phoneticPr fontId="2"/>
  </si>
  <si>
    <t>SZ16F-2-060-20</t>
    <phoneticPr fontId="2"/>
  </si>
  <si>
    <t>ケーブルベア</t>
    <phoneticPr fontId="2"/>
  </si>
  <si>
    <t>SFB5-8</t>
    <phoneticPr fontId="2"/>
  </si>
  <si>
    <t>六角穴付皿ボルト　M5×8mm</t>
    <phoneticPr fontId="2"/>
  </si>
  <si>
    <t>SLBNR5</t>
    <phoneticPr fontId="2"/>
  </si>
  <si>
    <t>M5ﾅｯﾄ</t>
    <phoneticPr fontId="2"/>
  </si>
  <si>
    <t>SCB4-16</t>
    <phoneticPr fontId="2"/>
  </si>
  <si>
    <t>六角穴付きﾎﾞﾙﾄ　 (M4×16)　　2本</t>
    <rPh sb="21" eb="22">
      <t>ホン</t>
    </rPh>
    <phoneticPr fontId="2"/>
  </si>
  <si>
    <t>I/Oケーブル　関連</t>
    <rPh sb="8" eb="10">
      <t>カンレン</t>
    </rPh>
    <phoneticPr fontId="2"/>
  </si>
  <si>
    <t>KCC7-8000-210226-409</t>
    <phoneticPr fontId="25"/>
  </si>
  <si>
    <t>MVSHM-3N02052005020-2D1-AN79X</t>
    <phoneticPr fontId="2"/>
  </si>
  <si>
    <t>158930－Z001　レギュレーター取付板金</t>
    <phoneticPr fontId="2"/>
  </si>
  <si>
    <t>CHNS4</t>
    <phoneticPr fontId="2"/>
  </si>
  <si>
    <t>蝶ﾅｯﾄ</t>
    <phoneticPr fontId="2"/>
  </si>
  <si>
    <t>RSCB4-15</t>
    <phoneticPr fontId="2"/>
  </si>
  <si>
    <t>六角ﾎﾞﾙﾄ</t>
    <phoneticPr fontId="2"/>
  </si>
  <si>
    <t>SCB4-6</t>
    <phoneticPr fontId="2"/>
  </si>
  <si>
    <r>
      <t xml:space="preserve">六角穴付きﾎﾞﾙﾄ　M4×6mm </t>
    </r>
    <r>
      <rPr>
        <b/>
        <sz val="11"/>
        <color indexed="10"/>
        <rFont val="ＭＳ Ｐゴシック"/>
        <family val="3"/>
        <charset val="128"/>
      </rPr>
      <t>2本</t>
    </r>
    <rPh sb="18" eb="19">
      <t>ホン</t>
    </rPh>
    <phoneticPr fontId="2"/>
  </si>
  <si>
    <t>Keyenceｾﾝｻｰｱﾝﾌﾟ固定用とﾚｷﾞｭﾚｰﾀ固定用</t>
    <phoneticPr fontId="25"/>
  </si>
  <si>
    <t>ｶｰﾄﾘｯﾁ取り換えﾂｰﾙ治具受けﾕﾆｯﾄ</t>
    <phoneticPr fontId="25"/>
  </si>
  <si>
    <t>MVBLK-AMW-3MX-C41BL</t>
    <phoneticPr fontId="25"/>
  </si>
  <si>
    <t>SETB0200-Z01　ｶｰﾄﾘｯﾁ取り換えﾂｰﾙ治具受けﾍﾞｰｽ</t>
    <phoneticPr fontId="25"/>
  </si>
  <si>
    <t>WP4406DD6300</t>
    <phoneticPr fontId="25"/>
  </si>
  <si>
    <t>ALSBG10-76.5-M5-N6</t>
    <phoneticPr fontId="25"/>
  </si>
  <si>
    <t>六角支柱－片端おねじ片端めねじ</t>
    <phoneticPr fontId="25"/>
  </si>
  <si>
    <t>WP4406DDC700</t>
    <phoneticPr fontId="25"/>
  </si>
  <si>
    <t>FJSMS12-70-S</t>
    <phoneticPr fontId="25"/>
  </si>
  <si>
    <t>ラバーベースアジャスタ</t>
    <phoneticPr fontId="25"/>
  </si>
  <si>
    <t>FJTP12-60</t>
    <phoneticPr fontId="25"/>
  </si>
  <si>
    <t>アジャスタパッド用取付ナット</t>
    <phoneticPr fontId="25"/>
  </si>
  <si>
    <t>FWRBFA-D45-V15-T3</t>
    <phoneticPr fontId="25"/>
  </si>
  <si>
    <t>ゴムワッシャ　フッ素ゴム</t>
    <rPh sb="9" eb="10">
      <t>ソ</t>
    </rPh>
    <phoneticPr fontId="25"/>
  </si>
  <si>
    <t>SCB4-8</t>
    <phoneticPr fontId="2"/>
  </si>
  <si>
    <r>
      <t xml:space="preserve">六角穴付きﾎﾞﾙﾄ　M4×8mm </t>
    </r>
    <r>
      <rPr>
        <b/>
        <sz val="11"/>
        <color rgb="FFFF0000"/>
        <rFont val="ＭＳ Ｐゴシック"/>
        <family val="3"/>
        <charset val="128"/>
        <scheme val="minor"/>
      </rPr>
      <t>4</t>
    </r>
    <r>
      <rPr>
        <b/>
        <sz val="11"/>
        <color indexed="10"/>
        <rFont val="ＭＳ Ｐゴシック"/>
        <family val="3"/>
        <charset val="128"/>
      </rPr>
      <t>本</t>
    </r>
    <rPh sb="18" eb="19">
      <t>ホン</t>
    </rPh>
    <phoneticPr fontId="2"/>
  </si>
  <si>
    <t>SCB6-10</t>
    <phoneticPr fontId="2"/>
  </si>
  <si>
    <r>
      <t xml:space="preserve">六角穴付きﾎﾞﾙﾄ　M6×10mm </t>
    </r>
    <r>
      <rPr>
        <b/>
        <sz val="11"/>
        <color rgb="FFFF0000"/>
        <rFont val="ＭＳ Ｐゴシック"/>
        <family val="3"/>
        <charset val="128"/>
        <scheme val="minor"/>
      </rPr>
      <t>4</t>
    </r>
    <r>
      <rPr>
        <b/>
        <sz val="11"/>
        <color indexed="10"/>
        <rFont val="ＭＳ Ｐゴシック"/>
        <family val="3"/>
        <charset val="128"/>
      </rPr>
      <t>本</t>
    </r>
    <rPh sb="19" eb="20">
      <t>ホン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</si>
</sst>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</numFmts>
  <fonts count="27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1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2" xfId="0" applyFont="1" applyBorder="1">
      <alignment vertical="center"/>
    </xf>
    <xf numFmtId="3" fontId="0" fillId="4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vertical="center" shrinkToFit="1"/>
    </xf>
    <xf numFmtId="0" fontId="20" fillId="0" borderId="2" xfId="0" applyFont="1" applyBorder="1">
      <alignment vertical="center"/>
    </xf>
    <xf numFmtId="176" fontId="16" fillId="6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6" fillId="0" borderId="2" xfId="0" applyNumberFormat="1" applyFont="1" applyBorder="1">
      <alignment vertical="center"/>
    </xf>
    <xf numFmtId="180" fontId="16" fillId="4" borderId="2" xfId="0" applyNumberFormat="1" applyFont="1" applyFill="1" applyBorder="1">
      <alignment vertical="center"/>
    </xf>
    <xf numFmtId="0" fontId="21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" fontId="15" fillId="7" borderId="1" xfId="0" applyNumberFormat="1" applyFont="1" applyFill="1" applyBorder="1" applyAlignment="1">
      <alignment horizontal="center" vertical="center"/>
    </xf>
    <xf numFmtId="3" fontId="15" fillId="7" borderId="4" xfId="0" applyNumberFormat="1" applyFont="1" applyFill="1" applyBorder="1" applyAlignment="1">
      <alignment horizontal="center" vertical="center"/>
    </xf>
    <xf numFmtId="3" fontId="15" fillId="7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22" fillId="0" borderId="2" xfId="3" applyFont="1" applyBorder="1" applyAlignment="1">
      <alignment vertical="center"/>
    </xf>
    <xf numFmtId="3" fontId="8" fillId="8" borderId="2" xfId="0" applyNumberFormat="1" applyFont="1" applyFill="1" applyBorder="1" applyAlignment="1">
      <alignment horizontal="center" vertical="center"/>
    </xf>
    <xf numFmtId="0" fontId="6" fillId="8" borderId="3" xfId="3" applyFill="1" applyBorder="1" applyAlignment="1">
      <alignment horizontal="left" vertical="center"/>
    </xf>
    <xf numFmtId="0" fontId="6" fillId="8" borderId="2" xfId="3" applyFill="1" applyBorder="1" applyAlignment="1">
      <alignment horizontal="center" vertical="center"/>
    </xf>
    <xf numFmtId="5" fontId="17" fillId="8" borderId="1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right" vertical="center"/>
    </xf>
    <xf numFmtId="5" fontId="17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2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176" fontId="17" fillId="0" borderId="2" xfId="0" applyNumberFormat="1" applyFont="1" applyBorder="1" applyAlignment="1"/>
    <xf numFmtId="180" fontId="6" fillId="0" borderId="2" xfId="3" applyNumberFormat="1" applyBorder="1" applyAlignment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left" vertical="center"/>
    </xf>
    <xf numFmtId="3" fontId="0" fillId="9" borderId="2" xfId="0" applyNumberForma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3" fontId="15" fillId="7" borderId="2" xfId="0" applyNumberFormat="1" applyFont="1" applyFill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3" fontId="0" fillId="11" borderId="2" xfId="0" applyNumberFormat="1" applyFill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left" vertical="center"/>
    </xf>
    <xf numFmtId="3" fontId="14" fillId="7" borderId="4" xfId="0" applyNumberFormat="1" applyFont="1" applyFill="1" applyBorder="1" applyAlignment="1">
      <alignment horizontal="center" vertical="center"/>
    </xf>
    <xf numFmtId="3" fontId="14" fillId="7" borderId="3" xfId="0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16" fillId="0" borderId="2" xfId="0" applyNumberFormat="1" applyFont="1" applyBorder="1" applyAlignment="1">
      <alignment horizontal="left" vertical="center"/>
    </xf>
    <xf numFmtId="38" fontId="0" fillId="0" borderId="2" xfId="0" applyNumberFormat="1" applyBorder="1">
      <alignment vertical="center"/>
    </xf>
    <xf numFmtId="176" fontId="16" fillId="0" borderId="2" xfId="0" applyNumberFormat="1" applyFont="1" applyBorder="1">
      <alignment vertical="center"/>
    </xf>
    <xf numFmtId="3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181" fontId="0" fillId="0" borderId="2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8" fontId="16" fillId="0" borderId="2" xfId="0" applyNumberFormat="1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44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02B8B0-166C-42C3-89D5-81F226D71DFA}" name="テーブル11928292" displayName="テーブル11928292" ref="A8:S187" totalsRowShown="0" dataDxfId="42" headerRowBorderDxfId="43" tableBorderDxfId="41">
  <autoFilter ref="A8:S187" xr:uid="{00000000-0009-0000-0100-00001C000000}"/>
  <tableColumns count="19">
    <tableColumn id="1" xr3:uid="{2B2A83CF-1BD9-4989-98C3-A29F1E675954}" name="列1" dataDxfId="40"/>
    <tableColumn id="19" xr3:uid="{B6210D70-E150-4DAE-A3F0-6ADB108B81F9}" name="列19" dataDxfId="39"/>
    <tableColumn id="2" xr3:uid="{F6E908DD-E5AB-4D76-9006-079AE1161FEB}" name="列2" dataDxfId="38"/>
    <tableColumn id="3" xr3:uid="{E44EBA48-F78E-408F-B4D5-295A38CDD11B}" name="列3" dataDxfId="37"/>
    <tableColumn id="4" xr3:uid="{A1667926-457B-4887-8722-7EB0463AA666}" name="列4" dataDxfId="36"/>
    <tableColumn id="5" xr3:uid="{58E2D5D8-1FB1-4DD6-A66A-1BF114D2DB95}" name="列5" dataDxfId="35"/>
    <tableColumn id="6" xr3:uid="{0399B76E-97F2-4D6B-BC07-4E0CC3EE47B3}" name="列6" dataDxfId="34"/>
    <tableColumn id="7" xr3:uid="{8BFDB64F-DFB6-4069-9802-8269499714F0}" name="列7" dataDxfId="33"/>
    <tableColumn id="8" xr3:uid="{EE46C64B-ACBD-4AB9-B135-E40A00DA8C38}" name="列8" dataDxfId="32"/>
    <tableColumn id="9" xr3:uid="{2596ABD3-8C00-4BDA-B817-F46FAF7D4558}" name="列9" dataDxfId="31"/>
    <tableColumn id="10" xr3:uid="{2FD2C663-1E02-4BA7-9C0D-749F5D8DA8A6}" name="列10" dataDxfId="30"/>
    <tableColumn id="11" xr3:uid="{698AC7C6-0ED5-4737-9D7A-A258473DFC81}" name="列11" dataDxfId="29"/>
    <tableColumn id="12" xr3:uid="{932614F5-7AB3-45FA-B57B-B027FA3584D9}" name="列12" dataDxfId="28"/>
    <tableColumn id="13" xr3:uid="{17AF7E37-060B-49EB-A628-7BB4408FCAAC}" name="列13" dataDxfId="27"/>
    <tableColumn id="14" xr3:uid="{C5A232C1-C195-43EE-B64A-4520B1B9C1FC}" name="列14" dataDxfId="26"/>
    <tableColumn id="15" xr3:uid="{494222DD-842B-4396-A18A-FADA43A5F076}" name="列15" dataDxfId="25"/>
    <tableColumn id="16" xr3:uid="{0533E101-9BAC-44E3-8373-6B0D37F056D3}" name="列16" dataDxfId="24"/>
    <tableColumn id="17" xr3:uid="{D134E293-451D-423F-B2FF-6AE9231B62E2}" name="列17" dataDxfId="23"/>
    <tableColumn id="18" xr3:uid="{A50F9CF6-687D-4342-A7A0-412A3EDAAE6A}" name="列18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143" totalsRowShown="0" dataDxfId="20" headerRowBorderDxfId="21" tableBorderDxfId="19">
  <autoFilter ref="A8:S143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12E9-1D45-4331-82AB-9BC0DE600592}">
  <sheetPr>
    <tabColor rgb="FFFFC000"/>
  </sheetPr>
  <dimension ref="A2:S188"/>
  <sheetViews>
    <sheetView tabSelected="1" zoomScale="85" zoomScaleNormal="85" workbookViewId="0">
      <pane xSplit="12" ySplit="8" topLeftCell="P54" activePane="bottomRight" state="frozen"/>
      <selection pane="topRight" activeCell="K1" sqref="K1"/>
      <selection pane="bottomLeft" activeCell="A9" sqref="A9"/>
      <selection pane="bottomRight" activeCell="S57" sqref="S57"/>
    </sheetView>
  </sheetViews>
  <sheetFormatPr defaultRowHeight="13.5" x14ac:dyDescent="0.15"/>
  <cols>
    <col min="3" max="3" width="9.125" customWidth="1"/>
    <col min="4" max="4" width="6.25" style="2" customWidth="1"/>
    <col min="5" max="6" width="15.875" customWidth="1"/>
    <col min="7" max="7" width="64.125" customWidth="1"/>
    <col min="8" max="8" width="6.25" customWidth="1"/>
    <col min="9" max="10" width="9.875" style="2" bestFit="1" customWidth="1"/>
    <col min="11" max="11" width="7.375" style="40" customWidth="1"/>
    <col min="12" max="12" width="47.87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111" t="s">
        <v>11</v>
      </c>
      <c r="E2" s="111"/>
      <c r="F2" s="111"/>
      <c r="G2" s="7" t="s">
        <v>65</v>
      </c>
      <c r="I2" s="112" t="s">
        <v>14</v>
      </c>
      <c r="J2" s="113"/>
      <c r="K2" s="114"/>
      <c r="L2" s="5">
        <f>SUM(J:J)</f>
        <v>83887</v>
      </c>
    </row>
    <row r="3" spans="1:19" ht="20.100000000000001" customHeight="1" x14ac:dyDescent="0.15">
      <c r="D3" s="111" t="s">
        <v>10</v>
      </c>
      <c r="E3" s="111"/>
      <c r="F3" s="111"/>
      <c r="G3" s="3" t="s">
        <v>66</v>
      </c>
      <c r="J3" s="115" t="s">
        <v>62</v>
      </c>
      <c r="K3" s="115"/>
      <c r="L3" s="115"/>
      <c r="M3" s="115"/>
    </row>
    <row r="4" spans="1:19" ht="20.100000000000001" customHeight="1" x14ac:dyDescent="0.15">
      <c r="D4" s="111" t="s">
        <v>21</v>
      </c>
      <c r="E4" s="111"/>
      <c r="F4" s="111"/>
      <c r="G4" s="3" t="s">
        <v>61</v>
      </c>
      <c r="I4" s="116" t="s">
        <v>67</v>
      </c>
      <c r="J4" s="115"/>
      <c r="K4" s="115"/>
      <c r="L4" s="115"/>
      <c r="M4" s="115"/>
    </row>
    <row r="5" spans="1:19" ht="20.100000000000001" customHeight="1" x14ac:dyDescent="0.15">
      <c r="D5" s="111" t="s">
        <v>12</v>
      </c>
      <c r="E5" s="111"/>
      <c r="F5" s="111"/>
      <c r="G5" s="4">
        <v>45315</v>
      </c>
      <c r="I5" s="117"/>
      <c r="J5" s="51"/>
    </row>
    <row r="6" spans="1:19" ht="20.100000000000001" customHeight="1" x14ac:dyDescent="0.15">
      <c r="D6" s="111" t="s">
        <v>13</v>
      </c>
      <c r="E6" s="111"/>
      <c r="F6" s="111"/>
      <c r="G6" s="4">
        <v>45316</v>
      </c>
      <c r="J6" s="40"/>
    </row>
    <row r="8" spans="1:19" s="2" customFormat="1" ht="19.7" customHeight="1" x14ac:dyDescent="0.15">
      <c r="A8" s="47" t="s">
        <v>32</v>
      </c>
      <c r="B8" s="47" t="s">
        <v>52</v>
      </c>
      <c r="C8" s="47" t="s">
        <v>33</v>
      </c>
      <c r="D8" s="68" t="s">
        <v>34</v>
      </c>
      <c r="E8" s="68" t="s">
        <v>35</v>
      </c>
      <c r="F8" s="68" t="s">
        <v>36</v>
      </c>
      <c r="G8" s="47" t="s">
        <v>37</v>
      </c>
      <c r="H8" s="69" t="s">
        <v>38</v>
      </c>
      <c r="I8" s="47" t="s">
        <v>39</v>
      </c>
      <c r="J8" s="70" t="s">
        <v>40</v>
      </c>
      <c r="K8" s="71" t="s">
        <v>41</v>
      </c>
      <c r="L8" s="47" t="s">
        <v>42</v>
      </c>
      <c r="M8" s="47" t="s">
        <v>43</v>
      </c>
      <c r="N8" s="47" t="s">
        <v>44</v>
      </c>
      <c r="O8" s="72" t="s">
        <v>45</v>
      </c>
      <c r="P8" s="68" t="s">
        <v>46</v>
      </c>
      <c r="Q8" s="47" t="s">
        <v>47</v>
      </c>
      <c r="R8" s="72" t="s">
        <v>48</v>
      </c>
      <c r="S8" s="73" t="s">
        <v>49</v>
      </c>
    </row>
    <row r="9" spans="1:19" s="2" customFormat="1" ht="19.7" customHeight="1" x14ac:dyDescent="0.15">
      <c r="A9" s="16" t="s">
        <v>31</v>
      </c>
      <c r="B9" s="16"/>
      <c r="C9" s="16" t="s">
        <v>30</v>
      </c>
      <c r="D9" s="15" t="s">
        <v>4</v>
      </c>
      <c r="E9" s="15" t="s">
        <v>9</v>
      </c>
      <c r="F9" s="15" t="s">
        <v>5</v>
      </c>
      <c r="G9" s="16" t="s">
        <v>8</v>
      </c>
      <c r="H9" s="20" t="s">
        <v>0</v>
      </c>
      <c r="I9" s="16" t="s">
        <v>1</v>
      </c>
      <c r="J9" s="1" t="s">
        <v>2</v>
      </c>
      <c r="K9" s="4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67" t="s">
        <v>20</v>
      </c>
    </row>
    <row r="10" spans="1:19" s="2" customFormat="1" ht="19.7" customHeight="1" x14ac:dyDescent="0.15">
      <c r="D10" s="15"/>
      <c r="E10" s="15"/>
      <c r="F10" s="15"/>
      <c r="G10" s="16"/>
      <c r="H10" s="20"/>
      <c r="I10" s="16"/>
      <c r="J10" s="1"/>
      <c r="K10" s="41"/>
      <c r="L10" s="16"/>
      <c r="M10" s="16"/>
      <c r="N10" s="16"/>
      <c r="O10" s="8"/>
      <c r="P10" s="15"/>
      <c r="Q10" s="16"/>
      <c r="R10" s="8"/>
      <c r="S10" s="67"/>
    </row>
    <row r="11" spans="1:19" s="2" customFormat="1" ht="19.7" customHeight="1" x14ac:dyDescent="0.15">
      <c r="D11" s="15"/>
      <c r="E11" s="54" t="s">
        <v>68</v>
      </c>
      <c r="F11" s="55"/>
      <c r="G11" s="56"/>
      <c r="H11" s="16"/>
      <c r="I11" s="16"/>
      <c r="J11" s="1"/>
      <c r="K11" s="41"/>
      <c r="L11" s="16"/>
      <c r="M11" s="16"/>
      <c r="N11" s="16"/>
      <c r="O11" s="8"/>
      <c r="P11" s="15"/>
      <c r="Q11" s="16"/>
      <c r="R11" s="8"/>
      <c r="S11" s="67"/>
    </row>
    <row r="12" spans="1:19" s="2" customFormat="1" ht="19.7" customHeight="1" x14ac:dyDescent="0.15">
      <c r="A12" s="2" t="s">
        <v>95</v>
      </c>
      <c r="B12" s="16"/>
      <c r="C12" s="110">
        <v>6</v>
      </c>
      <c r="D12" s="82">
        <v>1</v>
      </c>
      <c r="E12" s="92" t="s">
        <v>80</v>
      </c>
      <c r="F12" s="15" t="s">
        <v>81</v>
      </c>
      <c r="G12" s="91" t="s">
        <v>70</v>
      </c>
      <c r="H12" s="48">
        <v>1</v>
      </c>
      <c r="I12" s="16">
        <v>4902</v>
      </c>
      <c r="J12" s="19">
        <f t="shared" ref="J12:J25" si="0">H12*I12</f>
        <v>4902</v>
      </c>
      <c r="K12" s="41"/>
      <c r="L12" s="17" t="s">
        <v>69</v>
      </c>
      <c r="M12" s="16"/>
      <c r="N12" s="16"/>
      <c r="O12" s="8">
        <v>45300</v>
      </c>
      <c r="P12" s="15"/>
      <c r="Q12" s="16"/>
      <c r="R12" s="8">
        <v>45314</v>
      </c>
      <c r="S12" s="67">
        <v>45314</v>
      </c>
    </row>
    <row r="13" spans="1:19" s="2" customFormat="1" ht="19.7" customHeight="1" x14ac:dyDescent="0.15">
      <c r="A13" s="2" t="s">
        <v>95</v>
      </c>
      <c r="B13" s="16"/>
      <c r="C13" s="110">
        <v>6</v>
      </c>
      <c r="D13" s="82">
        <f>+D12+1</f>
        <v>2</v>
      </c>
      <c r="E13" s="92" t="s">
        <v>80</v>
      </c>
      <c r="F13" s="15" t="s">
        <v>81</v>
      </c>
      <c r="G13" s="91" t="s">
        <v>91</v>
      </c>
      <c r="H13" s="48">
        <v>1</v>
      </c>
      <c r="I13" s="16">
        <v>2210</v>
      </c>
      <c r="J13" s="19">
        <f t="shared" si="0"/>
        <v>2210</v>
      </c>
      <c r="K13" s="41"/>
      <c r="L13" s="17" t="s">
        <v>71</v>
      </c>
      <c r="M13" s="16"/>
      <c r="N13" s="16"/>
      <c r="O13" s="8">
        <v>45300</v>
      </c>
      <c r="P13" s="15"/>
      <c r="Q13" s="16"/>
      <c r="R13" s="8">
        <v>45314</v>
      </c>
      <c r="S13" s="67">
        <v>45314</v>
      </c>
    </row>
    <row r="14" spans="1:19" s="2" customFormat="1" ht="19.7" customHeight="1" x14ac:dyDescent="0.15">
      <c r="A14" s="2" t="s">
        <v>96</v>
      </c>
      <c r="C14" s="110">
        <v>6</v>
      </c>
      <c r="D14" s="82">
        <f t="shared" ref="D14:D25" si="1">+D13+1</f>
        <v>3</v>
      </c>
      <c r="E14" s="15" t="s">
        <v>81</v>
      </c>
      <c r="F14" s="15" t="s">
        <v>81</v>
      </c>
      <c r="G14" s="91" t="s">
        <v>72</v>
      </c>
      <c r="H14" s="48">
        <v>3</v>
      </c>
      <c r="I14" s="16">
        <v>29</v>
      </c>
      <c r="J14" s="19">
        <f t="shared" si="0"/>
        <v>87</v>
      </c>
      <c r="K14" s="41"/>
      <c r="L14" s="17" t="s">
        <v>83</v>
      </c>
      <c r="M14" s="16"/>
      <c r="N14" s="16"/>
      <c r="O14" s="8">
        <v>45300</v>
      </c>
      <c r="P14" s="15"/>
      <c r="Q14" s="16"/>
      <c r="R14" s="8">
        <v>45314</v>
      </c>
      <c r="S14" s="67">
        <v>45314</v>
      </c>
    </row>
    <row r="15" spans="1:19" s="2" customFormat="1" ht="19.7" customHeight="1" x14ac:dyDescent="0.15">
      <c r="A15" s="2" t="s">
        <v>96</v>
      </c>
      <c r="C15" s="110">
        <v>6</v>
      </c>
      <c r="D15" s="82">
        <f t="shared" si="1"/>
        <v>4</v>
      </c>
      <c r="E15" s="15" t="s">
        <v>81</v>
      </c>
      <c r="F15" s="15" t="s">
        <v>81</v>
      </c>
      <c r="G15" s="91" t="s">
        <v>73</v>
      </c>
      <c r="H15" s="48">
        <v>3</v>
      </c>
      <c r="I15" s="16">
        <v>41</v>
      </c>
      <c r="J15" s="19">
        <f t="shared" si="0"/>
        <v>123</v>
      </c>
      <c r="K15" s="41"/>
      <c r="L15" s="17" t="s">
        <v>74</v>
      </c>
      <c r="M15" s="16"/>
      <c r="N15" s="16"/>
      <c r="O15" s="8">
        <v>45300</v>
      </c>
      <c r="P15" s="15"/>
      <c r="Q15" s="16"/>
      <c r="R15" s="8">
        <v>45314</v>
      </c>
      <c r="S15" s="67">
        <v>45314</v>
      </c>
    </row>
    <row r="16" spans="1:19" s="2" customFormat="1" ht="19.7" customHeight="1" x14ac:dyDescent="0.15">
      <c r="A16" s="2" t="s">
        <v>94</v>
      </c>
      <c r="C16" s="110">
        <v>6</v>
      </c>
      <c r="D16" s="82">
        <f t="shared" si="1"/>
        <v>5</v>
      </c>
      <c r="E16" s="92" t="s">
        <v>80</v>
      </c>
      <c r="F16" s="15" t="s">
        <v>81</v>
      </c>
      <c r="G16" s="91" t="s">
        <v>89</v>
      </c>
      <c r="H16" s="48">
        <v>1</v>
      </c>
      <c r="I16" s="16">
        <v>18555</v>
      </c>
      <c r="J16" s="19">
        <f t="shared" si="0"/>
        <v>18555</v>
      </c>
      <c r="K16" s="41"/>
      <c r="L16" s="17" t="s">
        <v>75</v>
      </c>
      <c r="M16" s="16"/>
      <c r="N16" s="16"/>
      <c r="O16" s="8">
        <v>45300</v>
      </c>
      <c r="P16" s="15"/>
      <c r="Q16" s="16"/>
      <c r="R16" s="8">
        <v>45314</v>
      </c>
      <c r="S16" s="67">
        <v>45314</v>
      </c>
    </row>
    <row r="17" spans="1:19" s="2" customFormat="1" ht="19.7" customHeight="1" x14ac:dyDescent="0.15">
      <c r="A17" s="2" t="s">
        <v>97</v>
      </c>
      <c r="C17" s="110">
        <v>6</v>
      </c>
      <c r="D17" s="82">
        <f t="shared" si="1"/>
        <v>6</v>
      </c>
      <c r="E17" s="15" t="s">
        <v>81</v>
      </c>
      <c r="F17" s="15" t="s">
        <v>81</v>
      </c>
      <c r="G17" s="91" t="s">
        <v>76</v>
      </c>
      <c r="H17" s="48">
        <v>2</v>
      </c>
      <c r="I17" s="16">
        <v>700</v>
      </c>
      <c r="J17" s="19">
        <f t="shared" si="0"/>
        <v>1400</v>
      </c>
      <c r="K17" s="41"/>
      <c r="L17" s="17" t="s">
        <v>98</v>
      </c>
      <c r="M17" s="16"/>
      <c r="N17" s="16"/>
      <c r="O17" s="8">
        <v>45300</v>
      </c>
      <c r="P17" s="15"/>
      <c r="Q17" s="16"/>
      <c r="R17" s="8">
        <v>45314</v>
      </c>
      <c r="S17" s="67">
        <v>45314</v>
      </c>
    </row>
    <row r="18" spans="1:19" s="2" customFormat="1" ht="19.7" customHeight="1" x14ac:dyDescent="0.15">
      <c r="A18" s="2" t="s">
        <v>96</v>
      </c>
      <c r="C18" s="110">
        <v>6</v>
      </c>
      <c r="D18" s="82">
        <f t="shared" si="1"/>
        <v>7</v>
      </c>
      <c r="E18" s="15" t="s">
        <v>81</v>
      </c>
      <c r="F18" s="15" t="s">
        <v>81</v>
      </c>
      <c r="G18" s="91" t="s">
        <v>77</v>
      </c>
      <c r="H18" s="48">
        <v>5</v>
      </c>
      <c r="I18" s="16">
        <v>60</v>
      </c>
      <c r="J18" s="19">
        <f t="shared" si="0"/>
        <v>300</v>
      </c>
      <c r="K18" s="41"/>
      <c r="L18" s="17" t="s">
        <v>99</v>
      </c>
      <c r="M18" s="16"/>
      <c r="N18" s="16"/>
      <c r="O18" s="8">
        <v>45300</v>
      </c>
      <c r="P18" s="15"/>
      <c r="Q18" s="16"/>
      <c r="R18" s="8">
        <v>45314</v>
      </c>
      <c r="S18" s="67">
        <v>45314</v>
      </c>
    </row>
    <row r="19" spans="1:19" s="2" customFormat="1" ht="19.7" customHeight="1" x14ac:dyDescent="0.15">
      <c r="A19" s="2" t="s">
        <v>96</v>
      </c>
      <c r="C19" s="110">
        <v>6</v>
      </c>
      <c r="D19" s="82">
        <f t="shared" si="1"/>
        <v>8</v>
      </c>
      <c r="E19" s="15" t="s">
        <v>81</v>
      </c>
      <c r="F19" s="15" t="s">
        <v>81</v>
      </c>
      <c r="G19" s="91" t="s">
        <v>78</v>
      </c>
      <c r="H19" s="48">
        <v>8</v>
      </c>
      <c r="I19" s="16">
        <v>94</v>
      </c>
      <c r="J19" s="19">
        <f t="shared" si="0"/>
        <v>752</v>
      </c>
      <c r="K19" s="41"/>
      <c r="L19" s="17" t="s">
        <v>79</v>
      </c>
      <c r="M19" s="16"/>
      <c r="N19" s="16"/>
      <c r="O19" s="8">
        <v>45300</v>
      </c>
      <c r="P19" s="15"/>
      <c r="Q19" s="16"/>
      <c r="R19" s="8">
        <v>45314</v>
      </c>
      <c r="S19" s="67">
        <v>45314</v>
      </c>
    </row>
    <row r="20" spans="1:19" s="2" customFormat="1" ht="19.7" customHeight="1" x14ac:dyDescent="0.15">
      <c r="A20" s="2" t="s">
        <v>95</v>
      </c>
      <c r="C20" s="110">
        <v>6</v>
      </c>
      <c r="D20" s="82">
        <f t="shared" si="1"/>
        <v>9</v>
      </c>
      <c r="E20" s="92" t="s">
        <v>80</v>
      </c>
      <c r="F20" s="15" t="s">
        <v>81</v>
      </c>
      <c r="G20" s="91" t="s">
        <v>90</v>
      </c>
      <c r="H20" s="48">
        <v>1</v>
      </c>
      <c r="I20" s="16">
        <v>2440</v>
      </c>
      <c r="J20" s="19">
        <f t="shared" si="0"/>
        <v>2440</v>
      </c>
      <c r="K20" s="41"/>
      <c r="L20" s="17" t="s">
        <v>85</v>
      </c>
      <c r="M20" s="16"/>
      <c r="N20" s="16"/>
      <c r="O20" s="8">
        <v>45300</v>
      </c>
      <c r="P20" s="15"/>
      <c r="Q20" s="16"/>
      <c r="R20" s="8">
        <v>45314</v>
      </c>
      <c r="S20" s="67">
        <v>45314</v>
      </c>
    </row>
    <row r="21" spans="1:19" s="2" customFormat="1" ht="19.7" customHeight="1" x14ac:dyDescent="0.15">
      <c r="A21" s="2" t="s">
        <v>96</v>
      </c>
      <c r="C21" s="110">
        <v>6</v>
      </c>
      <c r="D21" s="82">
        <f t="shared" si="1"/>
        <v>10</v>
      </c>
      <c r="E21" s="15" t="s">
        <v>81</v>
      </c>
      <c r="F21" s="15" t="s">
        <v>81</v>
      </c>
      <c r="G21" s="91" t="s">
        <v>82</v>
      </c>
      <c r="H21" s="48">
        <v>2</v>
      </c>
      <c r="I21" s="16">
        <v>29</v>
      </c>
      <c r="J21" s="19">
        <f t="shared" si="0"/>
        <v>58</v>
      </c>
      <c r="K21" s="41"/>
      <c r="L21" s="17" t="s">
        <v>83</v>
      </c>
      <c r="M21" s="16"/>
      <c r="N21" s="16"/>
      <c r="O21" s="8">
        <v>45300</v>
      </c>
      <c r="P21" s="15"/>
      <c r="Q21" s="16"/>
      <c r="R21" s="8">
        <v>45314</v>
      </c>
      <c r="S21" s="67">
        <v>45314</v>
      </c>
    </row>
    <row r="22" spans="1:19" s="2" customFormat="1" ht="19.7" customHeight="1" x14ac:dyDescent="0.15">
      <c r="A22" s="2" t="s">
        <v>93</v>
      </c>
      <c r="C22" s="110">
        <v>6</v>
      </c>
      <c r="D22" s="82">
        <f t="shared" si="1"/>
        <v>11</v>
      </c>
      <c r="E22" s="92" t="s">
        <v>80</v>
      </c>
      <c r="F22" s="15" t="s">
        <v>81</v>
      </c>
      <c r="G22" s="91" t="s">
        <v>92</v>
      </c>
      <c r="H22" s="48">
        <v>1</v>
      </c>
      <c r="I22" s="16">
        <v>6273</v>
      </c>
      <c r="J22" s="19">
        <f t="shared" si="0"/>
        <v>6273</v>
      </c>
      <c r="K22" s="41"/>
      <c r="L22" s="17" t="s">
        <v>84</v>
      </c>
      <c r="M22" s="16"/>
      <c r="N22" s="16"/>
      <c r="O22" s="8">
        <v>45300</v>
      </c>
      <c r="P22" s="15"/>
      <c r="Q22" s="16"/>
      <c r="R22" s="8">
        <v>45314</v>
      </c>
      <c r="S22" s="67">
        <v>45314</v>
      </c>
    </row>
    <row r="23" spans="1:19" s="2" customFormat="1" ht="19.7" customHeight="1" x14ac:dyDescent="0.15">
      <c r="A23" s="2" t="s">
        <v>96</v>
      </c>
      <c r="C23" s="110">
        <v>6</v>
      </c>
      <c r="D23" s="82">
        <f t="shared" si="1"/>
        <v>12</v>
      </c>
      <c r="E23" s="15" t="s">
        <v>81</v>
      </c>
      <c r="F23" s="15" t="s">
        <v>81</v>
      </c>
      <c r="G23" s="91" t="s">
        <v>86</v>
      </c>
      <c r="H23" s="48">
        <v>1</v>
      </c>
      <c r="I23" s="16">
        <v>70</v>
      </c>
      <c r="J23" s="19">
        <f t="shared" si="0"/>
        <v>70</v>
      </c>
      <c r="K23" s="41"/>
      <c r="L23" s="17" t="s">
        <v>100</v>
      </c>
      <c r="M23" s="16"/>
      <c r="N23" s="16"/>
      <c r="O23" s="8">
        <v>45300</v>
      </c>
      <c r="P23" s="15"/>
      <c r="Q23" s="16"/>
      <c r="R23" s="8">
        <v>45314</v>
      </c>
      <c r="S23" s="67">
        <v>45314</v>
      </c>
    </row>
    <row r="24" spans="1:19" s="2" customFormat="1" ht="19.7" customHeight="1" x14ac:dyDescent="0.15">
      <c r="A24" s="2" t="s">
        <v>102</v>
      </c>
      <c r="C24" s="110">
        <v>6</v>
      </c>
      <c r="D24" s="82">
        <f t="shared" si="1"/>
        <v>13</v>
      </c>
      <c r="E24" s="15" t="s">
        <v>81</v>
      </c>
      <c r="F24" s="15" t="s">
        <v>81</v>
      </c>
      <c r="G24" s="91" t="s">
        <v>87</v>
      </c>
      <c r="H24" s="48">
        <v>1</v>
      </c>
      <c r="I24" s="16">
        <v>1380</v>
      </c>
      <c r="J24" s="19">
        <f t="shared" si="0"/>
        <v>1380</v>
      </c>
      <c r="K24" s="41"/>
      <c r="L24" s="17" t="s">
        <v>101</v>
      </c>
      <c r="M24" s="16"/>
      <c r="N24" s="16"/>
      <c r="O24" s="8">
        <v>45300</v>
      </c>
      <c r="P24" s="15"/>
      <c r="Q24" s="16"/>
      <c r="R24" s="8">
        <v>45314</v>
      </c>
      <c r="S24" s="67">
        <v>45314</v>
      </c>
    </row>
    <row r="25" spans="1:19" s="2" customFormat="1" ht="19.7" customHeight="1" x14ac:dyDescent="0.15">
      <c r="A25" s="2" t="s">
        <v>96</v>
      </c>
      <c r="C25" s="110">
        <v>6</v>
      </c>
      <c r="D25" s="82">
        <f t="shared" si="1"/>
        <v>14</v>
      </c>
      <c r="E25" s="15" t="s">
        <v>81</v>
      </c>
      <c r="F25" s="15" t="s">
        <v>81</v>
      </c>
      <c r="G25" s="91" t="s">
        <v>88</v>
      </c>
      <c r="H25" s="48">
        <v>10</v>
      </c>
      <c r="I25" s="16">
        <v>25</v>
      </c>
      <c r="J25" s="19">
        <f t="shared" si="0"/>
        <v>250</v>
      </c>
      <c r="K25" s="41"/>
      <c r="L25" s="17" t="s">
        <v>103</v>
      </c>
      <c r="M25" s="16"/>
      <c r="N25" s="16"/>
      <c r="O25" s="8">
        <v>45300</v>
      </c>
      <c r="P25" s="15"/>
      <c r="Q25" s="16"/>
      <c r="R25" s="8">
        <v>45314</v>
      </c>
      <c r="S25" s="67">
        <v>45314</v>
      </c>
    </row>
    <row r="26" spans="1:19" s="2" customFormat="1" ht="19.7" customHeight="1" x14ac:dyDescent="0.15">
      <c r="B26" s="86"/>
      <c r="C26" s="86"/>
      <c r="D26" s="15"/>
      <c r="E26" s="57"/>
      <c r="F26" s="57"/>
      <c r="G26" s="23"/>
      <c r="H26" s="79"/>
      <c r="I26" s="22"/>
      <c r="J26" s="28"/>
      <c r="K26" s="41"/>
      <c r="L26" s="65"/>
      <c r="M26" s="16"/>
      <c r="N26" s="16"/>
      <c r="O26" s="8"/>
      <c r="P26" s="15"/>
      <c r="Q26" s="52"/>
      <c r="R26" s="8"/>
      <c r="S26" s="67"/>
    </row>
    <row r="27" spans="1:19" s="2" customFormat="1" ht="19.7" customHeight="1" x14ac:dyDescent="0.15">
      <c r="D27" s="15"/>
      <c r="E27" s="57"/>
      <c r="F27" s="57"/>
      <c r="G27" s="31">
        <f>SUM(J12:J26)</f>
        <v>38800</v>
      </c>
      <c r="H27" s="63"/>
      <c r="I27" s="22"/>
      <c r="J27" s="64"/>
      <c r="K27" s="41"/>
      <c r="L27" s="17"/>
      <c r="M27" s="16"/>
      <c r="N27" s="16"/>
      <c r="O27" s="8"/>
      <c r="P27" s="15"/>
      <c r="Q27" s="52"/>
      <c r="R27" s="8"/>
      <c r="S27" s="67"/>
    </row>
    <row r="28" spans="1:19" s="2" customFormat="1" ht="19.7" customHeight="1" x14ac:dyDescent="0.15">
      <c r="D28" s="15"/>
      <c r="E28" s="19"/>
      <c r="F28" s="15"/>
      <c r="G28" s="30"/>
      <c r="H28" s="20"/>
      <c r="I28" s="16"/>
      <c r="J28" s="1"/>
      <c r="K28" s="41"/>
      <c r="L28" s="16"/>
      <c r="M28" s="16"/>
      <c r="N28" s="16"/>
      <c r="O28" s="8"/>
      <c r="P28" s="15"/>
      <c r="Q28" s="16"/>
      <c r="R28" s="8"/>
      <c r="S28" s="67"/>
    </row>
    <row r="29" spans="1:19" s="2" customFormat="1" ht="19.7" customHeight="1" x14ac:dyDescent="0.15">
      <c r="D29" s="15"/>
      <c r="E29" s="15"/>
      <c r="F29" s="15"/>
      <c r="G29" s="17"/>
      <c r="H29" s="48"/>
      <c r="I29" s="16"/>
      <c r="J29" s="21"/>
      <c r="K29" s="41"/>
      <c r="L29" s="17"/>
      <c r="M29" s="16"/>
      <c r="N29" s="16"/>
      <c r="O29" s="8"/>
      <c r="P29" s="15"/>
      <c r="Q29" s="16"/>
      <c r="R29" s="8"/>
      <c r="S29" s="67"/>
    </row>
    <row r="30" spans="1:19" s="2" customFormat="1" ht="19.7" customHeight="1" x14ac:dyDescent="0.15">
      <c r="D30" s="15"/>
      <c r="E30" s="15"/>
      <c r="F30" s="15"/>
      <c r="G30" s="17"/>
      <c r="H30" s="48"/>
      <c r="I30" s="16"/>
      <c r="J30" s="21"/>
      <c r="K30" s="41"/>
      <c r="L30" s="17"/>
      <c r="M30" s="16"/>
      <c r="N30" s="16"/>
      <c r="O30" s="8"/>
      <c r="P30" s="15"/>
      <c r="Q30" s="16"/>
      <c r="R30" s="8"/>
      <c r="S30" s="67"/>
    </row>
    <row r="31" spans="1:19" s="2" customFormat="1" ht="19.7" customHeight="1" x14ac:dyDescent="0.15">
      <c r="D31" s="15"/>
      <c r="E31" s="93" t="s">
        <v>104</v>
      </c>
      <c r="F31" s="94"/>
      <c r="G31" s="95"/>
      <c r="H31" s="48"/>
      <c r="I31" s="16"/>
      <c r="J31" s="21"/>
      <c r="K31" s="41"/>
      <c r="L31" s="17"/>
      <c r="M31" s="16"/>
      <c r="N31" s="16"/>
      <c r="O31" s="8"/>
      <c r="P31" s="15"/>
      <c r="Q31" s="16"/>
      <c r="R31" s="8"/>
      <c r="S31" s="67"/>
    </row>
    <row r="32" spans="1:19" s="2" customFormat="1" ht="19.7" customHeight="1" x14ac:dyDescent="0.15">
      <c r="A32" s="2" t="s">
        <v>95</v>
      </c>
      <c r="B32" s="16"/>
      <c r="C32" s="109">
        <v>7</v>
      </c>
      <c r="D32" s="82">
        <f>+D25+1</f>
        <v>15</v>
      </c>
      <c r="E32" s="92" t="s">
        <v>105</v>
      </c>
      <c r="F32" s="15" t="s">
        <v>106</v>
      </c>
      <c r="G32" s="96" t="s">
        <v>107</v>
      </c>
      <c r="H32" s="16">
        <v>1</v>
      </c>
      <c r="I32" s="20">
        <v>2400</v>
      </c>
      <c r="J32" s="20">
        <f t="shared" ref="J32:J37" si="2">H32*I32</f>
        <v>2400</v>
      </c>
      <c r="K32" s="97"/>
      <c r="L32" s="20" t="s">
        <v>108</v>
      </c>
      <c r="M32" s="16"/>
      <c r="N32" s="16"/>
      <c r="O32" s="8">
        <v>45300</v>
      </c>
      <c r="P32" s="15"/>
      <c r="Q32" s="16"/>
      <c r="R32" s="8">
        <v>45314</v>
      </c>
      <c r="S32" s="67">
        <v>45314</v>
      </c>
    </row>
    <row r="33" spans="1:19" s="2" customFormat="1" ht="19.7" customHeight="1" x14ac:dyDescent="0.15">
      <c r="A33" s="2" t="s">
        <v>94</v>
      </c>
      <c r="B33" s="16"/>
      <c r="C33" s="109">
        <v>7</v>
      </c>
      <c r="D33" s="82">
        <f>+D32+1</f>
        <v>16</v>
      </c>
      <c r="E33" s="92" t="s">
        <v>105</v>
      </c>
      <c r="F33" s="15" t="s">
        <v>106</v>
      </c>
      <c r="G33" s="96" t="s">
        <v>109</v>
      </c>
      <c r="H33" s="16">
        <v>1</v>
      </c>
      <c r="I33" s="20">
        <v>8642</v>
      </c>
      <c r="J33" s="20">
        <f t="shared" si="2"/>
        <v>8642</v>
      </c>
      <c r="K33" s="97"/>
      <c r="L33" s="20" t="s">
        <v>110</v>
      </c>
      <c r="M33" s="16"/>
      <c r="N33" s="16"/>
      <c r="O33" s="8">
        <v>45300</v>
      </c>
      <c r="P33" s="15"/>
      <c r="Q33" s="16"/>
      <c r="R33" s="8">
        <v>45314</v>
      </c>
      <c r="S33" s="67">
        <v>45314</v>
      </c>
    </row>
    <row r="34" spans="1:19" s="2" customFormat="1" ht="19.7" customHeight="1" x14ac:dyDescent="0.15">
      <c r="A34" s="2" t="s">
        <v>96</v>
      </c>
      <c r="C34" s="109">
        <v>7</v>
      </c>
      <c r="D34" s="82">
        <f t="shared" ref="D34:D37" si="3">+D33+1</f>
        <v>17</v>
      </c>
      <c r="E34" s="16" t="s">
        <v>106</v>
      </c>
      <c r="F34" s="16" t="s">
        <v>106</v>
      </c>
      <c r="G34" s="20" t="s">
        <v>111</v>
      </c>
      <c r="H34" s="16">
        <v>1</v>
      </c>
      <c r="I34" s="20">
        <v>4560</v>
      </c>
      <c r="J34" s="20">
        <f t="shared" si="2"/>
        <v>4560</v>
      </c>
      <c r="K34" s="97"/>
      <c r="L34" s="20" t="s">
        <v>112</v>
      </c>
      <c r="M34" s="16"/>
      <c r="N34" s="16"/>
      <c r="O34" s="8">
        <v>45300</v>
      </c>
      <c r="P34" s="15"/>
      <c r="Q34" s="16"/>
      <c r="R34" s="8">
        <v>45314</v>
      </c>
      <c r="S34" s="67">
        <v>45314</v>
      </c>
    </row>
    <row r="35" spans="1:19" s="2" customFormat="1" ht="19.7" customHeight="1" x14ac:dyDescent="0.15">
      <c r="A35" s="2" t="s">
        <v>96</v>
      </c>
      <c r="C35" s="109">
        <v>7</v>
      </c>
      <c r="D35" s="82">
        <f t="shared" si="3"/>
        <v>18</v>
      </c>
      <c r="E35" s="16" t="s">
        <v>106</v>
      </c>
      <c r="F35" s="16" t="s">
        <v>106</v>
      </c>
      <c r="G35" s="20" t="s">
        <v>113</v>
      </c>
      <c r="H35" s="1">
        <v>4</v>
      </c>
      <c r="I35" s="20">
        <v>106</v>
      </c>
      <c r="J35" s="20">
        <f t="shared" si="2"/>
        <v>424</v>
      </c>
      <c r="K35" s="98"/>
      <c r="L35" s="20" t="s">
        <v>114</v>
      </c>
      <c r="M35" s="16"/>
      <c r="N35" s="16"/>
      <c r="O35" s="8">
        <v>45300</v>
      </c>
      <c r="P35" s="15"/>
      <c r="Q35" s="16"/>
      <c r="R35" s="8">
        <v>45314</v>
      </c>
      <c r="S35" s="67">
        <v>45314</v>
      </c>
    </row>
    <row r="36" spans="1:19" s="2" customFormat="1" ht="19.7" customHeight="1" x14ac:dyDescent="0.15">
      <c r="A36" s="2" t="s">
        <v>96</v>
      </c>
      <c r="C36" s="109">
        <v>7</v>
      </c>
      <c r="D36" s="82">
        <f t="shared" si="3"/>
        <v>19</v>
      </c>
      <c r="E36" s="15" t="s">
        <v>106</v>
      </c>
      <c r="F36" s="15" t="s">
        <v>106</v>
      </c>
      <c r="G36" s="99" t="s">
        <v>115</v>
      </c>
      <c r="H36" s="1">
        <v>2</v>
      </c>
      <c r="I36" s="100">
        <v>76</v>
      </c>
      <c r="J36" s="20">
        <f t="shared" si="2"/>
        <v>152</v>
      </c>
      <c r="K36" s="1"/>
      <c r="L36" s="20" t="s">
        <v>116</v>
      </c>
      <c r="M36" s="16"/>
      <c r="N36" s="16"/>
      <c r="O36" s="8">
        <v>45300</v>
      </c>
      <c r="P36" s="15"/>
      <c r="Q36" s="16"/>
      <c r="R36" s="8">
        <v>45314</v>
      </c>
      <c r="S36" s="67">
        <v>45314</v>
      </c>
    </row>
    <row r="37" spans="1:19" s="2" customFormat="1" ht="19.7" customHeight="1" x14ac:dyDescent="0.15">
      <c r="A37" s="2" t="s">
        <v>96</v>
      </c>
      <c r="C37" s="109">
        <v>7</v>
      </c>
      <c r="D37" s="82">
        <f t="shared" si="3"/>
        <v>20</v>
      </c>
      <c r="E37" s="18" t="s">
        <v>106</v>
      </c>
      <c r="F37" s="18" t="s">
        <v>106</v>
      </c>
      <c r="G37" s="12" t="s">
        <v>117</v>
      </c>
      <c r="H37" s="77">
        <v>10</v>
      </c>
      <c r="I37" s="101">
        <v>29</v>
      </c>
      <c r="J37" s="101">
        <f t="shared" si="2"/>
        <v>290</v>
      </c>
      <c r="K37" s="101"/>
      <c r="L37" s="29" t="s">
        <v>118</v>
      </c>
      <c r="M37" s="16"/>
      <c r="N37" s="16"/>
      <c r="O37" s="8">
        <v>45300</v>
      </c>
      <c r="P37" s="15"/>
      <c r="Q37" s="16"/>
      <c r="R37" s="8">
        <v>45314</v>
      </c>
      <c r="S37" s="67">
        <v>45314</v>
      </c>
    </row>
    <row r="38" spans="1:19" s="2" customFormat="1" ht="19.7" customHeight="1" x14ac:dyDescent="0.15">
      <c r="D38" s="15"/>
      <c r="E38" s="15"/>
      <c r="F38" s="15"/>
      <c r="G38" s="17"/>
      <c r="H38" s="48"/>
      <c r="I38" s="16"/>
      <c r="J38" s="21"/>
      <c r="K38" s="41"/>
      <c r="L38" s="17"/>
      <c r="M38" s="16"/>
      <c r="N38" s="16"/>
      <c r="O38" s="8"/>
      <c r="P38" s="15"/>
      <c r="Q38" s="16"/>
      <c r="R38" s="8"/>
      <c r="S38" s="67"/>
    </row>
    <row r="39" spans="1:19" s="2" customFormat="1" ht="19.7" customHeight="1" x14ac:dyDescent="0.15">
      <c r="D39" s="15"/>
      <c r="E39" s="15"/>
      <c r="F39" s="15"/>
      <c r="G39" s="31">
        <f>SUM(J32:J37)</f>
        <v>16468</v>
      </c>
      <c r="H39" s="48"/>
      <c r="I39" s="16"/>
      <c r="J39" s="21"/>
      <c r="K39" s="41"/>
      <c r="L39" s="17"/>
      <c r="M39" s="16"/>
      <c r="N39" s="16"/>
      <c r="O39" s="8"/>
      <c r="P39" s="15"/>
      <c r="Q39" s="16"/>
      <c r="R39" s="8"/>
      <c r="S39" s="67"/>
    </row>
    <row r="40" spans="1:19" s="2" customFormat="1" ht="19.7" customHeight="1" x14ac:dyDescent="0.15">
      <c r="D40" s="15"/>
      <c r="E40" s="15"/>
      <c r="F40" s="15"/>
      <c r="G40" s="17"/>
      <c r="H40" s="48"/>
      <c r="I40" s="16"/>
      <c r="J40" s="21"/>
      <c r="K40" s="41"/>
      <c r="L40" s="17"/>
      <c r="M40" s="16"/>
      <c r="N40" s="16"/>
      <c r="O40" s="8"/>
      <c r="P40" s="15"/>
      <c r="Q40" s="16"/>
      <c r="R40" s="8"/>
      <c r="S40" s="67"/>
    </row>
    <row r="41" spans="1:19" s="2" customFormat="1" ht="19.7" customHeight="1" x14ac:dyDescent="0.15">
      <c r="D41" s="15"/>
      <c r="E41" s="15"/>
      <c r="F41" s="15"/>
      <c r="G41" s="17"/>
      <c r="H41" s="48"/>
      <c r="I41" s="16"/>
      <c r="J41" s="21"/>
      <c r="K41" s="41"/>
      <c r="L41" s="17"/>
      <c r="M41" s="16"/>
      <c r="N41" s="16"/>
      <c r="O41" s="8"/>
      <c r="P41" s="15"/>
      <c r="Q41" s="16"/>
      <c r="R41" s="8"/>
      <c r="S41" s="67"/>
    </row>
    <row r="42" spans="1:19" s="2" customFormat="1" ht="19.7" customHeight="1" x14ac:dyDescent="0.15">
      <c r="D42" s="15"/>
      <c r="E42" s="93" t="s">
        <v>119</v>
      </c>
      <c r="F42" s="94"/>
      <c r="G42" s="95"/>
      <c r="H42" s="48"/>
      <c r="I42" s="16"/>
      <c r="J42" s="21"/>
      <c r="K42" s="41"/>
      <c r="L42" s="17"/>
      <c r="M42" s="16"/>
      <c r="N42" s="16"/>
      <c r="O42" s="8"/>
      <c r="P42" s="15"/>
      <c r="Q42" s="16"/>
      <c r="R42" s="8"/>
      <c r="S42" s="67"/>
    </row>
    <row r="43" spans="1:19" s="2" customFormat="1" ht="19.7" customHeight="1" x14ac:dyDescent="0.15">
      <c r="A43" s="2" t="s">
        <v>94</v>
      </c>
      <c r="C43" s="108">
        <v>5</v>
      </c>
      <c r="D43" s="82">
        <f>+D37+1</f>
        <v>21</v>
      </c>
      <c r="E43" s="18" t="s">
        <v>106</v>
      </c>
      <c r="F43" s="18" t="s">
        <v>106</v>
      </c>
      <c r="G43" s="17" t="s">
        <v>120</v>
      </c>
      <c r="H43" s="48">
        <v>1</v>
      </c>
      <c r="I43" s="16">
        <v>8500</v>
      </c>
      <c r="J43" s="101">
        <f t="shared" ref="J43" si="4">H43*I43</f>
        <v>8500</v>
      </c>
      <c r="K43" s="41"/>
      <c r="L43" s="17"/>
      <c r="M43" s="16"/>
      <c r="N43" s="16"/>
      <c r="O43" s="8">
        <v>45300</v>
      </c>
      <c r="P43" s="15"/>
      <c r="Q43" s="16"/>
      <c r="R43" s="8">
        <v>45314</v>
      </c>
      <c r="S43" s="67">
        <v>45314</v>
      </c>
    </row>
    <row r="44" spans="1:19" s="2" customFormat="1" ht="19.7" customHeight="1" x14ac:dyDescent="0.15">
      <c r="D44" s="15"/>
      <c r="E44" s="15"/>
      <c r="F44" s="15"/>
      <c r="G44" s="17"/>
      <c r="H44" s="48"/>
      <c r="I44" s="16"/>
      <c r="J44" s="21"/>
      <c r="K44" s="41"/>
      <c r="L44" s="17"/>
      <c r="M44" s="16"/>
      <c r="N44" s="16"/>
      <c r="O44" s="8"/>
      <c r="P44" s="15"/>
      <c r="Q44" s="16"/>
      <c r="R44" s="8"/>
      <c r="S44" s="67"/>
    </row>
    <row r="45" spans="1:19" s="2" customFormat="1" ht="19.7" customHeight="1" x14ac:dyDescent="0.15">
      <c r="D45" s="15"/>
      <c r="E45" s="15"/>
      <c r="F45" s="15"/>
      <c r="G45" s="17"/>
      <c r="H45" s="48"/>
      <c r="I45" s="16"/>
      <c r="J45" s="21"/>
      <c r="K45" s="41"/>
      <c r="L45" s="17"/>
      <c r="M45" s="16"/>
      <c r="N45" s="16"/>
      <c r="O45" s="8"/>
      <c r="P45" s="15"/>
      <c r="Q45" s="16"/>
      <c r="R45" s="8"/>
      <c r="S45" s="67"/>
    </row>
    <row r="46" spans="1:19" s="2" customFormat="1" ht="19.7" customHeight="1" x14ac:dyDescent="0.15">
      <c r="D46" s="15"/>
      <c r="E46" s="15"/>
      <c r="F46" s="15"/>
      <c r="G46" s="17"/>
      <c r="H46" s="48"/>
      <c r="I46" s="16"/>
      <c r="J46" s="21"/>
      <c r="K46" s="41"/>
      <c r="L46" s="17"/>
      <c r="M46" s="16"/>
      <c r="N46" s="16"/>
      <c r="O46" s="8"/>
      <c r="P46" s="15"/>
      <c r="Q46" s="16"/>
      <c r="R46" s="8"/>
      <c r="S46" s="67"/>
    </row>
    <row r="47" spans="1:19" s="2" customFormat="1" ht="19.7" customHeight="1" x14ac:dyDescent="0.15">
      <c r="D47" s="15"/>
      <c r="E47" s="90" t="s">
        <v>129</v>
      </c>
      <c r="F47" s="102"/>
      <c r="G47" s="103"/>
      <c r="H47" s="48"/>
      <c r="I47" s="16"/>
      <c r="J47" s="21"/>
      <c r="K47" s="41"/>
      <c r="L47" s="17"/>
      <c r="M47" s="16"/>
      <c r="N47" s="16"/>
      <c r="O47" s="8"/>
      <c r="P47" s="15"/>
      <c r="Q47" s="16"/>
      <c r="R47" s="8"/>
      <c r="S47" s="67"/>
    </row>
    <row r="48" spans="1:19" s="2" customFormat="1" ht="19.7" customHeight="1" x14ac:dyDescent="0.15">
      <c r="A48" s="2" t="s">
        <v>95</v>
      </c>
      <c r="C48" s="109">
        <v>7</v>
      </c>
      <c r="D48" s="82">
        <f>+D43+1</f>
        <v>22</v>
      </c>
      <c r="E48" s="82" t="s">
        <v>105</v>
      </c>
      <c r="F48" s="82" t="s">
        <v>106</v>
      </c>
      <c r="G48" s="17" t="s">
        <v>121</v>
      </c>
      <c r="H48" s="16">
        <v>2</v>
      </c>
      <c r="I48" s="16">
        <v>2320</v>
      </c>
      <c r="J48" s="21">
        <f t="shared" ref="J48:J51" si="5">H48*I48</f>
        <v>4640</v>
      </c>
      <c r="K48" s="41"/>
      <c r="L48" s="17" t="s">
        <v>122</v>
      </c>
      <c r="M48" s="16"/>
      <c r="N48" s="16"/>
      <c r="O48" s="8">
        <v>45300</v>
      </c>
      <c r="P48" s="15"/>
      <c r="Q48" s="16"/>
      <c r="R48" s="8">
        <v>45314</v>
      </c>
      <c r="S48" s="67">
        <v>45314</v>
      </c>
    </row>
    <row r="49" spans="1:19" s="2" customFormat="1" ht="19.7" customHeight="1" x14ac:dyDescent="0.15">
      <c r="A49" s="2" t="s">
        <v>96</v>
      </c>
      <c r="C49" s="109">
        <v>7</v>
      </c>
      <c r="D49" s="82">
        <f>+D48+1</f>
        <v>23</v>
      </c>
      <c r="E49" s="15" t="s">
        <v>106</v>
      </c>
      <c r="F49" s="15" t="s">
        <v>106</v>
      </c>
      <c r="G49" s="45" t="s">
        <v>123</v>
      </c>
      <c r="H49" s="16">
        <v>4</v>
      </c>
      <c r="I49" s="104">
        <v>71</v>
      </c>
      <c r="J49" s="27">
        <f t="shared" si="5"/>
        <v>284</v>
      </c>
      <c r="K49" s="41"/>
      <c r="L49" s="20" t="s">
        <v>124</v>
      </c>
      <c r="M49" s="16"/>
      <c r="N49" s="16"/>
      <c r="O49" s="8">
        <v>45300</v>
      </c>
      <c r="P49" s="15"/>
      <c r="Q49" s="16"/>
      <c r="R49" s="8">
        <v>45314</v>
      </c>
      <c r="S49" s="67">
        <v>45314</v>
      </c>
    </row>
    <row r="50" spans="1:19" s="2" customFormat="1" ht="19.7" customHeight="1" x14ac:dyDescent="0.15">
      <c r="A50" s="2" t="s">
        <v>96</v>
      </c>
      <c r="C50" s="109">
        <v>7</v>
      </c>
      <c r="D50" s="82">
        <f t="shared" ref="D50:D51" si="6">+D49+1</f>
        <v>24</v>
      </c>
      <c r="E50" s="15" t="s">
        <v>106</v>
      </c>
      <c r="F50" s="15" t="s">
        <v>106</v>
      </c>
      <c r="G50" s="45" t="s">
        <v>125</v>
      </c>
      <c r="H50" s="16">
        <v>4</v>
      </c>
      <c r="I50" s="104">
        <v>30</v>
      </c>
      <c r="J50" s="27">
        <f t="shared" si="5"/>
        <v>120</v>
      </c>
      <c r="K50" s="41"/>
      <c r="L50" s="20" t="s">
        <v>126</v>
      </c>
      <c r="M50" s="16"/>
      <c r="N50" s="16"/>
      <c r="O50" s="8">
        <v>45300</v>
      </c>
      <c r="P50" s="15"/>
      <c r="Q50" s="16"/>
      <c r="R50" s="8">
        <v>45314</v>
      </c>
      <c r="S50" s="67">
        <v>45314</v>
      </c>
    </row>
    <row r="51" spans="1:19" s="2" customFormat="1" ht="19.7" customHeight="1" x14ac:dyDescent="0.15">
      <c r="A51" s="2" t="s">
        <v>96</v>
      </c>
      <c r="C51" s="109">
        <v>7</v>
      </c>
      <c r="D51" s="82">
        <f t="shared" si="6"/>
        <v>25</v>
      </c>
      <c r="E51" s="18" t="s">
        <v>106</v>
      </c>
      <c r="F51" s="18" t="s">
        <v>106</v>
      </c>
      <c r="G51" s="25" t="s">
        <v>127</v>
      </c>
      <c r="H51" s="105">
        <v>10</v>
      </c>
      <c r="I51" s="106">
        <v>27</v>
      </c>
      <c r="J51" s="107">
        <f t="shared" si="5"/>
        <v>270</v>
      </c>
      <c r="K51" s="1"/>
      <c r="L51" s="20" t="s">
        <v>128</v>
      </c>
      <c r="M51" s="16"/>
      <c r="N51" s="16"/>
      <c r="O51" s="8">
        <v>45300</v>
      </c>
      <c r="P51" s="15"/>
      <c r="Q51" s="16"/>
      <c r="R51" s="8">
        <v>45314</v>
      </c>
      <c r="S51" s="67">
        <v>45314</v>
      </c>
    </row>
    <row r="52" spans="1:19" s="2" customFormat="1" ht="19.7" customHeight="1" x14ac:dyDescent="0.15">
      <c r="D52" s="15"/>
      <c r="E52" s="15"/>
      <c r="F52" s="15"/>
      <c r="G52" s="17"/>
      <c r="H52" s="48"/>
      <c r="I52" s="16"/>
      <c r="J52" s="21"/>
      <c r="K52" s="41"/>
      <c r="L52" s="17"/>
      <c r="M52" s="16"/>
      <c r="N52" s="16"/>
      <c r="O52" s="8"/>
      <c r="P52" s="15"/>
      <c r="Q52" s="16"/>
      <c r="R52" s="8"/>
      <c r="S52" s="67"/>
    </row>
    <row r="53" spans="1:19" s="2" customFormat="1" ht="19.7" customHeight="1" x14ac:dyDescent="0.15">
      <c r="D53" s="15"/>
      <c r="E53" s="15"/>
      <c r="F53" s="15"/>
      <c r="G53" s="31">
        <f>SUM(J48:J52)</f>
        <v>5314</v>
      </c>
      <c r="H53" s="48"/>
      <c r="I53" s="16"/>
      <c r="J53" s="21"/>
      <c r="K53" s="41"/>
      <c r="L53" s="17"/>
      <c r="M53" s="16"/>
      <c r="N53" s="16"/>
      <c r="O53" s="8"/>
      <c r="P53" s="15"/>
      <c r="Q53" s="16"/>
      <c r="R53" s="8"/>
      <c r="S53" s="67"/>
    </row>
    <row r="54" spans="1:19" s="2" customFormat="1" ht="19.7" customHeight="1" x14ac:dyDescent="0.15">
      <c r="D54" s="15"/>
      <c r="E54" s="15"/>
      <c r="F54" s="15"/>
      <c r="G54" s="17"/>
      <c r="H54" s="48"/>
      <c r="I54" s="16"/>
      <c r="J54" s="21"/>
      <c r="K54" s="41"/>
      <c r="L54" s="17"/>
      <c r="M54" s="16"/>
      <c r="N54" s="16"/>
      <c r="O54" s="8"/>
      <c r="P54" s="15"/>
      <c r="Q54" s="16"/>
      <c r="R54" s="8"/>
      <c r="S54" s="67"/>
    </row>
    <row r="55" spans="1:19" s="2" customFormat="1" ht="19.7" customHeight="1" x14ac:dyDescent="0.15">
      <c r="D55" s="15"/>
      <c r="E55" s="15"/>
      <c r="F55" s="15"/>
      <c r="G55" s="17"/>
      <c r="H55" s="48"/>
      <c r="I55" s="16"/>
      <c r="J55" s="21"/>
      <c r="K55" s="41"/>
      <c r="L55" s="17"/>
      <c r="M55" s="16"/>
      <c r="N55" s="16"/>
      <c r="O55" s="8"/>
      <c r="P55" s="15"/>
      <c r="Q55" s="16"/>
      <c r="R55" s="8"/>
      <c r="S55" s="67"/>
    </row>
    <row r="56" spans="1:19" s="2" customFormat="1" ht="19.7" customHeight="1" x14ac:dyDescent="0.15">
      <c r="D56" s="15"/>
      <c r="E56" s="90" t="s">
        <v>130</v>
      </c>
      <c r="F56" s="102"/>
      <c r="G56" s="103"/>
      <c r="H56" s="48"/>
      <c r="I56" s="16"/>
      <c r="J56" s="21"/>
      <c r="K56" s="41"/>
      <c r="L56" s="17"/>
      <c r="M56" s="16"/>
      <c r="N56" s="16"/>
      <c r="O56" s="8"/>
      <c r="P56" s="15"/>
      <c r="Q56" s="16"/>
      <c r="R56" s="8"/>
      <c r="S56" s="67"/>
    </row>
    <row r="57" spans="1:19" s="2" customFormat="1" ht="19.7" customHeight="1" x14ac:dyDescent="0.15">
      <c r="A57" s="2" t="s">
        <v>94</v>
      </c>
      <c r="C57" s="109"/>
      <c r="D57" s="82">
        <f>+D48+1</f>
        <v>23</v>
      </c>
      <c r="E57" s="82" t="s">
        <v>105</v>
      </c>
      <c r="F57" s="82" t="s">
        <v>106</v>
      </c>
      <c r="G57" s="17" t="s">
        <v>131</v>
      </c>
      <c r="H57" s="48">
        <v>1</v>
      </c>
      <c r="I57" s="16">
        <v>6307</v>
      </c>
      <c r="J57" s="107">
        <f t="shared" ref="J57:J63" si="7">H57*I57</f>
        <v>6307</v>
      </c>
      <c r="K57" s="41"/>
      <c r="L57" s="17" t="s">
        <v>132</v>
      </c>
      <c r="M57" s="16" t="s">
        <v>133</v>
      </c>
      <c r="N57" s="16"/>
      <c r="O57" s="8">
        <v>45306</v>
      </c>
      <c r="P57" s="15"/>
      <c r="Q57" s="16"/>
      <c r="R57" s="8">
        <v>45317</v>
      </c>
      <c r="S57" s="67"/>
    </row>
    <row r="58" spans="1:19" s="2" customFormat="1" ht="19.7" customHeight="1" x14ac:dyDescent="0.15">
      <c r="A58" s="2" t="s">
        <v>102</v>
      </c>
      <c r="C58" s="109"/>
      <c r="D58" s="82">
        <f t="shared" ref="D58:D63" si="8">+D57+1</f>
        <v>24</v>
      </c>
      <c r="E58" s="18" t="s">
        <v>106</v>
      </c>
      <c r="F58" s="18" t="s">
        <v>106</v>
      </c>
      <c r="G58" s="17" t="s">
        <v>134</v>
      </c>
      <c r="H58" s="48">
        <v>4</v>
      </c>
      <c r="I58" s="16">
        <v>1100</v>
      </c>
      <c r="J58" s="107">
        <f t="shared" si="7"/>
        <v>4400</v>
      </c>
      <c r="K58" s="41"/>
      <c r="L58" s="17" t="s">
        <v>135</v>
      </c>
      <c r="M58" s="16" t="s">
        <v>136</v>
      </c>
      <c r="N58" s="16"/>
      <c r="O58" s="8">
        <v>45306</v>
      </c>
      <c r="P58" s="15"/>
      <c r="Q58" s="16"/>
      <c r="R58" s="8">
        <v>45315</v>
      </c>
      <c r="S58" s="67"/>
    </row>
    <row r="59" spans="1:19" s="2" customFormat="1" ht="19.7" customHeight="1" x14ac:dyDescent="0.15">
      <c r="A59" s="2" t="s">
        <v>96</v>
      </c>
      <c r="C59" s="109"/>
      <c r="D59" s="82">
        <f t="shared" si="8"/>
        <v>25</v>
      </c>
      <c r="E59" s="18" t="s">
        <v>106</v>
      </c>
      <c r="F59" s="18" t="s">
        <v>106</v>
      </c>
      <c r="G59" s="43" t="s">
        <v>137</v>
      </c>
      <c r="H59" s="48">
        <v>1</v>
      </c>
      <c r="I59" s="16">
        <v>1976</v>
      </c>
      <c r="J59" s="107">
        <f t="shared" si="7"/>
        <v>1976</v>
      </c>
      <c r="K59" s="41"/>
      <c r="L59" s="17" t="s">
        <v>138</v>
      </c>
      <c r="M59" s="16" t="s">
        <v>136</v>
      </c>
      <c r="N59" s="16"/>
      <c r="O59" s="8">
        <v>45306</v>
      </c>
      <c r="P59" s="15"/>
      <c r="Q59" s="16"/>
      <c r="R59" s="8">
        <v>45315</v>
      </c>
      <c r="S59" s="67"/>
    </row>
    <row r="60" spans="1:19" s="2" customFormat="1" ht="19.7" customHeight="1" x14ac:dyDescent="0.15">
      <c r="A60" s="2" t="s">
        <v>96</v>
      </c>
      <c r="C60" s="109"/>
      <c r="D60" s="82">
        <f t="shared" si="8"/>
        <v>26</v>
      </c>
      <c r="E60" s="18" t="s">
        <v>106</v>
      </c>
      <c r="F60" s="18" t="s">
        <v>106</v>
      </c>
      <c r="G60" s="43" t="s">
        <v>139</v>
      </c>
      <c r="H60" s="48">
        <v>1</v>
      </c>
      <c r="I60" s="16">
        <v>312</v>
      </c>
      <c r="J60" s="107">
        <f t="shared" si="7"/>
        <v>312</v>
      </c>
      <c r="K60" s="41"/>
      <c r="L60" s="17" t="s">
        <v>140</v>
      </c>
      <c r="M60" s="16" t="s">
        <v>136</v>
      </c>
      <c r="N60" s="16"/>
      <c r="O60" s="8">
        <v>45306</v>
      </c>
      <c r="P60" s="15"/>
      <c r="Q60" s="16"/>
      <c r="R60" s="8">
        <v>45315</v>
      </c>
      <c r="S60" s="67"/>
    </row>
    <row r="61" spans="1:19" s="2" customFormat="1" ht="19.7" customHeight="1" x14ac:dyDescent="0.15">
      <c r="A61" s="2" t="s">
        <v>102</v>
      </c>
      <c r="C61" s="109"/>
      <c r="D61" s="82">
        <f t="shared" si="8"/>
        <v>27</v>
      </c>
      <c r="E61" s="18" t="s">
        <v>106</v>
      </c>
      <c r="F61" s="18" t="s">
        <v>106</v>
      </c>
      <c r="G61" s="43" t="s">
        <v>141</v>
      </c>
      <c r="H61" s="48">
        <v>1</v>
      </c>
      <c r="I61" s="16">
        <v>1310</v>
      </c>
      <c r="J61" s="107">
        <f t="shared" si="7"/>
        <v>1310</v>
      </c>
      <c r="K61" s="41"/>
      <c r="L61" s="17" t="s">
        <v>142</v>
      </c>
      <c r="M61" s="16" t="s">
        <v>136</v>
      </c>
      <c r="N61" s="16"/>
      <c r="O61" s="8">
        <v>45306</v>
      </c>
      <c r="P61" s="15"/>
      <c r="Q61" s="16"/>
      <c r="R61" s="8">
        <v>45315</v>
      </c>
      <c r="S61" s="67"/>
    </row>
    <row r="62" spans="1:19" s="2" customFormat="1" ht="19.149999999999999" customHeight="1" x14ac:dyDescent="0.15">
      <c r="A62" s="2" t="s">
        <v>96</v>
      </c>
      <c r="C62" s="109"/>
      <c r="D62" s="82">
        <f t="shared" si="8"/>
        <v>28</v>
      </c>
      <c r="E62" s="18" t="s">
        <v>106</v>
      </c>
      <c r="F62" s="18" t="s">
        <v>106</v>
      </c>
      <c r="G62" s="25" t="s">
        <v>143</v>
      </c>
      <c r="H62" s="105">
        <v>10</v>
      </c>
      <c r="I62" s="106">
        <v>25</v>
      </c>
      <c r="J62" s="107">
        <f t="shared" si="7"/>
        <v>250</v>
      </c>
      <c r="K62" s="1"/>
      <c r="L62" s="20" t="s">
        <v>144</v>
      </c>
      <c r="M62" s="16" t="s">
        <v>136</v>
      </c>
      <c r="N62" s="16"/>
      <c r="O62" s="8">
        <v>45306</v>
      </c>
      <c r="P62" s="15"/>
      <c r="Q62" s="16"/>
      <c r="R62" s="8">
        <v>45315</v>
      </c>
      <c r="S62" s="67"/>
    </row>
    <row r="63" spans="1:19" s="2" customFormat="1" ht="19.7" customHeight="1" x14ac:dyDescent="0.15">
      <c r="A63" s="2" t="s">
        <v>96</v>
      </c>
      <c r="C63" s="109"/>
      <c r="D63" s="82">
        <f t="shared" si="8"/>
        <v>29</v>
      </c>
      <c r="E63" s="18" t="s">
        <v>106</v>
      </c>
      <c r="F63" s="18" t="s">
        <v>106</v>
      </c>
      <c r="G63" s="25" t="s">
        <v>145</v>
      </c>
      <c r="H63" s="105">
        <v>10</v>
      </c>
      <c r="I63" s="106">
        <v>25</v>
      </c>
      <c r="J63" s="107">
        <f t="shared" si="7"/>
        <v>250</v>
      </c>
      <c r="K63" s="1"/>
      <c r="L63" s="20" t="s">
        <v>146</v>
      </c>
      <c r="M63" s="16" t="s">
        <v>136</v>
      </c>
      <c r="N63" s="16"/>
      <c r="O63" s="8">
        <v>45306</v>
      </c>
      <c r="P63" s="15"/>
      <c r="Q63" s="16"/>
      <c r="R63" s="8">
        <v>45315</v>
      </c>
      <c r="S63" s="67"/>
    </row>
    <row r="64" spans="1:19" s="2" customFormat="1" ht="19.7" customHeight="1" x14ac:dyDescent="0.15">
      <c r="D64" s="15"/>
      <c r="E64" s="15"/>
      <c r="F64" s="15"/>
      <c r="G64" s="43"/>
      <c r="H64" s="48"/>
      <c r="I64" s="16"/>
      <c r="J64" s="21"/>
      <c r="K64" s="41"/>
      <c r="L64" s="17"/>
      <c r="M64" s="16"/>
      <c r="N64" s="16"/>
      <c r="O64" s="8"/>
      <c r="P64" s="15"/>
      <c r="Q64" s="16"/>
      <c r="R64" s="8"/>
      <c r="S64" s="67"/>
    </row>
    <row r="65" spans="1:19" s="2" customFormat="1" ht="19.7" customHeight="1" x14ac:dyDescent="0.15">
      <c r="D65" s="15"/>
      <c r="E65" s="15"/>
      <c r="F65" s="15"/>
      <c r="G65" s="31">
        <f>SUM(J57:J64)</f>
        <v>14805</v>
      </c>
      <c r="H65" s="48"/>
      <c r="I65" s="16"/>
      <c r="J65" s="21"/>
      <c r="K65" s="41"/>
      <c r="L65" s="17"/>
      <c r="M65" s="16"/>
      <c r="N65" s="16"/>
      <c r="O65" s="8"/>
      <c r="P65" s="15"/>
      <c r="Q65" s="16"/>
      <c r="R65" s="8"/>
      <c r="S65" s="67"/>
    </row>
    <row r="66" spans="1:19" s="2" customFormat="1" ht="19.7" customHeight="1" x14ac:dyDescent="0.15">
      <c r="D66" s="15"/>
      <c r="E66" s="15"/>
      <c r="F66" s="15"/>
      <c r="G66" s="81"/>
      <c r="H66" s="48"/>
      <c r="I66" s="16"/>
      <c r="J66" s="21"/>
      <c r="K66" s="41"/>
      <c r="L66" s="17"/>
      <c r="M66" s="16"/>
      <c r="N66" s="16"/>
      <c r="O66" s="8"/>
      <c r="P66" s="15"/>
      <c r="Q66" s="16"/>
      <c r="R66" s="8"/>
      <c r="S66" s="67"/>
    </row>
    <row r="67" spans="1:19" s="2" customFormat="1" ht="19.7" customHeight="1" x14ac:dyDescent="0.15">
      <c r="A67" s="16"/>
      <c r="B67" s="85">
        <v>8</v>
      </c>
      <c r="C67" s="84" t="s">
        <v>53</v>
      </c>
      <c r="D67" s="15"/>
      <c r="E67" s="15"/>
      <c r="F67" s="15"/>
      <c r="G67" s="45"/>
      <c r="H67" s="48"/>
      <c r="I67" s="27"/>
      <c r="J67" s="21"/>
      <c r="K67" s="41"/>
      <c r="L67" s="17"/>
      <c r="M67" s="66"/>
      <c r="N67" s="16"/>
      <c r="O67" s="8"/>
      <c r="P67" s="15"/>
      <c r="Q67" s="52"/>
      <c r="R67" s="8"/>
      <c r="S67" s="67"/>
    </row>
    <row r="68" spans="1:19" s="2" customFormat="1" ht="19.7" customHeight="1" x14ac:dyDescent="0.15">
      <c r="D68" s="15"/>
      <c r="E68" s="15"/>
      <c r="F68" s="15"/>
      <c r="G68" s="45"/>
      <c r="H68" s="20"/>
      <c r="I68" s="27"/>
      <c r="J68" s="53"/>
      <c r="K68" s="1"/>
      <c r="L68" s="20"/>
      <c r="M68" s="16"/>
      <c r="N68" s="16"/>
      <c r="O68" s="8"/>
      <c r="P68" s="15"/>
      <c r="Q68" s="16"/>
      <c r="R68" s="8"/>
      <c r="S68" s="67"/>
    </row>
    <row r="69" spans="1:19" s="2" customFormat="1" ht="19.7" customHeight="1" x14ac:dyDescent="0.15">
      <c r="D69" s="15"/>
      <c r="E69" s="15"/>
      <c r="F69" s="15"/>
      <c r="G69" s="16"/>
      <c r="H69" s="20"/>
      <c r="I69" s="16"/>
      <c r="J69" s="1"/>
      <c r="K69" s="41"/>
      <c r="L69" s="16"/>
      <c r="M69" s="16"/>
      <c r="N69" s="16"/>
      <c r="O69" s="8"/>
      <c r="P69" s="15"/>
      <c r="Q69" s="16"/>
      <c r="R69" s="8"/>
      <c r="S69" s="67"/>
    </row>
    <row r="70" spans="1:19" s="2" customFormat="1" ht="19.7" customHeight="1" x14ac:dyDescent="0.15">
      <c r="D70" s="15"/>
      <c r="E70" s="15"/>
      <c r="F70" s="15"/>
      <c r="G70" s="16"/>
      <c r="H70" s="20"/>
      <c r="I70" s="16"/>
      <c r="J70" s="1"/>
      <c r="K70" s="41"/>
      <c r="L70" s="16"/>
      <c r="M70" s="16"/>
      <c r="N70" s="16"/>
      <c r="O70" s="8"/>
      <c r="P70" s="15"/>
      <c r="Q70" s="16"/>
      <c r="R70" s="8"/>
      <c r="S70" s="67"/>
    </row>
    <row r="71" spans="1:19" s="2" customFormat="1" ht="19.7" customHeight="1" x14ac:dyDescent="0.15">
      <c r="D71" s="15"/>
      <c r="E71" s="15"/>
      <c r="F71" s="15"/>
      <c r="G71" s="16"/>
      <c r="H71" s="20"/>
      <c r="I71" s="16"/>
      <c r="J71" s="1"/>
      <c r="K71" s="41"/>
      <c r="L71" s="16"/>
      <c r="M71" s="16"/>
      <c r="N71" s="16"/>
      <c r="O71" s="8"/>
      <c r="P71" s="15"/>
      <c r="Q71" s="16"/>
      <c r="R71" s="8"/>
      <c r="S71" s="67"/>
    </row>
    <row r="72" spans="1:19" s="2" customFormat="1" ht="19.7" customHeight="1" x14ac:dyDescent="0.15">
      <c r="D72" s="15"/>
      <c r="E72" s="26"/>
      <c r="F72" s="26"/>
      <c r="G72" s="32" t="s">
        <v>22</v>
      </c>
      <c r="H72" s="50"/>
      <c r="I72" s="33">
        <v>70000</v>
      </c>
      <c r="J72" s="39">
        <f>H72*I72</f>
        <v>0</v>
      </c>
      <c r="K72" s="41"/>
      <c r="L72" s="16"/>
      <c r="M72" s="16"/>
      <c r="N72" s="16"/>
      <c r="O72" s="8"/>
      <c r="P72" s="15"/>
      <c r="Q72" s="16"/>
      <c r="R72" s="8"/>
      <c r="S72" s="67"/>
    </row>
    <row r="73" spans="1:19" s="2" customFormat="1" ht="19.7" customHeight="1" x14ac:dyDescent="0.15">
      <c r="D73" s="15"/>
      <c r="E73" s="15"/>
      <c r="F73" s="15"/>
      <c r="G73" s="17" t="s">
        <v>23</v>
      </c>
      <c r="H73" s="20"/>
      <c r="I73" s="16"/>
      <c r="J73" s="1"/>
      <c r="K73" s="41"/>
      <c r="L73" s="16"/>
      <c r="M73" s="16"/>
      <c r="N73" s="16"/>
      <c r="O73" s="8"/>
      <c r="P73" s="15"/>
      <c r="Q73" s="16"/>
      <c r="R73" s="8"/>
      <c r="S73" s="67"/>
    </row>
    <row r="74" spans="1:19" s="2" customFormat="1" ht="19.7" customHeight="1" x14ac:dyDescent="0.15">
      <c r="D74" s="15"/>
      <c r="E74" s="15"/>
      <c r="F74" s="15"/>
      <c r="G74" s="16"/>
      <c r="H74" s="20"/>
      <c r="I74" s="16"/>
      <c r="J74" s="1"/>
      <c r="K74" s="41"/>
      <c r="L74" s="16"/>
      <c r="M74" s="16"/>
      <c r="N74" s="16"/>
      <c r="O74" s="8"/>
      <c r="P74" s="15"/>
      <c r="Q74" s="16"/>
      <c r="R74" s="8"/>
      <c r="S74" s="67"/>
    </row>
    <row r="75" spans="1:19" s="2" customFormat="1" ht="19.7" customHeight="1" x14ac:dyDescent="0.15">
      <c r="D75" s="15"/>
      <c r="E75" s="15"/>
      <c r="F75" s="15"/>
      <c r="G75" s="16"/>
      <c r="H75" s="20"/>
      <c r="I75" s="16"/>
      <c r="J75" s="1"/>
      <c r="K75" s="41"/>
      <c r="L75" s="16"/>
      <c r="M75" s="16"/>
      <c r="N75" s="16"/>
      <c r="O75" s="8"/>
      <c r="P75" s="15"/>
      <c r="Q75" s="16"/>
      <c r="R75" s="8"/>
      <c r="S75" s="67"/>
    </row>
    <row r="76" spans="1:19" s="2" customFormat="1" ht="19.7" customHeight="1" x14ac:dyDescent="0.15">
      <c r="D76" s="15"/>
      <c r="E76" s="15"/>
      <c r="F76" s="15"/>
      <c r="G76" s="16"/>
      <c r="H76" s="20"/>
      <c r="I76" s="16"/>
      <c r="J76" s="1"/>
      <c r="K76" s="41"/>
      <c r="L76" s="16"/>
      <c r="M76" s="16"/>
      <c r="N76" s="16"/>
      <c r="O76" s="8"/>
      <c r="P76" s="15"/>
      <c r="Q76" s="16"/>
      <c r="R76" s="8"/>
      <c r="S76" s="67"/>
    </row>
    <row r="77" spans="1:19" s="2" customFormat="1" ht="19.7" customHeight="1" x14ac:dyDescent="0.15">
      <c r="D77" s="15"/>
      <c r="E77" s="15"/>
      <c r="F77" s="15"/>
      <c r="G77" s="16"/>
      <c r="H77" s="20"/>
      <c r="I77" s="16"/>
      <c r="J77" s="1"/>
      <c r="K77" s="41"/>
      <c r="L77" s="16"/>
      <c r="M77" s="16"/>
      <c r="N77" s="16"/>
      <c r="O77" s="8"/>
      <c r="P77" s="15"/>
      <c r="Q77" s="16"/>
      <c r="R77" s="8"/>
      <c r="S77" s="67"/>
    </row>
    <row r="78" spans="1:19" s="2" customFormat="1" ht="19.7" customHeight="1" x14ac:dyDescent="0.15">
      <c r="D78" s="15"/>
      <c r="E78" s="15"/>
      <c r="F78" s="15"/>
      <c r="G78" s="16"/>
      <c r="H78" s="20"/>
      <c r="I78" s="16"/>
      <c r="J78" s="1"/>
      <c r="K78" s="41"/>
      <c r="L78" s="16"/>
      <c r="M78" s="16"/>
      <c r="N78" s="16"/>
      <c r="O78" s="8"/>
      <c r="P78" s="15"/>
      <c r="Q78" s="16"/>
      <c r="R78" s="8"/>
      <c r="S78" s="67"/>
    </row>
    <row r="79" spans="1:19" s="2" customFormat="1" ht="19.7" customHeight="1" x14ac:dyDescent="0.15">
      <c r="D79" s="15"/>
      <c r="E79" s="15"/>
      <c r="F79" s="15"/>
      <c r="G79" s="16"/>
      <c r="H79" s="20"/>
      <c r="I79" s="16"/>
      <c r="J79" s="1"/>
      <c r="K79" s="41"/>
      <c r="L79" s="16"/>
      <c r="M79" s="16"/>
      <c r="N79" s="16"/>
      <c r="O79" s="8"/>
      <c r="P79" s="15"/>
      <c r="Q79" s="16"/>
      <c r="R79" s="8"/>
      <c r="S79" s="67"/>
    </row>
    <row r="80" spans="1:19" s="2" customFormat="1" ht="19.7" customHeight="1" x14ac:dyDescent="0.15">
      <c r="D80" s="15"/>
      <c r="E80" s="15"/>
      <c r="F80" s="15"/>
      <c r="G80" s="16"/>
      <c r="H80" s="20"/>
      <c r="I80" s="16"/>
      <c r="J80" s="1"/>
      <c r="K80" s="41"/>
      <c r="L80" s="16"/>
      <c r="M80" s="16"/>
      <c r="N80" s="16"/>
      <c r="O80" s="8"/>
      <c r="P80" s="15"/>
      <c r="Q80" s="16"/>
      <c r="R80" s="8"/>
      <c r="S80" s="67"/>
    </row>
    <row r="81" spans="4:19" s="2" customFormat="1" ht="19.7" customHeight="1" x14ac:dyDescent="0.15">
      <c r="D81" s="15"/>
      <c r="E81" s="15"/>
      <c r="F81" s="15"/>
      <c r="G81" s="16"/>
      <c r="H81" s="20"/>
      <c r="I81" s="16"/>
      <c r="J81" s="1"/>
      <c r="K81" s="41"/>
      <c r="L81" s="16"/>
      <c r="M81" s="16"/>
      <c r="N81" s="16"/>
      <c r="O81" s="8"/>
      <c r="P81" s="15"/>
      <c r="Q81" s="16"/>
      <c r="R81" s="8"/>
      <c r="S81" s="67"/>
    </row>
    <row r="82" spans="4:19" s="2" customFormat="1" ht="19.7" customHeight="1" x14ac:dyDescent="0.15">
      <c r="D82" s="15"/>
      <c r="E82" s="15"/>
      <c r="F82" s="15"/>
      <c r="G82" s="16"/>
      <c r="H82" s="20"/>
      <c r="I82" s="16"/>
      <c r="J82" s="1"/>
      <c r="K82" s="41"/>
      <c r="L82" s="16"/>
      <c r="M82" s="16"/>
      <c r="N82" s="16"/>
      <c r="O82" s="8"/>
      <c r="P82" s="15"/>
      <c r="Q82" s="16"/>
      <c r="R82" s="8"/>
      <c r="S82" s="67"/>
    </row>
    <row r="83" spans="4:19" s="2" customFormat="1" ht="19.7" customHeight="1" x14ac:dyDescent="0.15">
      <c r="D83" s="15"/>
      <c r="E83" s="15"/>
      <c r="F83" s="15"/>
      <c r="G83" s="16"/>
      <c r="H83" s="20"/>
      <c r="I83" s="16"/>
      <c r="J83" s="1"/>
      <c r="K83" s="41"/>
      <c r="L83" s="16"/>
      <c r="M83" s="16"/>
      <c r="N83" s="16"/>
      <c r="O83" s="8"/>
      <c r="P83" s="15"/>
      <c r="Q83" s="16"/>
      <c r="R83" s="8"/>
      <c r="S83" s="67"/>
    </row>
    <row r="84" spans="4:19" s="2" customFormat="1" ht="19.7" customHeight="1" x14ac:dyDescent="0.15">
      <c r="D84" s="15"/>
      <c r="E84" s="15"/>
      <c r="F84" s="15"/>
      <c r="G84" s="16"/>
      <c r="H84" s="20"/>
      <c r="I84" s="16"/>
      <c r="J84" s="1"/>
      <c r="K84" s="41"/>
      <c r="L84" s="16"/>
      <c r="M84" s="16"/>
      <c r="N84" s="16"/>
      <c r="O84" s="8"/>
      <c r="P84" s="15"/>
      <c r="Q84" s="16"/>
      <c r="R84" s="8"/>
      <c r="S84" s="67"/>
    </row>
    <row r="85" spans="4:19" s="2" customFormat="1" ht="19.7" customHeight="1" x14ac:dyDescent="0.15">
      <c r="D85" s="15"/>
      <c r="E85" s="15"/>
      <c r="F85" s="15"/>
      <c r="G85" s="16"/>
      <c r="H85" s="20"/>
      <c r="I85" s="16"/>
      <c r="J85" s="1"/>
      <c r="K85" s="41"/>
      <c r="L85" s="16"/>
      <c r="M85" s="16"/>
      <c r="N85" s="16"/>
      <c r="O85" s="8"/>
      <c r="P85" s="15"/>
      <c r="Q85" s="16"/>
      <c r="R85" s="8"/>
      <c r="S85" s="67"/>
    </row>
    <row r="86" spans="4:19" s="2" customFormat="1" ht="19.7" customHeight="1" x14ac:dyDescent="0.15">
      <c r="D86" s="15"/>
      <c r="E86" s="15"/>
      <c r="F86" s="15"/>
      <c r="G86" s="16"/>
      <c r="H86" s="20"/>
      <c r="I86" s="16"/>
      <c r="J86" s="1"/>
      <c r="K86" s="41"/>
      <c r="L86" s="16"/>
      <c r="M86" s="16"/>
      <c r="N86" s="16"/>
      <c r="O86" s="8"/>
      <c r="P86" s="15"/>
      <c r="Q86" s="16"/>
      <c r="R86" s="8"/>
      <c r="S86" s="67"/>
    </row>
    <row r="87" spans="4:19" s="2" customFormat="1" ht="19.7" customHeight="1" x14ac:dyDescent="0.15">
      <c r="D87" s="15"/>
      <c r="E87" s="15"/>
      <c r="F87" s="15"/>
      <c r="G87" s="16"/>
      <c r="H87" s="20"/>
      <c r="I87" s="16"/>
      <c r="J87" s="1"/>
      <c r="K87" s="41"/>
      <c r="L87" s="16"/>
      <c r="M87" s="16"/>
      <c r="N87" s="16"/>
      <c r="O87" s="8"/>
      <c r="P87" s="15"/>
      <c r="Q87" s="16"/>
      <c r="R87" s="8"/>
      <c r="S87" s="67"/>
    </row>
    <row r="88" spans="4:19" s="2" customFormat="1" ht="19.7" customHeight="1" x14ac:dyDescent="0.15">
      <c r="D88" s="15"/>
      <c r="E88" s="15"/>
      <c r="F88" s="15"/>
      <c r="G88" s="16"/>
      <c r="H88" s="20"/>
      <c r="I88" s="16"/>
      <c r="J88" s="1"/>
      <c r="K88" s="41"/>
      <c r="L88" s="16"/>
      <c r="M88" s="16"/>
      <c r="N88" s="16"/>
      <c r="O88" s="8"/>
      <c r="P88" s="15"/>
      <c r="Q88" s="16"/>
      <c r="R88" s="8"/>
      <c r="S88" s="67"/>
    </row>
    <row r="89" spans="4:19" s="2" customFormat="1" ht="19.7" customHeight="1" x14ac:dyDescent="0.15">
      <c r="D89" s="15"/>
      <c r="E89" s="15"/>
      <c r="F89" s="15"/>
      <c r="G89" s="16"/>
      <c r="H89" s="20"/>
      <c r="I89" s="16"/>
      <c r="J89" s="1"/>
      <c r="K89" s="41"/>
      <c r="L89" s="16"/>
      <c r="M89" s="16"/>
      <c r="N89" s="16"/>
      <c r="O89" s="8"/>
      <c r="P89" s="15"/>
      <c r="Q89" s="16"/>
      <c r="R89" s="8"/>
      <c r="S89" s="67"/>
    </row>
    <row r="90" spans="4:19" s="2" customFormat="1" ht="19.7" customHeight="1" x14ac:dyDescent="0.15">
      <c r="D90" s="15"/>
      <c r="E90" s="15"/>
      <c r="F90" s="15"/>
      <c r="G90" s="16"/>
      <c r="H90" s="20"/>
      <c r="I90" s="16"/>
      <c r="J90" s="1"/>
      <c r="K90" s="41"/>
      <c r="L90" s="16"/>
      <c r="M90" s="16"/>
      <c r="N90" s="16"/>
      <c r="O90" s="8"/>
      <c r="P90" s="15"/>
      <c r="Q90" s="16"/>
      <c r="R90" s="8"/>
      <c r="S90" s="67"/>
    </row>
    <row r="91" spans="4:19" s="2" customFormat="1" ht="19.7" customHeight="1" x14ac:dyDescent="0.15">
      <c r="D91" s="15"/>
      <c r="E91" s="15"/>
      <c r="F91" s="15"/>
      <c r="G91" s="16"/>
      <c r="H91" s="20"/>
      <c r="I91" s="16"/>
      <c r="J91" s="1"/>
      <c r="K91" s="41"/>
      <c r="L91" s="16"/>
      <c r="M91" s="16"/>
      <c r="N91" s="16"/>
      <c r="O91" s="8"/>
      <c r="P91" s="15"/>
      <c r="Q91" s="16"/>
      <c r="R91" s="8"/>
      <c r="S91" s="67"/>
    </row>
    <row r="92" spans="4:19" s="2" customFormat="1" ht="19.7" customHeight="1" x14ac:dyDescent="0.15">
      <c r="D92" s="15"/>
      <c r="E92" s="15"/>
      <c r="F92" s="15"/>
      <c r="G92" s="16"/>
      <c r="H92" s="20"/>
      <c r="I92" s="16"/>
      <c r="J92" s="1"/>
      <c r="K92" s="41"/>
      <c r="L92" s="16"/>
      <c r="M92" s="16"/>
      <c r="N92" s="16"/>
      <c r="O92" s="8"/>
      <c r="P92" s="15"/>
      <c r="Q92" s="16"/>
      <c r="R92" s="8"/>
      <c r="S92" s="67"/>
    </row>
    <row r="93" spans="4:19" s="2" customFormat="1" ht="19.7" customHeight="1" x14ac:dyDescent="0.15">
      <c r="D93" s="15"/>
      <c r="E93" s="15"/>
      <c r="F93" s="15"/>
      <c r="G93" s="16"/>
      <c r="H93" s="20"/>
      <c r="I93" s="16"/>
      <c r="J93" s="1"/>
      <c r="K93" s="41"/>
      <c r="L93" s="16"/>
      <c r="M93" s="16"/>
      <c r="N93" s="16"/>
      <c r="O93" s="8"/>
      <c r="P93" s="15"/>
      <c r="Q93" s="16"/>
      <c r="R93" s="8"/>
      <c r="S93" s="67"/>
    </row>
    <row r="94" spans="4:19" s="2" customFormat="1" ht="19.7" customHeight="1" x14ac:dyDescent="0.15">
      <c r="D94" s="15"/>
      <c r="E94" s="15"/>
      <c r="F94" s="15"/>
      <c r="G94" s="16"/>
      <c r="H94" s="20"/>
      <c r="I94" s="16"/>
      <c r="J94" s="1"/>
      <c r="K94" s="41"/>
      <c r="L94" s="16"/>
      <c r="M94" s="16"/>
      <c r="N94" s="16"/>
      <c r="O94" s="8"/>
      <c r="P94" s="15"/>
      <c r="Q94" s="16"/>
      <c r="R94" s="8"/>
      <c r="S94" s="67"/>
    </row>
    <row r="95" spans="4:19" s="2" customFormat="1" ht="19.7" customHeight="1" x14ac:dyDescent="0.15">
      <c r="D95" s="15"/>
      <c r="E95" s="15"/>
      <c r="F95" s="15"/>
      <c r="G95" s="16"/>
      <c r="H95" s="20"/>
      <c r="I95" s="16"/>
      <c r="J95" s="1"/>
      <c r="K95" s="41"/>
      <c r="L95" s="16"/>
      <c r="M95" s="16"/>
      <c r="N95" s="16"/>
      <c r="O95" s="8"/>
      <c r="P95" s="15"/>
      <c r="Q95" s="16"/>
      <c r="R95" s="8"/>
      <c r="S95" s="67"/>
    </row>
    <row r="96" spans="4:19" s="2" customFormat="1" ht="19.7" customHeight="1" x14ac:dyDescent="0.15">
      <c r="D96" s="15"/>
      <c r="E96" s="15"/>
      <c r="F96" s="15"/>
      <c r="G96" s="16"/>
      <c r="H96" s="20"/>
      <c r="I96" s="16"/>
      <c r="J96" s="1"/>
      <c r="K96" s="41"/>
      <c r="L96" s="16"/>
      <c r="M96" s="16"/>
      <c r="N96" s="16"/>
      <c r="O96" s="8"/>
      <c r="P96" s="15"/>
      <c r="Q96" s="16"/>
      <c r="R96" s="8"/>
      <c r="S96" s="67"/>
    </row>
    <row r="97" spans="4:19" s="2" customFormat="1" ht="19.7" customHeight="1" x14ac:dyDescent="0.15">
      <c r="D97" s="15"/>
      <c r="E97" s="15"/>
      <c r="F97" s="15"/>
      <c r="G97" s="16"/>
      <c r="H97" s="20"/>
      <c r="I97" s="16"/>
      <c r="J97" s="1"/>
      <c r="K97" s="41"/>
      <c r="L97" s="16"/>
      <c r="M97" s="16"/>
      <c r="N97" s="16"/>
      <c r="O97" s="8"/>
      <c r="P97" s="15"/>
      <c r="Q97" s="16"/>
      <c r="R97" s="8"/>
      <c r="S97" s="67"/>
    </row>
    <row r="98" spans="4:19" s="2" customFormat="1" ht="19.7" customHeight="1" x14ac:dyDescent="0.15">
      <c r="D98" s="15"/>
      <c r="E98" s="15"/>
      <c r="F98" s="15"/>
      <c r="G98" s="16"/>
      <c r="H98" s="20"/>
      <c r="I98" s="16"/>
      <c r="J98" s="1"/>
      <c r="K98" s="41"/>
      <c r="L98" s="16"/>
      <c r="M98" s="16"/>
      <c r="N98" s="16"/>
      <c r="O98" s="8"/>
      <c r="P98" s="15"/>
      <c r="Q98" s="16"/>
      <c r="R98" s="8"/>
      <c r="S98" s="67"/>
    </row>
    <row r="99" spans="4:19" s="2" customFormat="1" ht="19.7" customHeight="1" x14ac:dyDescent="0.15">
      <c r="D99" s="15"/>
      <c r="E99" s="15"/>
      <c r="F99" s="15"/>
      <c r="G99" s="16"/>
      <c r="H99" s="20"/>
      <c r="I99" s="16"/>
      <c r="J99" s="1"/>
      <c r="K99" s="41"/>
      <c r="L99" s="16"/>
      <c r="M99" s="16"/>
      <c r="N99" s="16"/>
      <c r="O99" s="8"/>
      <c r="P99" s="15"/>
      <c r="Q99" s="16"/>
      <c r="R99" s="8"/>
      <c r="S99" s="67"/>
    </row>
    <row r="100" spans="4:19" s="2" customFormat="1" ht="19.7" customHeight="1" x14ac:dyDescent="0.15">
      <c r="D100" s="15"/>
      <c r="E100" s="15"/>
      <c r="F100" s="15"/>
      <c r="G100" s="16"/>
      <c r="H100" s="20"/>
      <c r="I100" s="16"/>
      <c r="J100" s="1"/>
      <c r="K100" s="41"/>
      <c r="L100" s="16"/>
      <c r="M100" s="16"/>
      <c r="N100" s="16"/>
      <c r="O100" s="8"/>
      <c r="P100" s="15"/>
      <c r="Q100" s="16"/>
      <c r="R100" s="8"/>
      <c r="S100" s="67"/>
    </row>
    <row r="101" spans="4:19" s="2" customFormat="1" ht="19.7" customHeight="1" x14ac:dyDescent="0.15">
      <c r="D101" s="15"/>
      <c r="E101" s="15"/>
      <c r="F101" s="15"/>
      <c r="G101" s="16"/>
      <c r="H101" s="20"/>
      <c r="I101" s="16"/>
      <c r="J101" s="1"/>
      <c r="K101" s="41"/>
      <c r="L101" s="16"/>
      <c r="M101" s="16"/>
      <c r="N101" s="16"/>
      <c r="O101" s="8"/>
      <c r="P101" s="15"/>
      <c r="Q101" s="16"/>
      <c r="R101" s="8"/>
      <c r="S101" s="67"/>
    </row>
    <row r="102" spans="4:19" s="2" customFormat="1" ht="19.7" customHeight="1" x14ac:dyDescent="0.15">
      <c r="D102" s="15"/>
      <c r="E102" s="15"/>
      <c r="F102" s="15"/>
      <c r="G102" s="16"/>
      <c r="H102" s="20"/>
      <c r="I102" s="16"/>
      <c r="J102" s="1"/>
      <c r="K102" s="41"/>
      <c r="L102" s="16"/>
      <c r="M102" s="16"/>
      <c r="N102" s="16"/>
      <c r="O102" s="8"/>
      <c r="P102" s="15"/>
      <c r="Q102" s="16"/>
      <c r="R102" s="8"/>
      <c r="S102" s="67"/>
    </row>
    <row r="103" spans="4:19" s="2" customFormat="1" ht="19.7" customHeight="1" x14ac:dyDescent="0.15">
      <c r="D103" s="15"/>
      <c r="E103" s="15"/>
      <c r="F103" s="15"/>
      <c r="G103" s="16"/>
      <c r="H103" s="20"/>
      <c r="I103" s="16"/>
      <c r="J103" s="1"/>
      <c r="K103" s="41"/>
      <c r="L103" s="16"/>
      <c r="M103" s="16"/>
      <c r="N103" s="16"/>
      <c r="O103" s="8"/>
      <c r="P103" s="15"/>
      <c r="Q103" s="16"/>
      <c r="R103" s="8"/>
      <c r="S103" s="67"/>
    </row>
    <row r="104" spans="4:19" s="2" customFormat="1" ht="19.7" customHeight="1" x14ac:dyDescent="0.15">
      <c r="D104" s="15"/>
      <c r="E104" s="15"/>
      <c r="F104" s="15"/>
      <c r="G104" s="16"/>
      <c r="H104" s="20"/>
      <c r="I104" s="16"/>
      <c r="J104" s="1"/>
      <c r="K104" s="41"/>
      <c r="L104" s="16"/>
      <c r="M104" s="16"/>
      <c r="N104" s="16"/>
      <c r="O104" s="8"/>
      <c r="P104" s="15"/>
      <c r="Q104" s="16"/>
      <c r="R104" s="8"/>
      <c r="S104" s="67"/>
    </row>
    <row r="105" spans="4:19" s="2" customFormat="1" ht="19.7" customHeight="1" x14ac:dyDescent="0.15">
      <c r="D105" s="15"/>
      <c r="E105" s="15"/>
      <c r="F105" s="15"/>
      <c r="G105" s="16"/>
      <c r="H105" s="20"/>
      <c r="I105" s="16"/>
      <c r="J105" s="1"/>
      <c r="K105" s="41"/>
      <c r="L105" s="16"/>
      <c r="M105" s="16"/>
      <c r="N105" s="16"/>
      <c r="O105" s="8"/>
      <c r="P105" s="15"/>
      <c r="Q105" s="16"/>
      <c r="R105" s="8"/>
      <c r="S105" s="67"/>
    </row>
    <row r="106" spans="4:19" s="2" customFormat="1" ht="19.7" customHeight="1" x14ac:dyDescent="0.15">
      <c r="D106" s="15"/>
      <c r="E106" s="15"/>
      <c r="F106" s="15"/>
      <c r="G106" s="16"/>
      <c r="H106" s="20"/>
      <c r="I106" s="16"/>
      <c r="J106" s="1"/>
      <c r="K106" s="41"/>
      <c r="L106" s="16"/>
      <c r="M106" s="16"/>
      <c r="N106" s="16"/>
      <c r="O106" s="8"/>
      <c r="P106" s="15"/>
      <c r="Q106" s="16"/>
      <c r="R106" s="8"/>
      <c r="S106" s="67"/>
    </row>
    <row r="107" spans="4:19" s="2" customFormat="1" ht="19.7" customHeight="1" x14ac:dyDescent="0.15">
      <c r="D107" s="15"/>
      <c r="E107" s="15"/>
      <c r="F107" s="15"/>
      <c r="G107" s="16"/>
      <c r="H107" s="20"/>
      <c r="I107" s="16"/>
      <c r="J107" s="1"/>
      <c r="K107" s="41"/>
      <c r="L107" s="16"/>
      <c r="M107" s="16"/>
      <c r="N107" s="16"/>
      <c r="O107" s="8"/>
      <c r="P107" s="15"/>
      <c r="Q107" s="16"/>
      <c r="R107" s="8"/>
      <c r="S107" s="67"/>
    </row>
    <row r="108" spans="4:19" s="2" customFormat="1" ht="19.7" customHeight="1" x14ac:dyDescent="0.15">
      <c r="D108" s="15"/>
      <c r="E108" s="15"/>
      <c r="F108" s="15"/>
      <c r="G108" s="16"/>
      <c r="H108" s="20"/>
      <c r="I108" s="16"/>
      <c r="J108" s="1"/>
      <c r="K108" s="41"/>
      <c r="L108" s="16"/>
      <c r="M108" s="16"/>
      <c r="N108" s="16"/>
      <c r="O108" s="8"/>
      <c r="P108" s="15"/>
      <c r="Q108" s="16"/>
      <c r="R108" s="8"/>
      <c r="S108" s="67"/>
    </row>
    <row r="109" spans="4:19" s="2" customFormat="1" ht="19.7" customHeight="1" x14ac:dyDescent="0.15">
      <c r="D109" s="15"/>
      <c r="E109" s="15"/>
      <c r="F109" s="15"/>
      <c r="G109" s="16"/>
      <c r="H109" s="20"/>
      <c r="I109" s="16"/>
      <c r="J109" s="1"/>
      <c r="K109" s="41"/>
      <c r="L109" s="16"/>
      <c r="M109" s="16"/>
      <c r="N109" s="16"/>
      <c r="O109" s="8"/>
      <c r="P109" s="15"/>
      <c r="Q109" s="16"/>
      <c r="R109" s="8"/>
      <c r="S109" s="67"/>
    </row>
    <row r="110" spans="4:19" s="2" customFormat="1" ht="19.7" customHeight="1" x14ac:dyDescent="0.15">
      <c r="D110" s="15"/>
      <c r="E110" s="15"/>
      <c r="F110" s="15"/>
      <c r="G110" s="16"/>
      <c r="H110" s="20"/>
      <c r="I110" s="16"/>
      <c r="J110" s="1"/>
      <c r="K110" s="41"/>
      <c r="L110" s="16"/>
      <c r="M110" s="16"/>
      <c r="N110" s="16"/>
      <c r="O110" s="8"/>
      <c r="P110" s="15"/>
      <c r="Q110" s="16"/>
      <c r="R110" s="8"/>
      <c r="S110" s="67"/>
    </row>
    <row r="111" spans="4:19" s="2" customFormat="1" ht="19.7" customHeight="1" x14ac:dyDescent="0.15">
      <c r="D111" s="15"/>
      <c r="E111" s="15"/>
      <c r="F111" s="15"/>
      <c r="G111" s="16"/>
      <c r="H111" s="20"/>
      <c r="I111" s="16"/>
      <c r="J111" s="1"/>
      <c r="K111" s="41"/>
      <c r="L111" s="16"/>
      <c r="M111" s="16"/>
      <c r="N111" s="16"/>
      <c r="O111" s="8"/>
      <c r="P111" s="15"/>
      <c r="Q111" s="16"/>
      <c r="R111" s="8"/>
      <c r="S111" s="67"/>
    </row>
    <row r="112" spans="4:19" s="2" customFormat="1" ht="19.7" customHeight="1" x14ac:dyDescent="0.15">
      <c r="D112" s="15"/>
      <c r="E112" s="15"/>
      <c r="F112" s="15"/>
      <c r="G112" s="16"/>
      <c r="H112" s="20"/>
      <c r="I112" s="16"/>
      <c r="J112" s="1"/>
      <c r="K112" s="41"/>
      <c r="L112" s="16"/>
      <c r="M112" s="16"/>
      <c r="N112" s="16"/>
      <c r="O112" s="8"/>
      <c r="P112" s="15"/>
      <c r="Q112" s="16"/>
      <c r="R112" s="8"/>
      <c r="S112" s="67"/>
    </row>
    <row r="113" spans="4:19" s="2" customFormat="1" ht="19.7" customHeight="1" x14ac:dyDescent="0.15">
      <c r="D113" s="15"/>
      <c r="E113" s="15"/>
      <c r="F113" s="15"/>
      <c r="G113" s="16"/>
      <c r="H113" s="20"/>
      <c r="I113" s="16"/>
      <c r="J113" s="1"/>
      <c r="K113" s="41"/>
      <c r="L113" s="16"/>
      <c r="M113" s="16"/>
      <c r="N113" s="16"/>
      <c r="O113" s="8"/>
      <c r="P113" s="15"/>
      <c r="Q113" s="16"/>
      <c r="R113" s="8"/>
      <c r="S113" s="67"/>
    </row>
    <row r="114" spans="4:19" s="2" customFormat="1" ht="19.7" customHeight="1" x14ac:dyDescent="0.15">
      <c r="D114" s="15"/>
      <c r="E114" s="15"/>
      <c r="F114" s="15"/>
      <c r="G114" s="16"/>
      <c r="H114" s="20"/>
      <c r="I114" s="16"/>
      <c r="J114" s="1"/>
      <c r="K114" s="41"/>
      <c r="L114" s="16"/>
      <c r="M114" s="16"/>
      <c r="N114" s="16"/>
      <c r="O114" s="8"/>
      <c r="P114" s="15"/>
      <c r="Q114" s="16"/>
      <c r="R114" s="8"/>
      <c r="S114" s="67"/>
    </row>
    <row r="115" spans="4:19" s="2" customFormat="1" ht="19.7" customHeight="1" x14ac:dyDescent="0.15">
      <c r="D115" s="15"/>
      <c r="E115" s="15"/>
      <c r="F115" s="15"/>
      <c r="G115" s="16"/>
      <c r="H115" s="20"/>
      <c r="I115" s="16"/>
      <c r="J115" s="1"/>
      <c r="K115" s="41"/>
      <c r="L115" s="16"/>
      <c r="M115" s="16"/>
      <c r="N115" s="16"/>
      <c r="O115" s="8"/>
      <c r="P115" s="15"/>
      <c r="Q115" s="16"/>
      <c r="R115" s="8"/>
      <c r="S115" s="67"/>
    </row>
    <row r="116" spans="4:19" s="2" customFormat="1" ht="19.7" customHeight="1" x14ac:dyDescent="0.15">
      <c r="D116" s="15"/>
      <c r="E116" s="15"/>
      <c r="F116" s="15"/>
      <c r="G116" s="16"/>
      <c r="H116" s="20"/>
      <c r="I116" s="16"/>
      <c r="J116" s="1"/>
      <c r="K116" s="41"/>
      <c r="L116" s="16"/>
      <c r="M116" s="16"/>
      <c r="N116" s="16"/>
      <c r="O116" s="8"/>
      <c r="P116" s="15"/>
      <c r="Q116" s="16"/>
      <c r="R116" s="8"/>
      <c r="S116" s="67"/>
    </row>
    <row r="117" spans="4:19" s="2" customFormat="1" ht="19.7" customHeight="1" x14ac:dyDescent="0.15">
      <c r="D117" s="15"/>
      <c r="E117" s="15"/>
      <c r="F117" s="15"/>
      <c r="G117" s="16"/>
      <c r="H117" s="20"/>
      <c r="I117" s="16"/>
      <c r="J117" s="1"/>
      <c r="K117" s="41"/>
      <c r="L117" s="16"/>
      <c r="M117" s="16"/>
      <c r="N117" s="16"/>
      <c r="O117" s="8"/>
      <c r="P117" s="15"/>
      <c r="Q117" s="16"/>
      <c r="R117" s="8"/>
      <c r="S117" s="67"/>
    </row>
    <row r="118" spans="4:19" s="2" customFormat="1" ht="19.7" customHeight="1" x14ac:dyDescent="0.15">
      <c r="D118" s="15"/>
      <c r="E118" s="15"/>
      <c r="F118" s="15"/>
      <c r="G118" s="16"/>
      <c r="H118" s="20"/>
      <c r="I118" s="16"/>
      <c r="J118" s="1"/>
      <c r="K118" s="41"/>
      <c r="L118" s="16"/>
      <c r="M118" s="16"/>
      <c r="N118" s="16"/>
      <c r="O118" s="8"/>
      <c r="P118" s="15"/>
      <c r="Q118" s="16"/>
      <c r="R118" s="8"/>
      <c r="S118" s="67"/>
    </row>
    <row r="119" spans="4:19" s="2" customFormat="1" ht="19.7" customHeight="1" x14ac:dyDescent="0.15">
      <c r="D119" s="15"/>
      <c r="E119" s="15"/>
      <c r="F119" s="15"/>
      <c r="G119" s="16"/>
      <c r="H119" s="20"/>
      <c r="I119" s="16"/>
      <c r="J119" s="1"/>
      <c r="K119" s="41"/>
      <c r="L119" s="16"/>
      <c r="M119" s="16"/>
      <c r="N119" s="16"/>
      <c r="O119" s="8"/>
      <c r="P119" s="15"/>
      <c r="Q119" s="16"/>
      <c r="R119" s="8"/>
      <c r="S119" s="67"/>
    </row>
    <row r="120" spans="4:19" s="2" customFormat="1" ht="19.7" customHeight="1" x14ac:dyDescent="0.15">
      <c r="D120" s="15"/>
      <c r="E120" s="15"/>
      <c r="F120" s="15"/>
      <c r="G120" s="16"/>
      <c r="H120" s="20"/>
      <c r="I120" s="16"/>
      <c r="J120" s="1"/>
      <c r="K120" s="41"/>
      <c r="L120" s="16"/>
      <c r="M120" s="16"/>
      <c r="N120" s="16"/>
      <c r="O120" s="8"/>
      <c r="P120" s="15"/>
      <c r="Q120" s="16"/>
      <c r="R120" s="8"/>
      <c r="S120" s="67"/>
    </row>
    <row r="121" spans="4:19" s="2" customFormat="1" ht="19.7" customHeight="1" x14ac:dyDescent="0.15">
      <c r="D121" s="15"/>
      <c r="E121" s="15"/>
      <c r="F121" s="15"/>
      <c r="G121" s="16"/>
      <c r="H121" s="20"/>
      <c r="I121" s="16"/>
      <c r="J121" s="1"/>
      <c r="K121" s="41"/>
      <c r="L121" s="16"/>
      <c r="M121" s="16"/>
      <c r="N121" s="16"/>
      <c r="O121" s="8"/>
      <c r="P121" s="15"/>
      <c r="Q121" s="16"/>
      <c r="R121" s="8"/>
      <c r="S121" s="67"/>
    </row>
    <row r="122" spans="4:19" s="2" customFormat="1" ht="19.7" customHeight="1" x14ac:dyDescent="0.15">
      <c r="D122" s="15"/>
      <c r="E122" s="15"/>
      <c r="F122" s="15"/>
      <c r="G122" s="16"/>
      <c r="H122" s="20"/>
      <c r="I122" s="16"/>
      <c r="J122" s="1"/>
      <c r="K122" s="41"/>
      <c r="L122" s="16"/>
      <c r="M122" s="16"/>
      <c r="N122" s="16"/>
      <c r="O122" s="8"/>
      <c r="P122" s="15"/>
      <c r="Q122" s="16"/>
      <c r="R122" s="8"/>
      <c r="S122" s="67"/>
    </row>
    <row r="123" spans="4:19" s="2" customFormat="1" ht="19.7" customHeight="1" x14ac:dyDescent="0.15">
      <c r="D123" s="15"/>
      <c r="E123" s="15"/>
      <c r="F123" s="15"/>
      <c r="G123" s="16"/>
      <c r="H123" s="20"/>
      <c r="I123" s="16"/>
      <c r="J123" s="1"/>
      <c r="K123" s="41"/>
      <c r="L123" s="16"/>
      <c r="M123" s="16"/>
      <c r="N123" s="16"/>
      <c r="O123" s="8"/>
      <c r="P123" s="15"/>
      <c r="Q123" s="16"/>
      <c r="R123" s="8"/>
      <c r="S123" s="67"/>
    </row>
    <row r="124" spans="4:19" s="2" customFormat="1" ht="19.7" customHeight="1" x14ac:dyDescent="0.15">
      <c r="D124" s="15"/>
      <c r="E124" s="15"/>
      <c r="F124" s="15"/>
      <c r="G124" s="16"/>
      <c r="H124" s="20"/>
      <c r="I124" s="16"/>
      <c r="J124" s="1"/>
      <c r="K124" s="41"/>
      <c r="L124" s="16"/>
      <c r="M124" s="16"/>
      <c r="N124" s="16"/>
      <c r="O124" s="8"/>
      <c r="P124" s="15"/>
      <c r="Q124" s="16"/>
      <c r="R124" s="8"/>
      <c r="S124" s="67"/>
    </row>
    <row r="125" spans="4:19" s="2" customFormat="1" ht="19.7" customHeight="1" x14ac:dyDescent="0.15">
      <c r="D125" s="15"/>
      <c r="E125" s="15"/>
      <c r="F125" s="15"/>
      <c r="G125" s="16"/>
      <c r="H125" s="20"/>
      <c r="I125" s="16"/>
      <c r="J125" s="1"/>
      <c r="K125" s="41"/>
      <c r="L125" s="16"/>
      <c r="M125" s="16"/>
      <c r="N125" s="16"/>
      <c r="O125" s="8"/>
      <c r="P125" s="15"/>
      <c r="Q125" s="16"/>
      <c r="R125" s="8"/>
      <c r="S125" s="67"/>
    </row>
    <row r="126" spans="4:19" s="2" customFormat="1" ht="19.7" customHeight="1" x14ac:dyDescent="0.15">
      <c r="D126" s="15"/>
      <c r="E126" s="15"/>
      <c r="F126" s="15"/>
      <c r="G126" s="16"/>
      <c r="H126" s="20"/>
      <c r="I126" s="16"/>
      <c r="J126" s="1"/>
      <c r="K126" s="41"/>
      <c r="L126" s="16"/>
      <c r="M126" s="16"/>
      <c r="N126" s="16"/>
      <c r="O126" s="8"/>
      <c r="P126" s="15"/>
      <c r="Q126" s="16"/>
      <c r="R126" s="8"/>
      <c r="S126" s="67"/>
    </row>
    <row r="127" spans="4:19" s="2" customFormat="1" ht="19.7" customHeight="1" x14ac:dyDescent="0.15">
      <c r="D127" s="15"/>
      <c r="E127" s="15"/>
      <c r="F127" s="15"/>
      <c r="G127" s="16"/>
      <c r="H127" s="20"/>
      <c r="I127" s="16"/>
      <c r="J127" s="1"/>
      <c r="K127" s="41"/>
      <c r="L127" s="16"/>
      <c r="M127" s="16"/>
      <c r="N127" s="16"/>
      <c r="O127" s="8"/>
      <c r="P127" s="15"/>
      <c r="Q127" s="16"/>
      <c r="R127" s="8"/>
      <c r="S127" s="67"/>
    </row>
    <row r="128" spans="4:19" s="2" customFormat="1" ht="19.7" customHeight="1" x14ac:dyDescent="0.15">
      <c r="D128" s="15"/>
      <c r="E128" s="15"/>
      <c r="F128" s="15"/>
      <c r="G128" s="16"/>
      <c r="H128" s="20"/>
      <c r="I128" s="16"/>
      <c r="J128" s="1"/>
      <c r="K128" s="41"/>
      <c r="L128" s="16"/>
      <c r="M128" s="16"/>
      <c r="N128" s="16"/>
      <c r="O128" s="8"/>
      <c r="P128" s="15"/>
      <c r="Q128" s="16"/>
      <c r="R128" s="8"/>
      <c r="S128" s="67"/>
    </row>
    <row r="129" spans="4:19" s="2" customFormat="1" ht="19.7" customHeight="1" x14ac:dyDescent="0.15">
      <c r="D129" s="15"/>
      <c r="E129" s="15"/>
      <c r="F129" s="15"/>
      <c r="G129" s="16"/>
      <c r="H129" s="20"/>
      <c r="I129" s="16"/>
      <c r="J129" s="1"/>
      <c r="K129" s="41"/>
      <c r="L129" s="16"/>
      <c r="M129" s="16"/>
      <c r="N129" s="16"/>
      <c r="O129" s="8"/>
      <c r="P129" s="15"/>
      <c r="Q129" s="16"/>
      <c r="R129" s="8"/>
      <c r="S129" s="67"/>
    </row>
    <row r="130" spans="4:19" s="2" customFormat="1" ht="19.7" customHeight="1" x14ac:dyDescent="0.15">
      <c r="D130" s="15"/>
      <c r="E130" s="15"/>
      <c r="F130" s="15"/>
      <c r="G130" s="16"/>
      <c r="H130" s="20"/>
      <c r="I130" s="16"/>
      <c r="J130" s="1"/>
      <c r="K130" s="41"/>
      <c r="L130" s="16"/>
      <c r="M130" s="16"/>
      <c r="N130" s="16"/>
      <c r="O130" s="8"/>
      <c r="P130" s="15"/>
      <c r="Q130" s="16"/>
      <c r="R130" s="8"/>
      <c r="S130" s="67"/>
    </row>
    <row r="131" spans="4:19" s="2" customFormat="1" ht="19.7" customHeight="1" x14ac:dyDescent="0.15">
      <c r="D131" s="15"/>
      <c r="E131" s="15"/>
      <c r="F131" s="15"/>
      <c r="G131" s="16"/>
      <c r="H131" s="20"/>
      <c r="I131" s="16"/>
      <c r="J131" s="1"/>
      <c r="K131" s="41"/>
      <c r="L131" s="16"/>
      <c r="M131" s="16"/>
      <c r="N131" s="16"/>
      <c r="O131" s="8"/>
      <c r="P131" s="15"/>
      <c r="Q131" s="16"/>
      <c r="R131" s="8"/>
      <c r="S131" s="67"/>
    </row>
    <row r="132" spans="4:19" s="2" customFormat="1" ht="19.7" customHeight="1" x14ac:dyDescent="0.15">
      <c r="D132" s="15"/>
      <c r="E132" s="15"/>
      <c r="F132" s="15"/>
      <c r="G132" s="16"/>
      <c r="H132" s="20"/>
      <c r="I132" s="16"/>
      <c r="J132" s="1"/>
      <c r="K132" s="41"/>
      <c r="L132" s="16"/>
      <c r="M132" s="16"/>
      <c r="N132" s="16"/>
      <c r="O132" s="8"/>
      <c r="P132" s="15"/>
      <c r="Q132" s="16"/>
      <c r="R132" s="8"/>
      <c r="S132" s="67"/>
    </row>
    <row r="133" spans="4:19" s="2" customFormat="1" ht="19.7" customHeight="1" x14ac:dyDescent="0.15">
      <c r="D133" s="15"/>
      <c r="E133" s="18"/>
      <c r="F133" s="18"/>
      <c r="G133" s="17"/>
      <c r="H133" s="49"/>
      <c r="I133" s="16"/>
      <c r="J133" s="21"/>
      <c r="K133" s="41"/>
      <c r="L133" s="25"/>
      <c r="M133" s="16"/>
      <c r="N133" s="17"/>
      <c r="O133" s="8"/>
      <c r="P133" s="15"/>
      <c r="Q133" s="16"/>
      <c r="R133" s="8"/>
      <c r="S133" s="67"/>
    </row>
    <row r="134" spans="4:19" s="2" customFormat="1" ht="19.7" customHeight="1" x14ac:dyDescent="0.15">
      <c r="D134" s="15"/>
      <c r="E134" s="15"/>
      <c r="F134" s="18"/>
      <c r="G134" s="17"/>
      <c r="H134" s="49"/>
      <c r="I134" s="16"/>
      <c r="J134" s="21"/>
      <c r="K134" s="41"/>
      <c r="L134" s="25"/>
      <c r="M134" s="16"/>
      <c r="N134" s="17"/>
      <c r="O134" s="8"/>
      <c r="P134" s="15"/>
      <c r="Q134" s="16"/>
      <c r="R134" s="8"/>
      <c r="S134" s="67"/>
    </row>
    <row r="135" spans="4:19" s="2" customFormat="1" ht="19.7" customHeight="1" x14ac:dyDescent="0.15">
      <c r="D135" s="15"/>
      <c r="E135" s="15"/>
      <c r="F135" s="18"/>
      <c r="G135" s="17"/>
      <c r="H135" s="49"/>
      <c r="I135" s="16"/>
      <c r="J135" s="21"/>
      <c r="K135" s="41"/>
      <c r="L135" s="25"/>
      <c r="M135" s="16"/>
      <c r="N135" s="17"/>
      <c r="O135" s="8"/>
      <c r="P135" s="15"/>
      <c r="Q135" s="16"/>
      <c r="R135" s="8"/>
      <c r="S135" s="67"/>
    </row>
    <row r="136" spans="4:19" s="2" customFormat="1" ht="19.7" customHeight="1" x14ac:dyDescent="0.15">
      <c r="D136" s="15"/>
      <c r="E136" s="15"/>
      <c r="F136" s="18"/>
      <c r="G136" s="17"/>
      <c r="H136" s="49"/>
      <c r="I136" s="16"/>
      <c r="J136" s="21"/>
      <c r="K136" s="41"/>
      <c r="L136" s="25"/>
      <c r="M136" s="16"/>
      <c r="N136" s="17"/>
      <c r="O136" s="8"/>
      <c r="P136" s="15"/>
      <c r="Q136" s="16"/>
      <c r="R136" s="8"/>
      <c r="S136" s="67"/>
    </row>
    <row r="137" spans="4:19" s="2" customFormat="1" ht="19.7" customHeight="1" x14ac:dyDescent="0.15">
      <c r="D137" s="15"/>
      <c r="E137" s="15"/>
      <c r="F137" s="18"/>
      <c r="G137" s="17"/>
      <c r="H137" s="49"/>
      <c r="I137" s="16"/>
      <c r="J137" s="21"/>
      <c r="K137" s="41"/>
      <c r="L137" s="25"/>
      <c r="M137" s="16"/>
      <c r="N137" s="17"/>
      <c r="O137" s="8"/>
      <c r="P137" s="15"/>
      <c r="Q137" s="16"/>
      <c r="R137" s="8"/>
      <c r="S137" s="67"/>
    </row>
    <row r="138" spans="4:19" s="2" customFormat="1" ht="19.7" customHeight="1" x14ac:dyDescent="0.15">
      <c r="D138" s="15"/>
      <c r="E138" s="15"/>
      <c r="F138" s="18"/>
      <c r="G138" s="17"/>
      <c r="H138" s="49"/>
      <c r="I138" s="16"/>
      <c r="J138" s="21"/>
      <c r="K138" s="41"/>
      <c r="L138" s="25"/>
      <c r="M138" s="16"/>
      <c r="N138" s="17"/>
      <c r="O138" s="8"/>
      <c r="P138" s="15"/>
      <c r="Q138" s="16"/>
      <c r="R138" s="8"/>
      <c r="S138" s="67"/>
    </row>
    <row r="139" spans="4:19" s="2" customFormat="1" ht="19.350000000000001" customHeight="1" x14ac:dyDescent="0.15">
      <c r="D139" s="15"/>
      <c r="E139" s="18"/>
      <c r="F139" s="18"/>
      <c r="G139" s="17"/>
      <c r="H139" s="49"/>
      <c r="I139" s="16"/>
      <c r="J139" s="21"/>
      <c r="K139" s="41"/>
      <c r="L139" s="25"/>
      <c r="M139" s="16"/>
      <c r="N139" s="17"/>
      <c r="O139" s="8"/>
      <c r="P139" s="15"/>
      <c r="Q139" s="16"/>
      <c r="R139" s="8"/>
      <c r="S139" s="67"/>
    </row>
    <row r="140" spans="4:19" s="2" customFormat="1" ht="19.350000000000001" customHeight="1" x14ac:dyDescent="0.15">
      <c r="D140" s="15"/>
      <c r="E140" s="18"/>
      <c r="F140" s="18"/>
      <c r="G140" s="29"/>
      <c r="H140" s="49"/>
      <c r="I140" s="16"/>
      <c r="J140" s="21"/>
      <c r="K140" s="41"/>
      <c r="L140" s="25"/>
      <c r="M140" s="16"/>
      <c r="N140" s="17"/>
      <c r="O140" s="8"/>
      <c r="P140" s="15"/>
      <c r="Q140" s="16"/>
      <c r="R140" s="8"/>
      <c r="S140" s="67"/>
    </row>
    <row r="141" spans="4:19" s="2" customFormat="1" ht="19.350000000000001" customHeight="1" x14ac:dyDescent="0.15">
      <c r="D141" s="15"/>
      <c r="E141" s="18"/>
      <c r="F141" s="18"/>
      <c r="G141" s="24"/>
      <c r="H141" s="49"/>
      <c r="I141" s="16"/>
      <c r="J141" s="21"/>
      <c r="K141" s="41"/>
      <c r="L141" s="25"/>
      <c r="M141" s="16"/>
      <c r="N141" s="17"/>
      <c r="O141" s="8"/>
      <c r="P141" s="15"/>
      <c r="Q141" s="16"/>
      <c r="R141" s="8"/>
      <c r="S141" s="67"/>
    </row>
    <row r="142" spans="4:19" s="2" customFormat="1" ht="19.7" customHeight="1" x14ac:dyDescent="0.15">
      <c r="D142" s="15"/>
      <c r="E142" s="18"/>
      <c r="F142" s="18"/>
      <c r="G142" s="24"/>
      <c r="H142" s="49"/>
      <c r="I142" s="16"/>
      <c r="J142" s="21"/>
      <c r="K142" s="41"/>
      <c r="L142" s="25"/>
      <c r="M142" s="16"/>
      <c r="N142" s="17"/>
      <c r="O142" s="8"/>
      <c r="P142" s="15"/>
      <c r="Q142" s="16"/>
      <c r="R142" s="8"/>
      <c r="S142" s="67"/>
    </row>
    <row r="143" spans="4:19" s="2" customFormat="1" ht="19.7" customHeight="1" x14ac:dyDescent="0.15">
      <c r="D143" s="15"/>
      <c r="E143" s="18"/>
      <c r="F143" s="18"/>
      <c r="G143" s="24"/>
      <c r="H143" s="49"/>
      <c r="I143" s="16"/>
      <c r="J143" s="21"/>
      <c r="K143" s="41"/>
      <c r="L143" s="25"/>
      <c r="M143" s="16"/>
      <c r="N143" s="17"/>
      <c r="O143" s="8"/>
      <c r="P143" s="15"/>
      <c r="Q143" s="16"/>
      <c r="R143" s="8"/>
      <c r="S143" s="67"/>
    </row>
    <row r="144" spans="4:19" s="2" customFormat="1" ht="19.7" customHeight="1" x14ac:dyDescent="0.15">
      <c r="D144" s="15"/>
      <c r="E144" s="18"/>
      <c r="F144" s="18"/>
      <c r="G144" s="24"/>
      <c r="H144" s="49"/>
      <c r="I144" s="16"/>
      <c r="J144" s="21"/>
      <c r="K144" s="41"/>
      <c r="L144" s="25"/>
      <c r="M144" s="16"/>
      <c r="N144" s="17"/>
      <c r="O144" s="8"/>
      <c r="P144" s="15"/>
      <c r="Q144" s="16"/>
      <c r="R144" s="8"/>
      <c r="S144" s="67"/>
    </row>
    <row r="145" spans="4:19" s="2" customFormat="1" ht="19.7" customHeight="1" x14ac:dyDescent="0.15">
      <c r="D145" s="15"/>
      <c r="E145" s="18"/>
      <c r="F145" s="18"/>
      <c r="G145" s="24"/>
      <c r="H145" s="49"/>
      <c r="I145" s="16"/>
      <c r="J145" s="21"/>
      <c r="K145" s="41"/>
      <c r="L145" s="25"/>
      <c r="M145" s="16"/>
      <c r="N145" s="17"/>
      <c r="O145" s="8"/>
      <c r="P145" s="15"/>
      <c r="Q145" s="16"/>
      <c r="R145" s="8"/>
      <c r="S145" s="67"/>
    </row>
    <row r="146" spans="4:19" s="2" customFormat="1" ht="19.7" customHeight="1" x14ac:dyDescent="0.15">
      <c r="D146" s="15"/>
      <c r="E146" s="18"/>
      <c r="F146" s="18"/>
      <c r="G146" s="24"/>
      <c r="H146" s="49"/>
      <c r="I146" s="16"/>
      <c r="J146" s="21"/>
      <c r="K146" s="41"/>
      <c r="L146" s="25"/>
      <c r="M146" s="16"/>
      <c r="N146" s="17"/>
      <c r="O146" s="8"/>
      <c r="P146" s="15"/>
      <c r="Q146" s="16"/>
      <c r="R146" s="8"/>
      <c r="S146" s="67"/>
    </row>
    <row r="147" spans="4:19" s="2" customFormat="1" ht="19.7" customHeight="1" x14ac:dyDescent="0.15">
      <c r="D147" s="15"/>
      <c r="E147" s="15"/>
      <c r="F147" s="15"/>
      <c r="G147" s="17"/>
      <c r="H147" s="20"/>
      <c r="I147" s="21"/>
      <c r="J147" s="34"/>
      <c r="K147" s="43"/>
      <c r="L147" s="35"/>
      <c r="M147" s="16"/>
      <c r="N147" s="17"/>
      <c r="O147" s="8"/>
      <c r="P147" s="15"/>
      <c r="Q147" s="16"/>
      <c r="R147" s="8"/>
      <c r="S147" s="67"/>
    </row>
    <row r="148" spans="4:19" s="2" customFormat="1" ht="19.7" customHeight="1" x14ac:dyDescent="0.15">
      <c r="D148" s="15"/>
      <c r="E148" s="15"/>
      <c r="F148" s="15"/>
      <c r="G148" s="17"/>
      <c r="H148" s="20"/>
      <c r="I148" s="21"/>
      <c r="J148" s="36"/>
      <c r="K148" s="42"/>
      <c r="L148" s="35"/>
      <c r="M148" s="16"/>
      <c r="N148" s="17"/>
      <c r="O148" s="8"/>
      <c r="P148" s="15"/>
      <c r="Q148" s="16"/>
      <c r="R148" s="8"/>
      <c r="S148" s="67"/>
    </row>
    <row r="149" spans="4:19" s="2" customFormat="1" ht="19.7" customHeight="1" x14ac:dyDescent="0.15">
      <c r="D149" s="15"/>
      <c r="E149" s="18"/>
      <c r="F149" s="18"/>
      <c r="G149" s="37"/>
      <c r="H149" s="49"/>
      <c r="I149" s="16"/>
      <c r="J149" s="21"/>
      <c r="K149" s="41"/>
      <c r="L149" s="25"/>
      <c r="M149" s="16"/>
      <c r="N149" s="17"/>
      <c r="O149" s="8"/>
      <c r="P149" s="15"/>
      <c r="Q149" s="16"/>
      <c r="R149" s="8"/>
      <c r="S149" s="67"/>
    </row>
    <row r="150" spans="4:19" s="2" customFormat="1" ht="19.7" customHeight="1" x14ac:dyDescent="0.15">
      <c r="D150" s="15"/>
      <c r="E150" s="18"/>
      <c r="F150" s="18"/>
      <c r="G150" s="24"/>
      <c r="H150" s="49"/>
      <c r="I150" s="16"/>
      <c r="J150" s="21"/>
      <c r="K150" s="41"/>
      <c r="L150" s="25"/>
      <c r="M150" s="16"/>
      <c r="N150" s="17"/>
      <c r="O150" s="8"/>
      <c r="P150" s="15"/>
      <c r="Q150" s="16"/>
      <c r="R150" s="8"/>
      <c r="S150" s="67"/>
    </row>
    <row r="151" spans="4:19" s="2" customFormat="1" ht="19.7" customHeight="1" x14ac:dyDescent="0.15">
      <c r="D151" s="15"/>
      <c r="E151" s="18"/>
      <c r="F151" s="18"/>
      <c r="G151" s="24"/>
      <c r="H151" s="49"/>
      <c r="I151" s="16"/>
      <c r="J151" s="21"/>
      <c r="K151" s="41"/>
      <c r="L151" s="25"/>
      <c r="M151" s="16"/>
      <c r="N151" s="17"/>
      <c r="O151" s="8"/>
      <c r="P151" s="15"/>
      <c r="Q151" s="16"/>
      <c r="R151" s="8"/>
      <c r="S151" s="67"/>
    </row>
    <row r="152" spans="4:19" s="2" customFormat="1" ht="19.7" customHeight="1" x14ac:dyDescent="0.15">
      <c r="D152" s="15"/>
      <c r="E152" s="18"/>
      <c r="F152" s="18"/>
      <c r="G152" s="24"/>
      <c r="H152" s="49"/>
      <c r="I152" s="16"/>
      <c r="J152" s="21"/>
      <c r="K152" s="41"/>
      <c r="L152" s="25"/>
      <c r="M152" s="16"/>
      <c r="N152" s="17"/>
      <c r="O152" s="8"/>
      <c r="P152" s="15"/>
      <c r="Q152" s="16"/>
      <c r="R152" s="8"/>
      <c r="S152" s="67"/>
    </row>
    <row r="153" spans="4:19" s="2" customFormat="1" ht="19.7" customHeight="1" x14ac:dyDescent="0.15">
      <c r="D153" s="15"/>
      <c r="E153" s="18"/>
      <c r="F153" s="18"/>
      <c r="G153" s="24"/>
      <c r="H153" s="49"/>
      <c r="I153" s="16"/>
      <c r="J153" s="21"/>
      <c r="K153" s="41"/>
      <c r="L153" s="25"/>
      <c r="M153" s="16"/>
      <c r="N153" s="17"/>
      <c r="O153" s="8"/>
      <c r="P153" s="15"/>
      <c r="Q153" s="16"/>
      <c r="R153" s="8"/>
      <c r="S153" s="67"/>
    </row>
    <row r="154" spans="4:19" s="2" customFormat="1" ht="19.7" customHeight="1" x14ac:dyDescent="0.15">
      <c r="D154" s="15"/>
      <c r="E154" s="18"/>
      <c r="F154" s="18"/>
      <c r="G154" s="24"/>
      <c r="H154" s="49"/>
      <c r="I154" s="16"/>
      <c r="J154" s="21"/>
      <c r="K154" s="41"/>
      <c r="L154" s="25"/>
      <c r="M154" s="16"/>
      <c r="N154" s="17"/>
      <c r="O154" s="8"/>
      <c r="P154" s="15"/>
      <c r="Q154" s="16"/>
      <c r="R154" s="8"/>
      <c r="S154" s="67"/>
    </row>
    <row r="155" spans="4:19" s="2" customFormat="1" ht="19.7" customHeight="1" x14ac:dyDescent="0.15">
      <c r="D155" s="15"/>
      <c r="E155" s="18"/>
      <c r="F155" s="18"/>
      <c r="G155" s="24"/>
      <c r="H155" s="49"/>
      <c r="I155" s="16"/>
      <c r="J155" s="21"/>
      <c r="K155" s="41"/>
      <c r="L155" s="25"/>
      <c r="M155" s="16"/>
      <c r="N155" s="17"/>
      <c r="O155" s="8"/>
      <c r="P155" s="15"/>
      <c r="Q155" s="16"/>
      <c r="R155" s="8"/>
      <c r="S155" s="67"/>
    </row>
    <row r="156" spans="4:19" s="2" customFormat="1" ht="19.7" customHeight="1" x14ac:dyDescent="0.15">
      <c r="D156" s="15"/>
      <c r="E156" s="18"/>
      <c r="F156" s="18"/>
      <c r="G156" s="24"/>
      <c r="H156" s="49"/>
      <c r="I156" s="16"/>
      <c r="J156" s="21"/>
      <c r="K156" s="41"/>
      <c r="L156" s="25"/>
      <c r="M156" s="16"/>
      <c r="N156" s="17"/>
      <c r="O156" s="8"/>
      <c r="P156" s="15"/>
      <c r="Q156" s="16"/>
      <c r="R156" s="8"/>
      <c r="S156" s="67"/>
    </row>
    <row r="157" spans="4:19" s="2" customFormat="1" ht="19.7" customHeight="1" x14ac:dyDescent="0.15">
      <c r="D157" s="15"/>
      <c r="E157" s="18"/>
      <c r="F157" s="18"/>
      <c r="G157" s="24"/>
      <c r="H157" s="49"/>
      <c r="I157" s="16"/>
      <c r="J157" s="21"/>
      <c r="K157" s="41"/>
      <c r="L157" s="25"/>
      <c r="M157" s="16"/>
      <c r="N157" s="17"/>
      <c r="O157" s="8"/>
      <c r="P157" s="15"/>
      <c r="Q157" s="16"/>
      <c r="R157" s="8"/>
      <c r="S157" s="67"/>
    </row>
    <row r="158" spans="4:19" s="2" customFormat="1" ht="19.7" customHeight="1" x14ac:dyDescent="0.15">
      <c r="D158" s="15"/>
      <c r="E158" s="18"/>
      <c r="F158" s="18"/>
      <c r="G158" s="24"/>
      <c r="H158" s="49"/>
      <c r="I158" s="16"/>
      <c r="J158" s="21"/>
      <c r="K158" s="41"/>
      <c r="L158" s="25"/>
      <c r="M158" s="16"/>
      <c r="N158" s="17"/>
      <c r="O158" s="8"/>
      <c r="P158" s="15"/>
      <c r="Q158" s="16"/>
      <c r="R158" s="8"/>
      <c r="S158" s="67"/>
    </row>
    <row r="159" spans="4:19" s="2" customFormat="1" ht="19.7" customHeight="1" x14ac:dyDescent="0.15">
      <c r="D159" s="15"/>
      <c r="E159" s="18"/>
      <c r="F159" s="18"/>
      <c r="G159" s="24"/>
      <c r="H159" s="49"/>
      <c r="I159" s="16"/>
      <c r="J159" s="21"/>
      <c r="K159" s="41"/>
      <c r="L159" s="25"/>
      <c r="M159" s="16"/>
      <c r="N159" s="17"/>
      <c r="O159" s="8"/>
      <c r="P159" s="15"/>
      <c r="Q159" s="16"/>
      <c r="R159" s="8"/>
      <c r="S159" s="67"/>
    </row>
    <row r="160" spans="4:19" s="2" customFormat="1" ht="19.7" customHeight="1" x14ac:dyDescent="0.15">
      <c r="D160" s="15"/>
      <c r="E160" s="18"/>
      <c r="F160" s="18"/>
      <c r="G160" s="24"/>
      <c r="H160" s="49"/>
      <c r="I160" s="16"/>
      <c r="J160" s="21"/>
      <c r="K160" s="41"/>
      <c r="L160" s="25"/>
      <c r="M160" s="16"/>
      <c r="N160" s="17"/>
      <c r="O160" s="8"/>
      <c r="P160" s="15"/>
      <c r="Q160" s="16"/>
      <c r="R160" s="8"/>
      <c r="S160" s="67"/>
    </row>
    <row r="161" spans="4:19" s="2" customFormat="1" ht="19.7" customHeight="1" x14ac:dyDescent="0.15">
      <c r="D161" s="15"/>
      <c r="E161" s="18"/>
      <c r="F161" s="18"/>
      <c r="G161" s="24"/>
      <c r="H161" s="49"/>
      <c r="I161" s="16"/>
      <c r="J161" s="21"/>
      <c r="K161" s="41"/>
      <c r="L161" s="25"/>
      <c r="M161" s="16"/>
      <c r="N161" s="17"/>
      <c r="O161" s="8"/>
      <c r="P161" s="15"/>
      <c r="Q161" s="16"/>
      <c r="R161" s="8"/>
      <c r="S161" s="67"/>
    </row>
    <row r="162" spans="4:19" s="2" customFormat="1" ht="19.7" customHeight="1" x14ac:dyDescent="0.15">
      <c r="D162" s="15"/>
      <c r="E162" s="18"/>
      <c r="F162" s="18"/>
      <c r="G162" s="24"/>
      <c r="H162" s="49"/>
      <c r="I162" s="16"/>
      <c r="J162" s="21"/>
      <c r="K162" s="41"/>
      <c r="L162" s="25"/>
      <c r="M162" s="16"/>
      <c r="N162" s="17"/>
      <c r="O162" s="8"/>
      <c r="P162" s="15"/>
      <c r="Q162" s="16"/>
      <c r="R162" s="8"/>
      <c r="S162" s="67"/>
    </row>
    <row r="163" spans="4:19" s="2" customFormat="1" ht="19.7" customHeight="1" x14ac:dyDescent="0.15">
      <c r="D163" s="15"/>
      <c r="E163" s="18"/>
      <c r="F163" s="18"/>
      <c r="G163" s="24"/>
      <c r="H163" s="49"/>
      <c r="I163" s="16"/>
      <c r="J163" s="21"/>
      <c r="K163" s="41"/>
      <c r="L163" s="25"/>
      <c r="M163" s="16"/>
      <c r="N163" s="17"/>
      <c r="O163" s="8"/>
      <c r="P163" s="15"/>
      <c r="Q163" s="16"/>
      <c r="R163" s="8"/>
      <c r="S163" s="67"/>
    </row>
    <row r="164" spans="4:19" s="2" customFormat="1" ht="19.7" customHeight="1" x14ac:dyDescent="0.15">
      <c r="D164" s="15"/>
      <c r="E164" s="18"/>
      <c r="F164" s="18"/>
      <c r="G164" s="24"/>
      <c r="H164" s="49"/>
      <c r="I164" s="16"/>
      <c r="J164" s="21"/>
      <c r="K164" s="41"/>
      <c r="L164" s="25"/>
      <c r="M164" s="16"/>
      <c r="N164" s="17"/>
      <c r="O164" s="8"/>
      <c r="P164" s="15"/>
      <c r="Q164" s="16"/>
      <c r="R164" s="8"/>
      <c r="S164" s="67"/>
    </row>
    <row r="165" spans="4:19" s="2" customFormat="1" ht="19.7" customHeight="1" x14ac:dyDescent="0.15">
      <c r="D165" s="15"/>
      <c r="E165" s="18"/>
      <c r="F165" s="18"/>
      <c r="G165" s="24"/>
      <c r="H165" s="49"/>
      <c r="I165" s="16"/>
      <c r="J165" s="21"/>
      <c r="K165" s="41"/>
      <c r="L165" s="25"/>
      <c r="M165" s="16"/>
      <c r="N165" s="17"/>
      <c r="O165" s="8"/>
      <c r="P165" s="15"/>
      <c r="Q165" s="16"/>
      <c r="R165" s="8"/>
      <c r="S165" s="67"/>
    </row>
    <row r="166" spans="4:19" s="2" customFormat="1" ht="19.7" customHeight="1" x14ac:dyDescent="0.15">
      <c r="D166" s="15"/>
      <c r="E166" s="18"/>
      <c r="F166" s="18"/>
      <c r="G166" s="24"/>
      <c r="H166" s="49"/>
      <c r="I166" s="16"/>
      <c r="J166" s="21"/>
      <c r="K166" s="41"/>
      <c r="L166" s="25"/>
      <c r="M166" s="16"/>
      <c r="N166" s="17"/>
      <c r="O166" s="8"/>
      <c r="P166" s="15"/>
      <c r="Q166" s="16"/>
      <c r="R166" s="8"/>
      <c r="S166" s="67"/>
    </row>
    <row r="167" spans="4:19" s="2" customFormat="1" ht="19.7" customHeight="1" x14ac:dyDescent="0.15">
      <c r="D167" s="15"/>
      <c r="E167" s="18"/>
      <c r="F167" s="18"/>
      <c r="G167" s="24"/>
      <c r="H167" s="49"/>
      <c r="I167" s="16"/>
      <c r="J167" s="21"/>
      <c r="K167" s="41"/>
      <c r="L167" s="25"/>
      <c r="M167" s="16"/>
      <c r="N167" s="17"/>
      <c r="O167" s="8"/>
      <c r="P167" s="15"/>
      <c r="Q167" s="16"/>
      <c r="R167" s="8"/>
      <c r="S167" s="67"/>
    </row>
    <row r="168" spans="4:19" s="2" customFormat="1" ht="19.7" customHeight="1" x14ac:dyDescent="0.15">
      <c r="D168" s="15"/>
      <c r="E168" s="18"/>
      <c r="F168" s="18"/>
      <c r="G168" s="24"/>
      <c r="H168" s="49"/>
      <c r="I168" s="16"/>
      <c r="J168" s="21"/>
      <c r="K168" s="41"/>
      <c r="L168" s="25"/>
      <c r="M168" s="16"/>
      <c r="N168" s="17"/>
      <c r="O168" s="8"/>
      <c r="P168" s="15"/>
      <c r="Q168" s="16"/>
      <c r="R168" s="8"/>
      <c r="S168" s="67"/>
    </row>
    <row r="169" spans="4:19" s="2" customFormat="1" ht="19.7" customHeight="1" x14ac:dyDescent="0.15">
      <c r="D169" s="15"/>
      <c r="E169" s="18"/>
      <c r="F169" s="18"/>
      <c r="G169" s="24"/>
      <c r="H169" s="49"/>
      <c r="I169" s="16"/>
      <c r="J169" s="21"/>
      <c r="K169" s="41"/>
      <c r="L169" s="25"/>
      <c r="M169" s="16"/>
      <c r="N169" s="17"/>
      <c r="O169" s="8"/>
      <c r="P169" s="15"/>
      <c r="Q169" s="16"/>
      <c r="R169" s="8"/>
      <c r="S169" s="67"/>
    </row>
    <row r="170" spans="4:19" s="2" customFormat="1" ht="19.7" customHeight="1" x14ac:dyDescent="0.15">
      <c r="D170" s="15"/>
      <c r="E170" s="18"/>
      <c r="F170" s="18"/>
      <c r="G170" s="24"/>
      <c r="H170" s="49"/>
      <c r="I170" s="16"/>
      <c r="J170" s="21"/>
      <c r="K170" s="41"/>
      <c r="L170" s="38"/>
      <c r="M170" s="16"/>
      <c r="N170" s="17"/>
      <c r="O170" s="8"/>
      <c r="P170" s="15"/>
      <c r="Q170" s="16"/>
      <c r="R170" s="8"/>
      <c r="S170" s="67"/>
    </row>
    <row r="171" spans="4:19" s="2" customFormat="1" ht="19.7" customHeight="1" x14ac:dyDescent="0.15">
      <c r="D171" s="15"/>
      <c r="E171" s="18"/>
      <c r="F171" s="18"/>
      <c r="G171" s="24"/>
      <c r="H171" s="49"/>
      <c r="I171" s="16"/>
      <c r="J171" s="21"/>
      <c r="K171" s="41"/>
      <c r="L171" s="25"/>
      <c r="M171" s="16"/>
      <c r="N171" s="17"/>
      <c r="O171" s="8"/>
      <c r="P171" s="15"/>
      <c r="Q171" s="16"/>
      <c r="R171" s="8"/>
      <c r="S171" s="67"/>
    </row>
    <row r="172" spans="4:19" s="2" customFormat="1" ht="19.7" customHeight="1" x14ac:dyDescent="0.15">
      <c r="D172" s="15"/>
      <c r="E172" s="18"/>
      <c r="F172" s="18"/>
      <c r="G172" s="24"/>
      <c r="H172" s="49"/>
      <c r="I172" s="16"/>
      <c r="J172" s="21"/>
      <c r="K172" s="41"/>
      <c r="L172" s="25"/>
      <c r="M172" s="16"/>
      <c r="N172" s="17"/>
      <c r="O172" s="8"/>
      <c r="P172" s="15"/>
      <c r="Q172" s="16"/>
      <c r="R172" s="8"/>
      <c r="S172" s="67"/>
    </row>
    <row r="173" spans="4:19" s="2" customFormat="1" ht="19.7" customHeight="1" x14ac:dyDescent="0.15">
      <c r="D173" s="15"/>
      <c r="E173" s="18"/>
      <c r="F173" s="18"/>
      <c r="G173" s="24"/>
      <c r="H173" s="49"/>
      <c r="I173" s="16"/>
      <c r="J173" s="21"/>
      <c r="K173" s="41"/>
      <c r="L173" s="25"/>
      <c r="M173" s="16"/>
      <c r="N173" s="17"/>
      <c r="O173" s="8"/>
      <c r="P173" s="15"/>
      <c r="Q173" s="16"/>
      <c r="R173" s="8"/>
      <c r="S173" s="67"/>
    </row>
    <row r="174" spans="4:19" s="2" customFormat="1" ht="19.7" customHeight="1" x14ac:dyDescent="0.15">
      <c r="D174" s="15"/>
      <c r="E174" s="18"/>
      <c r="F174" s="18"/>
      <c r="G174" s="24"/>
      <c r="H174" s="49"/>
      <c r="I174" s="16"/>
      <c r="J174" s="21"/>
      <c r="K174" s="41"/>
      <c r="L174" s="25"/>
      <c r="M174" s="16"/>
      <c r="N174" s="17"/>
      <c r="O174" s="8"/>
      <c r="P174" s="15"/>
      <c r="Q174" s="16"/>
      <c r="R174" s="8"/>
      <c r="S174" s="67"/>
    </row>
    <row r="175" spans="4:19" s="2" customFormat="1" ht="19.7" customHeight="1" x14ac:dyDescent="0.15">
      <c r="D175" s="15"/>
      <c r="E175" s="18"/>
      <c r="F175" s="18"/>
      <c r="G175" s="24"/>
      <c r="H175" s="49"/>
      <c r="I175" s="16"/>
      <c r="J175" s="21"/>
      <c r="K175" s="41"/>
      <c r="L175" s="25"/>
      <c r="M175" s="16"/>
      <c r="N175" s="17"/>
      <c r="O175" s="8"/>
      <c r="P175" s="15"/>
      <c r="Q175" s="16"/>
      <c r="R175" s="8"/>
      <c r="S175" s="67"/>
    </row>
    <row r="176" spans="4:19" s="2" customFormat="1" ht="19.7" customHeight="1" x14ac:dyDescent="0.15">
      <c r="D176" s="15"/>
      <c r="E176" s="18"/>
      <c r="F176" s="18"/>
      <c r="G176" s="24"/>
      <c r="H176" s="49"/>
      <c r="I176" s="16"/>
      <c r="J176" s="21"/>
      <c r="K176" s="41"/>
      <c r="L176" s="25"/>
      <c r="M176" s="16"/>
      <c r="N176" s="17"/>
      <c r="O176" s="8"/>
      <c r="P176" s="15"/>
      <c r="Q176" s="16"/>
      <c r="R176" s="8"/>
      <c r="S176" s="67"/>
    </row>
    <row r="177" spans="1:19" s="2" customFormat="1" ht="19.7" customHeight="1" x14ac:dyDescent="0.15">
      <c r="D177" s="15"/>
      <c r="E177" s="18"/>
      <c r="F177" s="18"/>
      <c r="G177" s="24"/>
      <c r="H177" s="49"/>
      <c r="I177" s="16"/>
      <c r="J177" s="21"/>
      <c r="K177" s="41"/>
      <c r="L177" s="38"/>
      <c r="M177" s="16"/>
      <c r="N177" s="17"/>
      <c r="O177" s="8"/>
      <c r="P177" s="15"/>
      <c r="Q177" s="16"/>
      <c r="R177" s="8"/>
      <c r="S177" s="67"/>
    </row>
    <row r="178" spans="1:19" s="2" customFormat="1" ht="19.7" customHeight="1" x14ac:dyDescent="0.15">
      <c r="D178" s="15"/>
      <c r="E178" s="15"/>
      <c r="F178" s="15"/>
      <c r="G178" s="24"/>
      <c r="H178" s="49"/>
      <c r="I178" s="16"/>
      <c r="J178" s="21"/>
      <c r="K178" s="41"/>
      <c r="L178" s="25"/>
      <c r="M178" s="16"/>
      <c r="N178" s="17"/>
      <c r="O178" s="8"/>
      <c r="P178" s="15"/>
      <c r="Q178" s="16"/>
      <c r="R178" s="8"/>
      <c r="S178" s="67"/>
    </row>
    <row r="179" spans="1:19" s="2" customFormat="1" ht="19.7" customHeight="1" x14ac:dyDescent="0.15">
      <c r="D179" s="15"/>
      <c r="E179" s="18"/>
      <c r="F179" s="18"/>
      <c r="G179" s="24"/>
      <c r="H179" s="49"/>
      <c r="I179" s="16"/>
      <c r="J179" s="21"/>
      <c r="K179" s="41"/>
      <c r="L179" s="25"/>
      <c r="M179" s="16"/>
      <c r="N179" s="17"/>
      <c r="O179" s="8"/>
      <c r="P179" s="15"/>
      <c r="Q179" s="16"/>
      <c r="R179" s="8"/>
      <c r="S179" s="67"/>
    </row>
    <row r="180" spans="1:19" s="2" customFormat="1" ht="19.7" customHeight="1" x14ac:dyDescent="0.15">
      <c r="D180" s="15"/>
      <c r="E180" s="18"/>
      <c r="F180" s="18"/>
      <c r="G180" s="24"/>
      <c r="H180" s="49"/>
      <c r="I180" s="16"/>
      <c r="J180" s="21"/>
      <c r="K180" s="41"/>
      <c r="L180" s="25"/>
      <c r="M180" s="16"/>
      <c r="N180" s="17"/>
      <c r="O180" s="8"/>
      <c r="P180" s="15"/>
      <c r="Q180" s="16"/>
      <c r="R180" s="8"/>
      <c r="S180" s="67"/>
    </row>
    <row r="181" spans="1:19" s="2" customFormat="1" ht="19.7" customHeight="1" x14ac:dyDescent="0.15">
      <c r="D181" s="15"/>
      <c r="E181" s="15"/>
      <c r="F181" s="15"/>
      <c r="G181" s="24"/>
      <c r="H181" s="49"/>
      <c r="I181" s="16"/>
      <c r="J181" s="21"/>
      <c r="K181" s="41"/>
      <c r="L181" s="25"/>
      <c r="M181" s="16"/>
      <c r="N181" s="17"/>
      <c r="O181" s="8"/>
      <c r="P181" s="15"/>
      <c r="Q181" s="16"/>
      <c r="R181" s="8"/>
      <c r="S181" s="67"/>
    </row>
    <row r="182" spans="1:19" s="2" customFormat="1" ht="19.350000000000001" customHeight="1" x14ac:dyDescent="0.15">
      <c r="D182" s="15"/>
      <c r="E182" s="18"/>
      <c r="F182" s="18"/>
      <c r="G182" s="24"/>
      <c r="H182" s="49"/>
      <c r="I182" s="16"/>
      <c r="J182" s="21"/>
      <c r="K182" s="41"/>
      <c r="L182" s="25"/>
      <c r="M182" s="16"/>
      <c r="N182" s="17"/>
      <c r="O182" s="8"/>
      <c r="P182" s="15"/>
      <c r="Q182" s="16"/>
      <c r="R182" s="8"/>
      <c r="S182" s="67"/>
    </row>
    <row r="183" spans="1:19" s="2" customFormat="1" ht="19.7" customHeight="1" x14ac:dyDescent="0.15">
      <c r="D183" s="15"/>
      <c r="E183" s="15"/>
      <c r="F183" s="15"/>
      <c r="G183" s="12"/>
      <c r="H183" s="48"/>
      <c r="I183" s="16"/>
      <c r="J183" s="21"/>
      <c r="K183" s="41"/>
      <c r="L183" s="13"/>
      <c r="M183" s="16"/>
      <c r="N183" s="16"/>
      <c r="O183" s="8"/>
      <c r="P183" s="15"/>
      <c r="Q183" s="16"/>
      <c r="R183" s="8"/>
      <c r="S183" s="67"/>
    </row>
    <row r="184" spans="1:19" s="2" customFormat="1" ht="19.7" customHeight="1" x14ac:dyDescent="0.15">
      <c r="D184" s="15"/>
      <c r="E184" s="15"/>
      <c r="F184" s="15"/>
      <c r="G184" s="14">
        <f>SUM(J133:J183)</f>
        <v>0</v>
      </c>
      <c r="H184" s="48"/>
      <c r="I184" s="16"/>
      <c r="J184" s="21"/>
      <c r="K184" s="41"/>
      <c r="L184" s="17"/>
      <c r="M184" s="16"/>
      <c r="N184" s="16"/>
      <c r="O184" s="8"/>
      <c r="P184" s="15"/>
      <c r="Q184" s="16"/>
      <c r="R184" s="8"/>
      <c r="S184" s="67"/>
    </row>
    <row r="185" spans="1:19" s="2" customFormat="1" ht="19.7" customHeight="1" x14ac:dyDescent="0.15">
      <c r="D185" s="15"/>
      <c r="E185" s="15"/>
      <c r="F185" s="15"/>
      <c r="G185" s="17"/>
      <c r="H185" s="48"/>
      <c r="I185" s="16"/>
      <c r="J185" s="21"/>
      <c r="K185" s="41"/>
      <c r="L185" s="17"/>
      <c r="M185" s="16"/>
      <c r="N185" s="16"/>
      <c r="O185" s="8"/>
      <c r="P185" s="15"/>
      <c r="Q185" s="16"/>
      <c r="R185" s="8"/>
      <c r="S185" s="67"/>
    </row>
    <row r="186" spans="1:19" s="2" customFormat="1" ht="19.7" customHeight="1" x14ac:dyDescent="0.15">
      <c r="D186" s="15"/>
      <c r="E186" s="15"/>
      <c r="F186" s="15"/>
      <c r="G186" s="17"/>
      <c r="H186" s="48"/>
      <c r="I186" s="16"/>
      <c r="J186" s="21"/>
      <c r="K186" s="41"/>
      <c r="L186" s="17"/>
      <c r="M186" s="17"/>
      <c r="N186" s="16"/>
      <c r="O186" s="8"/>
      <c r="P186" s="15"/>
      <c r="Q186" s="16"/>
      <c r="R186" s="8"/>
      <c r="S186" s="67"/>
    </row>
    <row r="187" spans="1:19" x14ac:dyDescent="0.15">
      <c r="A187" s="2"/>
      <c r="B187" s="2"/>
      <c r="C187" s="2"/>
      <c r="D187" s="15"/>
      <c r="E187" s="15"/>
      <c r="F187" s="15"/>
      <c r="G187" s="17"/>
      <c r="H187" s="48"/>
      <c r="I187" s="16"/>
      <c r="J187" s="21"/>
      <c r="K187" s="41"/>
      <c r="L187" s="17"/>
      <c r="M187" s="16"/>
      <c r="N187" s="16"/>
      <c r="O187" s="8"/>
      <c r="P187" s="15"/>
      <c r="Q187" s="16"/>
      <c r="R187" s="8"/>
      <c r="S187" s="67"/>
    </row>
    <row r="188" spans="1:19" s="40" customFormat="1" x14ac:dyDescent="0.15">
      <c r="A188"/>
      <c r="B188"/>
      <c r="C188"/>
      <c r="D188" s="2"/>
      <c r="E188"/>
      <c r="F188"/>
      <c r="G188"/>
      <c r="H188"/>
      <c r="I188" s="2"/>
      <c r="J188" s="74"/>
      <c r="L188"/>
      <c r="M188"/>
      <c r="N188" s="2"/>
      <c r="O188" s="9"/>
      <c r="P188"/>
      <c r="Q188" s="6"/>
      <c r="R188" s="10"/>
      <c r="S188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5"/>
  <dataValidations disablePrompts="1" count="1">
    <dataValidation imeMode="hiragana" allowBlank="1" showInputMessage="1" showErrorMessage="1" sqref="L37" xr:uid="{6101F6F3-5D3A-4F6A-A3BD-06407D159252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S144"/>
  <sheetViews>
    <sheetView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J24" sqref="J24"/>
    </sheetView>
  </sheetViews>
  <sheetFormatPr defaultRowHeight="13.5" x14ac:dyDescent="0.15"/>
  <cols>
    <col min="3" max="3" width="9.125" customWidth="1"/>
    <col min="4" max="4" width="6.25" style="2" customWidth="1"/>
    <col min="5" max="6" width="15.875" customWidth="1"/>
    <col min="7" max="7" width="64.125" customWidth="1"/>
    <col min="8" max="8" width="6.25" customWidth="1"/>
    <col min="9" max="10" width="9.875" style="2" bestFit="1" customWidth="1"/>
    <col min="11" max="11" width="7.375" style="40" customWidth="1"/>
    <col min="12" max="12" width="47.87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111" t="s">
        <v>11</v>
      </c>
      <c r="E2" s="111"/>
      <c r="F2" s="111"/>
      <c r="G2" s="7" t="s">
        <v>65</v>
      </c>
      <c r="I2" s="112" t="s">
        <v>14</v>
      </c>
      <c r="J2" s="113"/>
      <c r="K2" s="114"/>
      <c r="L2" s="5">
        <f>SUM(J:J)</f>
        <v>745700</v>
      </c>
    </row>
    <row r="3" spans="1:19" ht="20.100000000000001" customHeight="1" x14ac:dyDescent="0.15">
      <c r="D3" s="111" t="s">
        <v>10</v>
      </c>
      <c r="E3" s="111"/>
      <c r="F3" s="111"/>
      <c r="G3" s="3" t="s">
        <v>66</v>
      </c>
      <c r="J3" s="115" t="s">
        <v>62</v>
      </c>
      <c r="K3" s="115"/>
      <c r="L3" s="115"/>
      <c r="M3" s="115"/>
    </row>
    <row r="4" spans="1:19" ht="20.100000000000001" customHeight="1" x14ac:dyDescent="0.15">
      <c r="D4" s="111" t="s">
        <v>21</v>
      </c>
      <c r="E4" s="111"/>
      <c r="F4" s="111"/>
      <c r="G4" s="3" t="s">
        <v>61</v>
      </c>
      <c r="I4" s="116" t="s">
        <v>55</v>
      </c>
      <c r="J4" s="115"/>
      <c r="K4" s="115"/>
      <c r="L4" s="115"/>
      <c r="M4" s="115"/>
    </row>
    <row r="5" spans="1:19" ht="20.100000000000001" customHeight="1" x14ac:dyDescent="0.15">
      <c r="D5" s="111" t="s">
        <v>12</v>
      </c>
      <c r="E5" s="111"/>
      <c r="F5" s="111"/>
      <c r="G5" s="4">
        <v>45324</v>
      </c>
      <c r="I5" s="117"/>
      <c r="J5" s="51"/>
    </row>
    <row r="6" spans="1:19" ht="20.100000000000001" customHeight="1" x14ac:dyDescent="0.15">
      <c r="D6" s="111" t="s">
        <v>13</v>
      </c>
      <c r="E6" s="111"/>
      <c r="F6" s="111"/>
      <c r="G6" s="4">
        <v>45327</v>
      </c>
      <c r="I6" s="87"/>
      <c r="J6" s="40" t="s">
        <v>54</v>
      </c>
    </row>
    <row r="8" spans="1:19" s="2" customFormat="1" ht="19.7" customHeight="1" x14ac:dyDescent="0.15">
      <c r="A8" s="47" t="s">
        <v>32</v>
      </c>
      <c r="B8" s="47" t="s">
        <v>52</v>
      </c>
      <c r="C8" s="47" t="s">
        <v>33</v>
      </c>
      <c r="D8" s="68" t="s">
        <v>34</v>
      </c>
      <c r="E8" s="68" t="s">
        <v>35</v>
      </c>
      <c r="F8" s="68" t="s">
        <v>36</v>
      </c>
      <c r="G8" s="47" t="s">
        <v>37</v>
      </c>
      <c r="H8" s="69" t="s">
        <v>38</v>
      </c>
      <c r="I8" s="47" t="s">
        <v>39</v>
      </c>
      <c r="J8" s="70" t="s">
        <v>40</v>
      </c>
      <c r="K8" s="71" t="s">
        <v>41</v>
      </c>
      <c r="L8" s="47" t="s">
        <v>42</v>
      </c>
      <c r="M8" s="47" t="s">
        <v>43</v>
      </c>
      <c r="N8" s="47" t="s">
        <v>44</v>
      </c>
      <c r="O8" s="72" t="s">
        <v>45</v>
      </c>
      <c r="P8" s="68" t="s">
        <v>46</v>
      </c>
      <c r="Q8" s="47" t="s">
        <v>47</v>
      </c>
      <c r="R8" s="72" t="s">
        <v>48</v>
      </c>
      <c r="S8" s="73" t="s">
        <v>49</v>
      </c>
    </row>
    <row r="9" spans="1:19" s="2" customFormat="1" ht="19.7" customHeight="1" x14ac:dyDescent="0.15">
      <c r="A9" s="16" t="s">
        <v>31</v>
      </c>
      <c r="B9" s="16"/>
      <c r="C9" s="16" t="s">
        <v>30</v>
      </c>
      <c r="D9" s="15" t="s">
        <v>4</v>
      </c>
      <c r="E9" s="15" t="s">
        <v>9</v>
      </c>
      <c r="F9" s="15" t="s">
        <v>5</v>
      </c>
      <c r="G9" s="16" t="s">
        <v>8</v>
      </c>
      <c r="H9" s="20" t="s">
        <v>0</v>
      </c>
      <c r="I9" s="16" t="s">
        <v>1</v>
      </c>
      <c r="J9" s="1" t="s">
        <v>2</v>
      </c>
      <c r="K9" s="4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67" t="s">
        <v>20</v>
      </c>
    </row>
    <row r="10" spans="1:19" s="2" customFormat="1" ht="19.7" customHeight="1" x14ac:dyDescent="0.15">
      <c r="D10" s="15"/>
      <c r="E10" s="15"/>
      <c r="F10" s="15"/>
      <c r="G10" s="16"/>
      <c r="H10" s="20"/>
      <c r="I10" s="16"/>
      <c r="J10" s="1"/>
      <c r="K10" s="41"/>
      <c r="L10" s="16"/>
      <c r="M10" s="16"/>
      <c r="N10" s="16"/>
      <c r="O10" s="8"/>
      <c r="P10" s="15"/>
      <c r="Q10" s="16"/>
      <c r="R10" s="8"/>
      <c r="S10" s="67"/>
    </row>
    <row r="11" spans="1:19" s="2" customFormat="1" ht="19.7" customHeight="1" x14ac:dyDescent="0.15">
      <c r="D11" s="15"/>
      <c r="E11" s="54" t="s">
        <v>24</v>
      </c>
      <c r="F11" s="55"/>
      <c r="G11" s="56"/>
      <c r="H11" s="16"/>
      <c r="I11" s="16"/>
      <c r="J11" s="1"/>
      <c r="K11" s="41"/>
      <c r="L11" s="16"/>
      <c r="M11" s="16"/>
      <c r="N11" s="16"/>
      <c r="O11" s="8"/>
      <c r="P11" s="15"/>
      <c r="Q11" s="16"/>
      <c r="R11" s="8"/>
      <c r="S11" s="67"/>
    </row>
    <row r="12" spans="1:19" s="2" customFormat="1" ht="19.7" customHeight="1" x14ac:dyDescent="0.15">
      <c r="A12" s="16" t="s">
        <v>25</v>
      </c>
      <c r="B12" s="16"/>
      <c r="C12" s="16">
        <v>1</v>
      </c>
      <c r="D12" s="82">
        <v>1</v>
      </c>
      <c r="E12" s="15" t="s">
        <v>24</v>
      </c>
      <c r="F12" s="15" t="s">
        <v>24</v>
      </c>
      <c r="G12" s="17" t="s">
        <v>60</v>
      </c>
      <c r="H12" s="16">
        <v>1</v>
      </c>
      <c r="I12" s="15">
        <v>643000</v>
      </c>
      <c r="J12" s="19">
        <f t="shared" ref="J12:J17" si="0">H12*I12</f>
        <v>643000</v>
      </c>
      <c r="K12" s="1"/>
      <c r="L12" s="17" t="s">
        <v>64</v>
      </c>
      <c r="M12" s="16"/>
      <c r="N12" s="88" t="s">
        <v>58</v>
      </c>
      <c r="O12" s="8"/>
      <c r="P12" s="15"/>
      <c r="Q12" s="52"/>
      <c r="R12" s="8"/>
      <c r="S12" s="67"/>
    </row>
    <row r="13" spans="1:19" s="2" customFormat="1" ht="19.7" customHeight="1" x14ac:dyDescent="0.15">
      <c r="A13" s="16" t="s">
        <v>25</v>
      </c>
      <c r="B13" s="16"/>
      <c r="C13" s="16">
        <v>8</v>
      </c>
      <c r="D13" s="82">
        <f>+D12+1</f>
        <v>2</v>
      </c>
      <c r="E13" s="15" t="s">
        <v>24</v>
      </c>
      <c r="F13" s="15" t="s">
        <v>24</v>
      </c>
      <c r="G13" s="44" t="s">
        <v>26</v>
      </c>
      <c r="H13" s="16">
        <v>1</v>
      </c>
      <c r="I13" s="15">
        <v>50000</v>
      </c>
      <c r="J13" s="19">
        <f t="shared" si="0"/>
        <v>50000</v>
      </c>
      <c r="K13" s="1"/>
      <c r="L13" s="17" t="s">
        <v>27</v>
      </c>
      <c r="M13" s="46"/>
      <c r="N13" s="88" t="s">
        <v>58</v>
      </c>
      <c r="O13" s="8"/>
      <c r="P13" s="15"/>
      <c r="Q13" s="52"/>
      <c r="R13" s="8"/>
      <c r="S13" s="67"/>
    </row>
    <row r="14" spans="1:19" s="2" customFormat="1" ht="19.7" customHeight="1" x14ac:dyDescent="0.15">
      <c r="A14" s="16" t="s">
        <v>56</v>
      </c>
      <c r="B14" s="16"/>
      <c r="C14" s="16">
        <v>1</v>
      </c>
      <c r="D14" s="82">
        <f>+D13+1</f>
        <v>3</v>
      </c>
      <c r="E14" s="59" t="s">
        <v>24</v>
      </c>
      <c r="F14" s="59" t="s">
        <v>24</v>
      </c>
      <c r="G14" s="60" t="s">
        <v>57</v>
      </c>
      <c r="H14" s="61">
        <v>1</v>
      </c>
      <c r="I14" s="61">
        <v>1300</v>
      </c>
      <c r="J14" s="62">
        <f t="shared" si="0"/>
        <v>1300</v>
      </c>
      <c r="K14" s="1"/>
      <c r="L14" s="17"/>
      <c r="M14" s="46"/>
      <c r="N14" s="88" t="s">
        <v>58</v>
      </c>
      <c r="O14" s="8"/>
      <c r="P14" s="15"/>
      <c r="Q14" s="52"/>
      <c r="R14" s="8"/>
      <c r="S14" s="67"/>
    </row>
    <row r="15" spans="1:19" s="2" customFormat="1" ht="19.7" customHeight="1" x14ac:dyDescent="0.15">
      <c r="A15" s="16" t="s">
        <v>56</v>
      </c>
      <c r="B15" s="16"/>
      <c r="C15" s="16">
        <v>1</v>
      </c>
      <c r="D15" s="82">
        <f t="shared" ref="D15:D17" si="1">+D14+1</f>
        <v>4</v>
      </c>
      <c r="E15" s="75" t="s">
        <v>24</v>
      </c>
      <c r="F15" s="75" t="s">
        <v>24</v>
      </c>
      <c r="G15" s="76" t="s">
        <v>50</v>
      </c>
      <c r="H15" s="77">
        <v>2</v>
      </c>
      <c r="I15" s="80">
        <v>700</v>
      </c>
      <c r="J15" s="21">
        <f t="shared" si="0"/>
        <v>1400</v>
      </c>
      <c r="K15" s="78"/>
      <c r="L15" s="76" t="s">
        <v>51</v>
      </c>
      <c r="M15" s="89" t="s">
        <v>59</v>
      </c>
      <c r="N15" s="88" t="s">
        <v>58</v>
      </c>
      <c r="O15" s="8"/>
      <c r="P15" s="15"/>
      <c r="Q15" s="52"/>
      <c r="R15" s="8"/>
      <c r="S15" s="67"/>
    </row>
    <row r="16" spans="1:19" s="2" customFormat="1" ht="19.7" customHeight="1" x14ac:dyDescent="0.15">
      <c r="A16" s="16" t="s">
        <v>56</v>
      </c>
      <c r="B16" s="16"/>
      <c r="C16" s="16">
        <v>10</v>
      </c>
      <c r="D16" s="82">
        <f>+D15+1</f>
        <v>5</v>
      </c>
      <c r="E16" s="15" t="s">
        <v>24</v>
      </c>
      <c r="F16" s="15" t="s">
        <v>24</v>
      </c>
      <c r="G16" s="17" t="s">
        <v>63</v>
      </c>
      <c r="H16" s="16">
        <v>1</v>
      </c>
      <c r="I16" s="15">
        <v>38000</v>
      </c>
      <c r="J16" s="19">
        <f>H16*I16</f>
        <v>38000</v>
      </c>
      <c r="K16" s="1"/>
      <c r="L16" s="17" t="s">
        <v>29</v>
      </c>
      <c r="M16" s="58"/>
      <c r="N16" s="88" t="s">
        <v>58</v>
      </c>
      <c r="O16" s="8"/>
      <c r="P16" s="15"/>
      <c r="Q16" s="52"/>
      <c r="R16" s="8"/>
      <c r="S16" s="67"/>
    </row>
    <row r="17" spans="1:19" s="2" customFormat="1" ht="19.7" customHeight="1" x14ac:dyDescent="0.15">
      <c r="A17" s="16" t="s">
        <v>25</v>
      </c>
      <c r="B17" s="16"/>
      <c r="C17" s="16">
        <v>1</v>
      </c>
      <c r="D17" s="82">
        <f t="shared" si="1"/>
        <v>6</v>
      </c>
      <c r="E17" s="59" t="s">
        <v>24</v>
      </c>
      <c r="F17" s="59" t="s">
        <v>24</v>
      </c>
      <c r="G17" s="60" t="s">
        <v>28</v>
      </c>
      <c r="H17" s="61">
        <v>1</v>
      </c>
      <c r="I17" s="61">
        <v>12000</v>
      </c>
      <c r="J17" s="62">
        <f t="shared" si="0"/>
        <v>12000</v>
      </c>
      <c r="K17" s="1"/>
      <c r="L17" s="17"/>
      <c r="M17" s="16"/>
      <c r="N17" s="88" t="s">
        <v>58</v>
      </c>
      <c r="O17" s="8"/>
      <c r="P17" s="15"/>
      <c r="Q17" s="52"/>
      <c r="R17" s="8"/>
      <c r="S17" s="67"/>
    </row>
    <row r="18" spans="1:19" s="2" customFormat="1" ht="19.7" customHeight="1" x14ac:dyDescent="0.15">
      <c r="B18" s="86">
        <v>40</v>
      </c>
      <c r="C18" s="83" t="s">
        <v>53</v>
      </c>
      <c r="D18" s="15"/>
      <c r="E18" s="57"/>
      <c r="F18" s="57"/>
      <c r="G18" s="23"/>
      <c r="H18" s="79"/>
      <c r="I18" s="22"/>
      <c r="J18" s="28"/>
      <c r="K18" s="41"/>
      <c r="L18" s="65"/>
      <c r="M18" s="16"/>
      <c r="N18" s="16"/>
      <c r="O18" s="8"/>
      <c r="P18" s="15"/>
      <c r="Q18" s="52"/>
      <c r="R18" s="8"/>
      <c r="S18" s="67"/>
    </row>
    <row r="19" spans="1:19" s="2" customFormat="1" ht="19.7" customHeight="1" x14ac:dyDescent="0.15">
      <c r="D19" s="15"/>
      <c r="E19" s="57"/>
      <c r="F19" s="57"/>
      <c r="G19" s="31">
        <f>SUM(J12:J17)</f>
        <v>745700</v>
      </c>
      <c r="H19" s="63"/>
      <c r="I19" s="22"/>
      <c r="J19" s="64"/>
      <c r="K19" s="41"/>
      <c r="L19" s="17"/>
      <c r="M19" s="16"/>
      <c r="N19" s="16"/>
      <c r="O19" s="8"/>
      <c r="P19" s="15"/>
      <c r="Q19" s="52"/>
      <c r="R19" s="8"/>
      <c r="S19" s="67"/>
    </row>
    <row r="20" spans="1:19" s="2" customFormat="1" ht="19.7" customHeight="1" x14ac:dyDescent="0.15">
      <c r="D20" s="15"/>
      <c r="E20" s="19"/>
      <c r="F20" s="15"/>
      <c r="G20" s="30"/>
      <c r="H20" s="20"/>
      <c r="I20" s="16"/>
      <c r="J20" s="1"/>
      <c r="K20" s="41"/>
      <c r="L20" s="16"/>
      <c r="M20" s="16"/>
      <c r="N20" s="16"/>
      <c r="O20" s="8"/>
      <c r="P20" s="15"/>
      <c r="Q20" s="16"/>
      <c r="R20" s="8"/>
      <c r="S20" s="67"/>
    </row>
    <row r="21" spans="1:19" s="2" customFormat="1" ht="19.7" customHeight="1" x14ac:dyDescent="0.15">
      <c r="D21" s="15"/>
      <c r="E21" s="15"/>
      <c r="F21" s="15"/>
      <c r="G21" s="81"/>
      <c r="H21" s="48"/>
      <c r="I21" s="16"/>
      <c r="J21" s="21"/>
      <c r="K21" s="41"/>
      <c r="L21" s="17"/>
      <c r="M21" s="16"/>
      <c r="N21" s="16"/>
      <c r="O21" s="8"/>
      <c r="P21" s="15"/>
      <c r="Q21" s="16"/>
      <c r="R21" s="8"/>
      <c r="S21" s="67"/>
    </row>
    <row r="22" spans="1:19" s="2" customFormat="1" ht="19.7" customHeight="1" x14ac:dyDescent="0.15">
      <c r="D22" s="15"/>
      <c r="E22" s="15"/>
      <c r="F22" s="15"/>
      <c r="G22" s="81"/>
      <c r="H22" s="48"/>
      <c r="I22" s="16"/>
      <c r="J22" s="21"/>
      <c r="K22" s="41"/>
      <c r="L22" s="17"/>
      <c r="M22" s="16"/>
      <c r="N22" s="16"/>
      <c r="O22" s="8"/>
      <c r="P22" s="15"/>
      <c r="Q22" s="16"/>
      <c r="R22" s="8"/>
      <c r="S22" s="67"/>
    </row>
    <row r="23" spans="1:19" s="2" customFormat="1" ht="19.7" customHeight="1" x14ac:dyDescent="0.15">
      <c r="A23" s="16"/>
      <c r="B23" s="85">
        <v>8</v>
      </c>
      <c r="C23" s="84" t="s">
        <v>53</v>
      </c>
      <c r="D23" s="15"/>
      <c r="E23" s="15"/>
      <c r="F23" s="15"/>
      <c r="G23" s="45"/>
      <c r="H23" s="48"/>
      <c r="I23" s="27"/>
      <c r="J23" s="21"/>
      <c r="K23" s="41"/>
      <c r="L23" s="17"/>
      <c r="M23" s="66"/>
      <c r="N23" s="16"/>
      <c r="O23" s="8"/>
      <c r="P23" s="15"/>
      <c r="Q23" s="52"/>
      <c r="R23" s="8"/>
      <c r="S23" s="67"/>
    </row>
    <row r="24" spans="1:19" s="2" customFormat="1" ht="19.7" customHeight="1" x14ac:dyDescent="0.15">
      <c r="D24" s="15"/>
      <c r="E24" s="15"/>
      <c r="F24" s="15"/>
      <c r="G24" s="45"/>
      <c r="H24" s="20"/>
      <c r="I24" s="27"/>
      <c r="J24" s="53"/>
      <c r="K24" s="1"/>
      <c r="L24" s="20"/>
      <c r="M24" s="16"/>
      <c r="N24" s="16"/>
      <c r="O24" s="8"/>
      <c r="P24" s="15"/>
      <c r="Q24" s="16"/>
      <c r="R24" s="8"/>
      <c r="S24" s="67"/>
    </row>
    <row r="25" spans="1:19" s="2" customFormat="1" ht="19.7" customHeight="1" x14ac:dyDescent="0.15">
      <c r="D25" s="15"/>
      <c r="E25" s="15"/>
      <c r="F25" s="15"/>
      <c r="G25" s="16"/>
      <c r="H25" s="20"/>
      <c r="I25" s="16"/>
      <c r="J25" s="1"/>
      <c r="K25" s="41"/>
      <c r="L25" s="16"/>
      <c r="M25" s="16"/>
      <c r="N25" s="16"/>
      <c r="O25" s="8"/>
      <c r="P25" s="15"/>
      <c r="Q25" s="16"/>
      <c r="R25" s="8"/>
      <c r="S25" s="67"/>
    </row>
    <row r="26" spans="1:19" s="2" customFormat="1" ht="19.7" customHeight="1" x14ac:dyDescent="0.15">
      <c r="D26" s="15"/>
      <c r="E26" s="15"/>
      <c r="F26" s="15"/>
      <c r="G26" s="16"/>
      <c r="H26" s="20"/>
      <c r="I26" s="16"/>
      <c r="J26" s="1"/>
      <c r="K26" s="41"/>
      <c r="L26" s="16"/>
      <c r="M26" s="16"/>
      <c r="N26" s="16"/>
      <c r="O26" s="8"/>
      <c r="P26" s="15"/>
      <c r="Q26" s="16"/>
      <c r="R26" s="8"/>
      <c r="S26" s="67"/>
    </row>
    <row r="27" spans="1:19" s="2" customFormat="1" ht="19.7" customHeight="1" x14ac:dyDescent="0.15">
      <c r="D27" s="15"/>
      <c r="E27" s="15"/>
      <c r="F27" s="15"/>
      <c r="G27" s="16"/>
      <c r="H27" s="20"/>
      <c r="I27" s="16"/>
      <c r="J27" s="1"/>
      <c r="K27" s="41"/>
      <c r="L27" s="16"/>
      <c r="M27" s="16"/>
      <c r="N27" s="16"/>
      <c r="O27" s="8"/>
      <c r="P27" s="15"/>
      <c r="Q27" s="16"/>
      <c r="R27" s="8"/>
      <c r="S27" s="67"/>
    </row>
    <row r="28" spans="1:19" s="2" customFormat="1" ht="19.7" customHeight="1" x14ac:dyDescent="0.15">
      <c r="D28" s="15"/>
      <c r="E28" s="26"/>
      <c r="F28" s="26"/>
      <c r="G28" s="32" t="s">
        <v>22</v>
      </c>
      <c r="H28" s="50"/>
      <c r="I28" s="33">
        <v>70000</v>
      </c>
      <c r="J28" s="39">
        <f>H28*I28</f>
        <v>0</v>
      </c>
      <c r="K28" s="41"/>
      <c r="L28" s="16"/>
      <c r="M28" s="16"/>
      <c r="N28" s="16"/>
      <c r="O28" s="8"/>
      <c r="P28" s="15"/>
      <c r="Q28" s="16"/>
      <c r="R28" s="8"/>
      <c r="S28" s="67"/>
    </row>
    <row r="29" spans="1:19" s="2" customFormat="1" ht="19.7" customHeight="1" x14ac:dyDescent="0.15">
      <c r="D29" s="15"/>
      <c r="E29" s="15"/>
      <c r="F29" s="15"/>
      <c r="G29" s="17" t="s">
        <v>23</v>
      </c>
      <c r="H29" s="20"/>
      <c r="I29" s="16"/>
      <c r="J29" s="1"/>
      <c r="K29" s="41"/>
      <c r="L29" s="16"/>
      <c r="M29" s="16"/>
      <c r="N29" s="16"/>
      <c r="O29" s="8"/>
      <c r="P29" s="15"/>
      <c r="Q29" s="16"/>
      <c r="R29" s="8"/>
      <c r="S29" s="67"/>
    </row>
    <row r="30" spans="1:19" s="2" customFormat="1" ht="19.7" customHeight="1" x14ac:dyDescent="0.15">
      <c r="D30" s="15"/>
      <c r="E30" s="15"/>
      <c r="F30" s="15"/>
      <c r="G30" s="16"/>
      <c r="H30" s="20"/>
      <c r="I30" s="16"/>
      <c r="J30" s="1"/>
      <c r="K30" s="41"/>
      <c r="L30" s="16"/>
      <c r="M30" s="16"/>
      <c r="N30" s="16"/>
      <c r="O30" s="8"/>
      <c r="P30" s="15"/>
      <c r="Q30" s="16"/>
      <c r="R30" s="8"/>
      <c r="S30" s="67"/>
    </row>
    <row r="31" spans="1:19" s="2" customFormat="1" ht="19.7" customHeight="1" x14ac:dyDescent="0.15">
      <c r="D31" s="15"/>
      <c r="E31" s="15"/>
      <c r="F31" s="15"/>
      <c r="G31" s="16"/>
      <c r="H31" s="20"/>
      <c r="I31" s="16"/>
      <c r="J31" s="1"/>
      <c r="K31" s="41"/>
      <c r="L31" s="16"/>
      <c r="M31" s="16"/>
      <c r="N31" s="16"/>
      <c r="O31" s="8"/>
      <c r="P31" s="15"/>
      <c r="Q31" s="16"/>
      <c r="R31" s="8"/>
      <c r="S31" s="67"/>
    </row>
    <row r="32" spans="1:19" s="2" customFormat="1" ht="19.7" customHeight="1" x14ac:dyDescent="0.15">
      <c r="D32" s="15"/>
      <c r="E32" s="15"/>
      <c r="F32" s="15"/>
      <c r="G32" s="16"/>
      <c r="H32" s="20"/>
      <c r="I32" s="16"/>
      <c r="J32" s="1"/>
      <c r="K32" s="41"/>
      <c r="L32" s="16"/>
      <c r="M32" s="16"/>
      <c r="N32" s="16"/>
      <c r="O32" s="8"/>
      <c r="P32" s="15"/>
      <c r="Q32" s="16"/>
      <c r="R32" s="8"/>
      <c r="S32" s="67"/>
    </row>
    <row r="33" spans="4:19" s="2" customFormat="1" ht="19.7" customHeight="1" x14ac:dyDescent="0.15">
      <c r="D33" s="15"/>
      <c r="E33" s="15"/>
      <c r="F33" s="15"/>
      <c r="G33" s="16"/>
      <c r="H33" s="20"/>
      <c r="I33" s="16"/>
      <c r="J33" s="1"/>
      <c r="K33" s="41"/>
      <c r="L33" s="16"/>
      <c r="M33" s="16"/>
      <c r="N33" s="16"/>
      <c r="O33" s="8"/>
      <c r="P33" s="15"/>
      <c r="Q33" s="16"/>
      <c r="R33" s="8"/>
      <c r="S33" s="67"/>
    </row>
    <row r="34" spans="4:19" s="2" customFormat="1" ht="19.7" customHeight="1" x14ac:dyDescent="0.15">
      <c r="D34" s="15"/>
      <c r="E34" s="15"/>
      <c r="F34" s="15"/>
      <c r="G34" s="16"/>
      <c r="H34" s="20"/>
      <c r="I34" s="16"/>
      <c r="J34" s="1"/>
      <c r="K34" s="41"/>
      <c r="L34" s="16"/>
      <c r="M34" s="16"/>
      <c r="N34" s="16"/>
      <c r="O34" s="8"/>
      <c r="P34" s="15"/>
      <c r="Q34" s="16"/>
      <c r="R34" s="8"/>
      <c r="S34" s="67"/>
    </row>
    <row r="35" spans="4:19" s="2" customFormat="1" ht="19.7" customHeight="1" x14ac:dyDescent="0.15">
      <c r="D35" s="15"/>
      <c r="E35" s="15"/>
      <c r="F35" s="15"/>
      <c r="G35" s="16"/>
      <c r="H35" s="20"/>
      <c r="I35" s="16"/>
      <c r="J35" s="1"/>
      <c r="K35" s="41"/>
      <c r="L35" s="16"/>
      <c r="M35" s="16"/>
      <c r="N35" s="16"/>
      <c r="O35" s="8"/>
      <c r="P35" s="15"/>
      <c r="Q35" s="16"/>
      <c r="R35" s="8"/>
      <c r="S35" s="67"/>
    </row>
    <row r="36" spans="4:19" s="2" customFormat="1" ht="19.7" customHeight="1" x14ac:dyDescent="0.15">
      <c r="D36" s="15"/>
      <c r="E36" s="15"/>
      <c r="F36" s="15"/>
      <c r="G36" s="16"/>
      <c r="H36" s="20"/>
      <c r="I36" s="16"/>
      <c r="J36" s="1"/>
      <c r="K36" s="41"/>
      <c r="L36" s="16"/>
      <c r="M36" s="16"/>
      <c r="N36" s="16"/>
      <c r="O36" s="8"/>
      <c r="P36" s="15"/>
      <c r="Q36" s="16"/>
      <c r="R36" s="8"/>
      <c r="S36" s="67"/>
    </row>
    <row r="37" spans="4:19" s="2" customFormat="1" ht="19.7" customHeight="1" x14ac:dyDescent="0.15">
      <c r="D37" s="15"/>
      <c r="E37" s="15"/>
      <c r="F37" s="15"/>
      <c r="G37" s="16"/>
      <c r="H37" s="20"/>
      <c r="I37" s="16"/>
      <c r="J37" s="1"/>
      <c r="K37" s="41"/>
      <c r="L37" s="16"/>
      <c r="M37" s="16"/>
      <c r="N37" s="16"/>
      <c r="O37" s="8"/>
      <c r="P37" s="15"/>
      <c r="Q37" s="16"/>
      <c r="R37" s="8"/>
      <c r="S37" s="67"/>
    </row>
    <row r="38" spans="4:19" s="2" customFormat="1" ht="19.7" customHeight="1" x14ac:dyDescent="0.15">
      <c r="D38" s="15"/>
      <c r="E38" s="15"/>
      <c r="F38" s="15"/>
      <c r="G38" s="16"/>
      <c r="H38" s="20"/>
      <c r="I38" s="16"/>
      <c r="J38" s="1"/>
      <c r="K38" s="41"/>
      <c r="L38" s="16"/>
      <c r="M38" s="16"/>
      <c r="N38" s="16"/>
      <c r="O38" s="8"/>
      <c r="P38" s="15"/>
      <c r="Q38" s="16"/>
      <c r="R38" s="8"/>
      <c r="S38" s="67"/>
    </row>
    <row r="39" spans="4:19" s="2" customFormat="1" ht="19.7" customHeight="1" x14ac:dyDescent="0.15">
      <c r="D39" s="15"/>
      <c r="E39" s="15"/>
      <c r="F39" s="15"/>
      <c r="G39" s="16"/>
      <c r="H39" s="20"/>
      <c r="I39" s="16"/>
      <c r="J39" s="1"/>
      <c r="K39" s="41"/>
      <c r="L39" s="16"/>
      <c r="M39" s="16"/>
      <c r="N39" s="16"/>
      <c r="O39" s="8"/>
      <c r="P39" s="15"/>
      <c r="Q39" s="16"/>
      <c r="R39" s="8"/>
      <c r="S39" s="67"/>
    </row>
    <row r="40" spans="4:19" s="2" customFormat="1" ht="19.7" customHeight="1" x14ac:dyDescent="0.15">
      <c r="D40" s="15"/>
      <c r="E40" s="15"/>
      <c r="F40" s="15"/>
      <c r="G40" s="16"/>
      <c r="H40" s="20"/>
      <c r="I40" s="16"/>
      <c r="J40" s="1"/>
      <c r="K40" s="41"/>
      <c r="L40" s="16"/>
      <c r="M40" s="16"/>
      <c r="N40" s="16"/>
      <c r="O40" s="8"/>
      <c r="P40" s="15"/>
      <c r="Q40" s="16"/>
      <c r="R40" s="8"/>
      <c r="S40" s="67"/>
    </row>
    <row r="41" spans="4:19" s="2" customFormat="1" ht="19.7" customHeight="1" x14ac:dyDescent="0.15">
      <c r="D41" s="15"/>
      <c r="E41" s="15"/>
      <c r="F41" s="15"/>
      <c r="G41" s="16"/>
      <c r="H41" s="20"/>
      <c r="I41" s="16"/>
      <c r="J41" s="1"/>
      <c r="K41" s="41"/>
      <c r="L41" s="16"/>
      <c r="M41" s="16"/>
      <c r="N41" s="16"/>
      <c r="O41" s="8"/>
      <c r="P41" s="15"/>
      <c r="Q41" s="16"/>
      <c r="R41" s="8"/>
      <c r="S41" s="67"/>
    </row>
    <row r="42" spans="4:19" s="2" customFormat="1" ht="19.7" customHeight="1" x14ac:dyDescent="0.15">
      <c r="D42" s="15"/>
      <c r="E42" s="15"/>
      <c r="F42" s="15"/>
      <c r="G42" s="16"/>
      <c r="H42" s="20"/>
      <c r="I42" s="16"/>
      <c r="J42" s="1"/>
      <c r="K42" s="41"/>
      <c r="L42" s="16"/>
      <c r="M42" s="16"/>
      <c r="N42" s="16"/>
      <c r="O42" s="8"/>
      <c r="P42" s="15"/>
      <c r="Q42" s="16"/>
      <c r="R42" s="8"/>
      <c r="S42" s="67"/>
    </row>
    <row r="43" spans="4:19" s="2" customFormat="1" ht="19.7" customHeight="1" x14ac:dyDescent="0.15">
      <c r="D43" s="15"/>
      <c r="E43" s="15"/>
      <c r="F43" s="15"/>
      <c r="G43" s="16"/>
      <c r="H43" s="20"/>
      <c r="I43" s="16"/>
      <c r="J43" s="1"/>
      <c r="K43" s="41"/>
      <c r="L43" s="16"/>
      <c r="M43" s="16"/>
      <c r="N43" s="16"/>
      <c r="O43" s="8"/>
      <c r="P43" s="15"/>
      <c r="Q43" s="16"/>
      <c r="R43" s="8"/>
      <c r="S43" s="67"/>
    </row>
    <row r="44" spans="4:19" s="2" customFormat="1" ht="19.7" customHeight="1" x14ac:dyDescent="0.15">
      <c r="D44" s="15"/>
      <c r="E44" s="15"/>
      <c r="F44" s="15"/>
      <c r="G44" s="16"/>
      <c r="H44" s="20"/>
      <c r="I44" s="16"/>
      <c r="J44" s="1"/>
      <c r="K44" s="41"/>
      <c r="L44" s="16"/>
      <c r="M44" s="16"/>
      <c r="N44" s="16"/>
      <c r="O44" s="8"/>
      <c r="P44" s="15"/>
      <c r="Q44" s="16"/>
      <c r="R44" s="8"/>
      <c r="S44" s="67"/>
    </row>
    <row r="45" spans="4:19" s="2" customFormat="1" ht="19.7" customHeight="1" x14ac:dyDescent="0.15">
      <c r="D45" s="15"/>
      <c r="E45" s="15"/>
      <c r="F45" s="15"/>
      <c r="G45" s="16"/>
      <c r="H45" s="20"/>
      <c r="I45" s="16"/>
      <c r="J45" s="1"/>
      <c r="K45" s="41"/>
      <c r="L45" s="16"/>
      <c r="M45" s="16"/>
      <c r="N45" s="16"/>
      <c r="O45" s="8"/>
      <c r="P45" s="15"/>
      <c r="Q45" s="16"/>
      <c r="R45" s="8"/>
      <c r="S45" s="67"/>
    </row>
    <row r="46" spans="4:19" s="2" customFormat="1" ht="19.7" customHeight="1" x14ac:dyDescent="0.15">
      <c r="D46" s="15"/>
      <c r="E46" s="15"/>
      <c r="F46" s="15"/>
      <c r="G46" s="16"/>
      <c r="H46" s="20"/>
      <c r="I46" s="16"/>
      <c r="J46" s="1"/>
      <c r="K46" s="41"/>
      <c r="L46" s="16"/>
      <c r="M46" s="16"/>
      <c r="N46" s="16"/>
      <c r="O46" s="8"/>
      <c r="P46" s="15"/>
      <c r="Q46" s="16"/>
      <c r="R46" s="8"/>
      <c r="S46" s="67"/>
    </row>
    <row r="47" spans="4:19" s="2" customFormat="1" ht="19.7" customHeight="1" x14ac:dyDescent="0.15">
      <c r="D47" s="15"/>
      <c r="E47" s="15"/>
      <c r="F47" s="15"/>
      <c r="G47" s="16"/>
      <c r="H47" s="20"/>
      <c r="I47" s="16"/>
      <c r="J47" s="1"/>
      <c r="K47" s="41"/>
      <c r="L47" s="16"/>
      <c r="M47" s="16"/>
      <c r="N47" s="16"/>
      <c r="O47" s="8"/>
      <c r="P47" s="15"/>
      <c r="Q47" s="16"/>
      <c r="R47" s="8"/>
      <c r="S47" s="67"/>
    </row>
    <row r="48" spans="4:19" s="2" customFormat="1" ht="19.7" customHeight="1" x14ac:dyDescent="0.15">
      <c r="D48" s="15"/>
      <c r="E48" s="15"/>
      <c r="F48" s="15"/>
      <c r="G48" s="16"/>
      <c r="H48" s="20"/>
      <c r="I48" s="16"/>
      <c r="J48" s="1"/>
      <c r="K48" s="41"/>
      <c r="L48" s="16"/>
      <c r="M48" s="16"/>
      <c r="N48" s="16"/>
      <c r="O48" s="8"/>
      <c r="P48" s="15"/>
      <c r="Q48" s="16"/>
      <c r="R48" s="8"/>
      <c r="S48" s="67"/>
    </row>
    <row r="49" spans="4:19" s="2" customFormat="1" ht="19.7" customHeight="1" x14ac:dyDescent="0.15">
      <c r="D49" s="15"/>
      <c r="E49" s="15"/>
      <c r="F49" s="15"/>
      <c r="G49" s="16"/>
      <c r="H49" s="20"/>
      <c r="I49" s="16"/>
      <c r="J49" s="1"/>
      <c r="K49" s="41"/>
      <c r="L49" s="16"/>
      <c r="M49" s="16"/>
      <c r="N49" s="16"/>
      <c r="O49" s="8"/>
      <c r="P49" s="15"/>
      <c r="Q49" s="16"/>
      <c r="R49" s="8"/>
      <c r="S49" s="67"/>
    </row>
    <row r="50" spans="4:19" s="2" customFormat="1" ht="19.7" customHeight="1" x14ac:dyDescent="0.15">
      <c r="D50" s="15"/>
      <c r="E50" s="15"/>
      <c r="F50" s="15"/>
      <c r="G50" s="16"/>
      <c r="H50" s="20"/>
      <c r="I50" s="16"/>
      <c r="J50" s="1"/>
      <c r="K50" s="41"/>
      <c r="L50" s="16"/>
      <c r="M50" s="16"/>
      <c r="N50" s="16"/>
      <c r="O50" s="8"/>
      <c r="P50" s="15"/>
      <c r="Q50" s="16"/>
      <c r="R50" s="8"/>
      <c r="S50" s="67"/>
    </row>
    <row r="51" spans="4:19" s="2" customFormat="1" ht="19.7" customHeight="1" x14ac:dyDescent="0.15">
      <c r="D51" s="15"/>
      <c r="E51" s="15"/>
      <c r="F51" s="15"/>
      <c r="G51" s="16"/>
      <c r="H51" s="20"/>
      <c r="I51" s="16"/>
      <c r="J51" s="1"/>
      <c r="K51" s="41"/>
      <c r="L51" s="16"/>
      <c r="M51" s="16"/>
      <c r="N51" s="16"/>
      <c r="O51" s="8"/>
      <c r="P51" s="15"/>
      <c r="Q51" s="16"/>
      <c r="R51" s="8"/>
      <c r="S51" s="67"/>
    </row>
    <row r="52" spans="4:19" s="2" customFormat="1" ht="19.7" customHeight="1" x14ac:dyDescent="0.15">
      <c r="D52" s="15"/>
      <c r="E52" s="15"/>
      <c r="F52" s="15"/>
      <c r="G52" s="16"/>
      <c r="H52" s="20"/>
      <c r="I52" s="16"/>
      <c r="J52" s="1"/>
      <c r="K52" s="41"/>
      <c r="L52" s="16"/>
      <c r="M52" s="16"/>
      <c r="N52" s="16"/>
      <c r="O52" s="8"/>
      <c r="P52" s="15"/>
      <c r="Q52" s="16"/>
      <c r="R52" s="8"/>
      <c r="S52" s="67"/>
    </row>
    <row r="53" spans="4:19" s="2" customFormat="1" ht="19.7" customHeight="1" x14ac:dyDescent="0.15">
      <c r="D53" s="15"/>
      <c r="E53" s="15"/>
      <c r="F53" s="15"/>
      <c r="G53" s="16"/>
      <c r="H53" s="20"/>
      <c r="I53" s="16"/>
      <c r="J53" s="1"/>
      <c r="K53" s="41"/>
      <c r="L53" s="16"/>
      <c r="M53" s="16"/>
      <c r="N53" s="16"/>
      <c r="O53" s="8"/>
      <c r="P53" s="15"/>
      <c r="Q53" s="16"/>
      <c r="R53" s="8"/>
      <c r="S53" s="67"/>
    </row>
    <row r="54" spans="4:19" s="2" customFormat="1" ht="19.7" customHeight="1" x14ac:dyDescent="0.15">
      <c r="D54" s="15"/>
      <c r="E54" s="15"/>
      <c r="F54" s="15"/>
      <c r="G54" s="16"/>
      <c r="H54" s="20"/>
      <c r="I54" s="16"/>
      <c r="J54" s="1"/>
      <c r="K54" s="41"/>
      <c r="L54" s="16"/>
      <c r="M54" s="16"/>
      <c r="N54" s="16"/>
      <c r="O54" s="8"/>
      <c r="P54" s="15"/>
      <c r="Q54" s="16"/>
      <c r="R54" s="8"/>
      <c r="S54" s="67"/>
    </row>
    <row r="55" spans="4:19" s="2" customFormat="1" ht="19.7" customHeight="1" x14ac:dyDescent="0.15">
      <c r="D55" s="15"/>
      <c r="E55" s="15"/>
      <c r="F55" s="15"/>
      <c r="G55" s="16"/>
      <c r="H55" s="20"/>
      <c r="I55" s="16"/>
      <c r="J55" s="1"/>
      <c r="K55" s="41"/>
      <c r="L55" s="16"/>
      <c r="M55" s="16"/>
      <c r="N55" s="16"/>
      <c r="O55" s="8"/>
      <c r="P55" s="15"/>
      <c r="Q55" s="16"/>
      <c r="R55" s="8"/>
      <c r="S55" s="67"/>
    </row>
    <row r="56" spans="4:19" s="2" customFormat="1" ht="19.7" customHeight="1" x14ac:dyDescent="0.15">
      <c r="D56" s="15"/>
      <c r="E56" s="15"/>
      <c r="F56" s="15"/>
      <c r="G56" s="16"/>
      <c r="H56" s="20"/>
      <c r="I56" s="16"/>
      <c r="J56" s="1"/>
      <c r="K56" s="41"/>
      <c r="L56" s="16"/>
      <c r="M56" s="16"/>
      <c r="N56" s="16"/>
      <c r="O56" s="8"/>
      <c r="P56" s="15"/>
      <c r="Q56" s="16"/>
      <c r="R56" s="8"/>
      <c r="S56" s="67"/>
    </row>
    <row r="57" spans="4:19" s="2" customFormat="1" ht="19.7" customHeight="1" x14ac:dyDescent="0.15">
      <c r="D57" s="15"/>
      <c r="E57" s="15"/>
      <c r="F57" s="15"/>
      <c r="G57" s="16"/>
      <c r="H57" s="20"/>
      <c r="I57" s="16"/>
      <c r="J57" s="1"/>
      <c r="K57" s="41"/>
      <c r="L57" s="16"/>
      <c r="M57" s="16"/>
      <c r="N57" s="16"/>
      <c r="O57" s="8"/>
      <c r="P57" s="15"/>
      <c r="Q57" s="16"/>
      <c r="R57" s="8"/>
      <c r="S57" s="67"/>
    </row>
    <row r="58" spans="4:19" s="2" customFormat="1" ht="19.7" customHeight="1" x14ac:dyDescent="0.15">
      <c r="D58" s="15"/>
      <c r="E58" s="15"/>
      <c r="F58" s="15"/>
      <c r="G58" s="16"/>
      <c r="H58" s="20"/>
      <c r="I58" s="16"/>
      <c r="J58" s="1"/>
      <c r="K58" s="41"/>
      <c r="L58" s="16"/>
      <c r="M58" s="16"/>
      <c r="N58" s="16"/>
      <c r="O58" s="8"/>
      <c r="P58" s="15"/>
      <c r="Q58" s="16"/>
      <c r="R58" s="8"/>
      <c r="S58" s="67"/>
    </row>
    <row r="59" spans="4:19" s="2" customFormat="1" ht="19.7" customHeight="1" x14ac:dyDescent="0.15">
      <c r="D59" s="15"/>
      <c r="E59" s="15"/>
      <c r="F59" s="15"/>
      <c r="G59" s="16"/>
      <c r="H59" s="20"/>
      <c r="I59" s="16"/>
      <c r="J59" s="1"/>
      <c r="K59" s="41"/>
      <c r="L59" s="16"/>
      <c r="M59" s="16"/>
      <c r="N59" s="16"/>
      <c r="O59" s="8"/>
      <c r="P59" s="15"/>
      <c r="Q59" s="16"/>
      <c r="R59" s="8"/>
      <c r="S59" s="67"/>
    </row>
    <row r="60" spans="4:19" s="2" customFormat="1" ht="19.7" customHeight="1" x14ac:dyDescent="0.15">
      <c r="D60" s="15"/>
      <c r="E60" s="15"/>
      <c r="F60" s="15"/>
      <c r="G60" s="16"/>
      <c r="H60" s="20"/>
      <c r="I60" s="16"/>
      <c r="J60" s="1"/>
      <c r="K60" s="41"/>
      <c r="L60" s="16"/>
      <c r="M60" s="16"/>
      <c r="N60" s="16"/>
      <c r="O60" s="8"/>
      <c r="P60" s="15"/>
      <c r="Q60" s="16"/>
      <c r="R60" s="8"/>
      <c r="S60" s="67"/>
    </row>
    <row r="61" spans="4:19" s="2" customFormat="1" ht="19.7" customHeight="1" x14ac:dyDescent="0.15">
      <c r="D61" s="15"/>
      <c r="E61" s="15"/>
      <c r="F61" s="15"/>
      <c r="G61" s="16"/>
      <c r="H61" s="20"/>
      <c r="I61" s="16"/>
      <c r="J61" s="1"/>
      <c r="K61" s="41"/>
      <c r="L61" s="16"/>
      <c r="M61" s="16"/>
      <c r="N61" s="16"/>
      <c r="O61" s="8"/>
      <c r="P61" s="15"/>
      <c r="Q61" s="16"/>
      <c r="R61" s="8"/>
      <c r="S61" s="67"/>
    </row>
    <row r="62" spans="4:19" s="2" customFormat="1" ht="19.7" customHeight="1" x14ac:dyDescent="0.15">
      <c r="D62" s="15"/>
      <c r="E62" s="15"/>
      <c r="F62" s="15"/>
      <c r="G62" s="16"/>
      <c r="H62" s="20"/>
      <c r="I62" s="16"/>
      <c r="J62" s="1"/>
      <c r="K62" s="41"/>
      <c r="L62" s="16"/>
      <c r="M62" s="16"/>
      <c r="N62" s="16"/>
      <c r="O62" s="8"/>
      <c r="P62" s="15"/>
      <c r="Q62" s="16"/>
      <c r="R62" s="8"/>
      <c r="S62" s="67"/>
    </row>
    <row r="63" spans="4:19" s="2" customFormat="1" ht="19.7" customHeight="1" x14ac:dyDescent="0.15">
      <c r="D63" s="15"/>
      <c r="E63" s="15"/>
      <c r="F63" s="15"/>
      <c r="G63" s="16"/>
      <c r="H63" s="20"/>
      <c r="I63" s="16"/>
      <c r="J63" s="1"/>
      <c r="K63" s="41"/>
      <c r="L63" s="16"/>
      <c r="M63" s="16"/>
      <c r="N63" s="16"/>
      <c r="O63" s="8"/>
      <c r="P63" s="15"/>
      <c r="Q63" s="16"/>
      <c r="R63" s="8"/>
      <c r="S63" s="67"/>
    </row>
    <row r="64" spans="4:19" s="2" customFormat="1" ht="19.7" customHeight="1" x14ac:dyDescent="0.15">
      <c r="D64" s="15"/>
      <c r="E64" s="15"/>
      <c r="F64" s="15"/>
      <c r="G64" s="16"/>
      <c r="H64" s="20"/>
      <c r="I64" s="16"/>
      <c r="J64" s="1"/>
      <c r="K64" s="41"/>
      <c r="L64" s="16"/>
      <c r="M64" s="16"/>
      <c r="N64" s="16"/>
      <c r="O64" s="8"/>
      <c r="P64" s="15"/>
      <c r="Q64" s="16"/>
      <c r="R64" s="8"/>
      <c r="S64" s="67"/>
    </row>
    <row r="65" spans="4:19" s="2" customFormat="1" ht="19.7" customHeight="1" x14ac:dyDescent="0.15">
      <c r="D65" s="15"/>
      <c r="E65" s="15"/>
      <c r="F65" s="15"/>
      <c r="G65" s="16"/>
      <c r="H65" s="20"/>
      <c r="I65" s="16"/>
      <c r="J65" s="1"/>
      <c r="K65" s="41"/>
      <c r="L65" s="16"/>
      <c r="M65" s="16"/>
      <c r="N65" s="16"/>
      <c r="O65" s="8"/>
      <c r="P65" s="15"/>
      <c r="Q65" s="16"/>
      <c r="R65" s="8"/>
      <c r="S65" s="67"/>
    </row>
    <row r="66" spans="4:19" s="2" customFormat="1" ht="19.7" customHeight="1" x14ac:dyDescent="0.15">
      <c r="D66" s="15"/>
      <c r="E66" s="15"/>
      <c r="F66" s="15"/>
      <c r="G66" s="16"/>
      <c r="H66" s="20"/>
      <c r="I66" s="16"/>
      <c r="J66" s="1"/>
      <c r="K66" s="41"/>
      <c r="L66" s="16"/>
      <c r="M66" s="16"/>
      <c r="N66" s="16"/>
      <c r="O66" s="8"/>
      <c r="P66" s="15"/>
      <c r="Q66" s="16"/>
      <c r="R66" s="8"/>
      <c r="S66" s="67"/>
    </row>
    <row r="67" spans="4:19" s="2" customFormat="1" ht="19.7" customHeight="1" x14ac:dyDescent="0.15">
      <c r="D67" s="15"/>
      <c r="E67" s="15"/>
      <c r="F67" s="15"/>
      <c r="G67" s="16"/>
      <c r="H67" s="20"/>
      <c r="I67" s="16"/>
      <c r="J67" s="1"/>
      <c r="K67" s="41"/>
      <c r="L67" s="16"/>
      <c r="M67" s="16"/>
      <c r="N67" s="16"/>
      <c r="O67" s="8"/>
      <c r="P67" s="15"/>
      <c r="Q67" s="16"/>
      <c r="R67" s="8"/>
      <c r="S67" s="67"/>
    </row>
    <row r="68" spans="4:19" s="2" customFormat="1" ht="19.7" customHeight="1" x14ac:dyDescent="0.15">
      <c r="D68" s="15"/>
      <c r="E68" s="15"/>
      <c r="F68" s="15"/>
      <c r="G68" s="16"/>
      <c r="H68" s="20"/>
      <c r="I68" s="16"/>
      <c r="J68" s="1"/>
      <c r="K68" s="41"/>
      <c r="L68" s="16"/>
      <c r="M68" s="16"/>
      <c r="N68" s="16"/>
      <c r="O68" s="8"/>
      <c r="P68" s="15"/>
      <c r="Q68" s="16"/>
      <c r="R68" s="8"/>
      <c r="S68" s="67"/>
    </row>
    <row r="69" spans="4:19" s="2" customFormat="1" ht="19.7" customHeight="1" x14ac:dyDescent="0.15">
      <c r="D69" s="15"/>
      <c r="E69" s="15"/>
      <c r="F69" s="15"/>
      <c r="G69" s="16"/>
      <c r="H69" s="20"/>
      <c r="I69" s="16"/>
      <c r="J69" s="1"/>
      <c r="K69" s="41"/>
      <c r="L69" s="16"/>
      <c r="M69" s="16"/>
      <c r="N69" s="16"/>
      <c r="O69" s="8"/>
      <c r="P69" s="15"/>
      <c r="Q69" s="16"/>
      <c r="R69" s="8"/>
      <c r="S69" s="67"/>
    </row>
    <row r="70" spans="4:19" s="2" customFormat="1" ht="19.7" customHeight="1" x14ac:dyDescent="0.15">
      <c r="D70" s="15"/>
      <c r="E70" s="15"/>
      <c r="F70" s="15"/>
      <c r="G70" s="16"/>
      <c r="H70" s="20"/>
      <c r="I70" s="16"/>
      <c r="J70" s="1"/>
      <c r="K70" s="41"/>
      <c r="L70" s="16"/>
      <c r="M70" s="16"/>
      <c r="N70" s="16"/>
      <c r="O70" s="8"/>
      <c r="P70" s="15"/>
      <c r="Q70" s="16"/>
      <c r="R70" s="8"/>
      <c r="S70" s="67"/>
    </row>
    <row r="71" spans="4:19" s="2" customFormat="1" ht="19.7" customHeight="1" x14ac:dyDescent="0.15">
      <c r="D71" s="15"/>
      <c r="E71" s="15"/>
      <c r="F71" s="15"/>
      <c r="G71" s="16"/>
      <c r="H71" s="20"/>
      <c r="I71" s="16"/>
      <c r="J71" s="1"/>
      <c r="K71" s="41"/>
      <c r="L71" s="16"/>
      <c r="M71" s="16"/>
      <c r="N71" s="16"/>
      <c r="O71" s="8"/>
      <c r="P71" s="15"/>
      <c r="Q71" s="16"/>
      <c r="R71" s="8"/>
      <c r="S71" s="67"/>
    </row>
    <row r="72" spans="4:19" s="2" customFormat="1" ht="19.7" customHeight="1" x14ac:dyDescent="0.15">
      <c r="D72" s="15"/>
      <c r="E72" s="15"/>
      <c r="F72" s="15"/>
      <c r="G72" s="16"/>
      <c r="H72" s="20"/>
      <c r="I72" s="16"/>
      <c r="J72" s="1"/>
      <c r="K72" s="41"/>
      <c r="L72" s="16"/>
      <c r="M72" s="16"/>
      <c r="N72" s="16"/>
      <c r="O72" s="8"/>
      <c r="P72" s="15"/>
      <c r="Q72" s="16"/>
      <c r="R72" s="8"/>
      <c r="S72" s="67"/>
    </row>
    <row r="73" spans="4:19" s="2" customFormat="1" ht="19.7" customHeight="1" x14ac:dyDescent="0.15">
      <c r="D73" s="15"/>
      <c r="E73" s="15"/>
      <c r="F73" s="15"/>
      <c r="G73" s="16"/>
      <c r="H73" s="20"/>
      <c r="I73" s="16"/>
      <c r="J73" s="1"/>
      <c r="K73" s="41"/>
      <c r="L73" s="16"/>
      <c r="M73" s="16"/>
      <c r="N73" s="16"/>
      <c r="O73" s="8"/>
      <c r="P73" s="15"/>
      <c r="Q73" s="16"/>
      <c r="R73" s="8"/>
      <c r="S73" s="67"/>
    </row>
    <row r="74" spans="4:19" s="2" customFormat="1" ht="19.7" customHeight="1" x14ac:dyDescent="0.15">
      <c r="D74" s="15"/>
      <c r="E74" s="15"/>
      <c r="F74" s="15"/>
      <c r="G74" s="16"/>
      <c r="H74" s="20"/>
      <c r="I74" s="16"/>
      <c r="J74" s="1"/>
      <c r="K74" s="41"/>
      <c r="L74" s="16"/>
      <c r="M74" s="16"/>
      <c r="N74" s="16"/>
      <c r="O74" s="8"/>
      <c r="P74" s="15"/>
      <c r="Q74" s="16"/>
      <c r="R74" s="8"/>
      <c r="S74" s="67"/>
    </row>
    <row r="75" spans="4:19" s="2" customFormat="1" ht="19.7" customHeight="1" x14ac:dyDescent="0.15">
      <c r="D75" s="15"/>
      <c r="E75" s="15"/>
      <c r="F75" s="15"/>
      <c r="G75" s="16"/>
      <c r="H75" s="20"/>
      <c r="I75" s="16"/>
      <c r="J75" s="1"/>
      <c r="K75" s="41"/>
      <c r="L75" s="16"/>
      <c r="M75" s="16"/>
      <c r="N75" s="16"/>
      <c r="O75" s="8"/>
      <c r="P75" s="15"/>
      <c r="Q75" s="16"/>
      <c r="R75" s="8"/>
      <c r="S75" s="67"/>
    </row>
    <row r="76" spans="4:19" s="2" customFormat="1" ht="19.7" customHeight="1" x14ac:dyDescent="0.15">
      <c r="D76" s="15"/>
      <c r="E76" s="15"/>
      <c r="F76" s="15"/>
      <c r="G76" s="16"/>
      <c r="H76" s="20"/>
      <c r="I76" s="16"/>
      <c r="J76" s="1"/>
      <c r="K76" s="41"/>
      <c r="L76" s="16"/>
      <c r="M76" s="16"/>
      <c r="N76" s="16"/>
      <c r="O76" s="8"/>
      <c r="P76" s="15"/>
      <c r="Q76" s="16"/>
      <c r="R76" s="8"/>
      <c r="S76" s="67"/>
    </row>
    <row r="77" spans="4:19" s="2" customFormat="1" ht="19.7" customHeight="1" x14ac:dyDescent="0.15">
      <c r="D77" s="15"/>
      <c r="E77" s="15"/>
      <c r="F77" s="15"/>
      <c r="G77" s="16"/>
      <c r="H77" s="20"/>
      <c r="I77" s="16"/>
      <c r="J77" s="1"/>
      <c r="K77" s="41"/>
      <c r="L77" s="16"/>
      <c r="M77" s="16"/>
      <c r="N77" s="16"/>
      <c r="O77" s="8"/>
      <c r="P77" s="15"/>
      <c r="Q77" s="16"/>
      <c r="R77" s="8"/>
      <c r="S77" s="67"/>
    </row>
    <row r="78" spans="4:19" s="2" customFormat="1" ht="19.7" customHeight="1" x14ac:dyDescent="0.15">
      <c r="D78" s="15"/>
      <c r="E78" s="15"/>
      <c r="F78" s="15"/>
      <c r="G78" s="16"/>
      <c r="H78" s="20"/>
      <c r="I78" s="16"/>
      <c r="J78" s="1"/>
      <c r="K78" s="41"/>
      <c r="L78" s="16"/>
      <c r="M78" s="16"/>
      <c r="N78" s="16"/>
      <c r="O78" s="8"/>
      <c r="P78" s="15"/>
      <c r="Q78" s="16"/>
      <c r="R78" s="8"/>
      <c r="S78" s="67"/>
    </row>
    <row r="79" spans="4:19" s="2" customFormat="1" ht="19.7" customHeight="1" x14ac:dyDescent="0.15">
      <c r="D79" s="15"/>
      <c r="E79" s="15"/>
      <c r="F79" s="15"/>
      <c r="G79" s="16"/>
      <c r="H79" s="20"/>
      <c r="I79" s="16"/>
      <c r="J79" s="1"/>
      <c r="K79" s="41"/>
      <c r="L79" s="16"/>
      <c r="M79" s="16"/>
      <c r="N79" s="16"/>
      <c r="O79" s="8"/>
      <c r="P79" s="15"/>
      <c r="Q79" s="16"/>
      <c r="R79" s="8"/>
      <c r="S79" s="67"/>
    </row>
    <row r="80" spans="4:19" s="2" customFormat="1" ht="19.7" customHeight="1" x14ac:dyDescent="0.15">
      <c r="D80" s="15"/>
      <c r="E80" s="15"/>
      <c r="F80" s="15"/>
      <c r="G80" s="16"/>
      <c r="H80" s="20"/>
      <c r="I80" s="16"/>
      <c r="J80" s="1"/>
      <c r="K80" s="41"/>
      <c r="L80" s="16"/>
      <c r="M80" s="16"/>
      <c r="N80" s="16"/>
      <c r="O80" s="8"/>
      <c r="P80" s="15"/>
      <c r="Q80" s="16"/>
      <c r="R80" s="8"/>
      <c r="S80" s="67"/>
    </row>
    <row r="81" spans="4:19" s="2" customFormat="1" ht="19.7" customHeight="1" x14ac:dyDescent="0.15">
      <c r="D81" s="15"/>
      <c r="E81" s="15"/>
      <c r="F81" s="15"/>
      <c r="G81" s="16"/>
      <c r="H81" s="20"/>
      <c r="I81" s="16"/>
      <c r="J81" s="1"/>
      <c r="K81" s="41"/>
      <c r="L81" s="16"/>
      <c r="M81" s="16"/>
      <c r="N81" s="16"/>
      <c r="O81" s="8"/>
      <c r="P81" s="15"/>
      <c r="Q81" s="16"/>
      <c r="R81" s="8"/>
      <c r="S81" s="67"/>
    </row>
    <row r="82" spans="4:19" s="2" customFormat="1" ht="19.7" customHeight="1" x14ac:dyDescent="0.15">
      <c r="D82" s="15"/>
      <c r="E82" s="15"/>
      <c r="F82" s="15"/>
      <c r="G82" s="16"/>
      <c r="H82" s="20"/>
      <c r="I82" s="16"/>
      <c r="J82" s="1"/>
      <c r="K82" s="41"/>
      <c r="L82" s="16"/>
      <c r="M82" s="16"/>
      <c r="N82" s="16"/>
      <c r="O82" s="8"/>
      <c r="P82" s="15"/>
      <c r="Q82" s="16"/>
      <c r="R82" s="8"/>
      <c r="S82" s="67"/>
    </row>
    <row r="83" spans="4:19" s="2" customFormat="1" ht="19.7" customHeight="1" x14ac:dyDescent="0.15">
      <c r="D83" s="15"/>
      <c r="E83" s="15"/>
      <c r="F83" s="15"/>
      <c r="G83" s="16"/>
      <c r="H83" s="20"/>
      <c r="I83" s="16"/>
      <c r="J83" s="1"/>
      <c r="K83" s="41"/>
      <c r="L83" s="16"/>
      <c r="M83" s="16"/>
      <c r="N83" s="16"/>
      <c r="O83" s="8"/>
      <c r="P83" s="15"/>
      <c r="Q83" s="16"/>
      <c r="R83" s="8"/>
      <c r="S83" s="67"/>
    </row>
    <row r="84" spans="4:19" s="2" customFormat="1" ht="19.7" customHeight="1" x14ac:dyDescent="0.15">
      <c r="D84" s="15"/>
      <c r="E84" s="15"/>
      <c r="F84" s="15"/>
      <c r="G84" s="16"/>
      <c r="H84" s="20"/>
      <c r="I84" s="16"/>
      <c r="J84" s="1"/>
      <c r="K84" s="41"/>
      <c r="L84" s="16"/>
      <c r="M84" s="16"/>
      <c r="N84" s="16"/>
      <c r="O84" s="8"/>
      <c r="P84" s="15"/>
      <c r="Q84" s="16"/>
      <c r="R84" s="8"/>
      <c r="S84" s="67"/>
    </row>
    <row r="85" spans="4:19" s="2" customFormat="1" ht="19.7" customHeight="1" x14ac:dyDescent="0.15">
      <c r="D85" s="15"/>
      <c r="E85" s="15"/>
      <c r="F85" s="15"/>
      <c r="G85" s="16"/>
      <c r="H85" s="20"/>
      <c r="I85" s="16"/>
      <c r="J85" s="1"/>
      <c r="K85" s="41"/>
      <c r="L85" s="16"/>
      <c r="M85" s="16"/>
      <c r="N85" s="16"/>
      <c r="O85" s="8"/>
      <c r="P85" s="15"/>
      <c r="Q85" s="16"/>
      <c r="R85" s="8"/>
      <c r="S85" s="67"/>
    </row>
    <row r="86" spans="4:19" s="2" customFormat="1" ht="19.7" customHeight="1" x14ac:dyDescent="0.15">
      <c r="D86" s="15"/>
      <c r="E86" s="15"/>
      <c r="F86" s="15"/>
      <c r="G86" s="16"/>
      <c r="H86" s="20"/>
      <c r="I86" s="16"/>
      <c r="J86" s="1"/>
      <c r="K86" s="41"/>
      <c r="L86" s="16"/>
      <c r="M86" s="16"/>
      <c r="N86" s="16"/>
      <c r="O86" s="8"/>
      <c r="P86" s="15"/>
      <c r="Q86" s="16"/>
      <c r="R86" s="8"/>
      <c r="S86" s="67"/>
    </row>
    <row r="87" spans="4:19" s="2" customFormat="1" ht="19.7" customHeight="1" x14ac:dyDescent="0.15">
      <c r="D87" s="15"/>
      <c r="E87" s="15"/>
      <c r="F87" s="15"/>
      <c r="G87" s="16"/>
      <c r="H87" s="20"/>
      <c r="I87" s="16"/>
      <c r="J87" s="1"/>
      <c r="K87" s="41"/>
      <c r="L87" s="16"/>
      <c r="M87" s="16"/>
      <c r="N87" s="16"/>
      <c r="O87" s="8"/>
      <c r="P87" s="15"/>
      <c r="Q87" s="16"/>
      <c r="R87" s="8"/>
      <c r="S87" s="67"/>
    </row>
    <row r="88" spans="4:19" s="2" customFormat="1" ht="19.7" customHeight="1" x14ac:dyDescent="0.15">
      <c r="D88" s="15"/>
      <c r="E88" s="15"/>
      <c r="F88" s="15"/>
      <c r="G88" s="16"/>
      <c r="H88" s="20"/>
      <c r="I88" s="16"/>
      <c r="J88" s="1"/>
      <c r="K88" s="41"/>
      <c r="L88" s="16"/>
      <c r="M88" s="16"/>
      <c r="N88" s="16"/>
      <c r="O88" s="8"/>
      <c r="P88" s="15"/>
      <c r="Q88" s="16"/>
      <c r="R88" s="8"/>
      <c r="S88" s="67"/>
    </row>
    <row r="89" spans="4:19" s="2" customFormat="1" ht="19.7" customHeight="1" x14ac:dyDescent="0.15">
      <c r="D89" s="15"/>
      <c r="E89" s="18"/>
      <c r="F89" s="18"/>
      <c r="G89" s="17"/>
      <c r="H89" s="49"/>
      <c r="I89" s="16"/>
      <c r="J89" s="21"/>
      <c r="K89" s="41"/>
      <c r="L89" s="25"/>
      <c r="M89" s="16"/>
      <c r="N89" s="17"/>
      <c r="O89" s="8"/>
      <c r="P89" s="15"/>
      <c r="Q89" s="16"/>
      <c r="R89" s="8"/>
      <c r="S89" s="67"/>
    </row>
    <row r="90" spans="4:19" s="2" customFormat="1" ht="19.7" customHeight="1" x14ac:dyDescent="0.15">
      <c r="D90" s="15"/>
      <c r="E90" s="15"/>
      <c r="F90" s="18"/>
      <c r="G90" s="17"/>
      <c r="H90" s="49"/>
      <c r="I90" s="16"/>
      <c r="J90" s="21"/>
      <c r="K90" s="41"/>
      <c r="L90" s="25"/>
      <c r="M90" s="16"/>
      <c r="N90" s="17"/>
      <c r="O90" s="8"/>
      <c r="P90" s="15"/>
      <c r="Q90" s="16"/>
      <c r="R90" s="8"/>
      <c r="S90" s="67"/>
    </row>
    <row r="91" spans="4:19" s="2" customFormat="1" ht="19.7" customHeight="1" x14ac:dyDescent="0.15">
      <c r="D91" s="15"/>
      <c r="E91" s="15"/>
      <c r="F91" s="18"/>
      <c r="G91" s="17"/>
      <c r="H91" s="49"/>
      <c r="I91" s="16"/>
      <c r="J91" s="21"/>
      <c r="K91" s="41"/>
      <c r="L91" s="25"/>
      <c r="M91" s="16"/>
      <c r="N91" s="17"/>
      <c r="O91" s="8"/>
      <c r="P91" s="15"/>
      <c r="Q91" s="16"/>
      <c r="R91" s="8"/>
      <c r="S91" s="67"/>
    </row>
    <row r="92" spans="4:19" s="2" customFormat="1" ht="19.7" customHeight="1" x14ac:dyDescent="0.15">
      <c r="D92" s="15"/>
      <c r="E92" s="15"/>
      <c r="F92" s="18"/>
      <c r="G92" s="17"/>
      <c r="H92" s="49"/>
      <c r="I92" s="16"/>
      <c r="J92" s="21"/>
      <c r="K92" s="41"/>
      <c r="L92" s="25"/>
      <c r="M92" s="16"/>
      <c r="N92" s="17"/>
      <c r="O92" s="8"/>
      <c r="P92" s="15"/>
      <c r="Q92" s="16"/>
      <c r="R92" s="8"/>
      <c r="S92" s="67"/>
    </row>
    <row r="93" spans="4:19" s="2" customFormat="1" ht="19.7" customHeight="1" x14ac:dyDescent="0.15">
      <c r="D93" s="15"/>
      <c r="E93" s="15"/>
      <c r="F93" s="18"/>
      <c r="G93" s="17"/>
      <c r="H93" s="49"/>
      <c r="I93" s="16"/>
      <c r="J93" s="21"/>
      <c r="K93" s="41"/>
      <c r="L93" s="25"/>
      <c r="M93" s="16"/>
      <c r="N93" s="17"/>
      <c r="O93" s="8"/>
      <c r="P93" s="15"/>
      <c r="Q93" s="16"/>
      <c r="R93" s="8"/>
      <c r="S93" s="67"/>
    </row>
    <row r="94" spans="4:19" s="2" customFormat="1" ht="19.7" customHeight="1" x14ac:dyDescent="0.15">
      <c r="D94" s="15"/>
      <c r="E94" s="15"/>
      <c r="F94" s="18"/>
      <c r="G94" s="17"/>
      <c r="H94" s="49"/>
      <c r="I94" s="16"/>
      <c r="J94" s="21"/>
      <c r="K94" s="41"/>
      <c r="L94" s="25"/>
      <c r="M94" s="16"/>
      <c r="N94" s="17"/>
      <c r="O94" s="8"/>
      <c r="P94" s="15"/>
      <c r="Q94" s="16"/>
      <c r="R94" s="8"/>
      <c r="S94" s="67"/>
    </row>
    <row r="95" spans="4:19" s="2" customFormat="1" ht="19.350000000000001" customHeight="1" x14ac:dyDescent="0.15">
      <c r="D95" s="15"/>
      <c r="E95" s="18"/>
      <c r="F95" s="18"/>
      <c r="G95" s="17"/>
      <c r="H95" s="49"/>
      <c r="I95" s="16"/>
      <c r="J95" s="21"/>
      <c r="K95" s="41"/>
      <c r="L95" s="25"/>
      <c r="M95" s="16"/>
      <c r="N95" s="17"/>
      <c r="O95" s="8"/>
      <c r="P95" s="15"/>
      <c r="Q95" s="16"/>
      <c r="R95" s="8"/>
      <c r="S95" s="67"/>
    </row>
    <row r="96" spans="4:19" s="2" customFormat="1" ht="19.350000000000001" customHeight="1" x14ac:dyDescent="0.15">
      <c r="D96" s="15"/>
      <c r="E96" s="18"/>
      <c r="F96" s="18"/>
      <c r="G96" s="29"/>
      <c r="H96" s="49"/>
      <c r="I96" s="16"/>
      <c r="J96" s="21"/>
      <c r="K96" s="41"/>
      <c r="L96" s="25"/>
      <c r="M96" s="16"/>
      <c r="N96" s="17"/>
      <c r="O96" s="8"/>
      <c r="P96" s="15"/>
      <c r="Q96" s="16"/>
      <c r="R96" s="8"/>
      <c r="S96" s="67"/>
    </row>
    <row r="97" spans="4:19" s="2" customFormat="1" ht="19.350000000000001" customHeight="1" x14ac:dyDescent="0.15">
      <c r="D97" s="15"/>
      <c r="E97" s="18"/>
      <c r="F97" s="18"/>
      <c r="G97" s="24"/>
      <c r="H97" s="49"/>
      <c r="I97" s="16"/>
      <c r="J97" s="21"/>
      <c r="K97" s="41"/>
      <c r="L97" s="25"/>
      <c r="M97" s="16"/>
      <c r="N97" s="17"/>
      <c r="O97" s="8"/>
      <c r="P97" s="15"/>
      <c r="Q97" s="16"/>
      <c r="R97" s="8"/>
      <c r="S97" s="67"/>
    </row>
    <row r="98" spans="4:19" s="2" customFormat="1" ht="19.7" customHeight="1" x14ac:dyDescent="0.15">
      <c r="D98" s="15"/>
      <c r="E98" s="18"/>
      <c r="F98" s="18"/>
      <c r="G98" s="24"/>
      <c r="H98" s="49"/>
      <c r="I98" s="16"/>
      <c r="J98" s="21"/>
      <c r="K98" s="41"/>
      <c r="L98" s="25"/>
      <c r="M98" s="16"/>
      <c r="N98" s="17"/>
      <c r="O98" s="8"/>
      <c r="P98" s="15"/>
      <c r="Q98" s="16"/>
      <c r="R98" s="8"/>
      <c r="S98" s="67"/>
    </row>
    <row r="99" spans="4:19" s="2" customFormat="1" ht="19.7" customHeight="1" x14ac:dyDescent="0.15">
      <c r="D99" s="15"/>
      <c r="E99" s="18"/>
      <c r="F99" s="18"/>
      <c r="G99" s="24"/>
      <c r="H99" s="49"/>
      <c r="I99" s="16"/>
      <c r="J99" s="21"/>
      <c r="K99" s="41"/>
      <c r="L99" s="25"/>
      <c r="M99" s="16"/>
      <c r="N99" s="17"/>
      <c r="O99" s="8"/>
      <c r="P99" s="15"/>
      <c r="Q99" s="16"/>
      <c r="R99" s="8"/>
      <c r="S99" s="67"/>
    </row>
    <row r="100" spans="4:19" s="2" customFormat="1" ht="19.7" customHeight="1" x14ac:dyDescent="0.15">
      <c r="D100" s="15"/>
      <c r="E100" s="18"/>
      <c r="F100" s="18"/>
      <c r="G100" s="24"/>
      <c r="H100" s="49"/>
      <c r="I100" s="16"/>
      <c r="J100" s="21"/>
      <c r="K100" s="41"/>
      <c r="L100" s="25"/>
      <c r="M100" s="16"/>
      <c r="N100" s="17"/>
      <c r="O100" s="8"/>
      <c r="P100" s="15"/>
      <c r="Q100" s="16"/>
      <c r="R100" s="8"/>
      <c r="S100" s="67"/>
    </row>
    <row r="101" spans="4:19" s="2" customFormat="1" ht="19.7" customHeight="1" x14ac:dyDescent="0.15">
      <c r="D101" s="15"/>
      <c r="E101" s="18"/>
      <c r="F101" s="18"/>
      <c r="G101" s="24"/>
      <c r="H101" s="49"/>
      <c r="I101" s="16"/>
      <c r="J101" s="21"/>
      <c r="K101" s="41"/>
      <c r="L101" s="25"/>
      <c r="M101" s="16"/>
      <c r="N101" s="17"/>
      <c r="O101" s="8"/>
      <c r="P101" s="15"/>
      <c r="Q101" s="16"/>
      <c r="R101" s="8"/>
      <c r="S101" s="67"/>
    </row>
    <row r="102" spans="4:19" s="2" customFormat="1" ht="19.7" customHeight="1" x14ac:dyDescent="0.15">
      <c r="D102" s="15"/>
      <c r="E102" s="18"/>
      <c r="F102" s="18"/>
      <c r="G102" s="24"/>
      <c r="H102" s="49"/>
      <c r="I102" s="16"/>
      <c r="J102" s="21"/>
      <c r="K102" s="41"/>
      <c r="L102" s="25"/>
      <c r="M102" s="16"/>
      <c r="N102" s="17"/>
      <c r="O102" s="8"/>
      <c r="P102" s="15"/>
      <c r="Q102" s="16"/>
      <c r="R102" s="8"/>
      <c r="S102" s="67"/>
    </row>
    <row r="103" spans="4:19" s="2" customFormat="1" ht="19.7" customHeight="1" x14ac:dyDescent="0.15">
      <c r="D103" s="15"/>
      <c r="E103" s="15"/>
      <c r="F103" s="15"/>
      <c r="G103" s="17"/>
      <c r="H103" s="20"/>
      <c r="I103" s="21"/>
      <c r="J103" s="34"/>
      <c r="K103" s="43"/>
      <c r="L103" s="35"/>
      <c r="M103" s="16"/>
      <c r="N103" s="17"/>
      <c r="O103" s="8"/>
      <c r="P103" s="15"/>
      <c r="Q103" s="16"/>
      <c r="R103" s="8"/>
      <c r="S103" s="67"/>
    </row>
    <row r="104" spans="4:19" s="2" customFormat="1" ht="19.7" customHeight="1" x14ac:dyDescent="0.15">
      <c r="D104" s="15"/>
      <c r="E104" s="15"/>
      <c r="F104" s="15"/>
      <c r="G104" s="17"/>
      <c r="H104" s="20"/>
      <c r="I104" s="21"/>
      <c r="J104" s="36"/>
      <c r="K104" s="42"/>
      <c r="L104" s="35"/>
      <c r="M104" s="16"/>
      <c r="N104" s="17"/>
      <c r="O104" s="8"/>
      <c r="P104" s="15"/>
      <c r="Q104" s="16"/>
      <c r="R104" s="8"/>
      <c r="S104" s="67"/>
    </row>
    <row r="105" spans="4:19" s="2" customFormat="1" ht="19.7" customHeight="1" x14ac:dyDescent="0.15">
      <c r="D105" s="15"/>
      <c r="E105" s="18"/>
      <c r="F105" s="18"/>
      <c r="G105" s="37"/>
      <c r="H105" s="49"/>
      <c r="I105" s="16"/>
      <c r="J105" s="21"/>
      <c r="K105" s="41"/>
      <c r="L105" s="25"/>
      <c r="M105" s="16"/>
      <c r="N105" s="17"/>
      <c r="O105" s="8"/>
      <c r="P105" s="15"/>
      <c r="Q105" s="16"/>
      <c r="R105" s="8"/>
      <c r="S105" s="67"/>
    </row>
    <row r="106" spans="4:19" s="2" customFormat="1" ht="19.7" customHeight="1" x14ac:dyDescent="0.15">
      <c r="D106" s="15"/>
      <c r="E106" s="18"/>
      <c r="F106" s="18"/>
      <c r="G106" s="24"/>
      <c r="H106" s="49"/>
      <c r="I106" s="16"/>
      <c r="J106" s="21"/>
      <c r="K106" s="41"/>
      <c r="L106" s="25"/>
      <c r="M106" s="16"/>
      <c r="N106" s="17"/>
      <c r="O106" s="8"/>
      <c r="P106" s="15"/>
      <c r="Q106" s="16"/>
      <c r="R106" s="8"/>
      <c r="S106" s="67"/>
    </row>
    <row r="107" spans="4:19" s="2" customFormat="1" ht="19.7" customHeight="1" x14ac:dyDescent="0.15">
      <c r="D107" s="15"/>
      <c r="E107" s="18"/>
      <c r="F107" s="18"/>
      <c r="G107" s="24"/>
      <c r="H107" s="49"/>
      <c r="I107" s="16"/>
      <c r="J107" s="21"/>
      <c r="K107" s="41"/>
      <c r="L107" s="25"/>
      <c r="M107" s="16"/>
      <c r="N107" s="17"/>
      <c r="O107" s="8"/>
      <c r="P107" s="15"/>
      <c r="Q107" s="16"/>
      <c r="R107" s="8"/>
      <c r="S107" s="67"/>
    </row>
    <row r="108" spans="4:19" s="2" customFormat="1" ht="19.7" customHeight="1" x14ac:dyDescent="0.15">
      <c r="D108" s="15"/>
      <c r="E108" s="18"/>
      <c r="F108" s="18"/>
      <c r="G108" s="24"/>
      <c r="H108" s="49"/>
      <c r="I108" s="16"/>
      <c r="J108" s="21"/>
      <c r="K108" s="41"/>
      <c r="L108" s="25"/>
      <c r="M108" s="16"/>
      <c r="N108" s="17"/>
      <c r="O108" s="8"/>
      <c r="P108" s="15"/>
      <c r="Q108" s="16"/>
      <c r="R108" s="8"/>
      <c r="S108" s="67"/>
    </row>
    <row r="109" spans="4:19" s="2" customFormat="1" ht="19.7" customHeight="1" x14ac:dyDescent="0.15">
      <c r="D109" s="15"/>
      <c r="E109" s="18"/>
      <c r="F109" s="18"/>
      <c r="G109" s="24"/>
      <c r="H109" s="49"/>
      <c r="I109" s="16"/>
      <c r="J109" s="21"/>
      <c r="K109" s="41"/>
      <c r="L109" s="25"/>
      <c r="M109" s="16"/>
      <c r="N109" s="17"/>
      <c r="O109" s="8"/>
      <c r="P109" s="15"/>
      <c r="Q109" s="16"/>
      <c r="R109" s="8"/>
      <c r="S109" s="67"/>
    </row>
    <row r="110" spans="4:19" s="2" customFormat="1" ht="19.7" customHeight="1" x14ac:dyDescent="0.15">
      <c r="D110" s="15"/>
      <c r="E110" s="18"/>
      <c r="F110" s="18"/>
      <c r="G110" s="24"/>
      <c r="H110" s="49"/>
      <c r="I110" s="16"/>
      <c r="J110" s="21"/>
      <c r="K110" s="41"/>
      <c r="L110" s="25"/>
      <c r="M110" s="16"/>
      <c r="N110" s="17"/>
      <c r="O110" s="8"/>
      <c r="P110" s="15"/>
      <c r="Q110" s="16"/>
      <c r="R110" s="8"/>
      <c r="S110" s="67"/>
    </row>
    <row r="111" spans="4:19" s="2" customFormat="1" ht="19.7" customHeight="1" x14ac:dyDescent="0.15">
      <c r="D111" s="15"/>
      <c r="E111" s="18"/>
      <c r="F111" s="18"/>
      <c r="G111" s="24"/>
      <c r="H111" s="49"/>
      <c r="I111" s="16"/>
      <c r="J111" s="21"/>
      <c r="K111" s="41"/>
      <c r="L111" s="25"/>
      <c r="M111" s="16"/>
      <c r="N111" s="17"/>
      <c r="O111" s="8"/>
      <c r="P111" s="15"/>
      <c r="Q111" s="16"/>
      <c r="R111" s="8"/>
      <c r="S111" s="67"/>
    </row>
    <row r="112" spans="4:19" s="2" customFormat="1" ht="19.7" customHeight="1" x14ac:dyDescent="0.15">
      <c r="D112" s="15"/>
      <c r="E112" s="18"/>
      <c r="F112" s="18"/>
      <c r="G112" s="24"/>
      <c r="H112" s="49"/>
      <c r="I112" s="16"/>
      <c r="J112" s="21"/>
      <c r="K112" s="41"/>
      <c r="L112" s="25"/>
      <c r="M112" s="16"/>
      <c r="N112" s="17"/>
      <c r="O112" s="8"/>
      <c r="P112" s="15"/>
      <c r="Q112" s="16"/>
      <c r="R112" s="8"/>
      <c r="S112" s="67"/>
    </row>
    <row r="113" spans="4:19" s="2" customFormat="1" ht="19.7" customHeight="1" x14ac:dyDescent="0.15">
      <c r="D113" s="15"/>
      <c r="E113" s="18"/>
      <c r="F113" s="18"/>
      <c r="G113" s="24"/>
      <c r="H113" s="49"/>
      <c r="I113" s="16"/>
      <c r="J113" s="21"/>
      <c r="K113" s="41"/>
      <c r="L113" s="25"/>
      <c r="M113" s="16"/>
      <c r="N113" s="17"/>
      <c r="O113" s="8"/>
      <c r="P113" s="15"/>
      <c r="Q113" s="16"/>
      <c r="R113" s="8"/>
      <c r="S113" s="67"/>
    </row>
    <row r="114" spans="4:19" s="2" customFormat="1" ht="19.7" customHeight="1" x14ac:dyDescent="0.15">
      <c r="D114" s="15"/>
      <c r="E114" s="18"/>
      <c r="F114" s="18"/>
      <c r="G114" s="24"/>
      <c r="H114" s="49"/>
      <c r="I114" s="16"/>
      <c r="J114" s="21"/>
      <c r="K114" s="41"/>
      <c r="L114" s="25"/>
      <c r="M114" s="16"/>
      <c r="N114" s="17"/>
      <c r="O114" s="8"/>
      <c r="P114" s="15"/>
      <c r="Q114" s="16"/>
      <c r="R114" s="8"/>
      <c r="S114" s="67"/>
    </row>
    <row r="115" spans="4:19" s="2" customFormat="1" ht="19.7" customHeight="1" x14ac:dyDescent="0.15">
      <c r="D115" s="15"/>
      <c r="E115" s="18"/>
      <c r="F115" s="18"/>
      <c r="G115" s="24"/>
      <c r="H115" s="49"/>
      <c r="I115" s="16"/>
      <c r="J115" s="21"/>
      <c r="K115" s="41"/>
      <c r="L115" s="25"/>
      <c r="M115" s="16"/>
      <c r="N115" s="17"/>
      <c r="O115" s="8"/>
      <c r="P115" s="15"/>
      <c r="Q115" s="16"/>
      <c r="R115" s="8"/>
      <c r="S115" s="67"/>
    </row>
    <row r="116" spans="4:19" s="2" customFormat="1" ht="19.7" customHeight="1" x14ac:dyDescent="0.15">
      <c r="D116" s="15"/>
      <c r="E116" s="18"/>
      <c r="F116" s="18"/>
      <c r="G116" s="24"/>
      <c r="H116" s="49"/>
      <c r="I116" s="16"/>
      <c r="J116" s="21"/>
      <c r="K116" s="41"/>
      <c r="L116" s="25"/>
      <c r="M116" s="16"/>
      <c r="N116" s="17"/>
      <c r="O116" s="8"/>
      <c r="P116" s="15"/>
      <c r="Q116" s="16"/>
      <c r="R116" s="8"/>
      <c r="S116" s="67"/>
    </row>
    <row r="117" spans="4:19" s="2" customFormat="1" ht="19.7" customHeight="1" x14ac:dyDescent="0.15">
      <c r="D117" s="15"/>
      <c r="E117" s="18"/>
      <c r="F117" s="18"/>
      <c r="G117" s="24"/>
      <c r="H117" s="49"/>
      <c r="I117" s="16"/>
      <c r="J117" s="21"/>
      <c r="K117" s="41"/>
      <c r="L117" s="25"/>
      <c r="M117" s="16"/>
      <c r="N117" s="17"/>
      <c r="O117" s="8"/>
      <c r="P117" s="15"/>
      <c r="Q117" s="16"/>
      <c r="R117" s="8"/>
      <c r="S117" s="67"/>
    </row>
    <row r="118" spans="4:19" s="2" customFormat="1" ht="19.7" customHeight="1" x14ac:dyDescent="0.15">
      <c r="D118" s="15"/>
      <c r="E118" s="18"/>
      <c r="F118" s="18"/>
      <c r="G118" s="24"/>
      <c r="H118" s="49"/>
      <c r="I118" s="16"/>
      <c r="J118" s="21"/>
      <c r="K118" s="41"/>
      <c r="L118" s="25"/>
      <c r="M118" s="16"/>
      <c r="N118" s="17"/>
      <c r="O118" s="8"/>
      <c r="P118" s="15"/>
      <c r="Q118" s="16"/>
      <c r="R118" s="8"/>
      <c r="S118" s="67"/>
    </row>
    <row r="119" spans="4:19" s="2" customFormat="1" ht="19.7" customHeight="1" x14ac:dyDescent="0.15">
      <c r="D119" s="15"/>
      <c r="E119" s="18"/>
      <c r="F119" s="18"/>
      <c r="G119" s="24"/>
      <c r="H119" s="49"/>
      <c r="I119" s="16"/>
      <c r="J119" s="21"/>
      <c r="K119" s="41"/>
      <c r="L119" s="25"/>
      <c r="M119" s="16"/>
      <c r="N119" s="17"/>
      <c r="O119" s="8"/>
      <c r="P119" s="15"/>
      <c r="Q119" s="16"/>
      <c r="R119" s="8"/>
      <c r="S119" s="67"/>
    </row>
    <row r="120" spans="4:19" s="2" customFormat="1" ht="19.7" customHeight="1" x14ac:dyDescent="0.15">
      <c r="D120" s="15"/>
      <c r="E120" s="18"/>
      <c r="F120" s="18"/>
      <c r="G120" s="24"/>
      <c r="H120" s="49"/>
      <c r="I120" s="16"/>
      <c r="J120" s="21"/>
      <c r="K120" s="41"/>
      <c r="L120" s="25"/>
      <c r="M120" s="16"/>
      <c r="N120" s="17"/>
      <c r="O120" s="8"/>
      <c r="P120" s="15"/>
      <c r="Q120" s="16"/>
      <c r="R120" s="8"/>
      <c r="S120" s="67"/>
    </row>
    <row r="121" spans="4:19" s="2" customFormat="1" ht="19.7" customHeight="1" x14ac:dyDescent="0.15">
      <c r="D121" s="15"/>
      <c r="E121" s="18"/>
      <c r="F121" s="18"/>
      <c r="G121" s="24"/>
      <c r="H121" s="49"/>
      <c r="I121" s="16"/>
      <c r="J121" s="21"/>
      <c r="K121" s="41"/>
      <c r="L121" s="25"/>
      <c r="M121" s="16"/>
      <c r="N121" s="17"/>
      <c r="O121" s="8"/>
      <c r="P121" s="15"/>
      <c r="Q121" s="16"/>
      <c r="R121" s="8"/>
      <c r="S121" s="67"/>
    </row>
    <row r="122" spans="4:19" s="2" customFormat="1" ht="19.7" customHeight="1" x14ac:dyDescent="0.15">
      <c r="D122" s="15"/>
      <c r="E122" s="18"/>
      <c r="F122" s="18"/>
      <c r="G122" s="24"/>
      <c r="H122" s="49"/>
      <c r="I122" s="16"/>
      <c r="J122" s="21"/>
      <c r="K122" s="41"/>
      <c r="L122" s="25"/>
      <c r="M122" s="16"/>
      <c r="N122" s="17"/>
      <c r="O122" s="8"/>
      <c r="P122" s="15"/>
      <c r="Q122" s="16"/>
      <c r="R122" s="8"/>
      <c r="S122" s="67"/>
    </row>
    <row r="123" spans="4:19" s="2" customFormat="1" ht="19.7" customHeight="1" x14ac:dyDescent="0.15">
      <c r="D123" s="15"/>
      <c r="E123" s="18"/>
      <c r="F123" s="18"/>
      <c r="G123" s="24"/>
      <c r="H123" s="49"/>
      <c r="I123" s="16"/>
      <c r="J123" s="21"/>
      <c r="K123" s="41"/>
      <c r="L123" s="25"/>
      <c r="M123" s="16"/>
      <c r="N123" s="17"/>
      <c r="O123" s="8"/>
      <c r="P123" s="15"/>
      <c r="Q123" s="16"/>
      <c r="R123" s="8"/>
      <c r="S123" s="67"/>
    </row>
    <row r="124" spans="4:19" s="2" customFormat="1" ht="19.7" customHeight="1" x14ac:dyDescent="0.15">
      <c r="D124" s="15"/>
      <c r="E124" s="18"/>
      <c r="F124" s="18"/>
      <c r="G124" s="24"/>
      <c r="H124" s="49"/>
      <c r="I124" s="16"/>
      <c r="J124" s="21"/>
      <c r="K124" s="41"/>
      <c r="L124" s="25"/>
      <c r="M124" s="16"/>
      <c r="N124" s="17"/>
      <c r="O124" s="8"/>
      <c r="P124" s="15"/>
      <c r="Q124" s="16"/>
      <c r="R124" s="8"/>
      <c r="S124" s="67"/>
    </row>
    <row r="125" spans="4:19" s="2" customFormat="1" ht="19.7" customHeight="1" x14ac:dyDescent="0.15">
      <c r="D125" s="15"/>
      <c r="E125" s="18"/>
      <c r="F125" s="18"/>
      <c r="G125" s="24"/>
      <c r="H125" s="49"/>
      <c r="I125" s="16"/>
      <c r="J125" s="21"/>
      <c r="K125" s="41"/>
      <c r="L125" s="25"/>
      <c r="M125" s="16"/>
      <c r="N125" s="17"/>
      <c r="O125" s="8"/>
      <c r="P125" s="15"/>
      <c r="Q125" s="16"/>
      <c r="R125" s="8"/>
      <c r="S125" s="67"/>
    </row>
    <row r="126" spans="4:19" s="2" customFormat="1" ht="19.7" customHeight="1" x14ac:dyDescent="0.15">
      <c r="D126" s="15"/>
      <c r="E126" s="18"/>
      <c r="F126" s="18"/>
      <c r="G126" s="24"/>
      <c r="H126" s="49"/>
      <c r="I126" s="16"/>
      <c r="J126" s="21"/>
      <c r="K126" s="41"/>
      <c r="L126" s="38"/>
      <c r="M126" s="16"/>
      <c r="N126" s="17"/>
      <c r="O126" s="8"/>
      <c r="P126" s="15"/>
      <c r="Q126" s="16"/>
      <c r="R126" s="8"/>
      <c r="S126" s="67"/>
    </row>
    <row r="127" spans="4:19" s="2" customFormat="1" ht="19.7" customHeight="1" x14ac:dyDescent="0.15">
      <c r="D127" s="15"/>
      <c r="E127" s="18"/>
      <c r="F127" s="18"/>
      <c r="G127" s="24"/>
      <c r="H127" s="49"/>
      <c r="I127" s="16"/>
      <c r="J127" s="21"/>
      <c r="K127" s="41"/>
      <c r="L127" s="25"/>
      <c r="M127" s="16"/>
      <c r="N127" s="17"/>
      <c r="O127" s="8"/>
      <c r="P127" s="15"/>
      <c r="Q127" s="16"/>
      <c r="R127" s="8"/>
      <c r="S127" s="67"/>
    </row>
    <row r="128" spans="4:19" s="2" customFormat="1" ht="19.7" customHeight="1" x14ac:dyDescent="0.15">
      <c r="D128" s="15"/>
      <c r="E128" s="18"/>
      <c r="F128" s="18"/>
      <c r="G128" s="24"/>
      <c r="H128" s="49"/>
      <c r="I128" s="16"/>
      <c r="J128" s="21"/>
      <c r="K128" s="41"/>
      <c r="L128" s="25"/>
      <c r="M128" s="16"/>
      <c r="N128" s="17"/>
      <c r="O128" s="8"/>
      <c r="P128" s="15"/>
      <c r="Q128" s="16"/>
      <c r="R128" s="8"/>
      <c r="S128" s="67"/>
    </row>
    <row r="129" spans="1:19" s="2" customFormat="1" ht="19.7" customHeight="1" x14ac:dyDescent="0.15">
      <c r="D129" s="15"/>
      <c r="E129" s="18"/>
      <c r="F129" s="18"/>
      <c r="G129" s="24"/>
      <c r="H129" s="49"/>
      <c r="I129" s="16"/>
      <c r="J129" s="21"/>
      <c r="K129" s="41"/>
      <c r="L129" s="25"/>
      <c r="M129" s="16"/>
      <c r="N129" s="17"/>
      <c r="O129" s="8"/>
      <c r="P129" s="15"/>
      <c r="Q129" s="16"/>
      <c r="R129" s="8"/>
      <c r="S129" s="67"/>
    </row>
    <row r="130" spans="1:19" s="2" customFormat="1" ht="19.7" customHeight="1" x14ac:dyDescent="0.15">
      <c r="D130" s="15"/>
      <c r="E130" s="18"/>
      <c r="F130" s="18"/>
      <c r="G130" s="24"/>
      <c r="H130" s="49"/>
      <c r="I130" s="16"/>
      <c r="J130" s="21"/>
      <c r="K130" s="41"/>
      <c r="L130" s="25"/>
      <c r="M130" s="16"/>
      <c r="N130" s="17"/>
      <c r="O130" s="8"/>
      <c r="P130" s="15"/>
      <c r="Q130" s="16"/>
      <c r="R130" s="8"/>
      <c r="S130" s="67"/>
    </row>
    <row r="131" spans="1:19" s="2" customFormat="1" ht="19.7" customHeight="1" x14ac:dyDescent="0.15">
      <c r="D131" s="15"/>
      <c r="E131" s="18"/>
      <c r="F131" s="18"/>
      <c r="G131" s="24"/>
      <c r="H131" s="49"/>
      <c r="I131" s="16"/>
      <c r="J131" s="21"/>
      <c r="K131" s="41"/>
      <c r="L131" s="25"/>
      <c r="M131" s="16"/>
      <c r="N131" s="17"/>
      <c r="O131" s="8"/>
      <c r="P131" s="15"/>
      <c r="Q131" s="16"/>
      <c r="R131" s="8"/>
      <c r="S131" s="67"/>
    </row>
    <row r="132" spans="1:19" s="2" customFormat="1" ht="19.7" customHeight="1" x14ac:dyDescent="0.15">
      <c r="D132" s="15"/>
      <c r="E132" s="18"/>
      <c r="F132" s="18"/>
      <c r="G132" s="24"/>
      <c r="H132" s="49"/>
      <c r="I132" s="16"/>
      <c r="J132" s="21"/>
      <c r="K132" s="41"/>
      <c r="L132" s="25"/>
      <c r="M132" s="16"/>
      <c r="N132" s="17"/>
      <c r="O132" s="8"/>
      <c r="P132" s="15"/>
      <c r="Q132" s="16"/>
      <c r="R132" s="8"/>
      <c r="S132" s="67"/>
    </row>
    <row r="133" spans="1:19" s="2" customFormat="1" ht="19.7" customHeight="1" x14ac:dyDescent="0.15">
      <c r="D133" s="15"/>
      <c r="E133" s="18"/>
      <c r="F133" s="18"/>
      <c r="G133" s="24"/>
      <c r="H133" s="49"/>
      <c r="I133" s="16"/>
      <c r="J133" s="21"/>
      <c r="K133" s="41"/>
      <c r="L133" s="38"/>
      <c r="M133" s="16"/>
      <c r="N133" s="17"/>
      <c r="O133" s="8"/>
      <c r="P133" s="15"/>
      <c r="Q133" s="16"/>
      <c r="R133" s="8"/>
      <c r="S133" s="67"/>
    </row>
    <row r="134" spans="1:19" s="2" customFormat="1" ht="19.7" customHeight="1" x14ac:dyDescent="0.15">
      <c r="D134" s="15"/>
      <c r="E134" s="15"/>
      <c r="F134" s="15"/>
      <c r="G134" s="24"/>
      <c r="H134" s="49"/>
      <c r="I134" s="16"/>
      <c r="J134" s="21"/>
      <c r="K134" s="41"/>
      <c r="L134" s="25"/>
      <c r="M134" s="16"/>
      <c r="N134" s="17"/>
      <c r="O134" s="8"/>
      <c r="P134" s="15"/>
      <c r="Q134" s="16"/>
      <c r="R134" s="8"/>
      <c r="S134" s="67"/>
    </row>
    <row r="135" spans="1:19" s="2" customFormat="1" ht="19.7" customHeight="1" x14ac:dyDescent="0.15">
      <c r="D135" s="15"/>
      <c r="E135" s="18"/>
      <c r="F135" s="18"/>
      <c r="G135" s="24"/>
      <c r="H135" s="49"/>
      <c r="I135" s="16"/>
      <c r="J135" s="21"/>
      <c r="K135" s="41"/>
      <c r="L135" s="25"/>
      <c r="M135" s="16"/>
      <c r="N135" s="17"/>
      <c r="O135" s="8"/>
      <c r="P135" s="15"/>
      <c r="Q135" s="16"/>
      <c r="R135" s="8"/>
      <c r="S135" s="67"/>
    </row>
    <row r="136" spans="1:19" s="2" customFormat="1" ht="19.7" customHeight="1" x14ac:dyDescent="0.15">
      <c r="D136" s="15"/>
      <c r="E136" s="18"/>
      <c r="F136" s="18"/>
      <c r="G136" s="24"/>
      <c r="H136" s="49"/>
      <c r="I136" s="16"/>
      <c r="J136" s="21"/>
      <c r="K136" s="41"/>
      <c r="L136" s="25"/>
      <c r="M136" s="16"/>
      <c r="N136" s="17"/>
      <c r="O136" s="8"/>
      <c r="P136" s="15"/>
      <c r="Q136" s="16"/>
      <c r="R136" s="8"/>
      <c r="S136" s="67"/>
    </row>
    <row r="137" spans="1:19" s="2" customFormat="1" ht="19.7" customHeight="1" x14ac:dyDescent="0.15">
      <c r="D137" s="15"/>
      <c r="E137" s="15"/>
      <c r="F137" s="15"/>
      <c r="G137" s="24"/>
      <c r="H137" s="49"/>
      <c r="I137" s="16"/>
      <c r="J137" s="21"/>
      <c r="K137" s="41"/>
      <c r="L137" s="25"/>
      <c r="M137" s="16"/>
      <c r="N137" s="17"/>
      <c r="O137" s="8"/>
      <c r="P137" s="15"/>
      <c r="Q137" s="16"/>
      <c r="R137" s="8"/>
      <c r="S137" s="67"/>
    </row>
    <row r="138" spans="1:19" s="2" customFormat="1" ht="19.350000000000001" customHeight="1" x14ac:dyDescent="0.15">
      <c r="D138" s="15"/>
      <c r="E138" s="18"/>
      <c r="F138" s="18"/>
      <c r="G138" s="24"/>
      <c r="H138" s="49"/>
      <c r="I138" s="16"/>
      <c r="J138" s="21"/>
      <c r="K138" s="41"/>
      <c r="L138" s="25"/>
      <c r="M138" s="16"/>
      <c r="N138" s="17"/>
      <c r="O138" s="8"/>
      <c r="P138" s="15"/>
      <c r="Q138" s="16"/>
      <c r="R138" s="8"/>
      <c r="S138" s="67"/>
    </row>
    <row r="139" spans="1:19" s="2" customFormat="1" ht="19.7" customHeight="1" x14ac:dyDescent="0.15">
      <c r="D139" s="15"/>
      <c r="E139" s="15"/>
      <c r="F139" s="15"/>
      <c r="G139" s="12"/>
      <c r="H139" s="48"/>
      <c r="I139" s="16"/>
      <c r="J139" s="21"/>
      <c r="K139" s="41"/>
      <c r="L139" s="13"/>
      <c r="M139" s="16"/>
      <c r="N139" s="16"/>
      <c r="O139" s="8"/>
      <c r="P139" s="15"/>
      <c r="Q139" s="16"/>
      <c r="R139" s="8"/>
      <c r="S139" s="67"/>
    </row>
    <row r="140" spans="1:19" s="2" customFormat="1" ht="19.7" customHeight="1" x14ac:dyDescent="0.15">
      <c r="D140" s="15"/>
      <c r="E140" s="15"/>
      <c r="F140" s="15"/>
      <c r="G140" s="14">
        <f>SUM(J89:J139)</f>
        <v>0</v>
      </c>
      <c r="H140" s="48"/>
      <c r="I140" s="16"/>
      <c r="J140" s="21"/>
      <c r="K140" s="41"/>
      <c r="L140" s="17"/>
      <c r="M140" s="16"/>
      <c r="N140" s="16"/>
      <c r="O140" s="8"/>
      <c r="P140" s="15"/>
      <c r="Q140" s="16"/>
      <c r="R140" s="8"/>
      <c r="S140" s="67"/>
    </row>
    <row r="141" spans="1:19" s="2" customFormat="1" ht="19.7" customHeight="1" x14ac:dyDescent="0.15">
      <c r="D141" s="15"/>
      <c r="E141" s="15"/>
      <c r="F141" s="15"/>
      <c r="G141" s="17"/>
      <c r="H141" s="48"/>
      <c r="I141" s="16"/>
      <c r="J141" s="21"/>
      <c r="K141" s="41"/>
      <c r="L141" s="17"/>
      <c r="M141" s="16"/>
      <c r="N141" s="16"/>
      <c r="O141" s="8"/>
      <c r="P141" s="15"/>
      <c r="Q141" s="16"/>
      <c r="R141" s="8"/>
      <c r="S141" s="67"/>
    </row>
    <row r="142" spans="1:19" s="2" customFormat="1" ht="19.7" customHeight="1" x14ac:dyDescent="0.15">
      <c r="D142" s="15"/>
      <c r="E142" s="15"/>
      <c r="F142" s="15"/>
      <c r="G142" s="17"/>
      <c r="H142" s="48"/>
      <c r="I142" s="16"/>
      <c r="J142" s="21"/>
      <c r="K142" s="41"/>
      <c r="L142" s="17"/>
      <c r="M142" s="17"/>
      <c r="N142" s="16"/>
      <c r="O142" s="8"/>
      <c r="P142" s="15"/>
      <c r="Q142" s="16"/>
      <c r="R142" s="8"/>
      <c r="S142" s="67"/>
    </row>
    <row r="143" spans="1:19" x14ac:dyDescent="0.15">
      <c r="A143" s="2"/>
      <c r="B143" s="2"/>
      <c r="C143" s="2"/>
      <c r="D143" s="15"/>
      <c r="E143" s="15"/>
      <c r="F143" s="15"/>
      <c r="G143" s="17"/>
      <c r="H143" s="48"/>
      <c r="I143" s="16"/>
      <c r="J143" s="21"/>
      <c r="K143" s="41"/>
      <c r="L143" s="17"/>
      <c r="M143" s="16"/>
      <c r="N143" s="16"/>
      <c r="O143" s="8"/>
      <c r="P143" s="15"/>
      <c r="Q143" s="16"/>
      <c r="R143" s="8"/>
      <c r="S143" s="67"/>
    </row>
    <row r="144" spans="1:19" s="40" customFormat="1" x14ac:dyDescent="0.15">
      <c r="A144"/>
      <c r="B144"/>
      <c r="C144"/>
      <c r="D144" s="2"/>
      <c r="E144"/>
      <c r="F144"/>
      <c r="G144"/>
      <c r="H144"/>
      <c r="I144" s="2"/>
      <c r="J144" s="74"/>
      <c r="L144"/>
      <c r="M144"/>
      <c r="N144" s="2"/>
      <c r="O144" s="9"/>
      <c r="P144"/>
      <c r="Q144" s="6"/>
      <c r="R144" s="10"/>
      <c r="S144" s="11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11"/>
  <pageMargins left="0" right="0" top="0" bottom="0" header="0" footer="0"/>
  <pageSetup paperSize="8" scale="6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20231227②</vt:lpstr>
      <vt:lpstr>20231227①</vt:lpstr>
      <vt:lpstr>Sheet2</vt:lpstr>
      <vt:lpstr>Sheet3</vt:lpstr>
      <vt:lpstr>'20231227①'!Print_Area</vt:lpstr>
      <vt:lpstr>'20231227②'!Print_Area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2024-02-20T02:49:54Z</dcterms:modified>
</cp:coreProperties>
</file>