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971140DF-2663-4B35-A6C2-CF061BD7FC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一覧 (20240307) " sheetId="12" r:id="rId1"/>
    <sheet name="Sheet2" sheetId="2" r:id="rId2"/>
    <sheet name="Sheet3" sheetId="3" r:id="rId3"/>
  </sheets>
  <definedNames>
    <definedName name="_xlnm._FilterDatabase" localSheetId="0" hidden="1">'原価一覧 (20240307) '!$C$8:$P$24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2" l="1"/>
  <c r="C11" i="12"/>
  <c r="C12" i="12" s="1"/>
  <c r="I20" i="12" l="1"/>
  <c r="I19" i="12"/>
  <c r="I18" i="12"/>
  <c r="K2" i="12" l="1"/>
</calcChain>
</file>

<file path=xl/sharedStrings.xml><?xml version="1.0" encoding="utf-8"?>
<sst xmlns="http://schemas.openxmlformats.org/spreadsheetml/2006/main" count="58" uniqueCount="44">
  <si>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</si>
  <si>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</si>
  <si>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</si>
  <si>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</si>
  <si>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</si>
  <si>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</si>
  <si>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</si>
  <si>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</si>
  <si>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</si>
  <si>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</si>
  <si>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</si>
  <si>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</si>
  <si>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</si>
  <si>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</si>
  <si>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</si>
  <si>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</si>
  <si>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</si>
  <si>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</si>
  <si>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</si>
  <si>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</si>
  <si>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</si>
  <si>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</si>
  <si>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</si>
  <si>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</si>
  <si>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</si>
  <si>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</si>
  <si>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福島</t>
    <rPh sb="0" eb="2">
      <t>フクシマ</t>
    </rPh>
    <phoneticPr fontId="9"/>
  </si>
  <si>
    <t>Ｎo.【202839】</t>
    <phoneticPr fontId="9"/>
  </si>
  <si>
    <t>PEW池田電機様　(阪本（株））</t>
    <rPh sb="10" eb="12">
      <t>サカモト</t>
    </rPh>
    <rPh sb="12" eb="15">
      <t>カブ</t>
    </rPh>
    <phoneticPr fontId="9"/>
  </si>
  <si>
    <t>AXA卓上ﾛﾎﾞｯﾄ</t>
    <rPh sb="0" eb="5">
      <t>チサチタクジョウ</t>
    </rPh>
    <phoneticPr fontId="9"/>
  </si>
  <si>
    <t>SET</t>
  </si>
  <si>
    <t>専用PCｺﾝﾄﾛｰﾗ ﾓﾆﾀｰ ｷｰﾎﾞｰﾄﾞ &amp; ﾏｳｽ【ﾛﾎﾞｯﾄ付属品】</t>
    <rPh sb="35" eb="38">
      <t>フゾクヒン</t>
    </rPh>
    <phoneticPr fontId="10"/>
  </si>
  <si>
    <t>PCｿﾌﾄ 外部ｽｲｯﾁ 含む【ﾛﾎﾞｯﾄ付属品】</t>
  </si>
  <si>
    <t>図面NO.　SETB-0183-A01</t>
    <rPh sb="0" eb="2">
      <t>ズメン</t>
    </rPh>
    <phoneticPr fontId="9"/>
  </si>
  <si>
    <t>株式会社増田医科器械様　(GSユアサ）</t>
    <phoneticPr fontId="9"/>
  </si>
  <si>
    <t>杉浦</t>
    <rPh sb="0" eb="2">
      <t>スギウラ</t>
    </rPh>
    <phoneticPr fontId="9"/>
  </si>
  <si>
    <t>Ｎo.【213321】</t>
    <phoneticPr fontId="9"/>
  </si>
  <si>
    <t>①</t>
    <phoneticPr fontId="9"/>
  </si>
  <si>
    <t>AXA300-ＨV</t>
    <phoneticPr fontId="9"/>
  </si>
  <si>
    <t xml:space="preserve">AXHD-01001K </t>
    <phoneticPr fontId="9"/>
  </si>
  <si>
    <r>
      <t xml:space="preserve">AXELIAｼﾘｰｽﾞAXA-ＨV（300角） </t>
    </r>
    <r>
      <rPr>
        <sz val="11"/>
        <color rgb="FFFF0000"/>
        <rFont val="ＭＳ Ｐゴシック"/>
        <family val="3"/>
        <charset val="128"/>
        <scheme val="minor"/>
      </rPr>
      <t>在庫使用</t>
    </r>
    <rPh sb="24" eb="28">
      <t>ザイコシヨウ</t>
    </rPh>
    <phoneticPr fontId="9"/>
  </si>
  <si>
    <t>AXAロボット300-HV+ecoPEN330＋浸け置き+吸着ﾜｰｸ治具+配電盤　原価一覧　20240307　</t>
    <phoneticPr fontId="9"/>
  </si>
  <si>
    <r>
      <t>ﾁｯﾌﾟﾊｲﾄﾃﾞｨﾃｸﾄｷｯﾄ　</t>
    </r>
    <r>
      <rPr>
        <sz val="11"/>
        <color rgb="FF0070C0"/>
        <rFont val="ＭＳ Ｐゴシック"/>
        <family val="3"/>
        <charset val="128"/>
        <scheme val="minor"/>
      </rPr>
      <t>手配お願い致します。</t>
    </r>
    <rPh sb="17" eb="19">
      <t>テハイ</t>
    </rPh>
    <rPh sb="20" eb="21">
      <t>ネガ</t>
    </rPh>
    <rPh sb="22" eb="23">
      <t>イタ</t>
    </rPh>
    <phoneticPr fontId="9"/>
  </si>
  <si>
    <t>PO#30049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</si>
</sst>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6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8" fillId="0" borderId="0" xfId="0" applyFont="1">
      <alignment vertical="center"/>
    </xf>
    <xf numFmtId="176" fontId="0" fillId="0" borderId="3" xfId="0" applyNumberFormat="1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3" fontId="8" fillId="0" borderId="9" xfId="3" applyNumberFormat="1" applyBorder="1" applyAlignment="1">
      <alignment horizontal="center" vertical="center"/>
    </xf>
    <xf numFmtId="0" fontId="8" fillId="0" borderId="9" xfId="3" applyBorder="1" applyAlignment="1">
      <alignment horizontal="left" vertical="center"/>
    </xf>
    <xf numFmtId="3" fontId="8" fillId="0" borderId="11" xfId="3" applyNumberFormat="1" applyBorder="1" applyAlignment="1">
      <alignment horizontal="center" vertical="center"/>
    </xf>
    <xf numFmtId="0" fontId="8" fillId="0" borderId="11" xfId="3" applyBorder="1" applyAlignment="1">
      <alignment horizontal="center" vertical="center"/>
    </xf>
    <xf numFmtId="0" fontId="8" fillId="0" borderId="9" xfId="3" applyBorder="1" applyAlignment="1">
      <alignment horizontal="center" vertical="center"/>
    </xf>
    <xf numFmtId="49" fontId="8" fillId="0" borderId="9" xfId="3" applyNumberFormat="1" applyBorder="1" applyAlignment="1">
      <alignment horizontal="left" vertical="center"/>
    </xf>
    <xf numFmtId="3" fontId="8" fillId="0" borderId="12" xfId="3" applyNumberFormat="1" applyBorder="1" applyAlignment="1">
      <alignment horizontal="center" vertical="center"/>
    </xf>
    <xf numFmtId="49" fontId="8" fillId="0" borderId="12" xfId="3" applyNumberFormat="1" applyBorder="1" applyAlignment="1">
      <alignment horizontal="left" vertical="center"/>
    </xf>
    <xf numFmtId="38" fontId="8" fillId="0" borderId="12" xfId="3" applyNumberFormat="1" applyBorder="1" applyAlignment="1">
      <alignment horizontal="center" vertical="center"/>
    </xf>
    <xf numFmtId="0" fontId="8" fillId="0" borderId="14" xfId="3" applyBorder="1" applyAlignment="1">
      <alignment horizontal="center" vertical="center"/>
    </xf>
    <xf numFmtId="0" fontId="8" fillId="0" borderId="9" xfId="3" applyBorder="1">
      <alignment vertical="center"/>
    </xf>
    <xf numFmtId="0" fontId="0" fillId="0" borderId="7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shrinkToFit="1"/>
    </xf>
    <xf numFmtId="0" fontId="8" fillId="0" borderId="12" xfId="3" applyBorder="1" applyAlignment="1">
      <alignment horizontal="center" vertical="center"/>
    </xf>
    <xf numFmtId="176" fontId="0" fillId="0" borderId="7" xfId="0" applyNumberFormat="1" applyBorder="1" applyAlignment="1"/>
    <xf numFmtId="0" fontId="5" fillId="0" borderId="8" xfId="0" applyFon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5" borderId="16" xfId="0" applyFont="1" applyFill="1" applyBorder="1" applyAlignment="1">
      <alignment vertical="center" shrinkToFit="1"/>
    </xf>
    <xf numFmtId="0" fontId="8" fillId="0" borderId="1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4" fillId="0" borderId="15" xfId="0" applyFont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24"/>
  <sheetViews>
    <sheetView tabSelected="1" zoomScale="85" zoomScaleNormal="85" workbookViewId="0">
      <pane xSplit="11" ySplit="8" topLeftCell="Q9" activePane="bottomRight" state="frozen"/>
      <selection activeCell="D26" sqref="D26"/>
      <selection pane="topRight" activeCell="D26" sqref="D26"/>
      <selection pane="bottomLeft" activeCell="D26" sqref="D26"/>
      <selection pane="bottomRight" activeCell="F2" sqref="F2:F4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5" customWidth="1"/>
    <col min="4" max="4" width="15.125" customWidth="1"/>
    <col min="5" max="5" width="15.5" customWidth="1"/>
    <col min="6" max="6" width="71.5" customWidth="1"/>
    <col min="7" max="7" width="10.875" style="5" customWidth="1"/>
    <col min="8" max="9" width="12.125" style="5" customWidth="1"/>
    <col min="10" max="10" width="7.125" style="10" customWidth="1"/>
    <col min="11" max="11" width="50.5" customWidth="1"/>
    <col min="12" max="12" width="45.125" customWidth="1"/>
    <col min="13" max="13" width="8.125" style="5" customWidth="1"/>
    <col min="14" max="14" width="17" style="5" customWidth="1"/>
    <col min="15" max="15" width="9.125" customWidth="1"/>
    <col min="16" max="16" width="16.375" style="5" customWidth="1"/>
    <col min="17" max="17" width="17.875" style="25" customWidth="1"/>
    <col min="18" max="18" width="19.375" style="25" customWidth="1"/>
  </cols>
  <sheetData>
    <row r="2" spans="1:18" ht="20.100000000000001" customHeight="1" x14ac:dyDescent="0.15">
      <c r="C2" s="62" t="s">
        <v>0</v>
      </c>
      <c r="D2" s="62"/>
      <c r="E2" s="62"/>
      <c r="F2" s="21" t="s">
        <v>34</v>
      </c>
      <c r="H2" s="67" t="s">
        <v>1</v>
      </c>
      <c r="I2" s="68"/>
      <c r="J2" s="69"/>
      <c r="K2" s="9">
        <f>SUM(I:I)</f>
        <v>0</v>
      </c>
    </row>
    <row r="3" spans="1:18" ht="20.100000000000001" customHeight="1" x14ac:dyDescent="0.15">
      <c r="C3" s="62" t="s">
        <v>2</v>
      </c>
      <c r="D3" s="62"/>
      <c r="E3" s="62"/>
      <c r="F3" s="7" t="s">
        <v>35</v>
      </c>
    </row>
    <row r="4" spans="1:18" ht="20.100000000000001" customHeight="1" x14ac:dyDescent="0.15">
      <c r="C4" s="62" t="s">
        <v>3</v>
      </c>
      <c r="D4" s="62"/>
      <c r="E4" s="62"/>
      <c r="F4" s="7" t="s">
        <v>36</v>
      </c>
      <c r="H4" s="70" t="s">
        <v>41</v>
      </c>
      <c r="I4" s="70"/>
      <c r="J4" s="70"/>
      <c r="K4" s="70"/>
      <c r="L4" s="27"/>
    </row>
    <row r="5" spans="1:18" ht="20.100000000000001" customHeight="1" x14ac:dyDescent="0.15">
      <c r="C5" s="62" t="s">
        <v>4</v>
      </c>
      <c r="D5" s="62"/>
      <c r="E5" s="62"/>
      <c r="F5" s="8">
        <v>45397</v>
      </c>
      <c r="G5" s="71" t="s">
        <v>37</v>
      </c>
      <c r="H5" s="70"/>
      <c r="I5" s="70"/>
      <c r="J5" s="70"/>
      <c r="K5" s="70"/>
    </row>
    <row r="6" spans="1:18" ht="20.100000000000001" customHeight="1" x14ac:dyDescent="0.15">
      <c r="C6" s="62" t="s">
        <v>5</v>
      </c>
      <c r="D6" s="62"/>
      <c r="E6" s="62"/>
      <c r="F6" s="8">
        <v>45398</v>
      </c>
      <c r="G6" s="71"/>
      <c r="H6" s="63" t="s">
        <v>33</v>
      </c>
      <c r="I6" s="63"/>
      <c r="J6" s="63"/>
      <c r="K6" s="63"/>
    </row>
    <row r="8" spans="1:18" s="5" customFormat="1" ht="19.5" customHeight="1" x14ac:dyDescent="0.15">
      <c r="B8" s="31" t="s">
        <v>25</v>
      </c>
      <c r="C8" s="30" t="s">
        <v>6</v>
      </c>
      <c r="D8" s="2" t="s">
        <v>7</v>
      </c>
      <c r="E8" s="2" t="s">
        <v>8</v>
      </c>
      <c r="F8" s="17" t="s">
        <v>9</v>
      </c>
      <c r="G8" s="17" t="s">
        <v>10</v>
      </c>
      <c r="H8" s="17" t="s">
        <v>11</v>
      </c>
      <c r="I8" s="1" t="s">
        <v>12</v>
      </c>
      <c r="J8" s="1" t="s">
        <v>13</v>
      </c>
      <c r="K8" s="17" t="s">
        <v>14</v>
      </c>
      <c r="L8" s="17" t="s">
        <v>15</v>
      </c>
      <c r="M8" s="17" t="s">
        <v>16</v>
      </c>
      <c r="N8" s="19" t="s">
        <v>17</v>
      </c>
      <c r="O8" s="2" t="s">
        <v>18</v>
      </c>
      <c r="P8" s="17" t="s">
        <v>19</v>
      </c>
      <c r="Q8" s="19" t="s">
        <v>20</v>
      </c>
      <c r="R8" s="6" t="s">
        <v>21</v>
      </c>
    </row>
    <row r="9" spans="1:18" s="5" customFormat="1" ht="19.5" customHeight="1" x14ac:dyDescent="0.15">
      <c r="C9" s="64" t="s">
        <v>29</v>
      </c>
      <c r="D9" s="65"/>
      <c r="E9" s="65"/>
      <c r="F9" s="66"/>
      <c r="G9" s="15"/>
      <c r="H9" s="15"/>
      <c r="I9" s="15"/>
      <c r="J9" s="11"/>
      <c r="K9" s="16"/>
      <c r="L9" s="17"/>
      <c r="M9" s="17"/>
      <c r="N9" s="19"/>
      <c r="O9" s="2"/>
      <c r="P9" s="17"/>
      <c r="Q9" s="19"/>
      <c r="R9" s="6"/>
    </row>
    <row r="10" spans="1:18" s="5" customFormat="1" ht="19.5" customHeight="1" x14ac:dyDescent="0.15">
      <c r="A10" s="23"/>
      <c r="B10" s="33">
        <v>1</v>
      </c>
      <c r="C10" s="32">
        <v>1</v>
      </c>
      <c r="D10" s="34" t="s">
        <v>30</v>
      </c>
      <c r="E10" s="34" t="s">
        <v>30</v>
      </c>
      <c r="F10" s="35" t="s">
        <v>38</v>
      </c>
      <c r="G10" s="38">
        <v>1</v>
      </c>
      <c r="H10" s="34">
        <v>0</v>
      </c>
      <c r="I10" s="36">
        <v>0</v>
      </c>
      <c r="J10" s="37"/>
      <c r="K10" s="35" t="s">
        <v>40</v>
      </c>
      <c r="L10" s="38"/>
      <c r="M10" s="38"/>
      <c r="N10" s="19"/>
      <c r="O10" s="2"/>
      <c r="P10" s="17"/>
      <c r="Q10" s="19"/>
      <c r="R10" s="12">
        <v>44964</v>
      </c>
    </row>
    <row r="11" spans="1:18" s="5" customFormat="1" ht="19.5" customHeight="1" x14ac:dyDescent="0.15">
      <c r="A11" s="23"/>
      <c r="B11" s="33">
        <v>1</v>
      </c>
      <c r="C11" s="22">
        <f t="shared" ref="C11:C13" si="0">C10+1</f>
        <v>2</v>
      </c>
      <c r="D11" s="34" t="s">
        <v>30</v>
      </c>
      <c r="E11" s="34" t="s">
        <v>30</v>
      </c>
      <c r="F11" s="39" t="s">
        <v>31</v>
      </c>
      <c r="G11" s="38">
        <v>1</v>
      </c>
      <c r="H11" s="34">
        <v>0</v>
      </c>
      <c r="I11" s="34">
        <v>0</v>
      </c>
      <c r="J11" s="37"/>
      <c r="K11" s="35"/>
      <c r="L11" s="38"/>
      <c r="M11" s="38"/>
      <c r="N11" s="19"/>
      <c r="O11" s="2"/>
      <c r="P11" s="17"/>
      <c r="Q11" s="19"/>
      <c r="R11" s="6"/>
    </row>
    <row r="12" spans="1:18" s="5" customFormat="1" ht="19.5" customHeight="1" x14ac:dyDescent="0.15">
      <c r="A12" s="23"/>
      <c r="B12" s="33">
        <v>1</v>
      </c>
      <c r="C12" s="22">
        <f t="shared" si="0"/>
        <v>3</v>
      </c>
      <c r="D12" s="40" t="s">
        <v>30</v>
      </c>
      <c r="E12" s="40" t="s">
        <v>30</v>
      </c>
      <c r="F12" s="41" t="s">
        <v>32</v>
      </c>
      <c r="G12" s="48">
        <v>1</v>
      </c>
      <c r="H12" s="42">
        <v>0</v>
      </c>
      <c r="I12" s="42">
        <v>0</v>
      </c>
      <c r="J12" s="43"/>
      <c r="K12" s="44"/>
      <c r="L12" s="38"/>
      <c r="M12" s="38"/>
      <c r="N12" s="19"/>
      <c r="O12" s="2"/>
      <c r="P12" s="17"/>
      <c r="Q12" s="19"/>
      <c r="R12" s="6"/>
    </row>
    <row r="13" spans="1:18" s="5" customFormat="1" ht="19.5" customHeight="1" x14ac:dyDescent="0.15">
      <c r="A13" s="23"/>
      <c r="B13" s="33">
        <v>2</v>
      </c>
      <c r="C13" s="50">
        <f t="shared" si="0"/>
        <v>4</v>
      </c>
      <c r="D13" s="40" t="s">
        <v>30</v>
      </c>
      <c r="E13" s="40" t="s">
        <v>30</v>
      </c>
      <c r="F13" s="57" t="s">
        <v>39</v>
      </c>
      <c r="G13" s="51">
        <v>1</v>
      </c>
      <c r="H13" s="42">
        <v>0</v>
      </c>
      <c r="I13" s="42">
        <v>0</v>
      </c>
      <c r="J13" s="43"/>
      <c r="K13" s="47" t="s">
        <v>42</v>
      </c>
      <c r="L13" s="58" t="s">
        <v>43</v>
      </c>
      <c r="M13" s="17"/>
      <c r="N13" s="19">
        <v>45359</v>
      </c>
      <c r="O13" s="2"/>
      <c r="P13" s="17"/>
      <c r="Q13" s="19"/>
      <c r="R13" s="12">
        <v>45372</v>
      </c>
    </row>
    <row r="14" spans="1:18" s="5" customFormat="1" ht="19.5" customHeight="1" x14ac:dyDescent="0.15">
      <c r="C14" s="24"/>
      <c r="D14" s="24"/>
      <c r="E14" s="24"/>
      <c r="F14" s="29"/>
      <c r="G14" s="26"/>
      <c r="H14" s="26"/>
      <c r="I14" s="26"/>
      <c r="J14" s="49"/>
      <c r="K14" s="16"/>
      <c r="L14" s="17"/>
      <c r="M14" s="17"/>
      <c r="N14" s="19"/>
      <c r="O14" s="2"/>
      <c r="P14" s="17"/>
      <c r="Q14" s="19"/>
      <c r="R14" s="6"/>
    </row>
    <row r="15" spans="1:18" s="5" customFormat="1" ht="19.5" customHeight="1" x14ac:dyDescent="0.15">
      <c r="C15" s="24"/>
      <c r="D15" s="24"/>
      <c r="E15" s="24"/>
      <c r="F15" s="29"/>
      <c r="G15" s="26"/>
      <c r="H15" s="26"/>
      <c r="I15" s="26"/>
      <c r="J15" s="49"/>
      <c r="K15" s="16"/>
      <c r="L15" s="17"/>
      <c r="M15" s="17"/>
      <c r="N15" s="19"/>
      <c r="O15" s="2"/>
      <c r="P15" s="17"/>
      <c r="Q15" s="19"/>
      <c r="R15" s="6"/>
    </row>
    <row r="16" spans="1:18" s="5" customFormat="1" ht="19.5" customHeight="1" x14ac:dyDescent="0.15">
      <c r="C16" s="24"/>
      <c r="D16" s="24"/>
      <c r="E16" s="24"/>
      <c r="F16" s="29"/>
      <c r="G16" s="26"/>
      <c r="H16" s="26"/>
      <c r="I16" s="26"/>
      <c r="J16" s="49"/>
      <c r="K16" s="16"/>
      <c r="L16" s="17"/>
      <c r="M16" s="17"/>
      <c r="N16" s="19"/>
      <c r="O16" s="2"/>
      <c r="P16" s="17"/>
      <c r="Q16" s="19"/>
      <c r="R16" s="6"/>
    </row>
    <row r="17" spans="2:18" ht="18" customHeight="1" x14ac:dyDescent="0.15">
      <c r="C17" s="52"/>
      <c r="D17" s="53"/>
      <c r="E17" s="53"/>
      <c r="F17" s="54"/>
      <c r="G17" s="55"/>
      <c r="H17" s="55"/>
      <c r="I17" s="28"/>
      <c r="J17" s="1"/>
      <c r="K17" s="13"/>
      <c r="L17" s="18"/>
      <c r="M17" s="3"/>
      <c r="N17" s="19"/>
      <c r="O17" s="6"/>
      <c r="P17" s="6"/>
      <c r="Q17" s="19"/>
      <c r="R17" s="12"/>
    </row>
    <row r="18" spans="2:18" ht="18" customHeight="1" x14ac:dyDescent="0.15">
      <c r="C18" s="17"/>
      <c r="D18" s="17"/>
      <c r="E18" s="17"/>
      <c r="F18" s="18" t="s">
        <v>22</v>
      </c>
      <c r="G18" s="15"/>
      <c r="H18" s="15"/>
      <c r="I18" s="15">
        <f>G18*H18</f>
        <v>0</v>
      </c>
      <c r="J18" s="11"/>
      <c r="K18" s="13" t="s">
        <v>23</v>
      </c>
      <c r="L18" s="20"/>
      <c r="M18" s="17"/>
      <c r="N18" s="19"/>
      <c r="O18" s="20"/>
      <c r="P18" s="17"/>
      <c r="Q18" s="19"/>
      <c r="R18" s="12"/>
    </row>
    <row r="19" spans="2:18" ht="18" customHeight="1" x14ac:dyDescent="0.15">
      <c r="B19" s="56"/>
      <c r="C19" s="45"/>
      <c r="D19" s="2"/>
      <c r="E19" s="2"/>
      <c r="F19" s="18" t="s">
        <v>23</v>
      </c>
      <c r="G19" s="15"/>
      <c r="H19" s="15">
        <v>5000</v>
      </c>
      <c r="I19" s="15">
        <f>G19*H19</f>
        <v>0</v>
      </c>
      <c r="J19" s="11"/>
      <c r="K19" s="13" t="s">
        <v>24</v>
      </c>
      <c r="L19" s="20"/>
      <c r="M19" s="17"/>
      <c r="N19" s="19"/>
      <c r="O19" s="20"/>
      <c r="P19" s="17"/>
      <c r="Q19" s="19"/>
      <c r="R19" s="6"/>
    </row>
    <row r="20" spans="2:18" ht="18" customHeight="1" x14ac:dyDescent="0.15">
      <c r="C20" s="17"/>
      <c r="D20" s="2"/>
      <c r="E20" s="2"/>
      <c r="F20" s="18" t="s">
        <v>24</v>
      </c>
      <c r="G20" s="15"/>
      <c r="H20" s="15"/>
      <c r="I20" s="15">
        <f>G20*H20</f>
        <v>0</v>
      </c>
      <c r="J20" s="11"/>
      <c r="K20" s="3"/>
      <c r="L20" s="20"/>
      <c r="M20" s="17"/>
      <c r="N20" s="17"/>
      <c r="O20" s="20"/>
      <c r="P20" s="17"/>
      <c r="Q20" s="6"/>
      <c r="R20" s="6"/>
    </row>
    <row r="21" spans="2:18" ht="18" customHeight="1" x14ac:dyDescent="0.15">
      <c r="C21" s="17"/>
      <c r="D21" s="2"/>
      <c r="E21" s="2"/>
      <c r="F21" s="59"/>
      <c r="G21" s="60"/>
      <c r="H21" s="60"/>
      <c r="I21" s="61"/>
      <c r="J21" s="4"/>
      <c r="K21" s="14"/>
    </row>
    <row r="22" spans="2:18" ht="18" customHeight="1" x14ac:dyDescent="0.15"/>
    <row r="23" spans="2:18" ht="18" customHeight="1" x14ac:dyDescent="0.15"/>
    <row r="24" spans="2:18" ht="18" customHeight="1" x14ac:dyDescent="0.15"/>
  </sheetData>
  <autoFilter ref="C8:P24" xr:uid="{00000000-0009-0000-0000-000003000000}"/>
  <mergeCells count="11">
    <mergeCell ref="F21:I21"/>
    <mergeCell ref="C6:E6"/>
    <mergeCell ref="H6:K6"/>
    <mergeCell ref="C9:F9"/>
    <mergeCell ref="C2:E2"/>
    <mergeCell ref="H2:J2"/>
    <mergeCell ref="C3:E3"/>
    <mergeCell ref="C4:E4"/>
    <mergeCell ref="H4:K5"/>
    <mergeCell ref="C5:E5"/>
    <mergeCell ref="G5:G6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25" defaultRowHeight="13.5" customHeight="1" x14ac:dyDescent="0.15"/>
  <cols>
    <col min="1" max="1" width="12.125" bestFit="1" customWidth="1"/>
    <col min="2" max="2" width="31.5" bestFit="1" customWidth="1"/>
  </cols>
  <sheetData>
    <row r="1" spans="1:2" ht="13.5" customHeight="1" x14ac:dyDescent="0.15">
      <c r="A1" s="46" t="s">
        <v>0</v>
      </c>
      <c r="B1" s="21" t="s">
        <v>28</v>
      </c>
    </row>
    <row r="2" spans="1:2" ht="13.5" customHeight="1" x14ac:dyDescent="0.15">
      <c r="A2" s="46" t="s">
        <v>2</v>
      </c>
      <c r="B2" s="7" t="s">
        <v>26</v>
      </c>
    </row>
    <row r="3" spans="1:2" ht="13.5" customHeight="1" x14ac:dyDescent="0.15">
      <c r="A3" s="46" t="s">
        <v>3</v>
      </c>
      <c r="B3" s="7" t="s">
        <v>27</v>
      </c>
    </row>
    <row r="4" spans="1:2" ht="13.5" customHeight="1" x14ac:dyDescent="0.15">
      <c r="A4" s="46" t="s">
        <v>4</v>
      </c>
      <c r="B4" s="8">
        <v>44972</v>
      </c>
    </row>
    <row r="5" spans="1:2" ht="13.5" customHeight="1" x14ac:dyDescent="0.15">
      <c r="A5" s="46" t="s">
        <v>5</v>
      </c>
      <c r="B5" s="8">
        <v>44975</v>
      </c>
    </row>
  </sheetData>
  <phoneticPr fontId="9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(20240307)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cp:lastPrinted>2023-01-13T04:52:35Z</cp:lastPrinted>
  <dcterms:created xsi:type="dcterms:W3CDTF">2016-05-16T08:05:24Z</dcterms:created>
  <dcterms:modified xsi:type="dcterms:W3CDTF">2024-03-21T08:10:28Z</dcterms:modified>
</cp:coreProperties>
</file>