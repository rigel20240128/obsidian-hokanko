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C:\Users\moriwaki\Desktop\"/>
    </mc:Choice>
  </mc:AlternateContent>
  <xr:revisionPtr revIDLastSave="0" documentId="13_ncr:1_{1962C36C-9C2F-4E5A-A4CC-58C36CC1860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(2連ﾋﾟｯﾁ変更TYPE) (3SET) " sheetId="8" r:id="rId1"/>
    <sheet name="Sheet2" sheetId="5" r:id="rId2"/>
    <sheet name="Sheet3" sheetId="6" r:id="rId3"/>
  </sheets>
  <definedNames>
    <definedName name="_xlnm._FilterDatabase" localSheetId="0">'(2連ﾋﾟｯﾁ変更TYPE) (3SET) '!$B$8:$O$22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8" i="8" l="1"/>
  <c r="H18" i="8"/>
  <c r="H15" i="8" l="1"/>
  <c r="H17" i="8"/>
  <c r="H11" i="8" l="1"/>
  <c r="H16" i="8"/>
  <c r="H14" i="8"/>
  <c r="H13" i="8"/>
  <c r="B12" i="8" l="1"/>
  <c r="B13" i="8" s="1"/>
  <c r="B14" i="8" s="1"/>
  <c r="B15" i="8" s="1"/>
  <c r="B16" i="8" s="1"/>
  <c r="B17" i="8" s="1"/>
  <c r="H28" i="8" l="1"/>
  <c r="H27" i="8"/>
  <c r="H26" i="8"/>
  <c r="H12" i="8"/>
  <c r="J2" i="8" l="1"/>
  <c r="E20" i="8"/>
</calcChain>
</file>

<file path=xl/sharedStrings.xml><?xml version="1.0" encoding="utf-8"?>
<sst xmlns="http://schemas.openxmlformats.org/spreadsheetml/2006/main" count="74" uniqueCount="50">
  <si>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</si>
  <si>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</si>
  <si>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</si>
  <si>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</si>
  <si>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</si>
  <si>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</si>
  <si>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</si>
  <si>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</si>
  <si>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</si>
  <si>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</si>
  <si>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</si>
  <si>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</si>
  <si>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</si>
  <si>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</si>
  <si>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</si>
  <si>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</si>
  <si>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</si>
  <si>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</si>
  <si>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</si>
  <si>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</si>
  <si>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</si>
  <si>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</si>
  <si>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ミスミ</t>
  </si>
  <si>
    <t>運送費</t>
  </si>
  <si>
    <t>設計費</t>
  </si>
  <si>
    <t>組立調整費</t>
  </si>
  <si>
    <t>東北ﾏﾃﾘｱﾙ</t>
  </si>
  <si>
    <t>宝化成（福島芝浦電子）様</t>
    <phoneticPr fontId="5"/>
  </si>
  <si>
    <t>千葉(齋藤）</t>
    <rPh sb="0" eb="2">
      <t>チバ</t>
    </rPh>
    <rPh sb="3" eb="5">
      <t>サイトウ</t>
    </rPh>
    <phoneticPr fontId="5"/>
  </si>
  <si>
    <t>区分NO.</t>
    <rPh sb="0" eb="2">
      <t>クブン</t>
    </rPh>
    <phoneticPr fontId="5"/>
  </si>
  <si>
    <t>3　SET</t>
    <phoneticPr fontId="5"/>
  </si>
  <si>
    <t>位置決めﾌﾞﾛｯｸ</t>
    <phoneticPr fontId="5"/>
  </si>
  <si>
    <t>SHNTP8-4</t>
    <phoneticPr fontId="5"/>
  </si>
  <si>
    <t>六角穴付きﾎﾞﾙﾄ　 (M4×18)</t>
    <phoneticPr fontId="5"/>
  </si>
  <si>
    <t>SCB4-18</t>
    <phoneticPr fontId="5"/>
  </si>
  <si>
    <t>167149-Z003　</t>
    <phoneticPr fontId="5"/>
  </si>
  <si>
    <t>位置決めﾌﾞﾛｯｸｽﾍﾟｰｻ</t>
    <phoneticPr fontId="5"/>
  </si>
  <si>
    <t>167149-Z004　</t>
    <phoneticPr fontId="5"/>
  </si>
  <si>
    <t>８シリーズ（溝幅１０ｍｍ）４０・８０角アルミフレーム用後入れバネナット</t>
    <phoneticPr fontId="5"/>
  </si>
  <si>
    <t>SCB4-15</t>
    <phoneticPr fontId="5"/>
  </si>
  <si>
    <t xml:space="preserve">SHNTP6-4 </t>
    <phoneticPr fontId="5"/>
  </si>
  <si>
    <t>６シリーズ（溝幅８ｍｍ）３０・６０角アルミフレーム用後入れバネナット</t>
    <phoneticPr fontId="5"/>
  </si>
  <si>
    <t>位置決めﾌﾞﾛｯｸ</t>
    <phoneticPr fontId="5"/>
  </si>
  <si>
    <t>MS3-10</t>
    <phoneticPr fontId="5"/>
  </si>
  <si>
    <t>ﾉｯｸﾋﾟﾝ　φ3-10mm</t>
    <phoneticPr fontId="5"/>
  </si>
  <si>
    <t>PWF4</t>
    <phoneticPr fontId="5"/>
  </si>
  <si>
    <t>平座金－単品販売－</t>
    <phoneticPr fontId="5"/>
  </si>
  <si>
    <t>見積確認済み</t>
    <rPh sb="0" eb="2">
      <t>ミツモリ</t>
    </rPh>
    <rPh sb="2" eb="4">
      <t>カクニン</t>
    </rPh>
    <rPh sb="4" eb="5">
      <t>ズ</t>
    </rPh>
    <phoneticPr fontId="5"/>
  </si>
  <si>
    <t>8/22・仙台営業所着</t>
    <rPh sb="5" eb="7">
      <t>センダイ</t>
    </rPh>
    <rPh sb="7" eb="9">
      <t>エイギョウ</t>
    </rPh>
    <rPh sb="9" eb="10">
      <t>ショ</t>
    </rPh>
    <rPh sb="10" eb="11">
      <t>チャク</t>
    </rPh>
    <phoneticPr fontId="5"/>
  </si>
  <si>
    <t>8/23・仙台営業所着</t>
    <rPh sb="5" eb="7">
      <t>センダイ</t>
    </rPh>
    <rPh sb="7" eb="9">
      <t>エイギョウ</t>
    </rPh>
    <rPh sb="9" eb="10">
      <t>ショ</t>
    </rPh>
    <rPh sb="10" eb="11">
      <t>チャク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</si>
</sst>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m/dd"/>
  </numFmts>
  <fonts count="17" x14ac:knownFonts="1">
    <font>
      <sz val="11"/>
      <color theme="1"/>
      <name val="ＭＳ Ｐゴシック"/>
      <scheme val="minor"/>
    </font>
    <font>
      <sz val="11"/>
      <color rgb="FF000000"/>
      <name val="ＭＳ Ｐゴシック"/>
      <family val="3"/>
      <charset val="128"/>
    </font>
    <font>
      <b/>
      <sz val="9.9499999999999993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.9499999999999993"/>
      <color rgb="FFFF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9.9499999999999993"/>
      <color rgb="FF0070C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b/>
      <sz val="14"/>
      <color rgb="FF00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102">
    <xf numFmtId="0" fontId="0" fillId="0" borderId="0" xfId="0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shrinkToFit="1"/>
    </xf>
    <xf numFmtId="179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177" fontId="3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176" fontId="9" fillId="0" borderId="1" xfId="0" applyNumberFormat="1" applyFont="1" applyBorder="1">
      <alignment vertical="center"/>
    </xf>
    <xf numFmtId="49" fontId="6" fillId="4" borderId="1" xfId="0" applyNumberFormat="1" applyFont="1" applyFill="1" applyBorder="1" applyAlignment="1">
      <alignment horizontal="left" vertical="center" shrinkToFit="1"/>
    </xf>
    <xf numFmtId="176" fontId="0" fillId="4" borderId="1" xfId="0" applyNumberForma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176" fontId="0" fillId="4" borderId="1" xfId="0" applyNumberFormat="1" applyFill="1" applyBorder="1" applyAlignment="1"/>
    <xf numFmtId="0" fontId="1" fillId="4" borderId="1" xfId="0" applyFont="1" applyFill="1" applyBorder="1" applyAlignment="1">
      <alignment horizontal="left"/>
    </xf>
    <xf numFmtId="0" fontId="0" fillId="0" borderId="5" xfId="0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/>
    <xf numFmtId="0" fontId="10" fillId="0" borderId="5" xfId="1" applyFill="1" applyBorder="1" applyAlignment="1">
      <alignment horizontal="left"/>
    </xf>
    <xf numFmtId="0" fontId="3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179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176" fontId="0" fillId="0" borderId="8" xfId="0" applyNumberFormat="1" applyBorder="1">
      <alignment vertical="center"/>
    </xf>
    <xf numFmtId="0" fontId="6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8" fillId="4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left" vertical="center" shrinkToFit="1"/>
    </xf>
    <xf numFmtId="0" fontId="12" fillId="0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shrinkToFit="1"/>
    </xf>
    <xf numFmtId="0" fontId="3" fillId="0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176" fontId="13" fillId="7" borderId="1" xfId="0" applyNumberFormat="1" applyFont="1" applyFill="1" applyBorder="1" applyAlignment="1">
      <alignment horizontal="center" vertical="center"/>
    </xf>
    <xf numFmtId="3" fontId="16" fillId="5" borderId="2" xfId="0" applyNumberFormat="1" applyFont="1" applyFill="1" applyBorder="1" applyAlignment="1">
      <alignment horizontal="center" vertical="center"/>
    </xf>
    <xf numFmtId="3" fontId="16" fillId="5" borderId="3" xfId="0" applyNumberFormat="1" applyFont="1" applyFill="1" applyBorder="1" applyAlignment="1">
      <alignment horizontal="center" vertical="center"/>
    </xf>
    <xf numFmtId="3" fontId="16" fillId="5" borderId="4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AF933BDC-AAC5-462D-B128-98C0DB94DADA}"/>
  </cellStyles>
  <dxfs count="0"/>
  <tableStyles count="0" defaultTableStyle="TableStyleMedium9" defaultPivotStyle="PivotStyleMedium9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R52"/>
  <sheetViews>
    <sheetView tabSelected="1" zoomScale="85" zoomScaleNormal="85" workbookViewId="0">
      <pane xSplit="10" ySplit="8" topLeftCell="K9" activePane="bottomRight" state="frozen"/>
      <selection activeCell="J28" sqref="J28"/>
      <selection pane="topRight" activeCell="J28" sqref="J28"/>
      <selection pane="bottomLeft" activeCell="J28" sqref="J28"/>
      <selection pane="bottomRight" activeCell="P11" sqref="P11:P12"/>
    </sheetView>
  </sheetViews>
  <sheetFormatPr defaultColWidth="10.5" defaultRowHeight="13.5" customHeight="1" x14ac:dyDescent="0.15"/>
  <cols>
    <col min="1" max="1" width="9.5" customWidth="1"/>
    <col min="2" max="2" width="7.875" style="41" customWidth="1"/>
    <col min="3" max="3" width="13.125" customWidth="1"/>
    <col min="4" max="4" width="13.25" customWidth="1"/>
    <col min="5" max="5" width="42.125" customWidth="1"/>
    <col min="6" max="6" width="6.625" style="41" customWidth="1"/>
    <col min="7" max="7" width="9.25" style="41" customWidth="1"/>
    <col min="8" max="8" width="10.25" style="41" customWidth="1"/>
    <col min="9" max="9" width="6.375" style="14" customWidth="1"/>
    <col min="10" max="10" width="45.625" customWidth="1"/>
    <col min="11" max="11" width="19.875" customWidth="1"/>
    <col min="12" max="12" width="7.375" style="41" customWidth="1"/>
    <col min="13" max="13" width="15.25" style="41" customWidth="1"/>
    <col min="14" max="14" width="7.125" customWidth="1"/>
    <col min="15" max="15" width="17.375" style="14" customWidth="1"/>
    <col min="16" max="16" width="25.625" style="20" customWidth="1"/>
    <col min="17" max="17" width="17.375" style="20" customWidth="1"/>
  </cols>
  <sheetData>
    <row r="2" spans="1:18" ht="20.100000000000001" customHeight="1" x14ac:dyDescent="0.15">
      <c r="B2" s="94" t="s">
        <v>0</v>
      </c>
      <c r="C2" s="94"/>
      <c r="D2" s="94"/>
      <c r="E2" s="42" t="s">
        <v>27</v>
      </c>
      <c r="F2" s="30"/>
      <c r="G2" s="99" t="s">
        <v>1</v>
      </c>
      <c r="H2" s="100"/>
      <c r="I2" s="101"/>
      <c r="J2" s="52">
        <f>SUM(H:H)</f>
        <v>23800</v>
      </c>
      <c r="K2" s="21"/>
      <c r="L2" s="30"/>
      <c r="M2" s="30"/>
      <c r="N2" s="21"/>
      <c r="O2" s="22"/>
      <c r="P2" s="27"/>
      <c r="Q2" s="27"/>
      <c r="R2" s="21"/>
    </row>
    <row r="3" spans="1:18" ht="20.100000000000001" customHeight="1" x14ac:dyDescent="0.15">
      <c r="B3" s="94" t="s">
        <v>2</v>
      </c>
      <c r="C3" s="94"/>
      <c r="D3" s="94"/>
      <c r="E3" s="42" t="s">
        <v>28</v>
      </c>
      <c r="F3" s="30"/>
      <c r="G3" s="30"/>
      <c r="H3" s="30"/>
      <c r="I3" s="22"/>
      <c r="J3" s="21"/>
      <c r="K3" s="21"/>
      <c r="L3" s="30"/>
      <c r="M3" s="30"/>
      <c r="N3" s="21"/>
      <c r="O3" s="22"/>
      <c r="P3" s="27"/>
      <c r="Q3" s="27"/>
      <c r="R3" s="21"/>
    </row>
    <row r="4" spans="1:18" ht="20.100000000000001" customHeight="1" x14ac:dyDescent="0.15">
      <c r="B4" s="94" t="s">
        <v>3</v>
      </c>
      <c r="C4" s="94"/>
      <c r="D4" s="94"/>
      <c r="E4" s="42">
        <v>170395</v>
      </c>
      <c r="F4" s="30"/>
      <c r="I4" s="95" t="s">
        <v>31</v>
      </c>
      <c r="J4" s="96"/>
      <c r="K4" s="92" t="s">
        <v>30</v>
      </c>
      <c r="L4" s="30"/>
      <c r="M4" s="30"/>
      <c r="N4" s="21"/>
      <c r="O4" s="22"/>
      <c r="P4" s="27"/>
      <c r="Q4" s="27"/>
      <c r="R4" s="21"/>
    </row>
    <row r="5" spans="1:18" ht="20.100000000000001" customHeight="1" x14ac:dyDescent="0.15">
      <c r="B5" s="94" t="s">
        <v>4</v>
      </c>
      <c r="C5" s="94"/>
      <c r="D5" s="94"/>
      <c r="E5" s="43">
        <v>43699</v>
      </c>
      <c r="F5" s="30"/>
      <c r="I5" s="97"/>
      <c r="J5" s="98"/>
      <c r="K5" s="93"/>
      <c r="L5" s="30"/>
      <c r="M5" s="30"/>
      <c r="N5" s="21"/>
      <c r="O5" s="22"/>
      <c r="P5" s="27"/>
      <c r="Q5" s="27"/>
      <c r="R5" s="21"/>
    </row>
    <row r="6" spans="1:18" ht="20.100000000000001" customHeight="1" x14ac:dyDescent="0.15">
      <c r="B6" s="94" t="s">
        <v>5</v>
      </c>
      <c r="C6" s="94"/>
      <c r="D6" s="94"/>
      <c r="E6" s="43">
        <v>43700</v>
      </c>
      <c r="F6" s="30"/>
      <c r="G6" s="30"/>
      <c r="H6" s="87"/>
      <c r="I6" s="86" t="s">
        <v>47</v>
      </c>
      <c r="J6" s="83"/>
      <c r="K6" s="21"/>
      <c r="L6" s="30"/>
      <c r="M6" s="30"/>
      <c r="N6" s="21"/>
      <c r="O6" s="22"/>
      <c r="P6" s="27"/>
      <c r="Q6" s="27"/>
      <c r="R6" s="21"/>
    </row>
    <row r="7" spans="1:18" ht="13.5" customHeight="1" x14ac:dyDescent="0.15">
      <c r="B7" s="30"/>
      <c r="C7" s="21"/>
      <c r="D7" s="21"/>
      <c r="E7" s="21"/>
      <c r="F7" s="30"/>
      <c r="G7" s="30"/>
      <c r="H7" s="30"/>
      <c r="I7" s="22"/>
      <c r="J7" s="21"/>
      <c r="K7" s="21"/>
      <c r="L7" s="30"/>
      <c r="M7" s="30"/>
      <c r="N7" s="21"/>
      <c r="O7" s="22"/>
      <c r="P7" s="27"/>
      <c r="Q7" s="27"/>
      <c r="R7" s="21"/>
    </row>
    <row r="8" spans="1:18" s="41" customFormat="1" ht="19.5" customHeight="1" x14ac:dyDescent="0.15">
      <c r="A8" s="46" t="s">
        <v>29</v>
      </c>
      <c r="B8" s="45" t="s">
        <v>6</v>
      </c>
      <c r="C8" s="23" t="s">
        <v>7</v>
      </c>
      <c r="D8" s="23" t="s">
        <v>8</v>
      </c>
      <c r="E8" s="26" t="s">
        <v>9</v>
      </c>
      <c r="F8" s="26" t="s">
        <v>10</v>
      </c>
      <c r="G8" s="26" t="s">
        <v>11</v>
      </c>
      <c r="H8" s="24" t="s">
        <v>12</v>
      </c>
      <c r="I8" s="24" t="s">
        <v>13</v>
      </c>
      <c r="J8" s="26" t="s">
        <v>14</v>
      </c>
      <c r="K8" s="26" t="s">
        <v>15</v>
      </c>
      <c r="L8" s="26" t="s">
        <v>16</v>
      </c>
      <c r="M8" s="23" t="s">
        <v>17</v>
      </c>
      <c r="N8" s="23" t="s">
        <v>18</v>
      </c>
      <c r="O8" s="26" t="s">
        <v>19</v>
      </c>
      <c r="P8" s="28" t="s">
        <v>20</v>
      </c>
      <c r="Q8" s="29" t="s">
        <v>21</v>
      </c>
      <c r="R8" s="30"/>
    </row>
    <row r="9" spans="1:18" s="41" customFormat="1" ht="19.5" customHeight="1" x14ac:dyDescent="0.15">
      <c r="A9" s="46"/>
      <c r="B9" s="45"/>
      <c r="C9" s="89" t="s">
        <v>42</v>
      </c>
      <c r="D9" s="90"/>
      <c r="E9" s="91"/>
      <c r="F9" s="26"/>
      <c r="G9" s="26"/>
      <c r="H9" s="24"/>
      <c r="I9" s="24"/>
      <c r="J9" s="26"/>
      <c r="K9" s="26"/>
      <c r="L9" s="26"/>
      <c r="M9" s="23"/>
      <c r="N9" s="23"/>
      <c r="O9" s="26"/>
      <c r="P9" s="28"/>
      <c r="Q9" s="29"/>
      <c r="R9" s="30"/>
    </row>
    <row r="10" spans="1:18" s="41" customFormat="1" ht="19.5" customHeight="1" x14ac:dyDescent="0.15">
      <c r="A10" s="46"/>
      <c r="B10" s="45"/>
      <c r="C10" s="23"/>
      <c r="D10" s="23"/>
      <c r="E10" s="26"/>
      <c r="F10" s="26"/>
      <c r="G10" s="26"/>
      <c r="H10" s="24"/>
      <c r="I10" s="24"/>
      <c r="J10" s="26"/>
      <c r="K10" s="26"/>
      <c r="L10" s="26"/>
      <c r="M10" s="23"/>
      <c r="N10" s="23"/>
      <c r="O10" s="26"/>
      <c r="P10" s="28"/>
      <c r="Q10" s="29"/>
      <c r="R10" s="30"/>
    </row>
    <row r="11" spans="1:18" s="41" customFormat="1" ht="18" customHeight="1" x14ac:dyDescent="0.15">
      <c r="A11" s="48">
        <v>1</v>
      </c>
      <c r="B11" s="47">
        <v>1</v>
      </c>
      <c r="C11" s="55" t="s">
        <v>26</v>
      </c>
      <c r="D11" s="55" t="s">
        <v>26</v>
      </c>
      <c r="E11" s="53" t="s">
        <v>35</v>
      </c>
      <c r="F11" s="56">
        <v>3</v>
      </c>
      <c r="G11" s="88">
        <v>3000</v>
      </c>
      <c r="H11" s="54">
        <f t="shared" ref="H11:H12" si="0">F11*G11</f>
        <v>9000</v>
      </c>
      <c r="I11" s="57"/>
      <c r="J11" s="85" t="s">
        <v>36</v>
      </c>
      <c r="K11" s="25"/>
      <c r="L11" s="31"/>
      <c r="M11" s="28">
        <v>43686</v>
      </c>
      <c r="N11" s="29"/>
      <c r="O11" s="67" t="s">
        <v>49</v>
      </c>
      <c r="P11" s="67" t="s">
        <v>49</v>
      </c>
      <c r="Q11" s="34"/>
      <c r="R11" s="33"/>
    </row>
    <row r="12" spans="1:18" s="41" customFormat="1" ht="18" customHeight="1" x14ac:dyDescent="0.15">
      <c r="A12" s="48">
        <v>1</v>
      </c>
      <c r="B12" s="47">
        <f>+B11+1</f>
        <v>2</v>
      </c>
      <c r="C12" s="55" t="s">
        <v>26</v>
      </c>
      <c r="D12" s="55" t="s">
        <v>26</v>
      </c>
      <c r="E12" s="53" t="s">
        <v>37</v>
      </c>
      <c r="F12" s="56">
        <v>3</v>
      </c>
      <c r="G12" s="88">
        <v>4000</v>
      </c>
      <c r="H12" s="54">
        <f t="shared" si="0"/>
        <v>12000</v>
      </c>
      <c r="I12" s="58"/>
      <c r="J12" s="59" t="s">
        <v>31</v>
      </c>
      <c r="K12" s="25"/>
      <c r="L12" s="31"/>
      <c r="M12" s="28">
        <v>43686</v>
      </c>
      <c r="N12" s="29"/>
      <c r="O12" s="67" t="s">
        <v>49</v>
      </c>
      <c r="P12" s="67" t="s">
        <v>49</v>
      </c>
      <c r="Q12" s="34"/>
      <c r="R12" s="33"/>
    </row>
    <row r="13" spans="1:18" s="71" customFormat="1" ht="18" customHeight="1" x14ac:dyDescent="0.15">
      <c r="A13" s="48">
        <v>1</v>
      </c>
      <c r="B13" s="47">
        <f t="shared" ref="B13:B16" si="1">+B12+1</f>
        <v>3</v>
      </c>
      <c r="C13" s="26" t="s">
        <v>22</v>
      </c>
      <c r="D13" s="26" t="s">
        <v>22</v>
      </c>
      <c r="E13" s="38" t="s">
        <v>43</v>
      </c>
      <c r="F13" s="39">
        <v>10</v>
      </c>
      <c r="G13" s="39">
        <v>79</v>
      </c>
      <c r="H13" s="36">
        <f t="shared" ref="H13:H16" si="2">F13*G13</f>
        <v>790</v>
      </c>
      <c r="I13" s="8"/>
      <c r="J13" s="37" t="s">
        <v>44</v>
      </c>
      <c r="K13" s="65"/>
      <c r="L13" s="66"/>
      <c r="M13" s="28">
        <v>43686</v>
      </c>
      <c r="N13" s="68"/>
      <c r="O13" s="67"/>
      <c r="P13" s="67" t="s">
        <v>48</v>
      </c>
      <c r="Q13" s="69"/>
      <c r="R13" s="70"/>
    </row>
    <row r="14" spans="1:18" s="71" customFormat="1" ht="18" customHeight="1" x14ac:dyDescent="0.15">
      <c r="A14" s="48">
        <v>1</v>
      </c>
      <c r="B14" s="47">
        <f t="shared" si="1"/>
        <v>4</v>
      </c>
      <c r="C14" s="1" t="s">
        <v>22</v>
      </c>
      <c r="D14" s="1" t="s">
        <v>22</v>
      </c>
      <c r="E14" s="84" t="s">
        <v>32</v>
      </c>
      <c r="F14" s="9">
        <v>6</v>
      </c>
      <c r="G14" s="36">
        <v>54</v>
      </c>
      <c r="H14" s="36">
        <f t="shared" si="2"/>
        <v>324</v>
      </c>
      <c r="I14" s="4"/>
      <c r="J14" s="84" t="s">
        <v>38</v>
      </c>
      <c r="K14" s="65"/>
      <c r="L14" s="66"/>
      <c r="M14" s="28">
        <v>43686</v>
      </c>
      <c r="N14" s="68"/>
      <c r="O14" s="67"/>
      <c r="P14" s="67" t="s">
        <v>48</v>
      </c>
      <c r="Q14" s="69"/>
      <c r="R14" s="70"/>
    </row>
    <row r="15" spans="1:18" s="71" customFormat="1" ht="18" customHeight="1" x14ac:dyDescent="0.15">
      <c r="A15" s="48">
        <v>1</v>
      </c>
      <c r="B15" s="47">
        <f t="shared" si="1"/>
        <v>5</v>
      </c>
      <c r="C15" s="1" t="s">
        <v>22</v>
      </c>
      <c r="D15" s="1" t="s">
        <v>22</v>
      </c>
      <c r="E15" s="84" t="s">
        <v>40</v>
      </c>
      <c r="F15" s="9">
        <v>6</v>
      </c>
      <c r="G15" s="36">
        <v>49</v>
      </c>
      <c r="H15" s="36">
        <f t="shared" si="2"/>
        <v>294</v>
      </c>
      <c r="I15" s="4"/>
      <c r="J15" s="84" t="s">
        <v>41</v>
      </c>
      <c r="K15" s="65"/>
      <c r="L15" s="66"/>
      <c r="M15" s="28">
        <v>43686</v>
      </c>
      <c r="N15" s="68"/>
      <c r="O15" s="67"/>
      <c r="P15" s="67" t="s">
        <v>48</v>
      </c>
      <c r="Q15" s="69"/>
      <c r="R15" s="70"/>
    </row>
    <row r="16" spans="1:18" s="71" customFormat="1" ht="18" customHeight="1" x14ac:dyDescent="0.15">
      <c r="A16" s="48">
        <v>1</v>
      </c>
      <c r="B16" s="47">
        <f t="shared" si="1"/>
        <v>6</v>
      </c>
      <c r="C16" s="1" t="s">
        <v>22</v>
      </c>
      <c r="D16" s="1" t="s">
        <v>22</v>
      </c>
      <c r="E16" s="38" t="s">
        <v>34</v>
      </c>
      <c r="F16" s="39">
        <v>6</v>
      </c>
      <c r="G16" s="36">
        <v>80</v>
      </c>
      <c r="H16" s="36">
        <f t="shared" si="2"/>
        <v>480</v>
      </c>
      <c r="I16" s="4"/>
      <c r="J16" s="84" t="s">
        <v>33</v>
      </c>
      <c r="K16" s="65"/>
      <c r="L16" s="66"/>
      <c r="M16" s="28">
        <v>43686</v>
      </c>
      <c r="N16" s="68"/>
      <c r="O16" s="67"/>
      <c r="P16" s="67" t="s">
        <v>48</v>
      </c>
      <c r="Q16" s="69"/>
      <c r="R16" s="70"/>
    </row>
    <row r="17" spans="1:18" s="71" customFormat="1" ht="18" customHeight="1" x14ac:dyDescent="0.15">
      <c r="A17" s="48">
        <v>1</v>
      </c>
      <c r="B17" s="47">
        <f t="shared" ref="B17:B18" si="3">+B16+1</f>
        <v>7</v>
      </c>
      <c r="C17" s="1" t="s">
        <v>22</v>
      </c>
      <c r="D17" s="1" t="s">
        <v>22</v>
      </c>
      <c r="E17" s="38" t="s">
        <v>39</v>
      </c>
      <c r="F17" s="39">
        <v>6</v>
      </c>
      <c r="G17" s="36">
        <v>80</v>
      </c>
      <c r="H17" s="36">
        <f t="shared" ref="H17:H18" si="4">F17*G17</f>
        <v>480</v>
      </c>
      <c r="I17" s="4"/>
      <c r="J17" s="84" t="s">
        <v>33</v>
      </c>
      <c r="K17" s="65"/>
      <c r="L17" s="66"/>
      <c r="M17" s="28">
        <v>43686</v>
      </c>
      <c r="N17" s="68"/>
      <c r="O17" s="67"/>
      <c r="P17" s="67" t="s">
        <v>48</v>
      </c>
      <c r="Q17" s="69"/>
      <c r="R17" s="70"/>
    </row>
    <row r="18" spans="1:18" s="71" customFormat="1" ht="18" customHeight="1" x14ac:dyDescent="0.15">
      <c r="A18" s="48">
        <v>1</v>
      </c>
      <c r="B18" s="47">
        <f t="shared" si="3"/>
        <v>8</v>
      </c>
      <c r="C18" s="1" t="s">
        <v>22</v>
      </c>
      <c r="D18" s="1" t="s">
        <v>22</v>
      </c>
      <c r="E18" s="38" t="s">
        <v>45</v>
      </c>
      <c r="F18" s="39">
        <v>12</v>
      </c>
      <c r="G18" s="36">
        <v>36</v>
      </c>
      <c r="H18" s="36">
        <f t="shared" si="4"/>
        <v>432</v>
      </c>
      <c r="I18" s="4"/>
      <c r="J18" s="84" t="s">
        <v>46</v>
      </c>
      <c r="K18" s="65"/>
      <c r="L18" s="66"/>
      <c r="M18" s="28">
        <v>43686</v>
      </c>
      <c r="N18" s="68"/>
      <c r="O18" s="67"/>
      <c r="P18" s="67" t="s">
        <v>48</v>
      </c>
      <c r="Q18" s="69"/>
      <c r="R18" s="70"/>
    </row>
    <row r="19" spans="1:18" s="71" customFormat="1" ht="18" customHeight="1" x14ac:dyDescent="0.15">
      <c r="A19" s="60"/>
      <c r="B19" s="47"/>
      <c r="C19" s="1"/>
      <c r="D19" s="1"/>
      <c r="E19" s="38"/>
      <c r="F19" s="39"/>
      <c r="G19" s="36"/>
      <c r="H19" s="36"/>
      <c r="I19" s="4"/>
      <c r="J19" s="35"/>
      <c r="K19" s="65"/>
      <c r="L19" s="66"/>
      <c r="M19" s="28"/>
      <c r="N19" s="68"/>
      <c r="O19" s="67"/>
      <c r="P19" s="67"/>
      <c r="Q19" s="69"/>
      <c r="R19" s="70"/>
    </row>
    <row r="20" spans="1:18" s="71" customFormat="1" ht="18" customHeight="1" x14ac:dyDescent="0.15">
      <c r="A20" s="74"/>
      <c r="B20" s="75"/>
      <c r="C20" s="76"/>
      <c r="D20" s="76"/>
      <c r="E20" s="77">
        <f>SUM(H11:H19)</f>
        <v>23800</v>
      </c>
      <c r="F20" s="78"/>
      <c r="G20" s="79"/>
      <c r="H20" s="40"/>
      <c r="I20" s="72"/>
      <c r="J20" s="73"/>
      <c r="K20" s="65"/>
      <c r="L20" s="66"/>
      <c r="M20" s="67"/>
      <c r="N20" s="68"/>
      <c r="O20" s="67"/>
      <c r="P20" s="67"/>
      <c r="Q20" s="69"/>
      <c r="R20" s="70"/>
    </row>
    <row r="21" spans="1:18" s="71" customFormat="1" ht="18" customHeight="1" x14ac:dyDescent="0.15">
      <c r="A21" s="60"/>
      <c r="B21" s="80"/>
      <c r="C21" s="81"/>
      <c r="D21" s="81"/>
      <c r="E21" s="82"/>
      <c r="F21" s="61"/>
      <c r="G21" s="62"/>
      <c r="H21" s="61"/>
      <c r="I21" s="63"/>
      <c r="J21" s="64"/>
      <c r="K21" s="65"/>
      <c r="L21" s="66"/>
      <c r="M21" s="67"/>
      <c r="N21" s="68"/>
      <c r="O21" s="67"/>
      <c r="P21" s="67"/>
      <c r="Q21" s="69"/>
      <c r="R21" s="70"/>
    </row>
    <row r="22" spans="1:18" s="71" customFormat="1" ht="18" customHeight="1" x14ac:dyDescent="0.15">
      <c r="A22" s="60"/>
      <c r="B22" s="80"/>
      <c r="C22" s="81"/>
      <c r="D22" s="81"/>
      <c r="E22" s="82"/>
      <c r="F22" s="61"/>
      <c r="G22" s="62"/>
      <c r="H22" s="61"/>
      <c r="I22" s="63"/>
      <c r="J22" s="64"/>
      <c r="K22" s="65"/>
      <c r="L22" s="66"/>
      <c r="M22" s="67"/>
      <c r="N22" s="68"/>
      <c r="O22" s="67"/>
      <c r="P22" s="67"/>
      <c r="Q22" s="69"/>
      <c r="R22" s="70"/>
    </row>
    <row r="23" spans="1:18" s="41" customFormat="1" ht="18" customHeight="1" x14ac:dyDescent="0.15">
      <c r="A23" s="49"/>
      <c r="B23" s="47"/>
      <c r="C23" s="1"/>
      <c r="D23" s="1"/>
      <c r="E23" s="38"/>
      <c r="F23" s="39"/>
      <c r="G23" s="36"/>
      <c r="H23" s="36"/>
      <c r="I23" s="4"/>
      <c r="J23" s="35"/>
      <c r="K23" s="25"/>
      <c r="L23" s="31"/>
      <c r="M23" s="28"/>
      <c r="N23" s="29"/>
      <c r="O23" s="32"/>
      <c r="P23" s="28"/>
      <c r="Q23" s="34"/>
      <c r="R23" s="30"/>
    </row>
    <row r="24" spans="1:18" s="41" customFormat="1" ht="18" customHeight="1" x14ac:dyDescent="0.15">
      <c r="A24" s="49"/>
      <c r="B24" s="47"/>
      <c r="C24" s="1"/>
      <c r="D24" s="1"/>
      <c r="E24" s="38"/>
      <c r="F24" s="39"/>
      <c r="G24" s="36"/>
      <c r="H24" s="36"/>
      <c r="I24" s="4"/>
      <c r="J24" s="35"/>
      <c r="K24" s="25"/>
      <c r="L24" s="31"/>
      <c r="M24" s="28"/>
      <c r="N24" s="29"/>
      <c r="O24" s="32"/>
      <c r="P24" s="28"/>
      <c r="Q24" s="34"/>
      <c r="R24" s="30"/>
    </row>
    <row r="25" spans="1:18" s="41" customFormat="1" ht="18" customHeight="1" x14ac:dyDescent="0.15">
      <c r="A25" s="49"/>
      <c r="B25" s="47"/>
      <c r="C25" s="1"/>
      <c r="D25" s="1"/>
      <c r="E25" s="38"/>
      <c r="F25" s="39"/>
      <c r="G25" s="36"/>
      <c r="H25" s="36"/>
      <c r="I25" s="4"/>
      <c r="J25" s="35"/>
      <c r="K25" s="25"/>
      <c r="L25" s="31"/>
      <c r="M25" s="28"/>
      <c r="N25" s="29"/>
      <c r="O25" s="32"/>
      <c r="P25" s="28"/>
      <c r="Q25" s="34"/>
      <c r="R25" s="30"/>
    </row>
    <row r="26" spans="1:18" s="41" customFormat="1" ht="18" customHeight="1" x14ac:dyDescent="0.15">
      <c r="A26" s="49"/>
      <c r="B26" s="47"/>
      <c r="C26" s="1"/>
      <c r="D26" s="1"/>
      <c r="E26" s="3" t="s">
        <v>23</v>
      </c>
      <c r="F26" s="36"/>
      <c r="G26" s="36">
        <v>1500</v>
      </c>
      <c r="H26" s="36">
        <f>F26*G26</f>
        <v>0</v>
      </c>
      <c r="I26" s="4"/>
      <c r="J26" s="35"/>
      <c r="K26" s="25"/>
      <c r="L26" s="31"/>
      <c r="M26" s="28"/>
      <c r="N26" s="29"/>
      <c r="O26" s="32"/>
      <c r="P26" s="28"/>
      <c r="Q26" s="34"/>
      <c r="R26" s="30"/>
    </row>
    <row r="27" spans="1:18" s="41" customFormat="1" ht="18" customHeight="1" x14ac:dyDescent="0.15">
      <c r="A27" s="49"/>
      <c r="B27" s="47"/>
      <c r="C27" s="1"/>
      <c r="D27" s="1"/>
      <c r="E27" s="3" t="s">
        <v>24</v>
      </c>
      <c r="F27" s="36"/>
      <c r="G27" s="36">
        <v>5000</v>
      </c>
      <c r="H27" s="36">
        <f>F27*G27</f>
        <v>0</v>
      </c>
      <c r="I27" s="4"/>
      <c r="J27" s="35"/>
      <c r="K27" s="25"/>
      <c r="L27" s="31"/>
      <c r="M27" s="28"/>
      <c r="N27" s="29"/>
      <c r="O27" s="32"/>
      <c r="P27" s="28"/>
      <c r="Q27" s="34"/>
      <c r="R27" s="30"/>
    </row>
    <row r="28" spans="1:18" s="41" customFormat="1" ht="18" customHeight="1" x14ac:dyDescent="0.15">
      <c r="A28" s="49"/>
      <c r="B28" s="47"/>
      <c r="C28" s="1"/>
      <c r="D28" s="1"/>
      <c r="E28" s="3" t="s">
        <v>25</v>
      </c>
      <c r="F28" s="36"/>
      <c r="G28" s="36">
        <v>5000</v>
      </c>
      <c r="H28" s="36">
        <f>F28*G28</f>
        <v>0</v>
      </c>
      <c r="I28" s="4"/>
      <c r="J28" s="35"/>
      <c r="K28" s="25"/>
      <c r="L28" s="31"/>
      <c r="M28" s="28"/>
      <c r="N28" s="29"/>
      <c r="O28" s="32"/>
      <c r="P28" s="28"/>
      <c r="Q28" s="34"/>
      <c r="R28" s="30"/>
    </row>
    <row r="29" spans="1:18" s="41" customFormat="1" ht="18" customHeight="1" x14ac:dyDescent="0.15">
      <c r="A29" s="49"/>
      <c r="B29" s="47"/>
      <c r="C29" s="1"/>
      <c r="D29" s="1"/>
      <c r="E29" s="38"/>
      <c r="F29" s="39"/>
      <c r="G29" s="36"/>
      <c r="H29" s="36"/>
      <c r="I29" s="4"/>
      <c r="J29" s="35"/>
      <c r="K29" s="25"/>
      <c r="L29" s="31"/>
      <c r="M29" s="28"/>
      <c r="N29" s="29"/>
      <c r="O29" s="32"/>
      <c r="P29" s="28"/>
      <c r="Q29" s="34"/>
      <c r="R29" s="30"/>
    </row>
    <row r="30" spans="1:18" s="41" customFormat="1" ht="18" customHeight="1" x14ac:dyDescent="0.15">
      <c r="A30" s="49"/>
      <c r="B30" s="47"/>
      <c r="C30" s="1"/>
      <c r="D30" s="1"/>
      <c r="E30" s="38"/>
      <c r="F30" s="39"/>
      <c r="G30" s="36"/>
      <c r="H30" s="36"/>
      <c r="I30" s="4"/>
      <c r="J30" s="35"/>
      <c r="K30" s="25"/>
      <c r="L30" s="31"/>
      <c r="M30" s="28"/>
      <c r="N30" s="29"/>
      <c r="O30" s="32"/>
      <c r="P30" s="28"/>
      <c r="Q30" s="34"/>
      <c r="R30" s="30"/>
    </row>
    <row r="31" spans="1:18" s="41" customFormat="1" ht="18" customHeight="1" x14ac:dyDescent="0.15">
      <c r="A31" s="49"/>
      <c r="B31" s="47"/>
      <c r="C31" s="1"/>
      <c r="D31" s="1"/>
      <c r="E31" s="38"/>
      <c r="F31" s="39"/>
      <c r="G31" s="36"/>
      <c r="H31" s="36"/>
      <c r="I31" s="4"/>
      <c r="J31" s="35"/>
      <c r="K31" s="25"/>
      <c r="L31" s="31"/>
      <c r="M31" s="28"/>
      <c r="N31" s="29"/>
      <c r="O31" s="32"/>
      <c r="P31" s="28"/>
      <c r="Q31" s="34"/>
      <c r="R31" s="30"/>
    </row>
    <row r="32" spans="1:18" s="41" customFormat="1" ht="18" customHeight="1" x14ac:dyDescent="0.15">
      <c r="A32" s="49"/>
      <c r="B32" s="47"/>
      <c r="C32" s="1"/>
      <c r="D32" s="1"/>
      <c r="E32" s="38"/>
      <c r="F32" s="39"/>
      <c r="G32" s="36"/>
      <c r="H32" s="36"/>
      <c r="I32" s="4"/>
      <c r="J32" s="35"/>
      <c r="K32" s="25"/>
      <c r="L32" s="2"/>
      <c r="M32" s="13"/>
      <c r="N32" s="5"/>
      <c r="O32" s="7"/>
      <c r="P32" s="13"/>
      <c r="Q32" s="10"/>
    </row>
    <row r="33" spans="1:17" s="41" customFormat="1" ht="18" customHeight="1" x14ac:dyDescent="0.15">
      <c r="A33" s="49"/>
      <c r="B33" s="47"/>
      <c r="C33" s="1"/>
      <c r="D33" s="1"/>
      <c r="E33" s="38"/>
      <c r="F33" s="39"/>
      <c r="G33" s="36"/>
      <c r="H33" s="36"/>
      <c r="I33" s="4"/>
      <c r="J33" s="35"/>
      <c r="K33" s="25"/>
      <c r="L33" s="2"/>
      <c r="M33" s="13"/>
      <c r="N33" s="5"/>
      <c r="O33" s="7"/>
      <c r="P33" s="13"/>
      <c r="Q33" s="10"/>
    </row>
    <row r="34" spans="1:17" s="41" customFormat="1" ht="18" customHeight="1" x14ac:dyDescent="0.15">
      <c r="A34" s="49"/>
      <c r="B34" s="47"/>
      <c r="C34" s="1"/>
      <c r="D34" s="1"/>
      <c r="E34" s="38"/>
      <c r="F34" s="39"/>
      <c r="G34" s="36"/>
      <c r="H34" s="36"/>
      <c r="I34" s="4"/>
      <c r="J34" s="35"/>
      <c r="K34" s="25"/>
      <c r="L34" s="2"/>
      <c r="M34" s="13"/>
      <c r="N34" s="5"/>
      <c r="O34" s="7"/>
      <c r="P34" s="13"/>
      <c r="Q34" s="10"/>
    </row>
    <row r="35" spans="1:17" s="41" customFormat="1" ht="18" customHeight="1" x14ac:dyDescent="0.15">
      <c r="A35" s="49"/>
      <c r="B35" s="47"/>
      <c r="C35" s="1"/>
      <c r="D35" s="1"/>
      <c r="E35" s="38"/>
      <c r="F35" s="39"/>
      <c r="G35" s="36"/>
      <c r="H35" s="36"/>
      <c r="I35" s="4"/>
      <c r="J35" s="35"/>
      <c r="K35" s="25"/>
      <c r="L35" s="2"/>
      <c r="M35" s="13"/>
      <c r="N35" s="5"/>
      <c r="O35" s="7"/>
      <c r="P35" s="13"/>
      <c r="Q35" s="10"/>
    </row>
    <row r="36" spans="1:17" s="41" customFormat="1" ht="18" customHeight="1" x14ac:dyDescent="0.15">
      <c r="A36" s="49"/>
      <c r="B36" s="50"/>
      <c r="C36" s="1"/>
      <c r="D36" s="1"/>
      <c r="E36" s="3"/>
      <c r="F36" s="36"/>
      <c r="G36" s="36"/>
      <c r="H36" s="36"/>
      <c r="I36" s="8"/>
      <c r="J36" s="2"/>
      <c r="K36" s="3"/>
      <c r="L36" s="2"/>
      <c r="M36" s="13"/>
      <c r="N36" s="5"/>
      <c r="O36" s="7"/>
      <c r="P36" s="13"/>
      <c r="Q36" s="10"/>
    </row>
    <row r="37" spans="1:17" s="41" customFormat="1" ht="18" customHeight="1" x14ac:dyDescent="0.15">
      <c r="A37" s="49"/>
      <c r="B37" s="50"/>
      <c r="C37" s="9"/>
      <c r="D37" s="9"/>
      <c r="E37" s="3"/>
      <c r="F37" s="36"/>
      <c r="G37" s="36"/>
      <c r="H37" s="36"/>
      <c r="I37" s="6"/>
      <c r="J37" s="2"/>
      <c r="K37" s="3"/>
      <c r="L37" s="2"/>
      <c r="M37" s="13"/>
      <c r="N37" s="5"/>
      <c r="O37" s="7"/>
      <c r="P37" s="13"/>
      <c r="Q37" s="10"/>
    </row>
    <row r="38" spans="1:17" ht="18" customHeight="1" x14ac:dyDescent="0.15">
      <c r="A38" s="51"/>
      <c r="B38" s="50"/>
      <c r="C38" s="9"/>
      <c r="D38" s="9"/>
      <c r="E38" s="3"/>
      <c r="F38" s="36"/>
      <c r="G38" s="36"/>
      <c r="H38" s="36"/>
      <c r="I38" s="8"/>
      <c r="J38" s="2"/>
      <c r="K38" s="3"/>
      <c r="L38" s="2"/>
      <c r="M38" s="13"/>
      <c r="N38" s="5"/>
      <c r="O38" s="7"/>
      <c r="P38" s="13"/>
      <c r="Q38" s="10"/>
    </row>
    <row r="39" spans="1:17" ht="18" customHeight="1" x14ac:dyDescent="0.15">
      <c r="A39" s="51"/>
      <c r="B39" s="50"/>
      <c r="C39" s="9"/>
      <c r="D39" s="9"/>
      <c r="E39" s="3"/>
      <c r="F39" s="36"/>
      <c r="G39" s="36"/>
      <c r="H39" s="36"/>
      <c r="I39" s="8"/>
      <c r="J39" s="2"/>
      <c r="K39" s="3"/>
      <c r="L39" s="2"/>
      <c r="M39" s="13"/>
      <c r="N39" s="5"/>
      <c r="O39" s="7"/>
      <c r="P39" s="13"/>
      <c r="Q39" s="10"/>
    </row>
    <row r="40" spans="1:17" ht="18" customHeight="1" x14ac:dyDescent="0.15">
      <c r="A40" s="51"/>
      <c r="B40" s="50"/>
      <c r="C40" s="9"/>
      <c r="D40" s="9"/>
      <c r="E40" s="3"/>
      <c r="F40" s="36"/>
      <c r="G40" s="36"/>
      <c r="H40" s="36"/>
      <c r="I40" s="8"/>
      <c r="J40" s="2"/>
      <c r="K40" s="3"/>
      <c r="L40" s="2"/>
      <c r="M40" s="13"/>
      <c r="N40" s="5"/>
      <c r="O40" s="7"/>
      <c r="P40" s="13"/>
      <c r="Q40" s="10"/>
    </row>
    <row r="41" spans="1:17" ht="18" customHeight="1" x14ac:dyDescent="0.15">
      <c r="A41" s="51"/>
      <c r="B41" s="50"/>
      <c r="C41" s="1"/>
      <c r="D41" s="1"/>
      <c r="E41" s="3"/>
      <c r="F41" s="36"/>
      <c r="G41" s="36"/>
      <c r="H41" s="36"/>
      <c r="I41" s="8"/>
      <c r="J41" s="3"/>
      <c r="K41" s="3"/>
      <c r="L41" s="2"/>
      <c r="M41" s="13"/>
      <c r="N41" s="5"/>
      <c r="O41" s="7"/>
      <c r="P41" s="13"/>
      <c r="Q41" s="10"/>
    </row>
    <row r="42" spans="1:17" ht="18" customHeight="1" x14ac:dyDescent="0.15">
      <c r="A42" s="51"/>
      <c r="B42" s="50"/>
      <c r="C42" s="1"/>
      <c r="D42" s="1"/>
      <c r="E42" s="3"/>
      <c r="F42" s="36"/>
      <c r="G42" s="36"/>
      <c r="H42" s="36"/>
      <c r="I42" s="8"/>
      <c r="J42" s="2"/>
      <c r="K42" s="3"/>
      <c r="L42" s="2"/>
      <c r="M42" s="13"/>
      <c r="N42" s="5"/>
      <c r="O42" s="7"/>
      <c r="P42" s="13"/>
      <c r="Q42" s="10"/>
    </row>
    <row r="43" spans="1:17" ht="13.5" customHeight="1" x14ac:dyDescent="0.15">
      <c r="M43" s="19"/>
      <c r="P43" s="15"/>
      <c r="Q43" s="16"/>
    </row>
    <row r="44" spans="1:17" ht="13.5" customHeight="1" x14ac:dyDescent="0.15">
      <c r="M44" s="19"/>
      <c r="P44" s="15"/>
      <c r="Q44" s="16"/>
    </row>
    <row r="45" spans="1:17" ht="13.5" customHeight="1" x14ac:dyDescent="0.15">
      <c r="C45" s="11"/>
      <c r="D45" s="11"/>
      <c r="E45" s="17"/>
      <c r="G45" s="40"/>
      <c r="H45" s="40"/>
      <c r="I45" s="12"/>
      <c r="M45" s="19"/>
      <c r="P45" s="15"/>
      <c r="Q45" s="16"/>
    </row>
    <row r="46" spans="1:17" ht="13.5" customHeight="1" x14ac:dyDescent="0.15">
      <c r="C46" s="11"/>
      <c r="D46" s="11"/>
      <c r="E46" s="18"/>
      <c r="G46" s="40"/>
      <c r="H46" s="40"/>
      <c r="I46" s="12"/>
      <c r="M46" s="19"/>
      <c r="P46" s="15"/>
    </row>
    <row r="47" spans="1:17" ht="13.5" customHeight="1" x14ac:dyDescent="0.15">
      <c r="C47" s="11"/>
      <c r="D47" s="11"/>
      <c r="E47" s="17"/>
      <c r="F47" s="44"/>
      <c r="G47" s="40"/>
      <c r="H47" s="40"/>
      <c r="I47" s="12"/>
      <c r="P47" s="15"/>
    </row>
    <row r="48" spans="1:17" ht="13.5" customHeight="1" x14ac:dyDescent="0.15">
      <c r="P48" s="15"/>
    </row>
    <row r="49" spans="16:16" ht="13.5" customHeight="1" x14ac:dyDescent="0.15">
      <c r="P49" s="15"/>
    </row>
    <row r="50" spans="16:16" ht="13.5" customHeight="1" x14ac:dyDescent="0.15">
      <c r="P50" s="15"/>
    </row>
    <row r="51" spans="16:16" ht="13.5" customHeight="1" x14ac:dyDescent="0.15">
      <c r="P51" s="15"/>
    </row>
    <row r="52" spans="16:16" ht="13.5" customHeight="1" x14ac:dyDescent="0.15">
      <c r="P52" s="15"/>
    </row>
  </sheetData>
  <autoFilter ref="B8:O22" xr:uid="{00000000-0009-0000-0000-000000000000}"/>
  <mergeCells count="9">
    <mergeCell ref="C9:E9"/>
    <mergeCell ref="K4:K5"/>
    <mergeCell ref="B6:D6"/>
    <mergeCell ref="I4:J5"/>
    <mergeCell ref="B2:D2"/>
    <mergeCell ref="G2:I2"/>
    <mergeCell ref="B3:D3"/>
    <mergeCell ref="B4:D4"/>
    <mergeCell ref="B5:D5"/>
  </mergeCells>
  <phoneticPr fontId="5"/>
  <dataValidations count="1">
    <dataValidation allowBlank="1" showInputMessage="1" showErrorMessage="1" sqref="J23:J35 J16:J20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0.5" defaultRowHeight="13.5" customHeight="1" x14ac:dyDescent="0.15"/>
  <sheetData/>
  <phoneticPr fontId="5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5" defaultRowHeight="13.5" customHeight="1" x14ac:dyDescent="0.15"/>
  <sheetData/>
  <phoneticPr fontId="5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(2連ﾋﾟｯﾁ変更TYPE) (3SET) </vt:lpstr>
      <vt:lpstr>Sheet2</vt:lpstr>
      <vt:lpstr>Sheet3</vt:lpstr>
      <vt:lpstr>'(2連ﾋﾟｯﾁ変更TYPE) (3SET)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moriwaki</dc:creator>
  <cp:lastModifiedBy>moriwaki</cp:lastModifiedBy>
  <dcterms:created xsi:type="dcterms:W3CDTF">2016-04-26T04:36:34Z</dcterms:created>
  <dcterms:modified xsi:type="dcterms:W3CDTF">2019-08-09T00:55:50Z</dcterms:modified>
</cp:coreProperties>
</file>