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3C199AB-63EA-47DB-B53D-C97980C45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<sst xmlns="http://schemas.openxmlformats.org/spreadsheetml/2006/main" count="50" uniqueCount="41">
  <si>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</si>
  <si>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</si>
  <si>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</si>
  <si>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</si>
  <si>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</si>
  <si>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</si>
  <si>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</si>
  <si>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</si>
  <si>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</si>
  <si>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</si>
  <si>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</si>
  <si>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</si>
  <si>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</si>
  <si>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</si>
  <si>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</si>
  <si>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</si>
  <si>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</si>
  <si>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</si>
  <si>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</si>
  <si>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</si>
  <si>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</si>
  <si>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</si>
  <si>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</si>
  <si>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</si>
  <si>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</si>
  <si>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</si>
  <si>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</si>
  <si>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</si>
  <si>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</si>
  <si>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</si>
  <si>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</si>
  <si>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</si>
  <si>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</si>
  <si>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</si>
  <si>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</si>
  <si>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</si>
  <si>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</si>
  <si>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</si>
  <si>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</si>
  <si>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【201447-8】の在庫使用</t>
    <rPh sb="11" eb="13">
      <t>ザイコ</t>
    </rPh>
    <rPh sb="13" eb="15">
      <t>シヨウ</t>
    </rPh>
    <phoneticPr fontId="2"/>
  </si>
  <si>
    <t>在庫</t>
    <rPh sb="0" eb="2">
      <t>ザイコ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</si>
</sst>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A13" sqref="A13:XFD13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1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875" customWidth="1"/>
    <col min="15" max="15" width="26.25" style="1" customWidth="1"/>
    <col min="16" max="16" width="27.5" style="6" customWidth="1"/>
    <col min="17" max="17" width="15.625" style="29" customWidth="1"/>
  </cols>
  <sheetData>
    <row r="2" spans="2:17" ht="20.100000000000001" customHeight="1" x14ac:dyDescent="0.15">
      <c r="B2" s="37" t="s">
        <v>11</v>
      </c>
      <c r="C2" s="37"/>
      <c r="D2" s="37"/>
      <c r="E2" s="2" t="s">
        <v>23</v>
      </c>
      <c r="G2" s="38" t="s">
        <v>15</v>
      </c>
      <c r="H2" s="39"/>
      <c r="I2" s="40"/>
      <c r="J2" s="3">
        <f>SUM(H:H)</f>
        <v>28917</v>
      </c>
    </row>
    <row r="3" spans="2:17" ht="20.100000000000001" customHeight="1" x14ac:dyDescent="0.15">
      <c r="B3" s="37" t="s">
        <v>10</v>
      </c>
      <c r="C3" s="37"/>
      <c r="D3" s="37"/>
      <c r="E3" s="7" t="s">
        <v>22</v>
      </c>
    </row>
    <row r="4" spans="2:17" ht="20.100000000000001" customHeight="1" x14ac:dyDescent="0.15">
      <c r="B4" s="37" t="s">
        <v>12</v>
      </c>
      <c r="C4" s="37"/>
      <c r="D4" s="37"/>
      <c r="E4" s="7">
        <v>201722</v>
      </c>
      <c r="J4" s="8"/>
    </row>
    <row r="5" spans="2:17" ht="20.100000000000001" customHeight="1" x14ac:dyDescent="0.15">
      <c r="B5" s="37" t="s">
        <v>13</v>
      </c>
      <c r="C5" s="37"/>
      <c r="D5" s="37"/>
      <c r="E5" s="9"/>
      <c r="J5" s="8"/>
    </row>
    <row r="6" spans="2:17" ht="20.100000000000001" customHeight="1" x14ac:dyDescent="0.15">
      <c r="B6" s="37" t="s">
        <v>14</v>
      </c>
      <c r="C6" s="37"/>
      <c r="D6" s="37"/>
      <c r="E6" s="9">
        <v>44914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2" t="s">
        <v>1</v>
      </c>
      <c r="H9" s="33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18" t="s">
        <v>34</v>
      </c>
      <c r="F10" s="20">
        <v>1</v>
      </c>
      <c r="G10" s="32">
        <v>8500</v>
      </c>
      <c r="H10" s="33">
        <f>F10*G10</f>
        <v>8500</v>
      </c>
      <c r="I10" s="15"/>
      <c r="J10" s="18"/>
      <c r="K10" s="35"/>
      <c r="L10" s="14"/>
      <c r="M10" s="16">
        <v>44882</v>
      </c>
      <c r="N10" s="13"/>
      <c r="O10" s="28">
        <v>44895</v>
      </c>
      <c r="P10" s="36">
        <v>44904</v>
      </c>
      <c r="Q10" s="17"/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2" t="s">
        <v>35</v>
      </c>
      <c r="F11" s="20">
        <v>1</v>
      </c>
      <c r="G11" s="30">
        <v>5500</v>
      </c>
      <c r="H11" s="33">
        <f t="shared" ref="H11:H14" si="0">F11*G11</f>
        <v>5500</v>
      </c>
      <c r="I11" s="21"/>
      <c r="J11" s="23"/>
      <c r="K11" s="35"/>
      <c r="L11" s="14"/>
      <c r="M11" s="16">
        <v>44882</v>
      </c>
      <c r="N11" s="13"/>
      <c r="O11" s="28">
        <v>44895</v>
      </c>
      <c r="P11" s="36">
        <v>44904</v>
      </c>
      <c r="Q11" s="17"/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2" t="s">
        <v>37</v>
      </c>
      <c r="F12" s="20">
        <v>1</v>
      </c>
      <c r="G12" s="30">
        <v>9780</v>
      </c>
      <c r="H12" s="33">
        <f t="shared" si="0"/>
        <v>9780</v>
      </c>
      <c r="I12" s="21"/>
      <c r="J12" s="23" t="s">
        <v>24</v>
      </c>
      <c r="K12" s="35"/>
      <c r="L12" s="14"/>
      <c r="M12" s="16">
        <v>44882</v>
      </c>
      <c r="N12" s="13"/>
      <c r="O12" s="28">
        <v>44895</v>
      </c>
      <c r="P12" s="16">
        <v>44895</v>
      </c>
      <c r="Q12" s="17">
        <v>44894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2" t="s">
        <v>30</v>
      </c>
      <c r="F13" s="20">
        <v>0</v>
      </c>
      <c r="G13" s="32">
        <v>140</v>
      </c>
      <c r="H13" s="33">
        <f t="shared" si="0"/>
        <v>0</v>
      </c>
      <c r="I13" s="19"/>
      <c r="J13" s="23" t="s">
        <v>39</v>
      </c>
      <c r="K13" s="14" t="s">
        <v>40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5" t="s">
        <v>38</v>
      </c>
      <c r="F14" s="20">
        <v>1</v>
      </c>
      <c r="G14" s="32">
        <v>137</v>
      </c>
      <c r="H14" s="33">
        <f t="shared" si="0"/>
        <v>137</v>
      </c>
      <c r="I14" s="26"/>
      <c r="J14" s="25" t="s">
        <v>25</v>
      </c>
      <c r="K14" s="14" t="s">
        <v>36</v>
      </c>
      <c r="L14" s="14"/>
      <c r="M14" s="16"/>
      <c r="N14" s="13"/>
      <c r="O14" s="14"/>
      <c r="P14" s="16"/>
      <c r="Q14" s="17">
        <v>44886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5" t="s">
        <v>29</v>
      </c>
      <c r="F15" s="20">
        <v>0.5</v>
      </c>
      <c r="G15" s="32">
        <v>5000</v>
      </c>
      <c r="H15" s="33">
        <f t="shared" ref="H15:H16" si="1">F15*G15</f>
        <v>2500</v>
      </c>
      <c r="I15" s="26"/>
      <c r="J15" s="25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5" t="s">
        <v>28</v>
      </c>
      <c r="F16" s="20">
        <v>0.5</v>
      </c>
      <c r="G16" s="32">
        <v>5000</v>
      </c>
      <c r="H16" s="33">
        <f t="shared" si="1"/>
        <v>2500</v>
      </c>
      <c r="I16" s="26"/>
      <c r="J16" s="25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7"/>
      <c r="D17" s="27"/>
      <c r="E17" s="24"/>
      <c r="F17" s="24"/>
      <c r="G17" s="32"/>
      <c r="H17" s="32"/>
      <c r="I17" s="19"/>
      <c r="J17" s="34"/>
      <c r="K17" s="13"/>
      <c r="L17" s="13"/>
      <c r="M17" s="16"/>
      <c r="N17" s="13"/>
      <c r="O17" s="28"/>
      <c r="P17" s="28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2022-11-29T02:58:47Z</dcterms:modified>
</cp:coreProperties>
</file>