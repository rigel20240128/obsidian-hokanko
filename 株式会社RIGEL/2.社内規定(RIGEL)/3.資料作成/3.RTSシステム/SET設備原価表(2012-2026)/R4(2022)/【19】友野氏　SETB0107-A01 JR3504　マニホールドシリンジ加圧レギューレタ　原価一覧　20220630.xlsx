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A10948B-643D-481E-AEB5-D147270B6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11124) " sheetId="11" r:id="rId1"/>
  </sheets>
  <definedNames>
    <definedName name="_xlnm._FilterDatabase" localSheetId="0">'発注 (20211124) '!$B$8:$O$8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1" l="1"/>
  <c r="H26" i="11"/>
  <c r="H25" i="11"/>
  <c r="H24" i="11"/>
  <c r="H23" i="11"/>
  <c r="H21" i="11"/>
  <c r="H20" i="11"/>
  <c r="H18" i="11" l="1"/>
  <c r="H17" i="11"/>
  <c r="H16" i="11"/>
  <c r="H19" i="11"/>
  <c r="H15" i="11"/>
  <c r="H14" i="11"/>
  <c r="H13" i="11"/>
  <c r="H12" i="11" l="1"/>
  <c r="B12" i="11"/>
  <c r="H11" i="11"/>
  <c r="E30" i="11" s="1"/>
  <c r="H36" i="11"/>
  <c r="H35" i="11"/>
  <c r="H34" i="11"/>
  <c r="B13" i="11" l="1"/>
  <c r="B14" i="11" s="1"/>
  <c r="B15" i="11" s="1"/>
  <c r="B16" i="11" s="1"/>
  <c r="B17" i="11" s="1"/>
  <c r="B18" i="11" s="1"/>
  <c r="B19" i="11" s="1"/>
  <c r="B20" i="11" s="1"/>
  <c r="B21" i="11" s="1"/>
  <c r="B23" i="11" s="1"/>
  <c r="B24" i="11" s="1"/>
  <c r="B25" i="11" s="1"/>
  <c r="B26" i="11" s="1"/>
  <c r="B27" i="11" s="1"/>
  <c r="J2" i="11"/>
</calcChain>
</file>

<file path=xl/sharedStrings.xml><?xml version="1.0" encoding="utf-8"?>
<sst xmlns="http://schemas.openxmlformats.org/spreadsheetml/2006/main" count="119" uniqueCount="72">
  <si>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</si>
  <si>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</si>
  <si>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</si>
  <si>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</si>
  <si>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</si>
  <si>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</si>
  <si>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</si>
  <si>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</si>
  <si>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</si>
  <si>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</si>
  <si>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</si>
  <si>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</si>
  <si>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</si>
  <si>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</si>
  <si>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</si>
  <si>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</si>
  <si>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</si>
  <si>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</si>
  <si>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</si>
  <si>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</si>
  <si>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</si>
  <si>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</si>
  <si>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</si>
  <si>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</si>
  <si>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運送費</t>
  </si>
  <si>
    <t>設計費</t>
  </si>
  <si>
    <t>組立調整費</t>
  </si>
  <si>
    <t>SMC</t>
    <phoneticPr fontId="9"/>
  </si>
  <si>
    <t>ミスミ</t>
    <phoneticPr fontId="9"/>
  </si>
  <si>
    <t>MNCNL4-M5</t>
    <phoneticPr fontId="9"/>
  </si>
  <si>
    <t>meviy</t>
    <phoneticPr fontId="9"/>
  </si>
  <si>
    <t>SETB0107-A01 JR3504　ﾏﾆﾎｰﾙﾄﾞｼﾘﾝｼﾞ加圧ﾚｷﾞｭｰﾚﾀ</t>
    <phoneticPr fontId="8"/>
  </si>
  <si>
    <t>SETB-0107-Z01　(ARP20K取付板金)改良版</t>
    <phoneticPr fontId="8"/>
  </si>
  <si>
    <t>SETB-0107-Z02　SVEM720取付ﾌﾞﾗｹｯﾄ</t>
  </si>
  <si>
    <t xml:space="preserve">SCB4-8  </t>
    <phoneticPr fontId="8"/>
  </si>
  <si>
    <t>SCB4-22</t>
    <phoneticPr fontId="8"/>
  </si>
  <si>
    <t>3V</t>
    <phoneticPr fontId="8"/>
  </si>
  <si>
    <t>BTLAN3-11</t>
    <phoneticPr fontId="8"/>
  </si>
  <si>
    <t>PC4-01</t>
    <phoneticPr fontId="8"/>
  </si>
  <si>
    <t>PC4-M5</t>
    <phoneticPr fontId="8"/>
  </si>
  <si>
    <t>SCB5-22</t>
    <phoneticPr fontId="8"/>
  </si>
  <si>
    <t>MVSHM-3N03052-33P-MZWH5</t>
    <phoneticPr fontId="8"/>
  </si>
  <si>
    <t>MVSHM-AN03002-33P-4MZC3</t>
    <phoneticPr fontId="8"/>
  </si>
  <si>
    <t>制御機材</t>
    <rPh sb="0" eb="4">
      <t>セイギョキザイ</t>
    </rPh>
    <phoneticPr fontId="9"/>
  </si>
  <si>
    <t>ARP20K-01H-1</t>
    <phoneticPr fontId="9"/>
  </si>
  <si>
    <t>逆流機能付直動精密レギュレータ（SMC）</t>
    <phoneticPr fontId="9"/>
  </si>
  <si>
    <t>シリンジ加圧レギュレータユニット（0.4Mpa）</t>
    <rPh sb="4" eb="6">
      <t>カアツ</t>
    </rPh>
    <phoneticPr fontId="9"/>
  </si>
  <si>
    <t>モノタロウ</t>
    <phoneticPr fontId="9"/>
  </si>
  <si>
    <t>ISE20-N-M-M5-L</t>
    <phoneticPr fontId="9"/>
  </si>
  <si>
    <t xml:space="preserve">デジタル圧力スイッチ（SMC） </t>
    <phoneticPr fontId="9"/>
  </si>
  <si>
    <t>https://www.monotaro.com/p/3992/0728/?t.mpn=ise20-n-m-m5-l</t>
    <phoneticPr fontId="9"/>
  </si>
  <si>
    <t>シリンジ加圧レギュレータユニット（0.0～1Mpa）</t>
    <rPh sb="4" eb="6">
      <t>カアツ</t>
    </rPh>
    <phoneticPr fontId="9"/>
  </si>
  <si>
    <t>MNCNL4-1</t>
    <phoneticPr fontId="9"/>
  </si>
  <si>
    <t>Φ4ミニチュアワンタッチ継手</t>
    <phoneticPr fontId="9"/>
  </si>
  <si>
    <t>シリンジ加圧レギュレータユニット</t>
    <rPh sb="4" eb="6">
      <t>カアツ</t>
    </rPh>
    <phoneticPr fontId="9"/>
  </si>
  <si>
    <t>MSYL4-M5</t>
    <phoneticPr fontId="9"/>
  </si>
  <si>
    <t>Φ4分岐継手</t>
    <phoneticPr fontId="9"/>
  </si>
  <si>
    <t xml:space="preserve">Φ4ミニチュアワンタッチ継手 </t>
    <phoneticPr fontId="9"/>
  </si>
  <si>
    <t>MNCNP6-M5</t>
    <phoneticPr fontId="9"/>
  </si>
  <si>
    <t>Φ6ミニチュアワンタッチ継手</t>
    <phoneticPr fontId="9"/>
  </si>
  <si>
    <t>MSHRT3</t>
    <phoneticPr fontId="9"/>
  </si>
  <si>
    <t>小型切替バルブ トグルタイプ</t>
    <phoneticPr fontId="9"/>
  </si>
  <si>
    <t>六角穴付ボルト　4本</t>
    <rPh sb="9" eb="10">
      <t>ホン</t>
    </rPh>
    <phoneticPr fontId="8"/>
  </si>
  <si>
    <t>六角穴付ボルト　2本</t>
    <rPh sb="9" eb="10">
      <t>ホン</t>
    </rPh>
    <phoneticPr fontId="8"/>
  </si>
  <si>
    <t>制御機器 TACエアバルブラインレバー形</t>
    <phoneticPr fontId="8"/>
  </si>
  <si>
    <t>ｺｶﾞﾈｲ</t>
    <phoneticPr fontId="8"/>
  </si>
  <si>
    <t>マニホールド　油圧・水圧用/エア用ブロックターミナル　－Ｌ字穴タイプ－</t>
    <phoneticPr fontId="8"/>
  </si>
  <si>
    <t>日本ピスコ</t>
    <rPh sb="0" eb="2">
      <t>ニホン</t>
    </rPh>
    <phoneticPr fontId="8"/>
  </si>
  <si>
    <t>エア継手　一般配管用 チューブフィッティング ストレート</t>
    <phoneticPr fontId="8"/>
  </si>
  <si>
    <t>済み</t>
    <rPh sb="0" eb="1">
      <t>ズ</t>
    </rPh>
    <phoneticPr fontId="8"/>
  </si>
  <si>
    <t>DPS課備品（機材3Fデモ用ロボット用）</t>
    <rPh sb="0" eb="4">
      <t>シセトカ</t>
    </rPh>
    <rPh sb="4" eb="6">
      <t>ビヒン</t>
    </rPh>
    <rPh sb="7" eb="9">
      <t>キザイ</t>
    </rPh>
    <rPh sb="13" eb="14">
      <t>ヨウ</t>
    </rPh>
    <rPh sb="18" eb="19">
      <t>ヨウ</t>
    </rPh>
    <phoneticPr fontId="8"/>
  </si>
  <si>
    <t>手配願います</t>
    <rPh sb="0" eb="2">
      <t>テハイ</t>
    </rPh>
    <rPh sb="2" eb="3">
      <t>ネガ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</si>
</sst>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9.95"/>
      <color theme="1"/>
      <name val="ＭＳ Ｐゴシック"/>
      <family val="3"/>
      <charset val="128"/>
      <scheme val="minor"/>
    </font>
    <font>
      <b/>
      <sz val="16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>
      <alignment vertical="center"/>
    </xf>
  </cellStyleXfs>
  <cellXfs count="107">
    <xf numFmtId="0" fontId="0" fillId="0" borderId="0" xfId="0" applyFont="1">
      <alignment vertical="center"/>
    </xf>
    <xf numFmtId="0" fontId="0" fillId="0" borderId="2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6" fontId="0" fillId="0" borderId="1" xfId="0" applyNumberFormat="1" applyFont="1" applyBorder="1" applyAlignment="1"/>
    <xf numFmtId="178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17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3" fontId="0" fillId="0" borderId="6" xfId="0" applyNumberFormat="1" applyFill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6" xfId="0" applyFont="1" applyBorder="1">
      <alignment vertical="center"/>
    </xf>
    <xf numFmtId="0" fontId="0" fillId="0" borderId="6" xfId="0" applyBorder="1" applyAlignment="1">
      <alignment horizontal="left" vertical="center"/>
    </xf>
    <xf numFmtId="176" fontId="0" fillId="0" borderId="6" xfId="0" applyNumberFormat="1" applyBorder="1">
      <alignment vertical="center"/>
    </xf>
    <xf numFmtId="3" fontId="11" fillId="0" borderId="6" xfId="0" applyNumberFormat="1" applyFont="1" applyBorder="1" applyAlignment="1">
      <alignment horizontal="center" vertical="center"/>
    </xf>
    <xf numFmtId="176" fontId="0" fillId="0" borderId="8" xfId="0" applyNumberFormat="1" applyBorder="1" applyAlignment="1"/>
    <xf numFmtId="0" fontId="0" fillId="0" borderId="0" xfId="0" applyFont="1" applyFill="1">
      <alignment vertical="center"/>
    </xf>
    <xf numFmtId="176" fontId="0" fillId="0" borderId="6" xfId="0" applyNumberForma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shrinkToFit="1"/>
    </xf>
    <xf numFmtId="49" fontId="7" fillId="0" borderId="6" xfId="0" applyNumberFormat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3" fontId="0" fillId="0" borderId="7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>
      <alignment vertical="center"/>
    </xf>
    <xf numFmtId="176" fontId="6" fillId="0" borderId="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6" xfId="0" applyFont="1" applyFill="1" applyBorder="1">
      <alignment vertical="center"/>
    </xf>
    <xf numFmtId="56" fontId="0" fillId="0" borderId="6" xfId="0" applyNumberFormat="1" applyFont="1" applyFill="1" applyBorder="1" applyAlignment="1">
      <alignment horizontal="center" vertical="center"/>
    </xf>
    <xf numFmtId="178" fontId="0" fillId="0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3" fontId="0" fillId="0" borderId="13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6" fillId="0" borderId="10" xfId="0" applyNumberFormat="1" applyFont="1" applyFill="1" applyBorder="1" applyAlignment="1">
      <alignment horizontal="center" vertical="center"/>
    </xf>
    <xf numFmtId="176" fontId="0" fillId="0" borderId="11" xfId="0" applyNumberFormat="1" applyFont="1" applyBorder="1" applyAlignment="1"/>
    <xf numFmtId="0" fontId="0" fillId="0" borderId="7" xfId="0" applyFont="1" applyBorder="1" applyAlignment="1">
      <alignment horizontal="left" vertical="center"/>
    </xf>
    <xf numFmtId="176" fontId="0" fillId="0" borderId="6" xfId="0" applyNumberFormat="1" applyFont="1" applyFill="1" applyBorder="1">
      <alignment vertical="center"/>
    </xf>
    <xf numFmtId="176" fontId="0" fillId="0" borderId="6" xfId="0" applyNumberFormat="1" applyFont="1" applyBorder="1" applyAlignment="1"/>
    <xf numFmtId="0" fontId="0" fillId="0" borderId="6" xfId="0" applyFont="1" applyBorder="1" applyAlignment="1">
      <alignment horizontal="left" vertical="center"/>
    </xf>
    <xf numFmtId="38" fontId="11" fillId="0" borderId="6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3" fontId="7" fillId="0" borderId="6" xfId="0" applyNumberFormat="1" applyFont="1" applyFill="1" applyBorder="1" applyAlignment="1">
      <alignment horizontal="center" vertical="center"/>
    </xf>
    <xf numFmtId="176" fontId="0" fillId="0" borderId="6" xfId="0" applyNumberFormat="1" applyFill="1" applyBorder="1">
      <alignment vertical="center"/>
    </xf>
    <xf numFmtId="3" fontId="0" fillId="7" borderId="6" xfId="0" applyNumberFormat="1" applyFill="1" applyBorder="1" applyAlignment="1">
      <alignment horizontal="center" vertical="center"/>
    </xf>
    <xf numFmtId="49" fontId="7" fillId="7" borderId="6" xfId="0" applyNumberFormat="1" applyFont="1" applyFill="1" applyBorder="1" applyAlignment="1">
      <alignment horizontal="left" vertical="center"/>
    </xf>
    <xf numFmtId="176" fontId="0" fillId="7" borderId="6" xfId="0" applyNumberFormat="1" applyFill="1" applyBorder="1" applyAlignment="1">
      <alignment horizontal="center" vertical="center"/>
    </xf>
    <xf numFmtId="176" fontId="0" fillId="7" borderId="6" xfId="0" applyNumberFormat="1" applyFill="1" applyBorder="1">
      <alignment vertical="center"/>
    </xf>
    <xf numFmtId="0" fontId="11" fillId="0" borderId="6" xfId="0" applyFont="1" applyBorder="1" applyAlignment="1">
      <alignment horizontal="left" vertical="center"/>
    </xf>
    <xf numFmtId="3" fontId="0" fillId="0" borderId="4" xfId="0" applyNumberFormat="1" applyFont="1" applyBorder="1" applyAlignment="1">
      <alignment horizontal="center" vertical="center"/>
    </xf>
    <xf numFmtId="38" fontId="11" fillId="0" borderId="6" xfId="0" applyNumberFormat="1" applyFont="1" applyBorder="1">
      <alignment vertical="center"/>
    </xf>
    <xf numFmtId="3" fontId="11" fillId="0" borderId="6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3" fontId="11" fillId="6" borderId="6" xfId="0" applyNumberFormat="1" applyFont="1" applyFill="1" applyBorder="1" applyAlignment="1">
      <alignment horizontal="center" vertical="center"/>
    </xf>
    <xf numFmtId="180" fontId="11" fillId="0" borderId="6" xfId="0" applyNumberFormat="1" applyFont="1" applyBorder="1" applyAlignment="1">
      <alignment horizontal="center" vertical="center"/>
    </xf>
    <xf numFmtId="3" fontId="11" fillId="8" borderId="6" xfId="0" applyNumberFormat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180" fontId="11" fillId="8" borderId="6" xfId="3" applyNumberFormat="1" applyFont="1" applyFill="1" applyBorder="1" applyAlignment="1">
      <alignment horizontal="center" vertical="center"/>
    </xf>
    <xf numFmtId="38" fontId="11" fillId="8" borderId="6" xfId="0" applyNumberFormat="1" applyFont="1" applyFill="1" applyBorder="1" applyAlignment="1">
      <alignment horizontal="right" vertical="center"/>
    </xf>
    <xf numFmtId="38" fontId="10" fillId="8" borderId="6" xfId="0" applyNumberFormat="1" applyFont="1" applyFill="1" applyBorder="1">
      <alignment vertical="center"/>
    </xf>
    <xf numFmtId="0" fontId="11" fillId="8" borderId="8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56" fontId="0" fillId="8" borderId="6" xfId="0" applyNumberFormat="1" applyFont="1" applyFill="1" applyBorder="1" applyAlignment="1">
      <alignment horizontal="center" vertical="center"/>
    </xf>
    <xf numFmtId="178" fontId="0" fillId="8" borderId="6" xfId="0" applyNumberFormat="1" applyFont="1" applyFill="1" applyBorder="1" applyAlignment="1">
      <alignment horizontal="center" vertical="center"/>
    </xf>
    <xf numFmtId="0" fontId="0" fillId="8" borderId="0" xfId="0" applyFont="1" applyFill="1">
      <alignment vertical="center"/>
    </xf>
    <xf numFmtId="0" fontId="11" fillId="8" borderId="14" xfId="0" applyFont="1" applyFill="1" applyBorder="1" applyAlignment="1">
      <alignment horizontal="left" vertical="center"/>
    </xf>
    <xf numFmtId="180" fontId="11" fillId="8" borderId="9" xfId="3" applyNumberFormat="1" applyFont="1" applyFill="1" applyBorder="1" applyAlignment="1">
      <alignment horizontal="center" vertical="center"/>
    </xf>
    <xf numFmtId="38" fontId="11" fillId="8" borderId="15" xfId="0" applyNumberFormat="1" applyFont="1" applyFill="1" applyBorder="1" applyAlignment="1">
      <alignment horizontal="right" vertical="center"/>
    </xf>
    <xf numFmtId="0" fontId="11" fillId="8" borderId="9" xfId="0" applyFont="1" applyFill="1" applyBorder="1" applyAlignment="1">
      <alignment horizontal="left" vertical="center"/>
    </xf>
    <xf numFmtId="0" fontId="1" fillId="8" borderId="6" xfId="2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shrinkToFit="1"/>
    </xf>
    <xf numFmtId="0" fontId="12" fillId="8" borderId="16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/>
    </xf>
    <xf numFmtId="176" fontId="6" fillId="3" borderId="11" xfId="0" applyNumberFormat="1" applyFont="1" applyFill="1" applyBorder="1" applyAlignment="1">
      <alignment horizontal="center" vertical="center"/>
    </xf>
    <xf numFmtId="176" fontId="6" fillId="3" borderId="12" xfId="0" applyNumberFormat="1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3992/0728/?t.mpn=ise20-n-m-m5-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5484-3D68-4E4D-94ED-EDD2DECC8132}">
  <sheetPr>
    <tabColor rgb="FFFFC000"/>
  </sheetPr>
  <dimension ref="A2:Q40"/>
  <sheetViews>
    <sheetView tabSelected="1" zoomScale="70" zoomScaleNormal="70" workbookViewId="0">
      <pane xSplit="10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Q23" sqref="Q23:Q27"/>
    </sheetView>
  </sheetViews>
  <sheetFormatPr defaultColWidth="11.75" defaultRowHeight="13.5" customHeight="1" x14ac:dyDescent="0.15"/>
  <cols>
    <col min="1" max="1" width="11.75" style="24"/>
    <col min="2" max="2" width="6.25" style="5" customWidth="1"/>
    <col min="3" max="3" width="15.25" style="24" customWidth="1"/>
    <col min="4" max="4" width="15.5" style="24" customWidth="1"/>
    <col min="5" max="5" width="71.5" style="24" customWidth="1"/>
    <col min="6" max="6" width="10.75" style="5" customWidth="1"/>
    <col min="7" max="8" width="12.125" style="5" customWidth="1"/>
    <col min="9" max="9" width="7.125" style="10" customWidth="1"/>
    <col min="10" max="10" width="50.5" style="24" customWidth="1"/>
    <col min="11" max="11" width="45.25" style="24" customWidth="1"/>
    <col min="12" max="12" width="8.125" style="5" customWidth="1"/>
    <col min="13" max="13" width="17" style="5" customWidth="1"/>
    <col min="14" max="14" width="7.875" style="24" customWidth="1"/>
    <col min="15" max="15" width="16.375" style="5" customWidth="1"/>
    <col min="16" max="16" width="17.875" style="26" customWidth="1"/>
    <col min="17" max="17" width="19.375" style="26" customWidth="1"/>
    <col min="18" max="16384" width="11.75" style="24"/>
  </cols>
  <sheetData>
    <row r="2" spans="1:17" ht="20.100000000000001" customHeight="1" x14ac:dyDescent="0.15">
      <c r="B2" s="92" t="s">
        <v>0</v>
      </c>
      <c r="C2" s="92"/>
      <c r="D2" s="92"/>
      <c r="E2" s="90" t="s">
        <v>70</v>
      </c>
      <c r="G2" s="93" t="s">
        <v>1</v>
      </c>
      <c r="H2" s="94"/>
      <c r="I2" s="95"/>
      <c r="J2" s="9">
        <f>SUM(H:H)</f>
        <v>38836</v>
      </c>
    </row>
    <row r="3" spans="1:17" ht="20.100000000000001" customHeight="1" x14ac:dyDescent="0.15">
      <c r="B3" s="92" t="s">
        <v>2</v>
      </c>
      <c r="C3" s="92"/>
      <c r="D3" s="92"/>
      <c r="E3" s="7"/>
    </row>
    <row r="4" spans="1:17" ht="20.100000000000001" customHeight="1" x14ac:dyDescent="0.15">
      <c r="B4" s="92" t="s">
        <v>3</v>
      </c>
      <c r="C4" s="92"/>
      <c r="D4" s="92"/>
      <c r="E4" s="7"/>
      <c r="G4" s="96" t="s">
        <v>31</v>
      </c>
      <c r="H4" s="96"/>
      <c r="I4" s="96"/>
      <c r="J4" s="96"/>
      <c r="K4" s="37"/>
    </row>
    <row r="5" spans="1:17" ht="20.100000000000001" customHeight="1" x14ac:dyDescent="0.15">
      <c r="B5" s="92" t="s">
        <v>4</v>
      </c>
      <c r="C5" s="92"/>
      <c r="D5" s="92"/>
      <c r="E5" s="8"/>
      <c r="G5" s="96"/>
      <c r="H5" s="96"/>
      <c r="I5" s="96"/>
      <c r="J5" s="96"/>
    </row>
    <row r="6" spans="1:17" ht="20.100000000000001" customHeight="1" x14ac:dyDescent="0.15">
      <c r="B6" s="92" t="s">
        <v>5</v>
      </c>
      <c r="C6" s="92"/>
      <c r="D6" s="92"/>
      <c r="E6" s="8"/>
      <c r="G6" s="43"/>
      <c r="H6" s="38"/>
    </row>
    <row r="8" spans="1:17" s="5" customFormat="1" ht="19.5" customHeight="1" x14ac:dyDescent="0.15">
      <c r="B8" s="67" t="s">
        <v>6</v>
      </c>
      <c r="C8" s="2" t="s">
        <v>7</v>
      </c>
      <c r="D8" s="2" t="s">
        <v>8</v>
      </c>
      <c r="E8" s="19" t="s">
        <v>9</v>
      </c>
      <c r="F8" s="19" t="s">
        <v>10</v>
      </c>
      <c r="G8" s="19" t="s">
        <v>11</v>
      </c>
      <c r="H8" s="1" t="s">
        <v>12</v>
      </c>
      <c r="I8" s="1" t="s">
        <v>13</v>
      </c>
      <c r="J8" s="19" t="s">
        <v>14</v>
      </c>
      <c r="K8" s="19" t="s">
        <v>15</v>
      </c>
      <c r="L8" s="19" t="s">
        <v>16</v>
      </c>
      <c r="M8" s="21" t="s">
        <v>17</v>
      </c>
      <c r="N8" s="2" t="s">
        <v>18</v>
      </c>
      <c r="O8" s="19" t="s">
        <v>19</v>
      </c>
      <c r="P8" s="21" t="s">
        <v>20</v>
      </c>
      <c r="Q8" s="6" t="s">
        <v>21</v>
      </c>
    </row>
    <row r="9" spans="1:17" s="5" customFormat="1" ht="19.5" customHeight="1" x14ac:dyDescent="0.15">
      <c r="B9" s="2"/>
      <c r="C9" s="2"/>
      <c r="D9" s="2"/>
      <c r="E9" s="20"/>
      <c r="F9" s="17"/>
      <c r="G9" s="17"/>
      <c r="H9" s="17"/>
      <c r="I9" s="11"/>
      <c r="J9" s="18"/>
      <c r="K9" s="19"/>
      <c r="L9" s="19"/>
      <c r="M9" s="21"/>
      <c r="N9" s="2"/>
      <c r="O9" s="19"/>
      <c r="P9" s="21"/>
      <c r="Q9" s="6"/>
    </row>
    <row r="10" spans="1:17" ht="18" customHeight="1" x14ac:dyDescent="0.15">
      <c r="B10" s="101" t="s">
        <v>22</v>
      </c>
      <c r="C10" s="102"/>
      <c r="D10" s="102"/>
      <c r="E10" s="103"/>
      <c r="F10" s="23"/>
      <c r="G10" s="23"/>
      <c r="H10" s="17"/>
      <c r="I10" s="11"/>
      <c r="J10" s="13"/>
      <c r="K10" s="20"/>
      <c r="L10" s="3"/>
      <c r="M10" s="21"/>
      <c r="N10" s="6"/>
      <c r="O10" s="6"/>
      <c r="P10" s="21"/>
      <c r="Q10" s="12"/>
    </row>
    <row r="11" spans="1:17" s="33" customFormat="1" ht="18" customHeight="1" x14ac:dyDescent="0.15">
      <c r="B11" s="70">
        <v>1</v>
      </c>
      <c r="C11" s="62" t="s">
        <v>30</v>
      </c>
      <c r="D11" s="62" t="s">
        <v>28</v>
      </c>
      <c r="E11" s="63" t="s">
        <v>41</v>
      </c>
      <c r="F11" s="64">
        <v>1</v>
      </c>
      <c r="G11" s="65">
        <v>6070</v>
      </c>
      <c r="H11" s="30">
        <f t="shared" ref="H11" si="0">F11*G11</f>
        <v>6070</v>
      </c>
      <c r="I11" s="32"/>
      <c r="J11" s="35" t="s">
        <v>32</v>
      </c>
      <c r="K11" s="48"/>
      <c r="L11" s="42"/>
      <c r="M11" s="46">
        <v>44762</v>
      </c>
      <c r="N11" s="59" t="s">
        <v>69</v>
      </c>
      <c r="O11" s="46">
        <v>44767</v>
      </c>
      <c r="P11" s="46"/>
      <c r="Q11" s="47">
        <v>44767</v>
      </c>
    </row>
    <row r="12" spans="1:17" s="33" customFormat="1" ht="18" customHeight="1" x14ac:dyDescent="0.15">
      <c r="B12" s="71">
        <f>B11+1</f>
        <v>2</v>
      </c>
      <c r="C12" s="62" t="s">
        <v>30</v>
      </c>
      <c r="D12" s="62" t="s">
        <v>28</v>
      </c>
      <c r="E12" s="63" t="s">
        <v>42</v>
      </c>
      <c r="F12" s="64">
        <v>1</v>
      </c>
      <c r="G12" s="65">
        <v>3520</v>
      </c>
      <c r="H12" s="30">
        <f t="shared" ref="H12:H18" si="1">F12*G12</f>
        <v>3520</v>
      </c>
      <c r="I12" s="32"/>
      <c r="J12" s="35" t="s">
        <v>33</v>
      </c>
      <c r="K12" s="48"/>
      <c r="L12" s="42"/>
      <c r="M12" s="46">
        <v>44762</v>
      </c>
      <c r="N12" s="59" t="s">
        <v>69</v>
      </c>
      <c r="O12" s="46">
        <v>44767</v>
      </c>
      <c r="P12" s="46"/>
      <c r="Q12" s="47">
        <v>44767</v>
      </c>
    </row>
    <row r="13" spans="1:17" s="84" customFormat="1" ht="20.25" customHeight="1" x14ac:dyDescent="0.15">
      <c r="A13" s="97" t="s">
        <v>71</v>
      </c>
      <c r="B13" s="74">
        <f t="shared" ref="B13:B18" si="2">+B12+1</f>
        <v>3</v>
      </c>
      <c r="C13" s="74" t="s">
        <v>27</v>
      </c>
      <c r="D13" s="75" t="s">
        <v>43</v>
      </c>
      <c r="E13" s="76" t="s">
        <v>44</v>
      </c>
      <c r="F13" s="77">
        <v>1</v>
      </c>
      <c r="G13" s="78">
        <v>4080</v>
      </c>
      <c r="H13" s="79">
        <f t="shared" si="1"/>
        <v>4080</v>
      </c>
      <c r="I13" s="80"/>
      <c r="J13" s="76" t="s">
        <v>45</v>
      </c>
      <c r="K13" s="76"/>
      <c r="L13" s="81" t="s">
        <v>46</v>
      </c>
      <c r="M13" s="82">
        <v>44762</v>
      </c>
      <c r="N13" s="91" t="s">
        <v>69</v>
      </c>
      <c r="O13" s="82"/>
      <c r="P13" s="82"/>
      <c r="Q13" s="83"/>
    </row>
    <row r="14" spans="1:17" s="84" customFormat="1" ht="18" customHeight="1" x14ac:dyDescent="0.15">
      <c r="A14" s="97"/>
      <c r="B14" s="74">
        <f t="shared" si="2"/>
        <v>4</v>
      </c>
      <c r="C14" s="74" t="s">
        <v>27</v>
      </c>
      <c r="D14" s="75" t="s">
        <v>47</v>
      </c>
      <c r="E14" s="85" t="s">
        <v>48</v>
      </c>
      <c r="F14" s="86">
        <v>1</v>
      </c>
      <c r="G14" s="78">
        <v>6780</v>
      </c>
      <c r="H14" s="87">
        <f t="shared" si="1"/>
        <v>6780</v>
      </c>
      <c r="I14" s="80"/>
      <c r="J14" s="88" t="s">
        <v>49</v>
      </c>
      <c r="K14" s="89" t="s">
        <v>50</v>
      </c>
      <c r="L14" s="81" t="s">
        <v>51</v>
      </c>
      <c r="M14" s="82">
        <v>44762</v>
      </c>
      <c r="N14" s="91" t="s">
        <v>69</v>
      </c>
      <c r="O14" s="82"/>
      <c r="P14" s="82"/>
      <c r="Q14" s="83">
        <v>44774</v>
      </c>
    </row>
    <row r="15" spans="1:17" s="33" customFormat="1" ht="18" customHeight="1" x14ac:dyDescent="0.15">
      <c r="B15" s="72">
        <f t="shared" si="2"/>
        <v>5</v>
      </c>
      <c r="C15" s="31" t="s">
        <v>23</v>
      </c>
      <c r="D15" s="31" t="s">
        <v>23</v>
      </c>
      <c r="E15" s="28" t="s">
        <v>52</v>
      </c>
      <c r="F15" s="73">
        <v>2</v>
      </c>
      <c r="G15" s="57">
        <v>240</v>
      </c>
      <c r="H15" s="68">
        <f t="shared" si="1"/>
        <v>480</v>
      </c>
      <c r="I15" s="58"/>
      <c r="J15" s="66" t="s">
        <v>53</v>
      </c>
      <c r="K15" s="66"/>
      <c r="L15" s="27" t="s">
        <v>54</v>
      </c>
      <c r="M15" s="46">
        <v>44762</v>
      </c>
      <c r="N15" s="59" t="s">
        <v>69</v>
      </c>
      <c r="O15" s="46">
        <v>44767</v>
      </c>
      <c r="P15" s="46"/>
      <c r="Q15" s="47">
        <v>44767</v>
      </c>
    </row>
    <row r="16" spans="1:17" s="33" customFormat="1" ht="18" customHeight="1" x14ac:dyDescent="0.15">
      <c r="B16" s="72">
        <f t="shared" si="2"/>
        <v>6</v>
      </c>
      <c r="C16" s="31" t="s">
        <v>23</v>
      </c>
      <c r="D16" s="31" t="s">
        <v>23</v>
      </c>
      <c r="E16" s="28" t="s">
        <v>29</v>
      </c>
      <c r="F16" s="73">
        <v>1</v>
      </c>
      <c r="G16" s="57">
        <v>270</v>
      </c>
      <c r="H16" s="68">
        <f t="shared" si="1"/>
        <v>270</v>
      </c>
      <c r="I16" s="58"/>
      <c r="J16" s="28" t="s">
        <v>57</v>
      </c>
      <c r="K16" s="29"/>
      <c r="L16" s="27" t="s">
        <v>54</v>
      </c>
      <c r="M16" s="46">
        <v>44762</v>
      </c>
      <c r="N16" s="59" t="s">
        <v>69</v>
      </c>
      <c r="O16" s="46">
        <v>44767</v>
      </c>
      <c r="P16" s="46"/>
      <c r="Q16" s="47">
        <v>44767</v>
      </c>
    </row>
    <row r="17" spans="2:17" s="33" customFormat="1" ht="18" customHeight="1" x14ac:dyDescent="0.15">
      <c r="B17" s="72">
        <f t="shared" si="2"/>
        <v>7</v>
      </c>
      <c r="C17" s="31" t="s">
        <v>23</v>
      </c>
      <c r="D17" s="31" t="s">
        <v>23</v>
      </c>
      <c r="E17" s="28" t="s">
        <v>58</v>
      </c>
      <c r="F17" s="73">
        <v>1</v>
      </c>
      <c r="G17" s="57">
        <v>200</v>
      </c>
      <c r="H17" s="68">
        <f t="shared" si="1"/>
        <v>200</v>
      </c>
      <c r="I17" s="58"/>
      <c r="J17" s="28" t="s">
        <v>59</v>
      </c>
      <c r="K17" s="29"/>
      <c r="L17" s="27" t="s">
        <v>54</v>
      </c>
      <c r="M17" s="46">
        <v>44762</v>
      </c>
      <c r="N17" s="59" t="s">
        <v>69</v>
      </c>
      <c r="O17" s="46">
        <v>44767</v>
      </c>
      <c r="P17" s="46"/>
      <c r="Q17" s="47">
        <v>44767</v>
      </c>
    </row>
    <row r="18" spans="2:17" s="33" customFormat="1" ht="18" customHeight="1" x14ac:dyDescent="0.15">
      <c r="B18" s="72">
        <f t="shared" si="2"/>
        <v>8</v>
      </c>
      <c r="C18" s="31" t="s">
        <v>23</v>
      </c>
      <c r="D18" s="31" t="s">
        <v>23</v>
      </c>
      <c r="E18" s="28" t="s">
        <v>60</v>
      </c>
      <c r="F18" s="73">
        <v>1</v>
      </c>
      <c r="G18" s="57">
        <v>2830</v>
      </c>
      <c r="H18" s="68">
        <f t="shared" si="1"/>
        <v>2830</v>
      </c>
      <c r="I18" s="58"/>
      <c r="J18" s="28" t="s">
        <v>61</v>
      </c>
      <c r="K18" s="29"/>
      <c r="L18" s="27" t="s">
        <v>54</v>
      </c>
      <c r="M18" s="46">
        <v>44762</v>
      </c>
      <c r="N18" s="59" t="s">
        <v>69</v>
      </c>
      <c r="O18" s="46">
        <v>44767</v>
      </c>
      <c r="P18" s="46"/>
      <c r="Q18" s="47">
        <v>44767</v>
      </c>
    </row>
    <row r="19" spans="2:17" s="33" customFormat="1" ht="18" customHeight="1" x14ac:dyDescent="0.15">
      <c r="B19" s="72">
        <f t="shared" ref="B19:B21" si="3">+B18+1</f>
        <v>9</v>
      </c>
      <c r="C19" s="31" t="s">
        <v>23</v>
      </c>
      <c r="D19" s="31" t="s">
        <v>23</v>
      </c>
      <c r="E19" s="28" t="s">
        <v>55</v>
      </c>
      <c r="F19" s="73">
        <v>1</v>
      </c>
      <c r="G19" s="57">
        <v>280</v>
      </c>
      <c r="H19" s="68">
        <f t="shared" ref="H19:H27" si="4">F19*G19</f>
        <v>280</v>
      </c>
      <c r="I19" s="58"/>
      <c r="J19" s="28" t="s">
        <v>56</v>
      </c>
      <c r="K19" s="66"/>
      <c r="L19" s="27" t="s">
        <v>54</v>
      </c>
      <c r="M19" s="46">
        <v>44762</v>
      </c>
      <c r="N19" s="59" t="s">
        <v>69</v>
      </c>
      <c r="O19" s="46">
        <v>44767</v>
      </c>
      <c r="P19" s="46"/>
      <c r="Q19" s="47">
        <v>44767</v>
      </c>
    </row>
    <row r="20" spans="2:17" s="33" customFormat="1" ht="18" customHeight="1" x14ac:dyDescent="0.15">
      <c r="B20" s="72">
        <f t="shared" si="3"/>
        <v>10</v>
      </c>
      <c r="C20" s="31" t="s">
        <v>23</v>
      </c>
      <c r="D20" s="31" t="s">
        <v>23</v>
      </c>
      <c r="E20" s="36" t="s">
        <v>34</v>
      </c>
      <c r="F20" s="34">
        <v>4</v>
      </c>
      <c r="G20" s="61">
        <v>212</v>
      </c>
      <c r="H20" s="30">
        <f t="shared" si="4"/>
        <v>848</v>
      </c>
      <c r="I20" s="32"/>
      <c r="J20" s="35" t="s">
        <v>62</v>
      </c>
      <c r="K20" s="48"/>
      <c r="L20" s="42"/>
      <c r="M20" s="46">
        <v>44762</v>
      </c>
      <c r="N20" s="59" t="s">
        <v>69</v>
      </c>
      <c r="O20" s="46">
        <v>44767</v>
      </c>
      <c r="P20" s="46"/>
      <c r="Q20" s="47">
        <v>44767</v>
      </c>
    </row>
    <row r="21" spans="2:17" s="33" customFormat="1" ht="18" customHeight="1" x14ac:dyDescent="0.15">
      <c r="B21" s="72">
        <f t="shared" si="3"/>
        <v>11</v>
      </c>
      <c r="C21" s="31" t="s">
        <v>23</v>
      </c>
      <c r="D21" s="31" t="s">
        <v>23</v>
      </c>
      <c r="E21" s="36" t="s">
        <v>35</v>
      </c>
      <c r="F21" s="34">
        <v>2</v>
      </c>
      <c r="G21" s="61">
        <v>268</v>
      </c>
      <c r="H21" s="30">
        <f t="shared" si="4"/>
        <v>536</v>
      </c>
      <c r="I21" s="32"/>
      <c r="J21" s="35" t="s">
        <v>63</v>
      </c>
      <c r="K21" s="48"/>
      <c r="L21" s="42"/>
      <c r="M21" s="46">
        <v>44762</v>
      </c>
      <c r="N21" s="59" t="s">
        <v>69</v>
      </c>
      <c r="O21" s="46">
        <v>44767</v>
      </c>
      <c r="P21" s="46"/>
      <c r="Q21" s="47">
        <v>44767</v>
      </c>
    </row>
    <row r="22" spans="2:17" s="33" customFormat="1" ht="18" customHeight="1" x14ac:dyDescent="0.15">
      <c r="B22" s="44"/>
      <c r="C22" s="25"/>
      <c r="D22" s="25"/>
      <c r="E22" s="36"/>
      <c r="F22" s="34"/>
      <c r="G22" s="61"/>
      <c r="H22" s="30"/>
      <c r="I22" s="32"/>
      <c r="J22" s="35"/>
      <c r="K22" s="48"/>
      <c r="L22" s="42"/>
      <c r="M22" s="46"/>
      <c r="N22" s="45"/>
      <c r="O22" s="46"/>
      <c r="P22" s="46"/>
      <c r="Q22" s="47"/>
    </row>
    <row r="23" spans="2:17" s="33" customFormat="1" ht="18" customHeight="1" x14ac:dyDescent="0.15">
      <c r="B23" s="72">
        <f>+B21+1</f>
        <v>12</v>
      </c>
      <c r="C23" s="60" t="s">
        <v>65</v>
      </c>
      <c r="D23" s="69" t="s">
        <v>23</v>
      </c>
      <c r="E23" s="36" t="s">
        <v>36</v>
      </c>
      <c r="F23" s="34">
        <v>3</v>
      </c>
      <c r="G23" s="61">
        <v>2650</v>
      </c>
      <c r="H23" s="30">
        <f t="shared" si="4"/>
        <v>7950</v>
      </c>
      <c r="I23" s="32"/>
      <c r="J23" s="35" t="s">
        <v>64</v>
      </c>
      <c r="K23" s="48"/>
      <c r="L23" s="42"/>
      <c r="M23" s="46">
        <v>44762</v>
      </c>
      <c r="N23" s="59" t="s">
        <v>69</v>
      </c>
      <c r="O23" s="46">
        <v>44767</v>
      </c>
      <c r="P23" s="46"/>
      <c r="Q23" s="47">
        <v>44767</v>
      </c>
    </row>
    <row r="24" spans="2:17" s="33" customFormat="1" ht="18" customHeight="1" x14ac:dyDescent="0.15">
      <c r="B24" s="72">
        <f>+B23+1</f>
        <v>13</v>
      </c>
      <c r="C24" s="69" t="s">
        <v>23</v>
      </c>
      <c r="D24" s="69" t="s">
        <v>23</v>
      </c>
      <c r="E24" s="36" t="s">
        <v>37</v>
      </c>
      <c r="F24" s="34">
        <v>1</v>
      </c>
      <c r="G24" s="61">
        <v>1360</v>
      </c>
      <c r="H24" s="30">
        <f t="shared" si="4"/>
        <v>1360</v>
      </c>
      <c r="I24" s="32"/>
      <c r="J24" s="35" t="s">
        <v>66</v>
      </c>
      <c r="K24" s="48"/>
      <c r="L24" s="42"/>
      <c r="M24" s="46">
        <v>44762</v>
      </c>
      <c r="N24" s="59" t="s">
        <v>69</v>
      </c>
      <c r="O24" s="46">
        <v>44767</v>
      </c>
      <c r="P24" s="46"/>
      <c r="Q24" s="47">
        <v>44767</v>
      </c>
    </row>
    <row r="25" spans="2:17" s="33" customFormat="1" ht="18" customHeight="1" x14ac:dyDescent="0.15">
      <c r="B25" s="72">
        <f t="shared" ref="B25:B27" si="5">+B24+1</f>
        <v>14</v>
      </c>
      <c r="C25" s="60" t="s">
        <v>67</v>
      </c>
      <c r="D25" s="69" t="s">
        <v>23</v>
      </c>
      <c r="E25" s="36" t="s">
        <v>38</v>
      </c>
      <c r="F25" s="34">
        <v>10</v>
      </c>
      <c r="G25" s="61">
        <v>139</v>
      </c>
      <c r="H25" s="30">
        <f t="shared" si="4"/>
        <v>1390</v>
      </c>
      <c r="I25" s="32"/>
      <c r="J25" s="35" t="s">
        <v>68</v>
      </c>
      <c r="K25" s="48"/>
      <c r="L25" s="42"/>
      <c r="M25" s="46">
        <v>44762</v>
      </c>
      <c r="N25" s="59" t="s">
        <v>69</v>
      </c>
      <c r="O25" s="46">
        <v>44767</v>
      </c>
      <c r="P25" s="46"/>
      <c r="Q25" s="47">
        <v>44767</v>
      </c>
    </row>
    <row r="26" spans="2:17" s="33" customFormat="1" ht="18" customHeight="1" x14ac:dyDescent="0.15">
      <c r="B26" s="72">
        <f t="shared" si="5"/>
        <v>15</v>
      </c>
      <c r="C26" s="60" t="s">
        <v>67</v>
      </c>
      <c r="D26" s="69" t="s">
        <v>23</v>
      </c>
      <c r="E26" s="36" t="s">
        <v>39</v>
      </c>
      <c r="F26" s="34">
        <v>10</v>
      </c>
      <c r="G26" s="61">
        <v>179</v>
      </c>
      <c r="H26" s="30">
        <f t="shared" si="4"/>
        <v>1790</v>
      </c>
      <c r="I26" s="32"/>
      <c r="J26" s="35" t="s">
        <v>68</v>
      </c>
      <c r="K26" s="48"/>
      <c r="L26" s="42"/>
      <c r="M26" s="46">
        <v>44762</v>
      </c>
      <c r="N26" s="59" t="s">
        <v>69</v>
      </c>
      <c r="O26" s="46">
        <v>44767</v>
      </c>
      <c r="P26" s="46"/>
      <c r="Q26" s="47">
        <v>44767</v>
      </c>
    </row>
    <row r="27" spans="2:17" s="33" customFormat="1" ht="18" customHeight="1" x14ac:dyDescent="0.15">
      <c r="B27" s="72">
        <f t="shared" si="5"/>
        <v>16</v>
      </c>
      <c r="C27" s="69" t="s">
        <v>23</v>
      </c>
      <c r="D27" s="69" t="s">
        <v>23</v>
      </c>
      <c r="E27" s="36" t="s">
        <v>40</v>
      </c>
      <c r="F27" s="34">
        <v>2</v>
      </c>
      <c r="G27" s="61">
        <v>226</v>
      </c>
      <c r="H27" s="30">
        <f t="shared" si="4"/>
        <v>452</v>
      </c>
      <c r="I27" s="32"/>
      <c r="J27" s="35" t="s">
        <v>63</v>
      </c>
      <c r="K27" s="48"/>
      <c r="L27" s="42"/>
      <c r="M27" s="46">
        <v>44762</v>
      </c>
      <c r="N27" s="59" t="s">
        <v>69</v>
      </c>
      <c r="O27" s="46">
        <v>44767</v>
      </c>
      <c r="P27" s="46"/>
      <c r="Q27" s="47">
        <v>44767</v>
      </c>
    </row>
    <row r="28" spans="2:17" s="33" customFormat="1" ht="18" customHeight="1" x14ac:dyDescent="0.15">
      <c r="B28" s="44"/>
      <c r="C28" s="25"/>
      <c r="D28" s="25"/>
      <c r="E28" s="36"/>
      <c r="F28" s="34"/>
      <c r="G28" s="61"/>
      <c r="H28" s="30"/>
      <c r="I28" s="32"/>
      <c r="J28" s="35"/>
      <c r="K28" s="48"/>
      <c r="L28" s="42"/>
      <c r="M28" s="46"/>
      <c r="N28" s="45"/>
      <c r="O28" s="46"/>
      <c r="P28" s="46"/>
      <c r="Q28" s="47"/>
    </row>
    <row r="29" spans="2:17" s="33" customFormat="1" ht="18" customHeight="1" x14ac:dyDescent="0.15">
      <c r="B29" s="44"/>
      <c r="C29" s="25"/>
      <c r="D29" s="25"/>
      <c r="E29" s="36"/>
      <c r="F29" s="34"/>
      <c r="G29" s="61"/>
      <c r="H29" s="30"/>
      <c r="I29" s="32"/>
      <c r="J29" s="35"/>
      <c r="K29" s="48"/>
      <c r="L29" s="42"/>
      <c r="M29" s="46"/>
      <c r="N29" s="45"/>
      <c r="O29" s="46"/>
      <c r="P29" s="46"/>
      <c r="Q29" s="47"/>
    </row>
    <row r="30" spans="2:17" ht="18" customHeight="1" x14ac:dyDescent="0.15">
      <c r="B30" s="14"/>
      <c r="C30" s="2"/>
      <c r="D30" s="4"/>
      <c r="E30" s="104">
        <f>SUM(H11:H28)</f>
        <v>38836</v>
      </c>
      <c r="F30" s="105"/>
      <c r="G30" s="105"/>
      <c r="H30" s="106"/>
      <c r="I30" s="16"/>
      <c r="J30" s="15"/>
      <c r="K30" s="20"/>
      <c r="L30" s="3"/>
      <c r="M30" s="21"/>
      <c r="N30" s="6"/>
      <c r="O30" s="6"/>
      <c r="P30" s="21"/>
      <c r="Q30" s="12"/>
    </row>
    <row r="31" spans="2:17" ht="18" customHeight="1" x14ac:dyDescent="0.15">
      <c r="B31" s="14"/>
      <c r="C31" s="39"/>
      <c r="D31" s="40"/>
      <c r="E31" s="51"/>
      <c r="F31" s="51"/>
      <c r="G31" s="51"/>
      <c r="H31" s="51"/>
      <c r="I31" s="52"/>
      <c r="J31" s="53"/>
      <c r="K31" s="20"/>
      <c r="L31" s="3"/>
      <c r="M31" s="21"/>
      <c r="N31" s="6"/>
      <c r="O31" s="6"/>
      <c r="P31" s="21"/>
      <c r="Q31" s="12"/>
    </row>
    <row r="32" spans="2:17" ht="18" customHeight="1" x14ac:dyDescent="0.15">
      <c r="B32" s="14"/>
      <c r="C32" s="49"/>
      <c r="D32" s="54"/>
      <c r="E32" s="41"/>
      <c r="F32" s="41"/>
      <c r="G32" s="41"/>
      <c r="H32" s="41"/>
      <c r="I32" s="55"/>
      <c r="J32" s="56"/>
      <c r="K32" s="50"/>
      <c r="L32" s="3"/>
      <c r="M32" s="21"/>
      <c r="N32" s="6"/>
      <c r="O32" s="6"/>
      <c r="P32" s="21"/>
      <c r="Q32" s="12"/>
    </row>
    <row r="33" spans="2:17" ht="18" customHeight="1" x14ac:dyDescent="0.15">
      <c r="B33" s="19"/>
      <c r="C33" s="2"/>
      <c r="D33" s="2"/>
      <c r="E33" s="13"/>
      <c r="F33" s="23"/>
      <c r="G33" s="23"/>
      <c r="H33" s="17"/>
      <c r="I33" s="1"/>
      <c r="J33" s="13"/>
      <c r="K33" s="20"/>
      <c r="L33" s="3"/>
      <c r="M33" s="21"/>
      <c r="N33" s="6"/>
      <c r="O33" s="6"/>
      <c r="P33" s="21"/>
      <c r="Q33" s="12"/>
    </row>
    <row r="34" spans="2:17" ht="18" customHeight="1" x14ac:dyDescent="0.15">
      <c r="B34" s="19"/>
      <c r="C34" s="19"/>
      <c r="D34" s="19"/>
      <c r="E34" s="20" t="s">
        <v>24</v>
      </c>
      <c r="F34" s="17"/>
      <c r="G34" s="17"/>
      <c r="H34" s="17">
        <f>F34*G34</f>
        <v>0</v>
      </c>
      <c r="I34" s="11"/>
      <c r="J34" s="13" t="s">
        <v>25</v>
      </c>
      <c r="K34" s="22"/>
      <c r="L34" s="19"/>
      <c r="M34" s="21"/>
      <c r="N34" s="22"/>
      <c r="O34" s="19"/>
      <c r="P34" s="21"/>
      <c r="Q34" s="12"/>
    </row>
    <row r="35" spans="2:17" ht="18" customHeight="1" x14ac:dyDescent="0.15">
      <c r="B35" s="19"/>
      <c r="C35" s="2"/>
      <c r="D35" s="2"/>
      <c r="E35" s="20" t="s">
        <v>25</v>
      </c>
      <c r="F35" s="17"/>
      <c r="G35" s="17">
        <v>5000</v>
      </c>
      <c r="H35" s="17">
        <f>F35*G35</f>
        <v>0</v>
      </c>
      <c r="I35" s="11"/>
      <c r="J35" s="13" t="s">
        <v>26</v>
      </c>
      <c r="K35" s="22"/>
      <c r="L35" s="19"/>
      <c r="M35" s="21"/>
      <c r="N35" s="22"/>
      <c r="O35" s="19"/>
      <c r="P35" s="21"/>
      <c r="Q35" s="6"/>
    </row>
    <row r="36" spans="2:17" ht="18" customHeight="1" x14ac:dyDescent="0.15">
      <c r="B36" s="19"/>
      <c r="C36" s="2"/>
      <c r="D36" s="2"/>
      <c r="E36" s="20" t="s">
        <v>26</v>
      </c>
      <c r="F36" s="17"/>
      <c r="G36" s="17"/>
      <c r="H36" s="17">
        <f>F36*G36</f>
        <v>0</v>
      </c>
      <c r="I36" s="11"/>
      <c r="J36" s="3"/>
      <c r="K36" s="22"/>
      <c r="L36" s="19"/>
      <c r="M36" s="19"/>
      <c r="N36" s="22"/>
      <c r="O36" s="19"/>
      <c r="P36" s="6"/>
      <c r="Q36" s="6"/>
    </row>
    <row r="37" spans="2:17" ht="18" customHeight="1" x14ac:dyDescent="0.15">
      <c r="B37" s="19"/>
      <c r="C37" s="2"/>
      <c r="D37" s="2"/>
      <c r="E37" s="98"/>
      <c r="F37" s="99"/>
      <c r="G37" s="99"/>
      <c r="H37" s="100"/>
      <c r="I37" s="4"/>
      <c r="J37" s="15"/>
    </row>
    <row r="38" spans="2:17" ht="18" customHeight="1" x14ac:dyDescent="0.15"/>
    <row r="39" spans="2:17" ht="18" customHeight="1" x14ac:dyDescent="0.15"/>
    <row r="40" spans="2:17" ht="18" customHeight="1" x14ac:dyDescent="0.15"/>
  </sheetData>
  <autoFilter ref="B8:O40" xr:uid="{00000000-0009-0000-0000-000003000000}"/>
  <mergeCells count="11">
    <mergeCell ref="A13:A14"/>
    <mergeCell ref="E37:H37"/>
    <mergeCell ref="B6:D6"/>
    <mergeCell ref="B10:E10"/>
    <mergeCell ref="E30:H30"/>
    <mergeCell ref="B2:D2"/>
    <mergeCell ref="G2:I2"/>
    <mergeCell ref="B3:D3"/>
    <mergeCell ref="B4:D4"/>
    <mergeCell ref="G4:J5"/>
    <mergeCell ref="B5:D5"/>
  </mergeCells>
  <phoneticPr fontId="8"/>
  <dataValidations disablePrompts="1" count="1">
    <dataValidation allowBlank="1" showInputMessage="1" showErrorMessage="1" sqref="J30:J32" xr:uid="{6E4F9FB1-B099-4DA8-93C7-1C74069EA750}"/>
  </dataValidations>
  <hyperlinks>
    <hyperlink ref="K14" r:id="rId1" xr:uid="{87AE2490-0266-48D0-96C9-03EA946B6919}"/>
  </hyperlinks>
  <printOptions gridLines="1"/>
  <pageMargins left="0.2" right="0.2" top="0.75" bottom="0.75" header="0.3" footer="0.3"/>
  <pageSetup orientation="landscape" r:id="rId2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 (20211124) </vt:lpstr>
      <vt:lpstr>'発注 (20211124)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2022-08-01T02:55:25Z</dcterms:modified>
</cp:coreProperties>
</file>