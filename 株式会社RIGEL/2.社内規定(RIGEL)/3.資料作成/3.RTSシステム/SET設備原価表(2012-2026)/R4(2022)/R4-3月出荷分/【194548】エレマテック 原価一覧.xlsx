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6\data\製品管理部(機材)出荷管理課・資材調達課\機材・資材調達課(ﾛﾎﾞｯﾄ部品手配)\"/>
    </mc:Choice>
  </mc:AlternateContent>
  <xr:revisionPtr revIDLastSave="0" documentId="13_ncr:1_{F8022E64-2983-49D7-9D0D-69DCDC61FF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4" r:id="rId2"/>
    <sheet name="治具手配数量" sheetId="2" r:id="rId3"/>
    <sheet name="Sheet3" sheetId="3" r:id="rId4"/>
  </sheets>
  <definedNames>
    <definedName name="_xlnm._FilterDatabase" localSheetId="0" hidden="1">原価表!$B$9:$O$17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1" i="1"/>
  <c r="H12" i="1"/>
  <c r="H13" i="1"/>
  <c r="H14" i="1"/>
  <c r="H10" i="1"/>
  <c r="J2" i="1" l="1"/>
</calcChain>
</file>

<file path=xl/sharedStrings.xml><?xml version="1.0" encoding="utf-8"?>
<sst xmlns="http://schemas.openxmlformats.org/spreadsheetml/2006/main" count="80" uniqueCount="65">
  <si>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</si>
  <si>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</si>
  <si>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</si>
  <si>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</si>
  <si>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</si>
  <si>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</si>
  <si>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</si>
  <si>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</si>
  <si>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</si>
  <si>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</si>
  <si>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</si>
  <si>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</si>
  <si>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</si>
  <si>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</si>
  <si>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</si>
  <si>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</si>
  <si>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</si>
  <si>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</si>
  <si>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</si>
  <si>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</si>
  <si>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</si>
  <si>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</si>
  <si>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型　式</t>
    <rPh sb="0" eb="1">
      <t>ガタ</t>
    </rPh>
    <rPh sb="2" eb="3">
      <t>シキ</t>
    </rPh>
    <phoneticPr fontId="2"/>
  </si>
  <si>
    <t>図　番</t>
    <rPh sb="0" eb="1">
      <t>ズ</t>
    </rPh>
    <rPh sb="2" eb="3">
      <t>バン</t>
    </rPh>
    <phoneticPr fontId="2"/>
  </si>
  <si>
    <t>数 量</t>
    <rPh sb="0" eb="1">
      <t>スウ</t>
    </rPh>
    <rPh sb="2" eb="3">
      <t>リョウ</t>
    </rPh>
    <phoneticPr fontId="2"/>
  </si>
  <si>
    <t>№</t>
    <phoneticPr fontId="2"/>
  </si>
  <si>
    <t>備 考</t>
    <rPh sb="0" eb="1">
      <t>ビ</t>
    </rPh>
    <rPh sb="2" eb="3">
      <t>コウ</t>
    </rPh>
    <phoneticPr fontId="2"/>
  </si>
  <si>
    <t>SS40079</t>
    <phoneticPr fontId="2"/>
  </si>
  <si>
    <t>740,752,780用ﾎﾙﾀﾞ(P=25)</t>
    <rPh sb="11" eb="12">
      <t>ヨウ</t>
    </rPh>
    <phoneticPr fontId="2"/>
  </si>
  <si>
    <t>147826-Y01</t>
    <phoneticPr fontId="2"/>
  </si>
  <si>
    <t>ﾂｰﾙ取付板</t>
    <rPh sb="3" eb="5">
      <t>トリツケ</t>
    </rPh>
    <rPh sb="5" eb="6">
      <t>イタ</t>
    </rPh>
    <phoneticPr fontId="2"/>
  </si>
  <si>
    <t>ﾌﾞｻﾞｰBOX(残検付)</t>
    <rPh sb="9" eb="10">
      <t>ザン</t>
    </rPh>
    <rPh sb="10" eb="11">
      <t>ケン</t>
    </rPh>
    <rPh sb="11" eb="12">
      <t>ツキ</t>
    </rPh>
    <phoneticPr fontId="2"/>
  </si>
  <si>
    <t>TJ0040-02-001A</t>
    <phoneticPr fontId="2"/>
  </si>
  <si>
    <t>冶具加工品</t>
    <rPh sb="0" eb="2">
      <t>ジグ</t>
    </rPh>
    <rPh sb="2" eb="5">
      <t>カコウヒン</t>
    </rPh>
    <phoneticPr fontId="2"/>
  </si>
  <si>
    <t>製作品</t>
    <rPh sb="0" eb="3">
      <t>セイサクヒン</t>
    </rPh>
    <phoneticPr fontId="2"/>
  </si>
  <si>
    <t>★SKG(155591)向け 治具・製作品 数量</t>
    <rPh sb="12" eb="13">
      <t>ム</t>
    </rPh>
    <rPh sb="15" eb="17">
      <t>ジグ</t>
    </rPh>
    <rPh sb="18" eb="21">
      <t>セイサクヒン</t>
    </rPh>
    <rPh sb="22" eb="24">
      <t>スウリョウ</t>
    </rPh>
    <phoneticPr fontId="2"/>
  </si>
  <si>
    <t>作成：2018.02.27</t>
    <rPh sb="0" eb="2">
      <t>サクセイ</t>
    </rPh>
    <phoneticPr fontId="2"/>
  </si>
  <si>
    <t>150688-Z01</t>
    <phoneticPr fontId="2"/>
  </si>
  <si>
    <t>ｱﾝﾌﾟ固定L板金</t>
    <rPh sb="4" eb="6">
      <t>コテイ</t>
    </rPh>
    <rPh sb="7" eb="9">
      <t>バンキン</t>
    </rPh>
    <phoneticPr fontId="2"/>
  </si>
  <si>
    <t>関口</t>
    <rPh sb="0" eb="2">
      <t>セキグチ</t>
    </rPh>
    <phoneticPr fontId="2"/>
  </si>
  <si>
    <t>A寸法</t>
    <rPh sb="1" eb="3">
      <t>スンポウ</t>
    </rPh>
    <phoneticPr fontId="2"/>
  </si>
  <si>
    <t>図面番号</t>
    <rPh sb="0" eb="2">
      <t>ズメン</t>
    </rPh>
    <rPh sb="2" eb="4">
      <t>バンゴウ</t>
    </rPh>
    <phoneticPr fontId="2"/>
  </si>
  <si>
    <t>数量</t>
    <rPh sb="0" eb="2">
      <t>スウリョウ</t>
    </rPh>
    <phoneticPr fontId="2"/>
  </si>
  <si>
    <t>183216-X04(10.0mmﾌﾟﾚｰﾄ）</t>
    <phoneticPr fontId="2"/>
  </si>
  <si>
    <t>183216-X05(22.5mmﾌﾟﾚｰﾄ）</t>
    <phoneticPr fontId="2"/>
  </si>
  <si>
    <t>183216-X06(30.0mmﾌﾟﾚｰﾄ）</t>
    <phoneticPr fontId="2"/>
  </si>
  <si>
    <t>183216-X07(35.0mmﾌﾟﾚｰﾄ）</t>
    <phoneticPr fontId="2"/>
  </si>
  <si>
    <t>山崎工業（松崎化成）</t>
    <rPh sb="0" eb="4">
      <t>ヤマザキコウギョウ</t>
    </rPh>
    <rPh sb="5" eb="7">
      <t>マツザキ</t>
    </rPh>
    <rPh sb="7" eb="9">
      <t>カセイ</t>
    </rPh>
    <phoneticPr fontId="2"/>
  </si>
  <si>
    <t>エレマテック</t>
    <phoneticPr fontId="2"/>
  </si>
  <si>
    <t>真空ｴｼﾞｪｸﾀ</t>
    <rPh sb="0" eb="2">
      <t>シンクウ</t>
    </rPh>
    <phoneticPr fontId="2"/>
  </si>
  <si>
    <t>継ぎ手</t>
    <rPh sb="0" eb="1">
      <t>ツ</t>
    </rPh>
    <rPh sb="2" eb="3">
      <t>テ</t>
    </rPh>
    <phoneticPr fontId="2"/>
  </si>
  <si>
    <t>Oﾘﾝｸﾞ</t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</si>
  <si>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</si>
  <si>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</si>
  <si>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</si>
  <si>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設計・手配費</t>
    <rPh sb="0" eb="2">
      <t>セッケイ</t>
    </rPh>
    <rPh sb="3" eb="5">
      <t>テハイ</t>
    </rPh>
    <rPh sb="5" eb="6">
      <t>ヒ</t>
    </rPh>
    <phoneticPr fontId="2"/>
  </si>
  <si>
    <t>KQ2H06-M5N</t>
  </si>
  <si>
    <t>SMC</t>
    <phoneticPr fontId="2"/>
  </si>
  <si>
    <t>制御機材</t>
    <rPh sb="0" eb="4">
      <t>セイギョキザイ</t>
    </rPh>
    <phoneticPr fontId="2"/>
  </si>
  <si>
    <t>CONNECT</t>
    <phoneticPr fontId="2"/>
  </si>
  <si>
    <t>■NV-S-Z01A(ﾉｽﾞﾙﾊﾞｷｭｰﾑﾍﾞｰｽ)</t>
    <phoneticPr fontId="2"/>
  </si>
  <si>
    <t>■NV-S-Z02A(ﾉｽﾞﾙﾊﾞｷｭｰﾑﾄｯﾌﾟ)</t>
    <phoneticPr fontId="2"/>
  </si>
  <si>
    <t>Web発注済み</t>
    <rPh sb="3" eb="6">
      <t>ハッチュウス</t>
    </rPh>
    <phoneticPr fontId="2"/>
  </si>
  <si>
    <t>ZK2A10J5NL2A-06-B</t>
    <phoneticPr fontId="2"/>
  </si>
  <si>
    <t>NSSK32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</si>
</sst>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0.0_ 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49" fontId="7" fillId="4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176" fontId="5" fillId="0" borderId="1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8" fontId="0" fillId="0" borderId="0" xfId="0" applyNumberFormat="1" applyFon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181" fontId="0" fillId="0" borderId="0" xfId="0" applyNumberFormat="1">
      <alignment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3" fontId="8" fillId="0" borderId="1" xfId="0" applyNumberFormat="1" applyFont="1" applyFill="1" applyBorder="1" applyAlignment="1">
      <alignment horizontal="right" vertical="center"/>
    </xf>
    <xf numFmtId="3" fontId="0" fillId="0" borderId="0" xfId="0" applyNumberFormat="1" applyFont="1" applyAlignment="1">
      <alignment horizontal="right" vertical="center"/>
    </xf>
    <xf numFmtId="3" fontId="0" fillId="0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3" xfId="0" applyNumberFormat="1" applyFont="1" applyFill="1" applyBorder="1" applyAlignment="1">
      <alignment horizontal="right" vertical="center"/>
    </xf>
    <xf numFmtId="49" fontId="1" fillId="0" borderId="8" xfId="0" applyNumberFormat="1" applyFont="1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56" fontId="0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"/>
  <sheetViews>
    <sheetView tabSelected="1" zoomScaleNormal="100" workbookViewId="0">
      <pane xSplit="10" ySplit="9" topLeftCell="O10" activePane="bottomRight" state="frozen"/>
      <selection pane="topRight" activeCell="K1" sqref="K1"/>
      <selection pane="bottomLeft" activeCell="A9" sqref="A9"/>
      <selection pane="bottomRight" activeCell="Q12" sqref="Q12"/>
    </sheetView>
  </sheetViews>
  <sheetFormatPr defaultColWidth="9" defaultRowHeight="13.5" x14ac:dyDescent="0.15"/>
  <cols>
    <col min="1" max="1" width="2.625" style="11" customWidth="1"/>
    <col min="2" max="2" width="20.125" style="19" bestFit="1" customWidth="1"/>
    <col min="3" max="3" width="14.375" style="11" bestFit="1" customWidth="1"/>
    <col min="4" max="4" width="13.125" style="11" bestFit="1" customWidth="1"/>
    <col min="5" max="5" width="40.625" style="11" customWidth="1"/>
    <col min="6" max="6" width="6.25" style="11" customWidth="1"/>
    <col min="7" max="8" width="9.875" style="56" bestFit="1" customWidth="1"/>
    <col min="9" max="9" width="7.5" style="16" customWidth="1"/>
    <col min="10" max="10" width="35.25" style="11" bestFit="1" customWidth="1"/>
    <col min="11" max="11" width="34.625" style="11" bestFit="1" customWidth="1"/>
    <col min="12" max="12" width="11" style="19" customWidth="1"/>
    <col min="13" max="13" width="13.75" style="15" customWidth="1"/>
    <col min="14" max="14" width="6.375" style="11" customWidth="1"/>
    <col min="15" max="15" width="26.25" style="16" customWidth="1"/>
    <col min="16" max="16" width="27.5" style="17" customWidth="1"/>
    <col min="17" max="17" width="15.625" style="54" customWidth="1"/>
    <col min="18" max="16384" width="9" style="11"/>
  </cols>
  <sheetData>
    <row r="2" spans="2:17" ht="20.100000000000001" customHeight="1" x14ac:dyDescent="0.15">
      <c r="B2" s="63" t="s">
        <v>11</v>
      </c>
      <c r="C2" s="63"/>
      <c r="D2" s="63"/>
      <c r="E2" s="10" t="s">
        <v>48</v>
      </c>
      <c r="G2" s="64" t="s">
        <v>15</v>
      </c>
      <c r="H2" s="65"/>
      <c r="I2" s="66"/>
      <c r="J2" s="12">
        <f>SUM(H:H)</f>
        <v>58100</v>
      </c>
      <c r="K2" s="13"/>
      <c r="L2" s="14"/>
    </row>
    <row r="3" spans="2:17" ht="20.100000000000001" customHeight="1" x14ac:dyDescent="0.15">
      <c r="B3" s="63" t="s">
        <v>10</v>
      </c>
      <c r="C3" s="63"/>
      <c r="D3" s="63"/>
      <c r="E3" s="18" t="s">
        <v>39</v>
      </c>
    </row>
    <row r="4" spans="2:17" ht="20.100000000000001" customHeight="1" x14ac:dyDescent="0.15">
      <c r="B4" s="63" t="s">
        <v>12</v>
      </c>
      <c r="C4" s="63"/>
      <c r="D4" s="63"/>
      <c r="E4" s="18">
        <v>194548</v>
      </c>
      <c r="J4" s="20"/>
    </row>
    <row r="5" spans="2:17" ht="20.100000000000001" customHeight="1" x14ac:dyDescent="0.15">
      <c r="B5" s="63" t="s">
        <v>13</v>
      </c>
      <c r="C5" s="63"/>
      <c r="D5" s="63"/>
      <c r="E5" s="21">
        <v>44624</v>
      </c>
      <c r="J5" s="20"/>
    </row>
    <row r="6" spans="2:17" ht="20.100000000000001" customHeight="1" x14ac:dyDescent="0.15">
      <c r="B6" s="63" t="s">
        <v>14</v>
      </c>
      <c r="C6" s="63"/>
      <c r="D6" s="63"/>
      <c r="E6" s="21">
        <v>44634</v>
      </c>
      <c r="J6" s="20"/>
    </row>
    <row r="7" spans="2:17" ht="20.100000000000001" customHeight="1" x14ac:dyDescent="0.15">
      <c r="B7" s="22"/>
      <c r="C7" s="22"/>
      <c r="D7" s="22"/>
      <c r="E7" s="23"/>
      <c r="J7" s="20"/>
      <c r="L7" s="24"/>
    </row>
    <row r="9" spans="2:17" s="30" customFormat="1" ht="19.7" customHeight="1" x14ac:dyDescent="0.15">
      <c r="B9" s="25" t="s">
        <v>4</v>
      </c>
      <c r="C9" s="25" t="s">
        <v>9</v>
      </c>
      <c r="D9" s="25" t="s">
        <v>5</v>
      </c>
      <c r="E9" s="26" t="s">
        <v>8</v>
      </c>
      <c r="F9" s="26" t="s">
        <v>0</v>
      </c>
      <c r="G9" s="57" t="s">
        <v>1</v>
      </c>
      <c r="H9" s="59" t="s">
        <v>2</v>
      </c>
      <c r="I9" s="27" t="s">
        <v>18</v>
      </c>
      <c r="J9" s="26" t="s">
        <v>3</v>
      </c>
      <c r="K9" s="26" t="s">
        <v>17</v>
      </c>
      <c r="L9" s="26" t="s">
        <v>16</v>
      </c>
      <c r="M9" s="28" t="s">
        <v>6</v>
      </c>
      <c r="N9" s="25" t="s">
        <v>19</v>
      </c>
      <c r="O9" s="26" t="s">
        <v>7</v>
      </c>
      <c r="P9" s="28" t="s">
        <v>20</v>
      </c>
      <c r="Q9" s="29" t="s">
        <v>21</v>
      </c>
    </row>
    <row r="10" spans="2:17" s="30" customFormat="1" ht="19.7" customHeight="1" x14ac:dyDescent="0.15">
      <c r="B10" s="25"/>
      <c r="C10" s="25" t="s">
        <v>59</v>
      </c>
      <c r="D10" s="25" t="s">
        <v>59</v>
      </c>
      <c r="E10" s="31" t="s">
        <v>60</v>
      </c>
      <c r="F10" s="33">
        <v>2</v>
      </c>
      <c r="G10" s="57">
        <v>8500</v>
      </c>
      <c r="H10" s="59">
        <f>F10*G10</f>
        <v>17000</v>
      </c>
      <c r="I10" s="27"/>
      <c r="J10" s="42"/>
      <c r="K10" s="61"/>
      <c r="L10" s="26"/>
      <c r="M10" s="28">
        <v>44609</v>
      </c>
      <c r="N10" s="25"/>
      <c r="O10" s="26"/>
      <c r="P10" s="28">
        <v>44624</v>
      </c>
      <c r="Q10" s="29">
        <v>44624</v>
      </c>
    </row>
    <row r="11" spans="2:17" s="30" customFormat="1" ht="19.7" customHeight="1" x14ac:dyDescent="0.15">
      <c r="B11" s="25"/>
      <c r="C11" s="25" t="s">
        <v>59</v>
      </c>
      <c r="D11" s="25" t="s">
        <v>59</v>
      </c>
      <c r="E11" s="35" t="s">
        <v>61</v>
      </c>
      <c r="F11" s="33">
        <v>2</v>
      </c>
      <c r="G11" s="55">
        <v>5500</v>
      </c>
      <c r="H11" s="59">
        <f t="shared" ref="H11:H14" si="0">F11*G11</f>
        <v>11000</v>
      </c>
      <c r="I11" s="34"/>
      <c r="J11" s="36"/>
      <c r="K11" s="61"/>
      <c r="L11" s="26"/>
      <c r="M11" s="28">
        <v>44609</v>
      </c>
      <c r="N11" s="25"/>
      <c r="O11" s="26"/>
      <c r="P11" s="28">
        <v>44624</v>
      </c>
      <c r="Q11" s="29">
        <v>44624</v>
      </c>
    </row>
    <row r="12" spans="2:17" s="30" customFormat="1" ht="19.7" customHeight="1" x14ac:dyDescent="0.15">
      <c r="B12" s="25"/>
      <c r="C12" s="25" t="s">
        <v>57</v>
      </c>
      <c r="D12" s="25" t="s">
        <v>58</v>
      </c>
      <c r="E12" s="35" t="s">
        <v>63</v>
      </c>
      <c r="F12" s="33">
        <v>2</v>
      </c>
      <c r="G12" s="55">
        <v>9780</v>
      </c>
      <c r="H12" s="59">
        <f t="shared" si="0"/>
        <v>19560</v>
      </c>
      <c r="I12" s="34"/>
      <c r="J12" s="36" t="s">
        <v>49</v>
      </c>
      <c r="K12" s="61"/>
      <c r="L12" s="26"/>
      <c r="M12" s="28">
        <v>44609</v>
      </c>
      <c r="N12" s="25"/>
      <c r="O12" s="62">
        <v>44617</v>
      </c>
      <c r="P12" s="28">
        <v>44620</v>
      </c>
      <c r="Q12" s="29">
        <v>44620</v>
      </c>
    </row>
    <row r="13" spans="2:17" s="30" customFormat="1" ht="19.7" customHeight="1" x14ac:dyDescent="0.15">
      <c r="B13" s="25"/>
      <c r="C13" s="25" t="s">
        <v>57</v>
      </c>
      <c r="D13" s="25" t="s">
        <v>58</v>
      </c>
      <c r="E13" s="44" t="s">
        <v>56</v>
      </c>
      <c r="F13" s="45">
        <v>2</v>
      </c>
      <c r="G13" s="58">
        <v>140</v>
      </c>
      <c r="H13" s="59">
        <f t="shared" si="0"/>
        <v>280</v>
      </c>
      <c r="I13" s="40"/>
      <c r="J13" s="36" t="s">
        <v>50</v>
      </c>
      <c r="K13" s="61"/>
      <c r="L13" s="26"/>
      <c r="M13" s="28">
        <v>44609</v>
      </c>
      <c r="N13" s="25"/>
      <c r="O13" s="62">
        <v>44617</v>
      </c>
      <c r="P13" s="28">
        <v>44614</v>
      </c>
      <c r="Q13" s="29">
        <v>44614</v>
      </c>
    </row>
    <row r="14" spans="2:17" s="47" customFormat="1" ht="19.7" customHeight="1" x14ac:dyDescent="0.15">
      <c r="B14" s="43"/>
      <c r="C14" s="25" t="s">
        <v>52</v>
      </c>
      <c r="D14" s="25" t="s">
        <v>52</v>
      </c>
      <c r="E14" s="48" t="s">
        <v>64</v>
      </c>
      <c r="F14" s="45">
        <v>2</v>
      </c>
      <c r="G14" s="58">
        <v>130</v>
      </c>
      <c r="H14" s="59">
        <f t="shared" si="0"/>
        <v>260</v>
      </c>
      <c r="I14" s="49"/>
      <c r="J14" s="48" t="s">
        <v>51</v>
      </c>
      <c r="K14" s="39" t="s">
        <v>62</v>
      </c>
      <c r="L14" s="39"/>
      <c r="M14" s="50"/>
      <c r="N14" s="43"/>
      <c r="O14" s="39"/>
      <c r="P14" s="50"/>
      <c r="Q14" s="51">
        <v>44622</v>
      </c>
    </row>
    <row r="15" spans="2:17" s="47" customFormat="1" ht="19.7" customHeight="1" x14ac:dyDescent="0.15">
      <c r="B15" s="43"/>
      <c r="C15" s="25" t="s">
        <v>53</v>
      </c>
      <c r="D15" s="25" t="s">
        <v>53</v>
      </c>
      <c r="E15" s="48" t="s">
        <v>55</v>
      </c>
      <c r="F15" s="45">
        <v>1</v>
      </c>
      <c r="G15" s="58">
        <v>5000</v>
      </c>
      <c r="H15" s="59">
        <f t="shared" ref="H15:H16" si="1">F15*G15</f>
        <v>5000</v>
      </c>
      <c r="I15" s="49"/>
      <c r="J15" s="48"/>
      <c r="K15" s="39"/>
      <c r="L15" s="39"/>
      <c r="M15" s="50"/>
      <c r="N15" s="43"/>
      <c r="O15" s="39"/>
      <c r="P15" s="50"/>
      <c r="Q15" s="51"/>
    </row>
    <row r="16" spans="2:17" s="47" customFormat="1" ht="19.7" customHeight="1" x14ac:dyDescent="0.15">
      <c r="B16" s="43"/>
      <c r="C16" s="25" t="s">
        <v>53</v>
      </c>
      <c r="D16" s="25" t="s">
        <v>53</v>
      </c>
      <c r="E16" s="48" t="s">
        <v>54</v>
      </c>
      <c r="F16" s="45">
        <v>1</v>
      </c>
      <c r="G16" s="58">
        <v>5000</v>
      </c>
      <c r="H16" s="59">
        <f t="shared" si="1"/>
        <v>5000</v>
      </c>
      <c r="I16" s="49"/>
      <c r="J16" s="48"/>
      <c r="K16" s="39"/>
      <c r="L16" s="39"/>
      <c r="M16" s="50"/>
      <c r="N16" s="43"/>
      <c r="O16" s="39"/>
      <c r="P16" s="50"/>
      <c r="Q16" s="51"/>
    </row>
    <row r="17" spans="2:17" s="47" customFormat="1" ht="19.7" customHeight="1" x14ac:dyDescent="0.15">
      <c r="B17" s="43"/>
      <c r="C17" s="52"/>
      <c r="D17" s="52"/>
      <c r="E17" s="41"/>
      <c r="F17" s="41"/>
      <c r="G17" s="58"/>
      <c r="H17" s="58"/>
      <c r="I17" s="40"/>
      <c r="J17" s="60"/>
      <c r="K17" s="43"/>
      <c r="L17" s="43"/>
      <c r="M17" s="50"/>
      <c r="N17" s="43"/>
      <c r="O17" s="53"/>
      <c r="P17" s="53"/>
      <c r="Q17" s="51"/>
    </row>
  </sheetData>
  <autoFilter ref="B9:O17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0171-E6EC-4ADD-B2CC-34759D531B2E}">
  <dimension ref="A1:B5"/>
  <sheetViews>
    <sheetView view="pageBreakPreview" zoomScale="140" zoomScaleNormal="100" zoomScaleSheetLayoutView="140" workbookViewId="0">
      <selection activeCell="A2" sqref="A1:XFD1048576"/>
    </sheetView>
  </sheetViews>
  <sheetFormatPr defaultRowHeight="13.5" x14ac:dyDescent="0.15"/>
  <cols>
    <col min="1" max="1" width="12.125" bestFit="1" customWidth="1"/>
    <col min="2" max="2" width="26.5" bestFit="1" customWidth="1"/>
  </cols>
  <sheetData>
    <row r="1" spans="1:2" ht="17.25" x14ac:dyDescent="0.15">
      <c r="A1" s="46" t="s">
        <v>11</v>
      </c>
      <c r="B1" s="10" t="s">
        <v>47</v>
      </c>
    </row>
    <row r="2" spans="1:2" ht="17.25" x14ac:dyDescent="0.15">
      <c r="A2" s="46" t="s">
        <v>10</v>
      </c>
      <c r="B2" s="18" t="s">
        <v>39</v>
      </c>
    </row>
    <row r="3" spans="1:2" ht="17.25" x14ac:dyDescent="0.15">
      <c r="A3" s="46" t="s">
        <v>12</v>
      </c>
      <c r="B3" s="18">
        <v>186733</v>
      </c>
    </row>
    <row r="4" spans="1:2" ht="17.25" x14ac:dyDescent="0.15">
      <c r="A4" s="46" t="s">
        <v>13</v>
      </c>
      <c r="B4" s="21"/>
    </row>
    <row r="5" spans="1:2" ht="17.25" x14ac:dyDescent="0.15">
      <c r="A5" s="46" t="s">
        <v>14</v>
      </c>
      <c r="B5" s="21">
        <v>44357</v>
      </c>
    </row>
  </sheetData>
  <phoneticPr fontId="9"/>
  <pageMargins left="0.7" right="0.7" top="0.75" bottom="0.75" header="0.3" footer="0.3"/>
  <pageSetup paperSize="9" scale="23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workbookViewId="0">
      <selection activeCell="F17" sqref="F17"/>
    </sheetView>
  </sheetViews>
  <sheetFormatPr defaultRowHeight="13.5" x14ac:dyDescent="0.15"/>
  <cols>
    <col min="1" max="1" width="5.625" customWidth="1"/>
    <col min="2" max="2" width="3.5" bestFit="1" customWidth="1"/>
    <col min="3" max="3" width="17.625" customWidth="1"/>
    <col min="4" max="4" width="25.75" bestFit="1" customWidth="1"/>
    <col min="5" max="5" width="5.875" bestFit="1" customWidth="1"/>
    <col min="6" max="6" width="15.625" customWidth="1"/>
  </cols>
  <sheetData>
    <row r="2" spans="1:6" x14ac:dyDescent="0.15">
      <c r="D2" s="1"/>
      <c r="F2" s="1" t="s">
        <v>36</v>
      </c>
    </row>
    <row r="3" spans="1:6" x14ac:dyDescent="0.15">
      <c r="A3" s="3" t="s">
        <v>35</v>
      </c>
    </row>
    <row r="5" spans="1:6" x14ac:dyDescent="0.15">
      <c r="B5" s="4" t="s">
        <v>25</v>
      </c>
      <c r="C5" s="4" t="s">
        <v>23</v>
      </c>
      <c r="D5" s="4" t="s">
        <v>22</v>
      </c>
      <c r="E5" s="4" t="s">
        <v>24</v>
      </c>
      <c r="F5" s="5" t="s">
        <v>26</v>
      </c>
    </row>
    <row r="6" spans="1:6" ht="20.100000000000001" customHeight="1" x14ac:dyDescent="0.15">
      <c r="B6" s="7">
        <v>1</v>
      </c>
      <c r="C6" s="8" t="s">
        <v>29</v>
      </c>
      <c r="D6" s="8" t="s">
        <v>30</v>
      </c>
      <c r="E6" s="7">
        <v>2</v>
      </c>
      <c r="F6" s="67" t="s">
        <v>33</v>
      </c>
    </row>
    <row r="7" spans="1:6" ht="20.100000000000001" customHeight="1" x14ac:dyDescent="0.15">
      <c r="B7" s="7">
        <v>2</v>
      </c>
      <c r="C7" s="9" t="s">
        <v>27</v>
      </c>
      <c r="D7" s="8" t="s">
        <v>28</v>
      </c>
      <c r="E7" s="7">
        <v>2</v>
      </c>
      <c r="F7" s="68"/>
    </row>
    <row r="8" spans="1:6" ht="20.100000000000001" customHeight="1" x14ac:dyDescent="0.15">
      <c r="B8" s="7">
        <v>3</v>
      </c>
      <c r="C8" s="8" t="s">
        <v>37</v>
      </c>
      <c r="D8" s="8" t="s">
        <v>38</v>
      </c>
      <c r="E8" s="7">
        <v>2</v>
      </c>
      <c r="F8" s="69"/>
    </row>
    <row r="9" spans="1:6" ht="20.100000000000001" customHeight="1" x14ac:dyDescent="0.15">
      <c r="B9" s="2">
        <v>4</v>
      </c>
      <c r="C9" s="6" t="s">
        <v>32</v>
      </c>
      <c r="D9" s="6" t="s">
        <v>31</v>
      </c>
      <c r="E9" s="2">
        <v>2</v>
      </c>
      <c r="F9" s="2" t="s">
        <v>34</v>
      </c>
    </row>
  </sheetData>
  <mergeCells count="1">
    <mergeCell ref="F6:F8"/>
  </mergeCells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E10"/>
  <sheetViews>
    <sheetView workbookViewId="0">
      <selection activeCell="C6" sqref="C6:E10"/>
    </sheetView>
  </sheetViews>
  <sheetFormatPr defaultRowHeight="13.5" x14ac:dyDescent="0.15"/>
  <cols>
    <col min="3" max="3" width="9" style="37"/>
    <col min="4" max="4" width="27.375" bestFit="1" customWidth="1"/>
  </cols>
  <sheetData>
    <row r="6" spans="3:5" x14ac:dyDescent="0.15">
      <c r="C6" s="38" t="s">
        <v>40</v>
      </c>
      <c r="D6" s="39" t="s">
        <v>41</v>
      </c>
      <c r="E6" s="39" t="s">
        <v>42</v>
      </c>
    </row>
    <row r="7" spans="3:5" x14ac:dyDescent="0.15">
      <c r="C7" s="38">
        <v>10</v>
      </c>
      <c r="D7" s="36" t="s">
        <v>43</v>
      </c>
      <c r="E7" s="32">
        <v>2</v>
      </c>
    </row>
    <row r="8" spans="3:5" x14ac:dyDescent="0.15">
      <c r="C8" s="38">
        <v>22.5</v>
      </c>
      <c r="D8" s="36" t="s">
        <v>44</v>
      </c>
      <c r="E8" s="40">
        <v>2</v>
      </c>
    </row>
    <row r="9" spans="3:5" x14ac:dyDescent="0.15">
      <c r="C9" s="38">
        <v>30</v>
      </c>
      <c r="D9" s="36" t="s">
        <v>45</v>
      </c>
      <c r="E9" s="40">
        <v>2</v>
      </c>
    </row>
    <row r="10" spans="3:5" x14ac:dyDescent="0.15">
      <c r="C10" s="38">
        <v>35</v>
      </c>
      <c r="D10" s="36" t="s">
        <v>46</v>
      </c>
      <c r="E10" s="40">
        <v>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原価表</vt:lpstr>
      <vt:lpstr>表紙</vt:lpstr>
      <vt:lpstr>治具手配数量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佐々木</cp:lastModifiedBy>
  <cp:lastPrinted>2021-05-10T06:26:28Z</cp:lastPrinted>
  <dcterms:created xsi:type="dcterms:W3CDTF">2011-12-13T06:48:43Z</dcterms:created>
  <dcterms:modified xsi:type="dcterms:W3CDTF">2022-03-04T06:21:36Z</dcterms:modified>
</cp:coreProperties>
</file>