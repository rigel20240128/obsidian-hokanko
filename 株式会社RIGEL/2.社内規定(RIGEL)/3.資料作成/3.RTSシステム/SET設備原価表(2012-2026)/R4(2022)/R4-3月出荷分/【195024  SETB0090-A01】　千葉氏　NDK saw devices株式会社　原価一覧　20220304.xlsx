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\\192.168.1.6\data\製品管理部(機材)出荷管理課・資材調達課\機材・資材調達課(ﾛﾎﾞｯﾄ部品手配)\"/>
    </mc:Choice>
  </mc:AlternateContent>
  <xr:revisionPtr revIDLastSave="0" documentId="13_ncr:1_{C545853F-07ED-41A3-96C9-8509BD3996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発注 (20220304)  受注NO.1950242" sheetId="12" r:id="rId1"/>
    <sheet name="発注 (20220216) " sheetId="11" r:id="rId2"/>
    <sheet name="Sheet1" sheetId="1" r:id="rId3"/>
    <sheet name="Sheet2" sheetId="2" r:id="rId4"/>
    <sheet name="Sheet3" sheetId="3" r:id="rId5"/>
  </sheets>
  <definedNames>
    <definedName name="_xlnm._FilterDatabase" localSheetId="2">Sheet1!$B$8:$O$8</definedName>
    <definedName name="_xlnm._FilterDatabase" localSheetId="1">'発注 (20220216) '!$C$8:$P$8</definedName>
    <definedName name="_xlnm._FilterDatabase" localSheetId="0">'発注 (20220304)  受注NO.1950242'!$C$8:$P$8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1" l="1"/>
  <c r="I18" i="11"/>
  <c r="C11" i="12" l="1"/>
  <c r="C12" i="12" s="1"/>
  <c r="C19" i="12" s="1"/>
  <c r="I27" i="12"/>
  <c r="F31" i="12" s="1"/>
  <c r="I28" i="12"/>
  <c r="I29" i="12"/>
  <c r="I41" i="12" l="1"/>
  <c r="I40" i="12"/>
  <c r="I39" i="12"/>
  <c r="I21" i="12"/>
  <c r="I20" i="12"/>
  <c r="I19" i="12"/>
  <c r="F23" i="12" s="1"/>
  <c r="C20" i="12"/>
  <c r="C21" i="12" s="1"/>
  <c r="I10" i="12"/>
  <c r="F14" i="12" s="1"/>
  <c r="I74" i="11"/>
  <c r="I64" i="11"/>
  <c r="I24" i="11"/>
  <c r="I45" i="11"/>
  <c r="I46" i="11"/>
  <c r="I47" i="11"/>
  <c r="I97" i="11"/>
  <c r="C17" i="11"/>
  <c r="C20" i="11" s="1"/>
  <c r="C21" i="11" s="1"/>
  <c r="C22" i="11" s="1"/>
  <c r="C23" i="11" s="1"/>
  <c r="C24" i="11" s="1"/>
  <c r="I94" i="11"/>
  <c r="I93" i="11"/>
  <c r="I92" i="11"/>
  <c r="I91" i="11"/>
  <c r="I90" i="11"/>
  <c r="I87" i="11"/>
  <c r="I89" i="11"/>
  <c r="I84" i="11"/>
  <c r="I88" i="11"/>
  <c r="I86" i="11"/>
  <c r="I85" i="11"/>
  <c r="I83" i="11"/>
  <c r="I82" i="11"/>
  <c r="I81" i="11"/>
  <c r="I80" i="11"/>
  <c r="I79" i="11"/>
  <c r="I78" i="11"/>
  <c r="I77" i="11"/>
  <c r="I76" i="11"/>
  <c r="I75" i="11"/>
  <c r="I67" i="11"/>
  <c r="I59" i="11"/>
  <c r="I50" i="11"/>
  <c r="I53" i="11"/>
  <c r="I56" i="11"/>
  <c r="I48" i="11"/>
  <c r="I55" i="11"/>
  <c r="I54" i="11"/>
  <c r="I96" i="11"/>
  <c r="I60" i="11"/>
  <c r="I62" i="11"/>
  <c r="I63" i="11"/>
  <c r="I49" i="11"/>
  <c r="I51" i="11"/>
  <c r="I52" i="11"/>
  <c r="I57" i="11"/>
  <c r="I58" i="11"/>
  <c r="I65" i="11"/>
  <c r="I66" i="11"/>
  <c r="I68" i="11"/>
  <c r="I69" i="11"/>
  <c r="I70" i="11"/>
  <c r="I71" i="11"/>
  <c r="I72" i="11"/>
  <c r="I73" i="11"/>
  <c r="I141" i="11"/>
  <c r="C27" i="12" l="1"/>
  <c r="C28" i="12" s="1"/>
  <c r="C29" i="12" s="1"/>
  <c r="C32" i="11"/>
  <c r="C31" i="11"/>
  <c r="K2" i="12"/>
  <c r="I17" i="11"/>
  <c r="I23" i="11"/>
  <c r="I22" i="11"/>
  <c r="I21" i="11"/>
  <c r="I20" i="11"/>
  <c r="I10" i="11"/>
  <c r="F14" i="11" s="1"/>
  <c r="I138" i="11"/>
  <c r="I139" i="11"/>
  <c r="I126" i="11"/>
  <c r="I127" i="11"/>
  <c r="I125" i="11"/>
  <c r="I147" i="11"/>
  <c r="I146" i="11"/>
  <c r="I145" i="11"/>
  <c r="I137" i="11"/>
  <c r="I136" i="11"/>
  <c r="I135" i="11"/>
  <c r="I134" i="11"/>
  <c r="I133" i="11"/>
  <c r="I131" i="11"/>
  <c r="I130" i="11"/>
  <c r="I129" i="11"/>
  <c r="I128" i="11"/>
  <c r="I124" i="11"/>
  <c r="I123" i="11"/>
  <c r="I122" i="11"/>
  <c r="I121" i="1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39" i="11"/>
  <c r="I38" i="11"/>
  <c r="I37" i="11"/>
  <c r="I36" i="11"/>
  <c r="I35" i="11"/>
  <c r="I34" i="11"/>
  <c r="I33" i="11"/>
  <c r="I32" i="11"/>
  <c r="I31" i="11"/>
  <c r="F41" i="11" s="1"/>
  <c r="F27" i="11" l="1"/>
  <c r="K2" i="11"/>
  <c r="F99" i="11"/>
  <c r="F143" i="11"/>
  <c r="C33" i="11" l="1"/>
  <c r="C34" i="11" s="1"/>
  <c r="C35" i="11" s="1"/>
  <c r="C36" i="11" s="1"/>
  <c r="C37" i="11" s="1"/>
  <c r="C38" i="11" s="1"/>
  <c r="C39" i="11" s="1"/>
  <c r="C45" i="11" s="1"/>
  <c r="C46" i="11" l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2" i="11" s="1"/>
  <c r="C63" i="11" s="1"/>
  <c r="C64" i="11" l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6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3" i="11" s="1"/>
  <c r="C134" i="11" l="1"/>
  <c r="C135" i="11" s="1"/>
  <c r="C136" i="11" s="1"/>
  <c r="C137" i="11" s="1"/>
  <c r="C138" i="11" s="1"/>
  <c r="C139" i="11" s="1"/>
  <c r="C140" i="11" s="1"/>
  <c r="C141" i="11" s="1"/>
  <c r="H93" i="1" l="1"/>
  <c r="H92" i="1"/>
  <c r="H91" i="1"/>
  <c r="H83" i="1"/>
  <c r="H82" i="1"/>
  <c r="H81" i="1"/>
  <c r="H80" i="1"/>
  <c r="H79" i="1"/>
  <c r="H78" i="1"/>
  <c r="H77" i="1"/>
  <c r="H76" i="1"/>
  <c r="H75" i="1"/>
  <c r="H71" i="1"/>
  <c r="H70" i="1"/>
  <c r="H69" i="1"/>
  <c r="H68" i="1"/>
  <c r="H67" i="1"/>
  <c r="H66" i="1"/>
  <c r="H65" i="1"/>
  <c r="H64" i="1"/>
  <c r="H63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E84" i="1" l="1"/>
  <c r="E59" i="1"/>
  <c r="E72" i="1"/>
  <c r="E34" i="1"/>
  <c r="J2" i="1"/>
</calcChain>
</file>

<file path=xl/sharedStrings.xml><?xml version="1.0" encoding="utf-8"?>
<sst xmlns="http://schemas.openxmlformats.org/spreadsheetml/2006/main" count="916" uniqueCount="363">
  <si>
    <t>お客先名</t>
  </si>
  <si>
    <t>京セミ（）</t>
  </si>
  <si>
    <t>合計金額</t>
  </si>
  <si>
    <t>担当営業</t>
  </si>
  <si>
    <t>青木、千葉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</si>
  <si>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</si>
  <si>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</si>
  <si>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</si>
  <si>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</si>
  <si>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</si>
  <si>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</si>
  <si>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</si>
  <si>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</si>
  <si>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</si>
  <si>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</si>
  <si>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</si>
  <si>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</si>
  <si>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</si>
  <si>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</si>
  <si>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</si>
  <si>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</si>
  <si>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</si>
  <si>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</si>
  <si>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</si>
  <si>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</si>
  <si>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加工メ－カ</t>
  </si>
  <si>
    <t>スライドプレート上</t>
  </si>
  <si>
    <t>スライドプレート下</t>
  </si>
  <si>
    <t>ガイド板</t>
  </si>
  <si>
    <t>SV51用エルボカバー</t>
  </si>
  <si>
    <t>ライト取付板2</t>
  </si>
  <si>
    <t>ＣＣＤ取付板　　折り曲げ溶接</t>
  </si>
  <si>
    <t>取付板</t>
  </si>
  <si>
    <t>Z調整　変換板</t>
  </si>
  <si>
    <t>Z調整　変換板　スペーサ</t>
  </si>
  <si>
    <t>スライドガイド　スペ－サ</t>
  </si>
  <si>
    <t>SV51用カップホルダ</t>
  </si>
  <si>
    <t>ミスミ</t>
  </si>
  <si>
    <t>SSE2B10-155</t>
  </si>
  <si>
    <t>スライドガイド　　ＣＣＤ側</t>
  </si>
  <si>
    <t>SSE2B10-100</t>
  </si>
  <si>
    <t>スライドガイド　　変換板受け</t>
  </si>
  <si>
    <t>XSG40-CR</t>
  </si>
  <si>
    <t>リニアボールX軸ステージ</t>
  </si>
  <si>
    <t>LRLB4-15</t>
  </si>
  <si>
    <t>長尺ローレット付ボルト</t>
  </si>
  <si>
    <t>ＭＳ３－１０</t>
  </si>
  <si>
    <t>ﾉｯｸﾋﾟﾝ　φ3mm</t>
  </si>
  <si>
    <t>ＭＳ4－１0</t>
  </si>
  <si>
    <t>ﾉｯｸﾋﾟﾝ　φ4mm</t>
  </si>
  <si>
    <t>SCB5-10</t>
  </si>
  <si>
    <t>六角穴付きﾎﾞﾙﾄ　 (M5×10)</t>
  </si>
  <si>
    <t>SCB4-10</t>
  </si>
  <si>
    <t>六角穴付きﾎﾞﾙﾄ　 (M4×10)</t>
  </si>
  <si>
    <t>SCB4-12</t>
  </si>
  <si>
    <t>六角穴付きﾎﾞﾙﾄ　 (M4×12)</t>
  </si>
  <si>
    <t>SCB3-6</t>
  </si>
  <si>
    <t>六角穴付きﾎﾞﾙﾄ　 (M3×6)</t>
  </si>
  <si>
    <t>SCB3-8</t>
  </si>
  <si>
    <t>六角穴付きﾎﾞﾙﾄ　 (M3×8)</t>
  </si>
  <si>
    <t>SCB3-10</t>
  </si>
  <si>
    <t>六角穴付きﾎﾞﾙﾄ　 (M3×10)</t>
  </si>
  <si>
    <t>ワーク受けベース治具部分</t>
  </si>
  <si>
    <t>ヒータベース</t>
  </si>
  <si>
    <t>ワークベース</t>
  </si>
  <si>
    <t>ワーク治具ガイド</t>
  </si>
  <si>
    <t>配線ｶガート゜</t>
  </si>
  <si>
    <t>配線ｶガート゜　　板金カバー</t>
  </si>
  <si>
    <t>NA2517T-16-3-2</t>
  </si>
  <si>
    <t>固定用電源ケーブル（300V用）</t>
  </si>
  <si>
    <t>1.25-4</t>
  </si>
  <si>
    <t>裸圧着端子（丸型）</t>
  </si>
  <si>
    <t>VCTF-A-0.75-2-10</t>
  </si>
  <si>
    <t>SETGR8-50</t>
  </si>
  <si>
    <t>円柱支柱</t>
  </si>
  <si>
    <t>MPHKH-150-150-V100-W500</t>
  </si>
  <si>
    <t>ヒータ-</t>
  </si>
  <si>
    <t>HIPA4H-160-160-5-F130-G130-N6</t>
  </si>
  <si>
    <t>断熱板</t>
  </si>
  <si>
    <t>MTCD</t>
  </si>
  <si>
    <t>温度調節コントローラ</t>
  </si>
  <si>
    <t>2P-2</t>
  </si>
  <si>
    <t>電源コード</t>
  </si>
  <si>
    <t>MFSK1.6-100</t>
  </si>
  <si>
    <t>センサ</t>
  </si>
  <si>
    <t>MSSFS3-4</t>
  </si>
  <si>
    <t>六角穴付止めネジ</t>
  </si>
  <si>
    <t>SBCB3-5</t>
  </si>
  <si>
    <t>六角穴付ボタンネジ</t>
  </si>
  <si>
    <t>SFB3-6</t>
  </si>
  <si>
    <t>六角穴付皿ネジ</t>
  </si>
  <si>
    <t>六角穴付ｷｬｯﾌﾟﾈｼﾞ　　M3×8</t>
  </si>
  <si>
    <t>SCB4-8</t>
  </si>
  <si>
    <t>六角穴付ｷｬｯﾌﾟﾈｼﾞ　　M4×8</t>
  </si>
  <si>
    <t>SCB4-15</t>
  </si>
  <si>
    <t>六角穴付ｷｬｯﾌﾟﾈｼﾞ　　M4×15</t>
  </si>
  <si>
    <t>MS3-10</t>
  </si>
  <si>
    <t>ﾉｯｸﾋﾟﾝ　　φ3-10</t>
  </si>
  <si>
    <t>JPBA5-7.96</t>
  </si>
  <si>
    <t>大頭位置決めﾋﾟﾝ  丸</t>
  </si>
  <si>
    <t>JPBD5-7.96</t>
  </si>
  <si>
    <t>大頭位置決めﾋﾟﾝ  ﾀﾞｲﾔ</t>
  </si>
  <si>
    <t>ワーク治具部分（基盤受け治具）　　2ＳＥＴ分</t>
  </si>
  <si>
    <t>基板セット冶具ベース</t>
  </si>
  <si>
    <t>取手変換ブロック</t>
  </si>
  <si>
    <t>KFSAMS3-P1.80-L5-B4.0-E2.2-A15</t>
  </si>
  <si>
    <t>位置決ﾋﾟﾝ　φ1.80  小頭ﾃｰﾊﾟﾀｲﾌﾟ</t>
  </si>
  <si>
    <t>位置決ﾋﾟﾝ　φ1.80  小頭ﾃｰﾊﾟﾀｲﾌﾟ（ﾀﾞｲｱ型を選択）</t>
  </si>
  <si>
    <t>ＪＢＡＭ８－１０</t>
  </si>
  <si>
    <t>位置決めﾋﾟﾝ用ﾌﾞｯｼｭ</t>
  </si>
  <si>
    <t>UWANSG100</t>
  </si>
  <si>
    <t>丸棒取手</t>
  </si>
  <si>
    <t>配電部分</t>
  </si>
  <si>
    <t>102703－Z001</t>
  </si>
  <si>
    <t>配電ﾍﾞ-ｽ</t>
  </si>
  <si>
    <t>MRB-350</t>
  </si>
  <si>
    <t>DINレール</t>
  </si>
  <si>
    <t>MWS-DS37A-HT37</t>
  </si>
  <si>
    <t>D-Subコネクタ端子台</t>
  </si>
  <si>
    <t>ESAW-TCM310-5P</t>
  </si>
  <si>
    <t>コモンブロック端子台</t>
  </si>
  <si>
    <t>NEDJ-PS-SB-37-1.5</t>
  </si>
  <si>
    <t>D-Subコネクタハーネス</t>
  </si>
  <si>
    <t>F1.25-M3</t>
  </si>
  <si>
    <t>圧着端子（Y型）</t>
  </si>
  <si>
    <t>UL1007-24-BE-305</t>
  </si>
  <si>
    <t>単芯電線</t>
  </si>
  <si>
    <t>VTUB3.2-W-10</t>
  </si>
  <si>
    <t>ﾏｰｸﾁｭｰﾌﾞ</t>
  </si>
  <si>
    <t>結束バンドとマウントベース　Etc</t>
  </si>
  <si>
    <t>運送費</t>
  </si>
  <si>
    <t>設計費</t>
  </si>
  <si>
    <t>組立調整費</t>
  </si>
  <si>
    <t>ﾉｯｸﾋﾟﾝ　φ3-10mm</t>
  </si>
  <si>
    <t>SMC</t>
    <phoneticPr fontId="16"/>
  </si>
  <si>
    <t>ミスミ</t>
    <phoneticPr fontId="16"/>
  </si>
  <si>
    <t xml:space="preserve">AD-342 </t>
    <phoneticPr fontId="16"/>
  </si>
  <si>
    <t>カッチンダクト</t>
    <phoneticPr fontId="16"/>
  </si>
  <si>
    <t>F1.25-M3</t>
    <phoneticPr fontId="16"/>
  </si>
  <si>
    <t>裸圧着端子Y型</t>
    <rPh sb="0" eb="1">
      <t>ハダカ</t>
    </rPh>
    <rPh sb="1" eb="3">
      <t>アッチャク</t>
    </rPh>
    <rPh sb="3" eb="5">
      <t>タンシ</t>
    </rPh>
    <rPh sb="6" eb="7">
      <t>ガタ</t>
    </rPh>
    <phoneticPr fontId="16"/>
  </si>
  <si>
    <t>PUT6-10-B</t>
    <phoneticPr fontId="16"/>
  </si>
  <si>
    <t>ポリウレタンチューブ</t>
    <phoneticPr fontId="16"/>
  </si>
  <si>
    <t>配電部分</t>
    <rPh sb="0" eb="2">
      <t>ハイデン</t>
    </rPh>
    <rPh sb="2" eb="4">
      <t>ブブン</t>
    </rPh>
    <phoneticPr fontId="14"/>
  </si>
  <si>
    <t>SMC</t>
  </si>
  <si>
    <t>*SY3120-5LZE-C4</t>
    <phoneticPr fontId="16"/>
  </si>
  <si>
    <t>BVHVU6-3</t>
    <phoneticPr fontId="16"/>
  </si>
  <si>
    <t>制御機材</t>
    <rPh sb="0" eb="1">
      <t>セイ</t>
    </rPh>
    <rPh sb="1" eb="2">
      <t>オ</t>
    </rPh>
    <rPh sb="2" eb="4">
      <t>キザイ</t>
    </rPh>
    <phoneticPr fontId="16"/>
  </si>
  <si>
    <t xml:space="preserve">配電BOX </t>
    <phoneticPr fontId="16"/>
  </si>
  <si>
    <t>Dsubコネクタハーネス</t>
    <phoneticPr fontId="16"/>
  </si>
  <si>
    <t>MWS-DS37A-HT37</t>
    <phoneticPr fontId="16"/>
  </si>
  <si>
    <t>Dsubコネクタ端子台</t>
    <rPh sb="8" eb="10">
      <t>タンシ</t>
    </rPh>
    <rPh sb="10" eb="11">
      <t>ダイ</t>
    </rPh>
    <phoneticPr fontId="16"/>
  </si>
  <si>
    <t>DINレール</t>
    <phoneticPr fontId="16"/>
  </si>
  <si>
    <t>KV-0.3-BE-10</t>
    <phoneticPr fontId="16"/>
  </si>
  <si>
    <t>単芯電線</t>
    <rPh sb="0" eb="1">
      <t>タン</t>
    </rPh>
    <rPh sb="1" eb="2">
      <t>シン</t>
    </rPh>
    <rPh sb="2" eb="4">
      <t>デンセン</t>
    </rPh>
    <phoneticPr fontId="16"/>
  </si>
  <si>
    <t>SLBNR4</t>
    <phoneticPr fontId="16"/>
  </si>
  <si>
    <t>M4ﾅｯﾄ</t>
    <phoneticPr fontId="16"/>
  </si>
  <si>
    <t>漏電ブレーカ</t>
    <rPh sb="0" eb="2">
      <t>ロウデン</t>
    </rPh>
    <phoneticPr fontId="16"/>
  </si>
  <si>
    <t>富士電線工業</t>
    <rPh sb="0" eb="2">
      <t>フジ</t>
    </rPh>
    <rPh sb="2" eb="4">
      <t>デンセン</t>
    </rPh>
    <rPh sb="4" eb="6">
      <t>コウギョウ</t>
    </rPh>
    <phoneticPr fontId="16"/>
  </si>
  <si>
    <t xml:space="preserve">VCTF-2-0.75SQ-8 </t>
    <phoneticPr fontId="16"/>
  </si>
  <si>
    <t>ビニルキャブタイヤコード VCTF</t>
    <phoneticPr fontId="16"/>
  </si>
  <si>
    <t>3M-3</t>
    <phoneticPr fontId="16"/>
  </si>
  <si>
    <t>ACコード(プラグ）</t>
    <phoneticPr fontId="16"/>
  </si>
  <si>
    <t>裸圧着端子（丸型）</t>
    <rPh sb="0" eb="1">
      <t>ハダカ</t>
    </rPh>
    <rPh sb="1" eb="3">
      <t>アッチャク</t>
    </rPh>
    <rPh sb="3" eb="5">
      <t>タンシ</t>
    </rPh>
    <rPh sb="6" eb="7">
      <t>マル</t>
    </rPh>
    <rPh sb="7" eb="8">
      <t>ガタ</t>
    </rPh>
    <phoneticPr fontId="16"/>
  </si>
  <si>
    <t>NA3GH-24-2-8</t>
    <phoneticPr fontId="16"/>
  </si>
  <si>
    <t>NA3GH UL規格 横巻きシールドセンサー用(２芯）</t>
    <rPh sb="25" eb="26">
      <t>シン</t>
    </rPh>
    <phoneticPr fontId="16"/>
  </si>
  <si>
    <t>NA3GH-24-3-8</t>
    <phoneticPr fontId="16"/>
  </si>
  <si>
    <t>NA3GH UL規格 横巻きシールドセンサー用(３芯）</t>
    <rPh sb="25" eb="26">
      <t>シン</t>
    </rPh>
    <phoneticPr fontId="16"/>
  </si>
  <si>
    <t>NA3GH-24-5-8</t>
    <phoneticPr fontId="16"/>
  </si>
  <si>
    <t>NA3GH UL規格 横巻きシールドセンサー用(５芯）</t>
    <rPh sb="25" eb="26">
      <t>シン</t>
    </rPh>
    <phoneticPr fontId="16"/>
  </si>
  <si>
    <t>PC-2005-M</t>
    <phoneticPr fontId="16"/>
  </si>
  <si>
    <t>差込み型ピン端子　オス（１００個入り）</t>
    <rPh sb="15" eb="16">
      <t>コ</t>
    </rPh>
    <rPh sb="16" eb="17">
      <t>イ</t>
    </rPh>
    <phoneticPr fontId="16"/>
  </si>
  <si>
    <t>PC-2005-F</t>
    <phoneticPr fontId="16"/>
  </si>
  <si>
    <t>差込み型ピン端子　メス（１００個入り）</t>
    <phoneticPr fontId="16"/>
  </si>
  <si>
    <t>ハンドバルブ　φ6</t>
    <phoneticPr fontId="16"/>
  </si>
  <si>
    <t>AW10-M5BＧ-A</t>
    <phoneticPr fontId="16"/>
  </si>
  <si>
    <t>UJDST4-W</t>
    <phoneticPr fontId="16"/>
  </si>
  <si>
    <t>ﾜﾝﾀｯﾁ継手異径ﾕﾆｵﾝｽﾄﾚｰﾄ</t>
    <rPh sb="5" eb="7">
      <t>ツギテ</t>
    </rPh>
    <rPh sb="7" eb="8">
      <t>イ</t>
    </rPh>
    <rPh sb="8" eb="9">
      <t>ケイ</t>
    </rPh>
    <phoneticPr fontId="16"/>
  </si>
  <si>
    <t>USSTL4</t>
    <phoneticPr fontId="16"/>
  </si>
  <si>
    <t>ﾜﾝﾀｯﾁ継手ﾕﾆｵﾝｽﾄﾚｰﾄ</t>
    <rPh sb="5" eb="7">
      <t>ツギテ</t>
    </rPh>
    <phoneticPr fontId="16"/>
  </si>
  <si>
    <t>PUT4-10-C</t>
    <phoneticPr fontId="16"/>
  </si>
  <si>
    <t>φ4ソフトナイロンチューブ</t>
    <phoneticPr fontId="16"/>
  </si>
  <si>
    <t>TBS-22</t>
    <phoneticPr fontId="16"/>
  </si>
  <si>
    <t>浸け置きﾕﾆｯﾄ</t>
    <rPh sb="0" eb="1">
      <t>ツ</t>
    </rPh>
    <rPh sb="2" eb="3">
      <t>オ</t>
    </rPh>
    <phoneticPr fontId="16"/>
  </si>
  <si>
    <t>CRKB4-8</t>
    <phoneticPr fontId="16"/>
  </si>
  <si>
    <t>樹脂付ローレットボルト</t>
    <rPh sb="0" eb="2">
      <t>ジュシ</t>
    </rPh>
    <rPh sb="2" eb="3">
      <t>ツキ</t>
    </rPh>
    <phoneticPr fontId="16"/>
  </si>
  <si>
    <t>CRKB4-10</t>
    <phoneticPr fontId="16"/>
  </si>
  <si>
    <t>ＭＳ2-8</t>
    <phoneticPr fontId="16"/>
  </si>
  <si>
    <t>ﾉｯｸﾋﾟﾝφ2-8mm</t>
    <phoneticPr fontId="16"/>
  </si>
  <si>
    <t>CHNS4</t>
    <phoneticPr fontId="16"/>
  </si>
  <si>
    <t>蝶ﾅｯﾄ</t>
    <phoneticPr fontId="16"/>
  </si>
  <si>
    <t>RSCB4-15</t>
    <phoneticPr fontId="16"/>
  </si>
  <si>
    <t>六角ﾎﾞﾙﾄ</t>
    <phoneticPr fontId="16"/>
  </si>
  <si>
    <t>アズワン</t>
    <phoneticPr fontId="16"/>
  </si>
  <si>
    <r>
      <t xml:space="preserve">5-079-04　   </t>
    </r>
    <r>
      <rPr>
        <b/>
        <sz val="11"/>
        <color indexed="10"/>
        <rFont val="ＭＳ Ｐゴシック"/>
        <family val="3"/>
        <charset val="128"/>
      </rPr>
      <t>在庫使用の為発注せず</t>
    </r>
    <phoneticPr fontId="16"/>
  </si>
  <si>
    <t>ハンドバルブ</t>
    <phoneticPr fontId="16"/>
  </si>
  <si>
    <t>PUT4-10-B</t>
    <phoneticPr fontId="16"/>
  </si>
  <si>
    <t>エアチューブ</t>
    <phoneticPr fontId="16"/>
  </si>
  <si>
    <t>ミニチュアワンタッチ継手　エルボ</t>
    <phoneticPr fontId="14"/>
  </si>
  <si>
    <t>ワンタッチ継手　Ｙタイプ</t>
    <phoneticPr fontId="14"/>
  </si>
  <si>
    <t>USYL6</t>
    <phoneticPr fontId="14"/>
  </si>
  <si>
    <t>在庫使用</t>
    <rPh sb="0" eb="2">
      <t>ザイコ</t>
    </rPh>
    <rPh sb="2" eb="4">
      <t>シヨウ</t>
    </rPh>
    <phoneticPr fontId="14"/>
  </si>
  <si>
    <t xml:space="preserve">FSAWM-K-P11-1086-181203-0241 </t>
    <phoneticPr fontId="14"/>
  </si>
  <si>
    <t>SETB-0012-Z05 ｶｯﾌﾟﾎﾙﾀﾞｰ</t>
    <phoneticPr fontId="16"/>
  </si>
  <si>
    <t>MRB-180</t>
    <phoneticPr fontId="14"/>
  </si>
  <si>
    <t>MRB-170</t>
    <phoneticPr fontId="16"/>
  </si>
  <si>
    <t xml:space="preserve">HDV-2 </t>
    <phoneticPr fontId="16"/>
  </si>
  <si>
    <t>GPR-M-2CL-D24DB</t>
    <phoneticPr fontId="16"/>
  </si>
  <si>
    <t>リレー</t>
    <phoneticPr fontId="16"/>
  </si>
  <si>
    <t>GPR-MS-2CD</t>
    <phoneticPr fontId="16"/>
  </si>
  <si>
    <t>リレーソケット</t>
    <phoneticPr fontId="16"/>
  </si>
  <si>
    <t>1日間</t>
    <rPh sb="1" eb="2">
      <t>ヒ</t>
    </rPh>
    <rPh sb="2" eb="3">
      <t>カン</t>
    </rPh>
    <phoneticPr fontId="14"/>
  </si>
  <si>
    <t>Ｎo.19</t>
    <phoneticPr fontId="14"/>
  </si>
  <si>
    <t>3日間</t>
    <rPh sb="1" eb="2">
      <t>ヒ</t>
    </rPh>
    <rPh sb="2" eb="3">
      <t>カン</t>
    </rPh>
    <phoneticPr fontId="14"/>
  </si>
  <si>
    <t>2日間</t>
    <rPh sb="1" eb="2">
      <t>ヒ</t>
    </rPh>
    <rPh sb="2" eb="3">
      <t>カン</t>
    </rPh>
    <phoneticPr fontId="14"/>
  </si>
  <si>
    <t>HFC5-2060-S</t>
    <phoneticPr fontId="16"/>
  </si>
  <si>
    <t>アルミフレーム用フレームキャップ</t>
    <phoneticPr fontId="16"/>
  </si>
  <si>
    <t xml:space="preserve">SHNTP5-4  </t>
    <phoneticPr fontId="16"/>
  </si>
  <si>
    <t>MS3-10</t>
    <phoneticPr fontId="16"/>
  </si>
  <si>
    <t xml:space="preserve">SCB3-8  </t>
    <phoneticPr fontId="16"/>
  </si>
  <si>
    <t>六角穴付ボルト</t>
  </si>
  <si>
    <t>meviy</t>
    <phoneticPr fontId="16"/>
  </si>
  <si>
    <t>3日目</t>
    <rPh sb="1" eb="2">
      <t>ヒ</t>
    </rPh>
    <rPh sb="2" eb="3">
      <t>メ</t>
    </rPh>
    <phoneticPr fontId="16"/>
  </si>
  <si>
    <t>1日目</t>
    <rPh sb="1" eb="2">
      <t>ヒ</t>
    </rPh>
    <rPh sb="2" eb="3">
      <t>メ</t>
    </rPh>
    <phoneticPr fontId="16"/>
  </si>
  <si>
    <t>148710-Z01 ｶｯﾌﾟﾎﾙﾀﾞｰﾍﾞｰｽＬ字ﾌﾞﾗｹｯﾄ:1</t>
    <phoneticPr fontId="14"/>
  </si>
  <si>
    <t>MVSHM-3N02052011011-JPA267F08111AA</t>
    <phoneticPr fontId="14"/>
  </si>
  <si>
    <t>MVSHM-3N02050006024-2U9-EXN5X</t>
    <phoneticPr fontId="14"/>
  </si>
  <si>
    <t>148710-Z02-2 ｶｯﾌﾟﾎﾙﾀﾞｰＬ字ﾌﾞﾗｹｯﾄﾛﾝｸﾞ</t>
    <phoneticPr fontId="14"/>
  </si>
  <si>
    <t>MVSHM-ZZ99000000000-JPA243U9A111AB</t>
    <phoneticPr fontId="16"/>
  </si>
  <si>
    <t>在庫使用　　　6個</t>
    <phoneticPr fontId="16"/>
  </si>
  <si>
    <t>2日目</t>
    <rPh sb="1" eb="2">
      <t>ヒ</t>
    </rPh>
    <rPh sb="2" eb="3">
      <t>メ</t>
    </rPh>
    <phoneticPr fontId="16"/>
  </si>
  <si>
    <t>4日目</t>
    <rPh sb="1" eb="2">
      <t>ヒ</t>
    </rPh>
    <rPh sb="2" eb="3">
      <t>メ</t>
    </rPh>
    <phoneticPr fontId="16"/>
  </si>
  <si>
    <t>六角穴付ボルト</t>
    <phoneticPr fontId="14"/>
  </si>
  <si>
    <t xml:space="preserve">SCB4-10 </t>
    <phoneticPr fontId="14"/>
  </si>
  <si>
    <t>8日目</t>
    <rPh sb="1" eb="2">
      <t>ヒ</t>
    </rPh>
    <rPh sb="2" eb="3">
      <t>メ</t>
    </rPh>
    <phoneticPr fontId="16"/>
  </si>
  <si>
    <t>SUNCO</t>
    <phoneticPr fontId="14"/>
  </si>
  <si>
    <t>止め金具　　　　　　2個</t>
    <rPh sb="0" eb="1">
      <t>ト</t>
    </rPh>
    <rPh sb="2" eb="4">
      <t>カナグ</t>
    </rPh>
    <rPh sb="11" eb="12">
      <t>コ</t>
    </rPh>
    <phoneticPr fontId="16"/>
  </si>
  <si>
    <t>A8110</t>
    <phoneticPr fontId="16"/>
  </si>
  <si>
    <t>汎用3芯OAタップ 4ヶ口</t>
    <phoneticPr fontId="16"/>
  </si>
  <si>
    <r>
      <t>1</t>
    </r>
    <r>
      <rPr>
        <sz val="11"/>
        <color rgb="FFFF0000"/>
        <rFont val="ＭＳ Ｐゴシック"/>
        <family val="3"/>
        <charset val="128"/>
        <scheme val="minor"/>
      </rPr>
      <t>.25-5</t>
    </r>
    <phoneticPr fontId="16"/>
  </si>
  <si>
    <t xml:space="preserve">漏電ブレーカ　ｶﾊﾞｰ  1セット </t>
    <phoneticPr fontId="16"/>
  </si>
  <si>
    <t>SBCB5-8</t>
    <phoneticPr fontId="14"/>
  </si>
  <si>
    <t>CNYW6-6</t>
    <phoneticPr fontId="14"/>
  </si>
  <si>
    <t>チェリック</t>
    <phoneticPr fontId="14"/>
  </si>
  <si>
    <t>BSLG6</t>
    <phoneticPr fontId="14"/>
  </si>
  <si>
    <t>ワンタッチ継手　ブラインドプラグ</t>
    <phoneticPr fontId="14"/>
  </si>
  <si>
    <t>ワンタッチ継手 R（PT）付二重Y型 CNYW</t>
    <phoneticPr fontId="14"/>
  </si>
  <si>
    <t xml:space="preserve">六角穴付ボタンボルト </t>
    <phoneticPr fontId="14"/>
  </si>
  <si>
    <t>CSHBT-SUS-M4-6</t>
    <phoneticPr fontId="14"/>
  </si>
  <si>
    <t>カッチンダクト固定用</t>
    <rPh sb="7" eb="9">
      <t>コテイ</t>
    </rPh>
    <rPh sb="9" eb="10">
      <t>ヨウ</t>
    </rPh>
    <phoneticPr fontId="14"/>
  </si>
  <si>
    <t>SPWF4</t>
    <phoneticPr fontId="14"/>
  </si>
  <si>
    <t>平座金</t>
    <phoneticPr fontId="14"/>
  </si>
  <si>
    <r>
      <t>NEDJL-PT-SB-9-1.5→</t>
    </r>
    <r>
      <rPr>
        <b/>
        <sz val="11"/>
        <color rgb="FFFF0000"/>
        <rFont val="ＭＳ Ｐゴシック"/>
        <family val="3"/>
        <charset val="128"/>
        <scheme val="minor"/>
      </rPr>
      <t>DSDJ-PT-SB-9-1.5-02S</t>
    </r>
    <phoneticPr fontId="16"/>
  </si>
  <si>
    <r>
      <t>NEDJL-PS-SB-37-2→</t>
    </r>
    <r>
      <rPr>
        <b/>
        <sz val="11"/>
        <color rgb="FFFF0000"/>
        <rFont val="ＭＳ Ｐゴシック"/>
        <family val="3"/>
        <charset val="128"/>
        <scheme val="minor"/>
      </rPr>
      <t>DSDJ-PS-SB-37-2</t>
    </r>
    <phoneticPr fontId="16"/>
  </si>
  <si>
    <r>
      <t>ﾐﾆｶｯﾌﾟ（30cc）</t>
    </r>
    <r>
      <rPr>
        <sz val="11"/>
        <color rgb="FFFF0000"/>
        <rFont val="ＭＳ Ｐゴシック"/>
        <family val="3"/>
        <charset val="128"/>
        <scheme val="minor"/>
      </rPr>
      <t>　 在庫使用</t>
    </r>
    <phoneticPr fontId="16"/>
  </si>
  <si>
    <t>仙台(営)へ</t>
    <rPh sb="0" eb="2">
      <t>センダイ</t>
    </rPh>
    <rPh sb="2" eb="5">
      <t>エイ</t>
    </rPh>
    <phoneticPr fontId="14"/>
  </si>
  <si>
    <t>出荷依頼項目NO.</t>
    <rPh sb="0" eb="4">
      <t>シュッカイライ</t>
    </rPh>
    <rPh sb="4" eb="6">
      <t>コウモク</t>
    </rPh>
    <phoneticPr fontId="14"/>
  </si>
  <si>
    <t>NDK saw devices株式会社</t>
    <phoneticPr fontId="14"/>
  </si>
  <si>
    <t>千葉</t>
    <rPh sb="0" eb="2">
      <t>チバ</t>
    </rPh>
    <phoneticPr fontId="14"/>
  </si>
  <si>
    <t>NDK saw devices株式会社　様</t>
    <rPh sb="20" eb="21">
      <t>サマ</t>
    </rPh>
    <phoneticPr fontId="14"/>
  </si>
  <si>
    <t>300角HVカメラロボットセット</t>
    <phoneticPr fontId="14"/>
  </si>
  <si>
    <t>AXA300-HV</t>
    <phoneticPr fontId="14"/>
  </si>
  <si>
    <t>SET</t>
    <phoneticPr fontId="14"/>
  </si>
  <si>
    <t>SV5916 　ﾊﾞﾙﾌﾞホルダー</t>
  </si>
  <si>
    <t>SV5916 　ﾊﾞﾙﾌﾞホルダー</t>
    <phoneticPr fontId="14"/>
  </si>
  <si>
    <t>SV01S</t>
  </si>
  <si>
    <t>SV01S</t>
    <phoneticPr fontId="14"/>
  </si>
  <si>
    <t>1000BSH52　55ccアダプ</t>
  </si>
  <si>
    <t>1000BSH52　55ccアダプ</t>
    <phoneticPr fontId="14"/>
  </si>
  <si>
    <t>SH13LL 　55ccシリンジ</t>
  </si>
  <si>
    <t>SH13LL 　55ccシリンジ</t>
    <phoneticPr fontId="14"/>
  </si>
  <si>
    <t>SV5112</t>
  </si>
  <si>
    <t>SV5112</t>
    <phoneticPr fontId="14"/>
  </si>
  <si>
    <t>卓上ロボット</t>
    <rPh sb="0" eb="2">
      <t>タクジョウ</t>
    </rPh>
    <phoneticPr fontId="14"/>
  </si>
  <si>
    <t>ｳｴﾊｰｽ吸着ﾜｰｸ治具</t>
    <rPh sb="5" eb="7">
      <t>キュウチャク</t>
    </rPh>
    <rPh sb="10" eb="12">
      <t>ジグ</t>
    </rPh>
    <phoneticPr fontId="14"/>
  </si>
  <si>
    <r>
      <t>MWI-COM-P10N10→　</t>
    </r>
    <r>
      <rPr>
        <b/>
        <sz val="11"/>
        <color rgb="FFFF0000"/>
        <rFont val="ＭＳ Ｐゴシック"/>
        <family val="3"/>
        <charset val="128"/>
        <scheme val="minor"/>
      </rPr>
      <t>MWS-B3102</t>
    </r>
    <phoneticPr fontId="16"/>
  </si>
  <si>
    <t>コモン端子台　	コモン端子台　Pコモン、Nコモン分割（棒端子用）</t>
    <rPh sb="3" eb="5">
      <t>タンシ</t>
    </rPh>
    <rPh sb="5" eb="6">
      <t>ダイ</t>
    </rPh>
    <phoneticPr fontId="16"/>
  </si>
  <si>
    <r>
      <t>E</t>
    </r>
    <r>
      <rPr>
        <sz val="11"/>
        <color theme="1"/>
        <rFont val="ＭＳ Ｐゴシック"/>
        <family val="3"/>
        <charset val="128"/>
        <scheme val="minor"/>
      </rPr>
      <t>BS-32FB-10A</t>
    </r>
    <phoneticPr fontId="16"/>
  </si>
  <si>
    <t>その他安全費用　部品が見つからない時の代替え品の費用)</t>
    <rPh sb="2" eb="3">
      <t>タ</t>
    </rPh>
    <rPh sb="3" eb="5">
      <t>アンゼン</t>
    </rPh>
    <rPh sb="5" eb="7">
      <t>ヒヨウ</t>
    </rPh>
    <rPh sb="8" eb="10">
      <t>ブヒン</t>
    </rPh>
    <rPh sb="11" eb="12">
      <t>ミ</t>
    </rPh>
    <rPh sb="17" eb="18">
      <t>トキ</t>
    </rPh>
    <rPh sb="19" eb="21">
      <t>ダイガ</t>
    </rPh>
    <rPh sb="22" eb="23">
      <t>ヒン</t>
    </rPh>
    <rPh sb="24" eb="26">
      <t>ヒヨウ</t>
    </rPh>
    <phoneticPr fontId="14"/>
  </si>
  <si>
    <t>HBLST5-SEP</t>
    <phoneticPr fontId="14"/>
  </si>
  <si>
    <t>HFS5-2060-200</t>
    <phoneticPr fontId="14"/>
  </si>
  <si>
    <t>HFS5-2060-325</t>
    <phoneticPr fontId="14"/>
  </si>
  <si>
    <t>ワーク治具固定位置合わせ用　ロボットテーブルに固定</t>
    <rPh sb="3" eb="5">
      <t>ジグ</t>
    </rPh>
    <rPh sb="5" eb="7">
      <t>コテイ</t>
    </rPh>
    <rPh sb="7" eb="10">
      <t>イチア</t>
    </rPh>
    <rPh sb="12" eb="13">
      <t>ヨウ</t>
    </rPh>
    <rPh sb="23" eb="25">
      <t>コテイ</t>
    </rPh>
    <phoneticPr fontId="14"/>
  </si>
  <si>
    <t>SFB4-8</t>
    <phoneticPr fontId="14"/>
  </si>
  <si>
    <t>ﾜｰｸガイド</t>
    <phoneticPr fontId="14"/>
  </si>
  <si>
    <t>ﾜｰｸガイドベースシリンダ変換</t>
    <rPh sb="13" eb="15">
      <t>ヘンカン</t>
    </rPh>
    <phoneticPr fontId="14"/>
  </si>
  <si>
    <t>MXQ6A-20Z-M9NL</t>
    <phoneticPr fontId="14"/>
  </si>
  <si>
    <t>ｳｴﾊｰｽ受け台</t>
    <rPh sb="5" eb="6">
      <t>ウ</t>
    </rPh>
    <rPh sb="7" eb="8">
      <t>ダイ</t>
    </rPh>
    <phoneticPr fontId="14"/>
  </si>
  <si>
    <t>ｳｴﾊｰｽ受け架台ﾍﾞｰｽ</t>
    <rPh sb="5" eb="6">
      <t>ウ</t>
    </rPh>
    <rPh sb="7" eb="9">
      <t>カダイ</t>
    </rPh>
    <phoneticPr fontId="14"/>
  </si>
  <si>
    <t>MS4-10</t>
    <phoneticPr fontId="14"/>
  </si>
  <si>
    <t>ﾉｯｸﾋﾟﾝ　φ4-10mm</t>
    <phoneticPr fontId="14"/>
  </si>
  <si>
    <t>PETGS8-51-SC15-M4-ND4</t>
    <phoneticPr fontId="14"/>
  </si>
  <si>
    <t>PLSBG8-49-M4-N4</t>
    <phoneticPr fontId="14"/>
  </si>
  <si>
    <t>SCB3-15</t>
    <phoneticPr fontId="14"/>
  </si>
  <si>
    <t>USYELN6-M5</t>
    <phoneticPr fontId="14"/>
  </si>
  <si>
    <t>シリンダガイド受けﾍﾞｰｽ</t>
    <rPh sb="7" eb="8">
      <t>ウ</t>
    </rPh>
    <phoneticPr fontId="14"/>
  </si>
  <si>
    <t>シリンダガイド受けﾍﾞｰｽ位置決め固定　左</t>
    <rPh sb="7" eb="8">
      <t>ウ</t>
    </rPh>
    <rPh sb="13" eb="16">
      <t>イチギ</t>
    </rPh>
    <rPh sb="17" eb="19">
      <t>コテイ</t>
    </rPh>
    <rPh sb="20" eb="21">
      <t>ヒダリ</t>
    </rPh>
    <phoneticPr fontId="14"/>
  </si>
  <si>
    <t>シリンダガイド受けﾍﾞｰｽ位置決め固定　右</t>
    <rPh sb="7" eb="8">
      <t>ウ</t>
    </rPh>
    <rPh sb="13" eb="16">
      <t>イチギ</t>
    </rPh>
    <rPh sb="17" eb="19">
      <t>コテイ</t>
    </rPh>
    <rPh sb="20" eb="21">
      <t>ミギ</t>
    </rPh>
    <phoneticPr fontId="14"/>
  </si>
  <si>
    <t>後入れバネナット  11本</t>
    <rPh sb="12" eb="13">
      <t>ホン</t>
    </rPh>
    <phoneticPr fontId="16"/>
  </si>
  <si>
    <t>AS1301F-M5-04A</t>
    <phoneticPr fontId="16"/>
  </si>
  <si>
    <t>ワンタッチ管継手付スピードコントローラ プッシュロック式 ﾕﾆﾊﾞｰｻﾙタイプ</t>
    <phoneticPr fontId="16"/>
  </si>
  <si>
    <t>MNCNL6-1</t>
    <phoneticPr fontId="16"/>
  </si>
  <si>
    <t>ミニチュアワンタッチ継手　エルボ</t>
    <phoneticPr fontId="16"/>
  </si>
  <si>
    <t>SGPPP6A</t>
    <phoneticPr fontId="16"/>
  </si>
  <si>
    <t>低圧用ねじ込み継手　同径　プラグ</t>
    <phoneticPr fontId="16"/>
  </si>
  <si>
    <t>SS5Y3-20-05</t>
    <phoneticPr fontId="16"/>
  </si>
  <si>
    <t>5ポートソレノイドバルブ SY3000マニホールド 一体形ベース</t>
    <phoneticPr fontId="16"/>
  </si>
  <si>
    <t>5ポートソレノイドバルブ 直接配管形 単体 SY3000シリーズ</t>
    <phoneticPr fontId="16"/>
  </si>
  <si>
    <t>*SY3000-26-9A</t>
    <phoneticPr fontId="16"/>
  </si>
  <si>
    <t>ﾌﾞﾗﾝｷﾝｸﾞﾌﾟﾚｰﾄASSY</t>
  </si>
  <si>
    <t>一体型ﾍﾞｰｽﾏﾆﾎｰﾙﾄﾞ用</t>
    <rPh sb="14" eb="15">
      <t>ヨウ</t>
    </rPh>
    <phoneticPr fontId="16"/>
  </si>
  <si>
    <t>*AN10-01</t>
    <phoneticPr fontId="16"/>
  </si>
  <si>
    <t>サイレンサ 小型樹脂タイプ</t>
    <phoneticPr fontId="16"/>
  </si>
  <si>
    <t>30日目</t>
    <rPh sb="2" eb="3">
      <t>ヒ</t>
    </rPh>
    <rPh sb="3" eb="4">
      <t>メ</t>
    </rPh>
    <phoneticPr fontId="16"/>
  </si>
  <si>
    <r>
      <t>レギュレーター　　真空発生</t>
    </r>
    <r>
      <rPr>
        <b/>
        <sz val="11"/>
        <color indexed="30"/>
        <rFont val="ＭＳ Ｐゴシック"/>
        <family val="3"/>
        <charset val="128"/>
      </rPr>
      <t>元圧用</t>
    </r>
    <rPh sb="9" eb="11">
      <t>シンクウ</t>
    </rPh>
    <rPh sb="11" eb="13">
      <t>ハッセイ</t>
    </rPh>
    <rPh sb="13" eb="14">
      <t>モト</t>
    </rPh>
    <rPh sb="14" eb="15">
      <t>アツ</t>
    </rPh>
    <rPh sb="15" eb="16">
      <t>ヨウ</t>
    </rPh>
    <phoneticPr fontId="16"/>
  </si>
  <si>
    <t>ミニュチュアワンタッチ継手</t>
    <rPh sb="11" eb="12">
      <t>ツギ</t>
    </rPh>
    <rPh sb="12" eb="13">
      <t>テ</t>
    </rPh>
    <phoneticPr fontId="16"/>
  </si>
  <si>
    <r>
      <t>S</t>
    </r>
    <r>
      <rPr>
        <sz val="11"/>
        <color theme="1"/>
        <rFont val="ＭＳ Ｐゴシック"/>
        <family val="3"/>
        <charset val="128"/>
        <scheme val="minor"/>
      </rPr>
      <t>MC</t>
    </r>
    <phoneticPr fontId="16"/>
  </si>
  <si>
    <r>
      <t>K</t>
    </r>
    <r>
      <rPr>
        <sz val="11"/>
        <color theme="1"/>
        <rFont val="ＭＳ Ｐゴシック"/>
        <family val="3"/>
        <charset val="128"/>
        <scheme val="minor"/>
      </rPr>
      <t>Q2L06-M5</t>
    </r>
    <r>
      <rPr>
        <sz val="11"/>
        <color indexed="10"/>
        <rFont val="ＭＳ Ｐゴシック"/>
        <family val="3"/>
        <charset val="128"/>
      </rPr>
      <t>A</t>
    </r>
    <phoneticPr fontId="16"/>
  </si>
  <si>
    <t>継手　ｲｼﾞｪｸﾀｰ用</t>
    <rPh sb="0" eb="1">
      <t>ツ</t>
    </rPh>
    <rPh sb="1" eb="2">
      <t>テ</t>
    </rPh>
    <rPh sb="10" eb="11">
      <t>ヨウ</t>
    </rPh>
    <phoneticPr fontId="16"/>
  </si>
  <si>
    <t>IR1010-01B</t>
    <phoneticPr fontId="16"/>
  </si>
  <si>
    <t>レギュレータ　　0～0.4Mp</t>
    <phoneticPr fontId="16"/>
  </si>
  <si>
    <t>モノタロウ</t>
    <phoneticPr fontId="16"/>
  </si>
  <si>
    <t>ISE30A-01-A-L</t>
    <phoneticPr fontId="16"/>
  </si>
  <si>
    <t>ZX1101-J15LZ-EL</t>
    <phoneticPr fontId="16"/>
  </si>
  <si>
    <t>真空発生エジェクタ</t>
    <phoneticPr fontId="16"/>
  </si>
  <si>
    <t>ZSE30A-C6H-A-MGA1K(0)　　ZSE30A-C6L-N-MGA3T</t>
    <phoneticPr fontId="16"/>
  </si>
  <si>
    <t>2色表示式 高精度デジタル圧力スイッチ ZSE30A（F）/ISE30Aシリーズ</t>
    <phoneticPr fontId="16"/>
  </si>
  <si>
    <t>60日目</t>
    <rPh sb="2" eb="3">
      <t>ヒ</t>
    </rPh>
    <rPh sb="3" eb="4">
      <t>メ</t>
    </rPh>
    <phoneticPr fontId="16"/>
  </si>
  <si>
    <t>MNCNL6-M5</t>
    <phoneticPr fontId="14"/>
  </si>
  <si>
    <t>CNF6-6</t>
    <phoneticPr fontId="14"/>
  </si>
  <si>
    <t>ﾁｪﾘｯｸ</t>
    <phoneticPr fontId="14"/>
  </si>
  <si>
    <t>ワンタッチ継手 トリプルシングル CNF</t>
    <phoneticPr fontId="14"/>
  </si>
  <si>
    <t>PP6</t>
    <phoneticPr fontId="14"/>
  </si>
  <si>
    <t>一般配管用 チューブフィッティング プラグ</t>
    <phoneticPr fontId="14"/>
  </si>
  <si>
    <t>日本ピスコ</t>
    <rPh sb="0" eb="2">
      <t>ニホン</t>
    </rPh>
    <phoneticPr fontId="14"/>
  </si>
  <si>
    <t>ｳｴﾊｰｽ受け架台ﾍﾞｰｽロボット固定板</t>
    <rPh sb="5" eb="6">
      <t>ウ</t>
    </rPh>
    <rPh sb="7" eb="9">
      <t>カダイ</t>
    </rPh>
    <rPh sb="17" eb="19">
      <t>コテイ</t>
    </rPh>
    <rPh sb="19" eb="20">
      <t>イタ</t>
    </rPh>
    <phoneticPr fontId="14"/>
  </si>
  <si>
    <t>５シリーズ（溝幅６ｍｍ）用薄型ブラケット</t>
    <phoneticPr fontId="14"/>
  </si>
  <si>
    <t>アルミフレーム　５シリーズ　長方形　２０×６０ｍｍ</t>
    <phoneticPr fontId="14"/>
  </si>
  <si>
    <t>六角穴付皿ボルト　</t>
    <phoneticPr fontId="14"/>
  </si>
  <si>
    <t>NGF60</t>
    <phoneticPr fontId="14"/>
  </si>
  <si>
    <t>耐熱オーリング</t>
    <phoneticPr fontId="14"/>
  </si>
  <si>
    <t>円形支柱－片端おねじ片端めねじ</t>
    <phoneticPr fontId="14"/>
  </si>
  <si>
    <t>六角支柱－片端おねじ片端めねじ</t>
    <phoneticPr fontId="14"/>
  </si>
  <si>
    <t>ワンタッチ継手　ターンエルボユニオン</t>
    <phoneticPr fontId="14"/>
  </si>
  <si>
    <t>SETB0091-Z01 電磁弁+レギュラーﾕﾆｯﾄ取付板金</t>
    <phoneticPr fontId="14"/>
  </si>
  <si>
    <t>六角穴付ボタンボルト</t>
    <phoneticPr fontId="14"/>
  </si>
  <si>
    <t>JPLRM4-P6.0-B6.5</t>
    <phoneticPr fontId="14"/>
  </si>
  <si>
    <t>マーカーピン　六角穴付タイプ</t>
    <phoneticPr fontId="14"/>
  </si>
  <si>
    <t>MVBLK-AMW-2YW-9HARF</t>
    <phoneticPr fontId="14"/>
  </si>
  <si>
    <t>SETB0090-X01  SV5916 　ﾊﾞﾙﾌﾞホルダー変換部品</t>
    <phoneticPr fontId="14"/>
  </si>
  <si>
    <t xml:space="preserve"> PC,ﾓﾆﾀｰ,ｽｲｯﾁBOX,200万画素ｶﾒﾗ</t>
    <phoneticPr fontId="14"/>
  </si>
  <si>
    <t xml:space="preserve"> ｷｰﾎﾞｰﾄﾞ,ﾏｳｽ</t>
    <phoneticPr fontId="14"/>
  </si>
  <si>
    <t>RDA-37H-UNC</t>
    <phoneticPr fontId="14"/>
  </si>
  <si>
    <t>DB-37SP</t>
    <phoneticPr fontId="14"/>
  </si>
  <si>
    <t>Dsubｺﾈｸﾀ　ハンダ付けタイプ/プレスコンタクト（ローコスト）　オス</t>
    <phoneticPr fontId="14"/>
  </si>
  <si>
    <t>Dsubｺﾈｸﾀ　EMI対策品　	#4-40ショートねじ</t>
    <phoneticPr fontId="14"/>
  </si>
  <si>
    <t>Dsub9コネクタハーネス</t>
    <phoneticPr fontId="16"/>
  </si>
  <si>
    <t>ツール治具</t>
    <rPh sb="3" eb="5">
      <t>ジグ</t>
    </rPh>
    <phoneticPr fontId="14"/>
  </si>
  <si>
    <t>IOｹｰﾌﾞﾙ</t>
    <phoneticPr fontId="14"/>
  </si>
  <si>
    <t>Ｎo.195024</t>
    <phoneticPr fontId="14"/>
  </si>
  <si>
    <t>DBS4-3-6</t>
    <phoneticPr fontId="14"/>
  </si>
  <si>
    <t xml:space="preserve"> ノックピン</t>
    <phoneticPr fontId="14"/>
  </si>
  <si>
    <t>段付ボルト</t>
    <phoneticPr fontId="14"/>
  </si>
  <si>
    <t>DSDJ-PT-MS-9-1.5-02S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</si>
</sst>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#,##0_ "/>
    <numFmt numFmtId="183" formatCode="0_ ;[Red]\-0\ "/>
  </numFmts>
  <fonts count="34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1"/>
      <color indexed="30"/>
      <name val="ＭＳ Ｐゴシック"/>
      <family val="3"/>
      <charset val="128"/>
    </font>
    <font>
      <sz val="11"/>
      <color indexed="10"/>
      <name val="ＭＳ Ｐゴシック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13" fillId="0" borderId="0">
      <alignment vertical="center"/>
    </xf>
    <xf numFmtId="0" fontId="18" fillId="0" borderId="0">
      <alignment vertical="center"/>
    </xf>
  </cellStyleXfs>
  <cellXfs count="499"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 shrinkToFit="1"/>
    </xf>
    <xf numFmtId="0" fontId="0" fillId="0" borderId="1" xfId="0" applyFont="1" applyBorder="1" applyAlignment="1">
      <alignment vertical="center" shrinkToFit="1"/>
    </xf>
    <xf numFmtId="176" fontId="0" fillId="0" borderId="1" xfId="0" applyNumberFormat="1" applyFont="1" applyBorder="1">
      <alignment vertical="center"/>
    </xf>
    <xf numFmtId="0" fontId="0" fillId="0" borderId="0" xfId="0" applyFont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Font="1" applyAlignment="1">
      <alignment horizontal="right" vertical="center"/>
    </xf>
    <xf numFmtId="177" fontId="0" fillId="0" borderId="1" xfId="0" applyNumberFormat="1" applyFont="1" applyBorder="1" applyAlignment="1">
      <alignment horizontal="right" vertical="center"/>
    </xf>
    <xf numFmtId="176" fontId="0" fillId="0" borderId="1" xfId="0" applyNumberFormat="1" applyFont="1" applyBorder="1" applyAlignment="1"/>
    <xf numFmtId="177" fontId="0" fillId="0" borderId="0" xfId="0" applyNumberFormat="1" applyFont="1">
      <alignment vertical="center"/>
    </xf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vertical="center" shrinkToFit="1"/>
    </xf>
    <xf numFmtId="176" fontId="0" fillId="0" borderId="3" xfId="0" applyNumberFormat="1" applyFont="1" applyBorder="1">
      <alignment vertical="center"/>
    </xf>
    <xf numFmtId="176" fontId="0" fillId="0" borderId="3" xfId="0" applyNumberFormat="1" applyFont="1" applyBorder="1" applyAlignment="1"/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vertical="center" shrinkToFit="1"/>
    </xf>
    <xf numFmtId="176" fontId="0" fillId="0" borderId="4" xfId="0" applyNumberFormat="1" applyFont="1" applyBorder="1">
      <alignment vertical="center"/>
    </xf>
    <xf numFmtId="176" fontId="0" fillId="0" borderId="4" xfId="0" applyNumberFormat="1" applyFont="1" applyBorder="1" applyAlignment="1"/>
    <xf numFmtId="0" fontId="0" fillId="0" borderId="4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4" xfId="0" applyFont="1" applyBorder="1" applyAlignment="1">
      <alignment horizontal="right" vertical="center"/>
    </xf>
    <xf numFmtId="177" fontId="0" fillId="0" borderId="4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176" fontId="0" fillId="0" borderId="2" xfId="0" applyNumberFormat="1" applyFont="1" applyBorder="1" applyAlignment="1"/>
    <xf numFmtId="17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shrinkToFit="1"/>
    </xf>
    <xf numFmtId="0" fontId="0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right" vertical="center"/>
    </xf>
    <xf numFmtId="177" fontId="0" fillId="0" borderId="1" xfId="0" applyNumberFormat="1" applyFont="1" applyBorder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0" fillId="2" borderId="1" xfId="0" applyNumberFormat="1" applyFont="1" applyFill="1" applyBorder="1">
      <alignment vertical="center"/>
    </xf>
    <xf numFmtId="176" fontId="0" fillId="2" borderId="1" xfId="0" applyNumberFormat="1" applyFont="1" applyFill="1" applyBorder="1" applyAlignment="1"/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76" fontId="0" fillId="3" borderId="1" xfId="0" applyNumberFormat="1" applyFont="1" applyFill="1" applyBorder="1">
      <alignment vertical="center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/>
    <xf numFmtId="0" fontId="6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/>
    </xf>
    <xf numFmtId="0" fontId="0" fillId="0" borderId="1" xfId="0" applyFont="1" applyBorder="1">
      <alignment vertical="center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179" fontId="0" fillId="0" borderId="3" xfId="0" applyNumberFormat="1" applyFont="1" applyBorder="1" applyAlignment="1">
      <alignment horizontal="center" vertical="center"/>
    </xf>
    <xf numFmtId="178" fontId="0" fillId="0" borderId="3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vertical="center" shrinkToFit="1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10" xfId="0" applyFont="1" applyBorder="1">
      <alignment vertical="center"/>
    </xf>
    <xf numFmtId="0" fontId="15" fillId="0" borderId="10" xfId="0" applyFont="1" applyFill="1" applyBorder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5" fillId="0" borderId="10" xfId="0" applyFont="1" applyFill="1" applyBorder="1" applyAlignment="1">
      <alignment horizontal="left" vertical="center"/>
    </xf>
    <xf numFmtId="176" fontId="15" fillId="0" borderId="12" xfId="0" applyNumberFormat="1" applyFont="1" applyFill="1" applyBorder="1" applyAlignment="1">
      <alignment vertical="center"/>
    </xf>
    <xf numFmtId="3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0" borderId="10" xfId="0" applyFont="1" applyBorder="1" applyAlignment="1">
      <alignment horizontal="center" vertical="center"/>
    </xf>
    <xf numFmtId="0" fontId="13" fillId="0" borderId="10" xfId="0" applyFont="1" applyBorder="1">
      <alignment vertical="center"/>
    </xf>
    <xf numFmtId="0" fontId="5" fillId="0" borderId="8" xfId="0" applyFont="1" applyBorder="1" applyAlignment="1">
      <alignment horizontal="center" vertical="center"/>
    </xf>
    <xf numFmtId="178" fontId="0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56" fontId="0" fillId="0" borderId="10" xfId="0" applyNumberFormat="1" applyFont="1" applyBorder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56" fontId="0" fillId="0" borderId="16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3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9" fillId="0" borderId="10" xfId="0" applyFont="1" applyBorder="1">
      <alignment vertical="center"/>
    </xf>
    <xf numFmtId="0" fontId="0" fillId="0" borderId="10" xfId="0" applyBorder="1" applyAlignment="1">
      <alignment horizontal="left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0" xfId="0" applyNumberFormat="1" applyBorder="1">
      <alignment vertical="center"/>
    </xf>
    <xf numFmtId="0" fontId="0" fillId="0" borderId="12" xfId="0" applyBorder="1">
      <alignment vertical="center"/>
    </xf>
    <xf numFmtId="176" fontId="0" fillId="0" borderId="12" xfId="0" applyNumberFormat="1" applyBorder="1">
      <alignment vertical="center"/>
    </xf>
    <xf numFmtId="0" fontId="0" fillId="7" borderId="10" xfId="0" applyFill="1" applyBorder="1" applyAlignment="1">
      <alignment horizontal="right" vertical="center"/>
    </xf>
    <xf numFmtId="0" fontId="0" fillId="7" borderId="12" xfId="0" applyFill="1" applyBorder="1" applyAlignment="1">
      <alignment horizontal="center" vertical="center"/>
    </xf>
    <xf numFmtId="0" fontId="19" fillId="7" borderId="10" xfId="0" applyFont="1" applyFill="1" applyBorder="1">
      <alignment vertical="center"/>
    </xf>
    <xf numFmtId="0" fontId="15" fillId="0" borderId="10" xfId="0" applyFont="1" applyBorder="1">
      <alignment vertical="center"/>
    </xf>
    <xf numFmtId="176" fontId="0" fillId="0" borderId="10" xfId="0" applyNumberFormat="1" applyBorder="1" applyAlignment="1"/>
    <xf numFmtId="0" fontId="0" fillId="0" borderId="10" xfId="0" applyBorder="1" applyAlignment="1">
      <alignment horizontal="left" vertical="center" shrinkToFit="1"/>
    </xf>
    <xf numFmtId="3" fontId="18" fillId="0" borderId="10" xfId="0" applyNumberFormat="1" applyFont="1" applyBorder="1" applyAlignment="1">
      <alignment horizontal="center" vertical="center"/>
    </xf>
    <xf numFmtId="176" fontId="18" fillId="0" borderId="10" xfId="0" applyNumberFormat="1" applyFont="1" applyBorder="1" applyAlignment="1"/>
    <xf numFmtId="0" fontId="18" fillId="0" borderId="12" xfId="0" applyFont="1" applyBorder="1" applyAlignment="1">
      <alignment horizontal="left" vertical="center" shrinkToFit="1"/>
    </xf>
    <xf numFmtId="0" fontId="18" fillId="0" borderId="10" xfId="3" applyBorder="1" applyAlignment="1">
      <alignment vertical="center"/>
    </xf>
    <xf numFmtId="0" fontId="0" fillId="7" borderId="10" xfId="0" applyFill="1" applyBorder="1" applyAlignment="1">
      <alignment horizontal="center" vertical="center"/>
    </xf>
    <xf numFmtId="0" fontId="18" fillId="0" borderId="10" xfId="3" applyBorder="1" applyAlignment="1">
      <alignment horizontal="left" vertical="center"/>
    </xf>
    <xf numFmtId="176" fontId="0" fillId="0" borderId="12" xfId="0" applyNumberFormat="1" applyBorder="1" applyAlignment="1"/>
    <xf numFmtId="176" fontId="15" fillId="0" borderId="12" xfId="0" applyNumberFormat="1" applyFont="1" applyBorder="1">
      <alignment vertical="center"/>
    </xf>
    <xf numFmtId="0" fontId="19" fillId="0" borderId="10" xfId="0" applyFont="1" applyBorder="1" applyAlignment="1">
      <alignment horizontal="center" vertical="center"/>
    </xf>
    <xf numFmtId="0" fontId="17" fillId="0" borderId="10" xfId="0" applyFont="1" applyBorder="1">
      <alignment vertical="center"/>
    </xf>
    <xf numFmtId="176" fontId="17" fillId="0" borderId="12" xfId="0" applyNumberFormat="1" applyFont="1" applyBorder="1">
      <alignment vertical="center"/>
    </xf>
    <xf numFmtId="0" fontId="18" fillId="0" borderId="10" xfId="0" applyFont="1" applyBorder="1" applyAlignment="1">
      <alignment horizontal="left" vertical="center" shrinkToFit="1"/>
    </xf>
    <xf numFmtId="0" fontId="15" fillId="0" borderId="10" xfId="0" applyFont="1" applyBorder="1" applyAlignment="1">
      <alignment horizontal="left" vertical="center"/>
    </xf>
    <xf numFmtId="3" fontId="0" fillId="7" borderId="18" xfId="0" applyNumberForma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3" fontId="0" fillId="0" borderId="10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vertical="center" shrinkToFit="1"/>
    </xf>
    <xf numFmtId="176" fontId="0" fillId="0" borderId="10" xfId="0" applyNumberFormat="1" applyFont="1" applyBorder="1" applyAlignment="1">
      <alignment horizontal="center" vertical="center"/>
    </xf>
    <xf numFmtId="176" fontId="15" fillId="0" borderId="13" xfId="0" applyNumberFormat="1" applyFont="1" applyFill="1" applyBorder="1" applyAlignment="1">
      <alignment horizontal="center" vertical="center"/>
    </xf>
    <xf numFmtId="176" fontId="15" fillId="0" borderId="14" xfId="0" applyNumberFormat="1" applyFont="1" applyFill="1" applyBorder="1" applyAlignment="1"/>
    <xf numFmtId="0" fontId="18" fillId="0" borderId="13" xfId="3" applyFont="1" applyFill="1" applyBorder="1" applyAlignment="1">
      <alignment vertical="center"/>
    </xf>
    <xf numFmtId="0" fontId="13" fillId="0" borderId="10" xfId="0" applyFont="1" applyFill="1" applyBorder="1" applyAlignment="1">
      <alignment horizontal="left" vertical="center" shrinkToFit="1"/>
    </xf>
    <xf numFmtId="0" fontId="0" fillId="0" borderId="0" xfId="0" applyFont="1" applyFill="1">
      <alignment vertical="center"/>
    </xf>
    <xf numFmtId="176" fontId="9" fillId="0" borderId="2" xfId="0" applyNumberFormat="1" applyFont="1" applyFill="1" applyBorder="1" applyAlignment="1">
      <alignment horizontal="center" vertical="center"/>
    </xf>
    <xf numFmtId="176" fontId="9" fillId="0" borderId="7" xfId="0" applyNumberFormat="1" applyFont="1" applyFill="1" applyBorder="1" applyAlignment="1">
      <alignment horizontal="center" vertical="center"/>
    </xf>
    <xf numFmtId="176" fontId="0" fillId="0" borderId="2" xfId="0" applyNumberFormat="1" applyFont="1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 shrinkToFit="1"/>
    </xf>
    <xf numFmtId="0" fontId="0" fillId="0" borderId="1" xfId="0" applyFont="1" applyFill="1" applyBorder="1" applyAlignment="1">
      <alignment horizontal="center" vertical="center" shrinkToFit="1"/>
    </xf>
    <xf numFmtId="179" fontId="0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10" xfId="0" applyFill="1" applyBorder="1">
      <alignment vertical="center"/>
    </xf>
    <xf numFmtId="0" fontId="13" fillId="0" borderId="10" xfId="0" applyFont="1" applyBorder="1" applyAlignment="1">
      <alignment horizontal="left" vertical="center" shrinkToFit="1"/>
    </xf>
    <xf numFmtId="0" fontId="29" fillId="10" borderId="10" xfId="0" applyFont="1" applyFill="1" applyBorder="1">
      <alignment vertical="center"/>
    </xf>
    <xf numFmtId="0" fontId="21" fillId="10" borderId="1" xfId="0" applyFont="1" applyFill="1" applyBorder="1" applyAlignment="1">
      <alignment vertical="center" shrinkToFit="1"/>
    </xf>
    <xf numFmtId="3" fontId="0" fillId="10" borderId="10" xfId="0" applyNumberFormat="1" applyFill="1" applyBorder="1" applyAlignment="1">
      <alignment horizontal="center" vertical="center"/>
    </xf>
    <xf numFmtId="49" fontId="0" fillId="10" borderId="10" xfId="0" applyNumberFormat="1" applyFill="1" applyBorder="1" applyAlignment="1">
      <alignment horizontal="left" vertical="center"/>
    </xf>
    <xf numFmtId="0" fontId="19" fillId="10" borderId="10" xfId="0" applyFont="1" applyFill="1" applyBorder="1" applyAlignment="1">
      <alignment horizontal="center" vertical="center"/>
    </xf>
    <xf numFmtId="0" fontId="19" fillId="10" borderId="12" xfId="0" applyFont="1" applyFill="1" applyBorder="1" applyAlignment="1">
      <alignment horizontal="center" vertical="center"/>
    </xf>
    <xf numFmtId="0" fontId="29" fillId="10" borderId="10" xfId="3" applyFont="1" applyFill="1" applyBorder="1" applyAlignment="1">
      <alignment horizontal="left" vertical="center"/>
    </xf>
    <xf numFmtId="3" fontId="23" fillId="10" borderId="10" xfId="0" applyNumberFormat="1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 vertical="center"/>
    </xf>
    <xf numFmtId="0" fontId="23" fillId="10" borderId="10" xfId="0" applyFont="1" applyFill="1" applyBorder="1">
      <alignment vertical="center"/>
    </xf>
    <xf numFmtId="0" fontId="23" fillId="10" borderId="10" xfId="0" applyFont="1" applyFill="1" applyBorder="1" applyAlignment="1">
      <alignment horizontal="left" vertical="center"/>
    </xf>
    <xf numFmtId="0" fontId="23" fillId="10" borderId="10" xfId="0" applyFont="1" applyFill="1" applyBorder="1" applyAlignment="1">
      <alignment horizontal="center" vertical="center"/>
    </xf>
    <xf numFmtId="176" fontId="23" fillId="10" borderId="10" xfId="0" applyNumberFormat="1" applyFont="1" applyFill="1" applyBorder="1" applyAlignment="1">
      <alignment horizontal="center" vertical="center"/>
    </xf>
    <xf numFmtId="176" fontId="23" fillId="10" borderId="12" xfId="0" applyNumberFormat="1" applyFont="1" applyFill="1" applyBorder="1">
      <alignment vertical="center"/>
    </xf>
    <xf numFmtId="0" fontId="29" fillId="10" borderId="10" xfId="3" applyFont="1" applyFill="1" applyBorder="1" applyAlignment="1">
      <alignment horizontal="center" vertical="center"/>
    </xf>
    <xf numFmtId="3" fontId="21" fillId="10" borderId="10" xfId="0" applyNumberFormat="1" applyFont="1" applyFill="1" applyBorder="1" applyAlignment="1">
      <alignment horizontal="center" vertical="center"/>
    </xf>
    <xf numFmtId="0" fontId="21" fillId="10" borderId="10" xfId="0" applyFont="1" applyFill="1" applyBorder="1" applyAlignment="1">
      <alignment horizontal="center" vertical="center"/>
    </xf>
    <xf numFmtId="176" fontId="21" fillId="10" borderId="10" xfId="0" applyNumberFormat="1" applyFont="1" applyFill="1" applyBorder="1" applyAlignment="1">
      <alignment horizontal="center" vertical="center"/>
    </xf>
    <xf numFmtId="0" fontId="23" fillId="10" borderId="10" xfId="0" applyFont="1" applyFill="1" applyBorder="1" applyAlignment="1">
      <alignment vertical="center" wrapText="1"/>
    </xf>
    <xf numFmtId="0" fontId="21" fillId="10" borderId="12" xfId="0" applyFont="1" applyFill="1" applyBorder="1" applyAlignment="1">
      <alignment horizontal="center" vertical="center"/>
    </xf>
    <xf numFmtId="0" fontId="21" fillId="10" borderId="10" xfId="0" applyFont="1" applyFill="1" applyBorder="1" applyAlignment="1">
      <alignment horizontal="left" vertical="center"/>
    </xf>
    <xf numFmtId="0" fontId="23" fillId="10" borderId="12" xfId="0" applyFont="1" applyFill="1" applyBorder="1">
      <alignment vertical="center"/>
    </xf>
    <xf numFmtId="0" fontId="29" fillId="10" borderId="12" xfId="0" applyFont="1" applyFill="1" applyBorder="1">
      <alignment vertical="center"/>
    </xf>
    <xf numFmtId="176" fontId="23" fillId="10" borderId="10" xfId="0" applyNumberFormat="1" applyFont="1" applyFill="1" applyBorder="1" applyAlignment="1">
      <alignment horizontal="right" vertical="center"/>
    </xf>
    <xf numFmtId="3" fontId="29" fillId="10" borderId="10" xfId="0" applyNumberFormat="1" applyFont="1" applyFill="1" applyBorder="1" applyAlignment="1">
      <alignment horizontal="center" vertical="center"/>
    </xf>
    <xf numFmtId="0" fontId="29" fillId="10" borderId="10" xfId="0" applyFont="1" applyFill="1" applyBorder="1" applyAlignment="1">
      <alignment horizontal="center" vertical="center"/>
    </xf>
    <xf numFmtId="176" fontId="29" fillId="10" borderId="12" xfId="0" applyNumberFormat="1" applyFont="1" applyFill="1" applyBorder="1">
      <alignment vertical="center"/>
    </xf>
    <xf numFmtId="0" fontId="18" fillId="0" borderId="10" xfId="3" applyFill="1" applyBorder="1" applyAlignment="1">
      <alignment vertical="center"/>
    </xf>
    <xf numFmtId="3" fontId="18" fillId="0" borderId="10" xfId="0" applyNumberFormat="1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left" vertical="center"/>
    </xf>
    <xf numFmtId="0" fontId="13" fillId="0" borderId="0" xfId="0" applyFont="1">
      <alignment vertical="center"/>
    </xf>
    <xf numFmtId="176" fontId="29" fillId="10" borderId="12" xfId="0" applyNumberFormat="1" applyFont="1" applyFill="1" applyBorder="1" applyAlignment="1">
      <alignment vertical="center"/>
    </xf>
    <xf numFmtId="0" fontId="23" fillId="10" borderId="10" xfId="0" applyNumberFormat="1" applyFont="1" applyFill="1" applyBorder="1" applyAlignment="1">
      <alignment horizontal="center" vertical="center"/>
    </xf>
    <xf numFmtId="0" fontId="29" fillId="10" borderId="10" xfId="3" applyFont="1" applyFill="1" applyBorder="1"/>
    <xf numFmtId="176" fontId="29" fillId="10" borderId="10" xfId="0" applyNumberFormat="1" applyFont="1" applyFill="1" applyBorder="1" applyAlignment="1">
      <alignment horizontal="center" vertical="center"/>
    </xf>
    <xf numFmtId="176" fontId="29" fillId="10" borderId="12" xfId="0" applyNumberFormat="1" applyFont="1" applyFill="1" applyBorder="1" applyAlignment="1"/>
    <xf numFmtId="0" fontId="29" fillId="10" borderId="10" xfId="3" applyFont="1" applyFill="1" applyBorder="1" applyAlignment="1">
      <alignment vertical="center"/>
    </xf>
    <xf numFmtId="183" fontId="19" fillId="10" borderId="10" xfId="0" applyNumberFormat="1" applyFont="1" applyFill="1" applyBorder="1" applyAlignment="1">
      <alignment horizontal="center" vertical="center"/>
    </xf>
    <xf numFmtId="176" fontId="0" fillId="0" borderId="8" xfId="0" applyNumberFormat="1" applyFont="1" applyBorder="1" applyAlignment="1">
      <alignment horizontal="center" vertical="center"/>
    </xf>
    <xf numFmtId="176" fontId="0" fillId="0" borderId="3" xfId="0" applyNumberFormat="1" applyFont="1" applyBorder="1" applyAlignment="1">
      <alignment horizontal="center" vertical="center"/>
    </xf>
    <xf numFmtId="38" fontId="19" fillId="0" borderId="10" xfId="0" applyNumberFormat="1" applyFont="1" applyBorder="1" applyAlignment="1">
      <alignment horizontal="center" vertical="center"/>
    </xf>
    <xf numFmtId="0" fontId="18" fillId="0" borderId="13" xfId="3" applyFont="1" applyBorder="1" applyAlignment="1">
      <alignment horizontal="center" vertical="center"/>
    </xf>
    <xf numFmtId="0" fontId="13" fillId="0" borderId="10" xfId="0" applyFont="1" applyFill="1" applyBorder="1">
      <alignment vertical="center"/>
    </xf>
    <xf numFmtId="0" fontId="19" fillId="0" borderId="10" xfId="0" applyFont="1" applyFill="1" applyBorder="1">
      <alignment vertical="center"/>
    </xf>
    <xf numFmtId="0" fontId="0" fillId="0" borderId="10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shrinkToFit="1"/>
    </xf>
    <xf numFmtId="0" fontId="0" fillId="0" borderId="0" xfId="0" applyFont="1" applyFill="1" applyBorder="1" applyAlignment="1">
      <alignment horizontal="center" vertical="center"/>
    </xf>
    <xf numFmtId="3" fontId="0" fillId="0" borderId="18" xfId="0" applyNumberFormat="1" applyFill="1" applyBorder="1" applyAlignment="1">
      <alignment horizontal="center" vertical="center"/>
    </xf>
    <xf numFmtId="176" fontId="28" fillId="0" borderId="18" xfId="0" applyNumberFormat="1" applyFont="1" applyFill="1" applyBorder="1" applyAlignment="1">
      <alignment horizontal="center" vertical="center"/>
    </xf>
    <xf numFmtId="181" fontId="19" fillId="0" borderId="18" xfId="0" applyNumberFormat="1" applyFont="1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76" fontId="22" fillId="10" borderId="10" xfId="0" applyNumberFormat="1" applyFont="1" applyFill="1" applyBorder="1" applyAlignment="1">
      <alignment horizontal="center" vertical="center"/>
    </xf>
    <xf numFmtId="0" fontId="21" fillId="10" borderId="10" xfId="0" applyFont="1" applyFill="1" applyBorder="1">
      <alignment vertical="center"/>
    </xf>
    <xf numFmtId="38" fontId="21" fillId="10" borderId="10" xfId="0" applyNumberFormat="1" applyFont="1" applyFill="1" applyBorder="1" applyAlignment="1">
      <alignment horizontal="center" vertical="center"/>
    </xf>
    <xf numFmtId="0" fontId="22" fillId="10" borderId="10" xfId="0" applyFont="1" applyFill="1" applyBorder="1" applyAlignment="1">
      <alignment horizontal="center" vertical="center"/>
    </xf>
    <xf numFmtId="176" fontId="21" fillId="10" borderId="10" xfId="0" applyNumberFormat="1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0" fillId="0" borderId="10" xfId="0" applyFont="1" applyFill="1" applyBorder="1">
      <alignment vertical="center"/>
    </xf>
    <xf numFmtId="56" fontId="0" fillId="0" borderId="10" xfId="0" applyNumberFormat="1" applyFont="1" applyFill="1" applyBorder="1" applyAlignment="1">
      <alignment horizontal="center" vertical="center"/>
    </xf>
    <xf numFmtId="178" fontId="0" fillId="0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vertical="center" shrinkToFit="1"/>
    </xf>
    <xf numFmtId="38" fontId="0" fillId="0" borderId="10" xfId="0" applyNumberFormat="1" applyBorder="1">
      <alignment vertical="center"/>
    </xf>
    <xf numFmtId="49" fontId="13" fillId="0" borderId="10" xfId="0" applyNumberFormat="1" applyFont="1" applyBorder="1" applyAlignment="1">
      <alignment horizontal="left" vertical="center"/>
    </xf>
    <xf numFmtId="0" fontId="0" fillId="0" borderId="8" xfId="0" applyFont="1" applyBorder="1" applyAlignment="1">
      <alignment vertical="center" shrinkToFit="1"/>
    </xf>
    <xf numFmtId="176" fontId="0" fillId="0" borderId="10" xfId="0" applyNumberFormat="1" applyFont="1" applyBorder="1" applyAlignment="1"/>
    <xf numFmtId="0" fontId="0" fillId="0" borderId="8" xfId="0" applyFont="1" applyFill="1" applyBorder="1" applyAlignment="1">
      <alignment vertical="center" shrinkToFit="1"/>
    </xf>
    <xf numFmtId="0" fontId="0" fillId="0" borderId="10" xfId="0" applyFont="1" applyBorder="1" applyAlignment="1">
      <alignment horizontal="left" vertical="center" shrinkToFit="1"/>
    </xf>
    <xf numFmtId="0" fontId="0" fillId="7" borderId="10" xfId="0" applyFill="1" applyBorder="1" applyAlignment="1">
      <alignment horizontal="left" vertical="center"/>
    </xf>
    <xf numFmtId="176" fontId="0" fillId="0" borderId="1" xfId="0" applyNumberFormat="1" applyBorder="1" applyAlignment="1"/>
    <xf numFmtId="3" fontId="0" fillId="7" borderId="10" xfId="0" applyNumberForma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38" fontId="0" fillId="13" borderId="10" xfId="0" applyNumberFormat="1" applyFill="1" applyBorder="1" applyAlignment="1">
      <alignment horizontal="right" vertical="center"/>
    </xf>
    <xf numFmtId="0" fontId="13" fillId="0" borderId="10" xfId="0" applyFont="1" applyFill="1" applyBorder="1" applyAlignment="1">
      <alignment horizontal="center" vertical="center"/>
    </xf>
    <xf numFmtId="0" fontId="18" fillId="13" borderId="10" xfId="3" applyFill="1" applyBorder="1" applyAlignment="1">
      <alignment horizontal="center" vertical="center"/>
    </xf>
    <xf numFmtId="176" fontId="0" fillId="13" borderId="10" xfId="0" applyNumberFormat="1" applyFill="1" applyBorder="1" applyAlignment="1">
      <alignment horizontal="center" vertical="center"/>
    </xf>
    <xf numFmtId="0" fontId="24" fillId="13" borderId="10" xfId="0" applyFont="1" applyFill="1" applyBorder="1" applyAlignment="1">
      <alignment horizontal="center" vertical="center"/>
    </xf>
    <xf numFmtId="0" fontId="26" fillId="13" borderId="10" xfId="3" applyFont="1" applyFill="1" applyBorder="1" applyAlignment="1">
      <alignment horizontal="center" vertical="center"/>
    </xf>
    <xf numFmtId="0" fontId="17" fillId="13" borderId="10" xfId="0" applyFont="1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183" fontId="0" fillId="13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 shrinkToFit="1"/>
    </xf>
    <xf numFmtId="3" fontId="0" fillId="13" borderId="10" xfId="0" applyNumberFormat="1" applyFill="1" applyBorder="1" applyAlignment="1">
      <alignment horizontal="center" vertical="center"/>
    </xf>
    <xf numFmtId="0" fontId="19" fillId="13" borderId="10" xfId="0" applyFont="1" applyFill="1" applyBorder="1" applyAlignment="1">
      <alignment horizontal="center" vertical="center"/>
    </xf>
    <xf numFmtId="176" fontId="0" fillId="0" borderId="7" xfId="0" applyNumberFormat="1" applyFont="1" applyFill="1" applyBorder="1">
      <alignment vertical="center"/>
    </xf>
    <xf numFmtId="0" fontId="5" fillId="0" borderId="10" xfId="0" applyFont="1" applyFill="1" applyBorder="1">
      <alignment vertical="center"/>
    </xf>
    <xf numFmtId="0" fontId="5" fillId="0" borderId="10" xfId="0" applyFont="1" applyFill="1" applyBorder="1" applyAlignment="1">
      <alignment horizontal="center" vertical="center"/>
    </xf>
    <xf numFmtId="176" fontId="10" fillId="0" borderId="10" xfId="0" applyNumberFormat="1" applyFont="1" applyFill="1" applyBorder="1" applyAlignment="1">
      <alignment horizontal="center" vertical="center"/>
    </xf>
    <xf numFmtId="49" fontId="21" fillId="10" borderId="10" xfId="0" applyNumberFormat="1" applyFont="1" applyFill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3" fontId="0" fillId="14" borderId="10" xfId="0" applyNumberFormat="1" applyFill="1" applyBorder="1" applyAlignment="1">
      <alignment horizontal="center" vertical="center"/>
    </xf>
    <xf numFmtId="176" fontId="0" fillId="14" borderId="10" xfId="0" applyNumberForma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3" fontId="13" fillId="0" borderId="10" xfId="0" applyNumberFormat="1" applyFont="1" applyBorder="1" applyAlignment="1">
      <alignment horizontal="center" vertical="center"/>
    </xf>
    <xf numFmtId="0" fontId="0" fillId="0" borderId="10" xfId="0" applyFill="1" applyBorder="1" applyAlignment="1">
      <alignment horizontal="right" vertical="center"/>
    </xf>
    <xf numFmtId="3" fontId="22" fillId="10" borderId="10" xfId="0" applyNumberFormat="1" applyFont="1" applyFill="1" applyBorder="1" applyAlignment="1">
      <alignment horizontal="center" vertical="center"/>
    </xf>
    <xf numFmtId="3" fontId="22" fillId="10" borderId="12" xfId="0" applyNumberFormat="1" applyFont="1" applyFill="1" applyBorder="1" applyAlignment="1">
      <alignment horizontal="center" vertical="center"/>
    </xf>
    <xf numFmtId="176" fontId="22" fillId="10" borderId="12" xfId="0" applyNumberFormat="1" applyFont="1" applyFill="1" applyBorder="1">
      <alignment vertical="center"/>
    </xf>
    <xf numFmtId="0" fontId="22" fillId="10" borderId="12" xfId="3" applyFont="1" applyFill="1" applyBorder="1" applyAlignment="1">
      <alignment horizontal="left" vertical="center"/>
    </xf>
    <xf numFmtId="0" fontId="21" fillId="10" borderId="12" xfId="0" applyFont="1" applyFill="1" applyBorder="1">
      <alignment vertical="center"/>
    </xf>
    <xf numFmtId="0" fontId="13" fillId="7" borderId="10" xfId="0" applyFont="1" applyFill="1" applyBorder="1" applyAlignment="1">
      <alignment horizontal="left" vertical="center"/>
    </xf>
    <xf numFmtId="0" fontId="13" fillId="0" borderId="10" xfId="0" applyFont="1" applyFill="1" applyBorder="1" applyAlignment="1">
      <alignment horizontal="left" vertical="center"/>
    </xf>
    <xf numFmtId="0" fontId="1" fillId="0" borderId="0" xfId="2" applyFill="1">
      <alignment vertical="center"/>
    </xf>
    <xf numFmtId="0" fontId="19" fillId="0" borderId="10" xfId="0" applyNumberFormat="1" applyFont="1" applyFill="1" applyBorder="1" applyAlignment="1">
      <alignment horizontal="center" vertical="center"/>
    </xf>
    <xf numFmtId="176" fontId="18" fillId="0" borderId="14" xfId="0" applyNumberFormat="1" applyFont="1" applyFill="1" applyBorder="1" applyAlignment="1"/>
    <xf numFmtId="0" fontId="19" fillId="0" borderId="10" xfId="0" applyFont="1" applyBorder="1" applyAlignment="1">
      <alignment horizontal="left" vertical="center"/>
    </xf>
    <xf numFmtId="49" fontId="13" fillId="10" borderId="10" xfId="0" applyNumberFormat="1" applyFont="1" applyFill="1" applyBorder="1" applyAlignment="1">
      <alignment horizontal="left" vertical="center"/>
    </xf>
    <xf numFmtId="3" fontId="13" fillId="14" borderId="10" xfId="0" applyNumberFormat="1" applyFont="1" applyFill="1" applyBorder="1" applyAlignment="1">
      <alignment horizontal="left" vertical="center"/>
    </xf>
    <xf numFmtId="0" fontId="0" fillId="14" borderId="10" xfId="0" applyFill="1" applyBorder="1" applyAlignment="1">
      <alignment horizontal="center" vertical="center"/>
    </xf>
    <xf numFmtId="49" fontId="13" fillId="14" borderId="10" xfId="0" applyNumberFormat="1" applyFont="1" applyFill="1" applyBorder="1" applyAlignment="1">
      <alignment horizontal="left" vertical="center" shrinkToFit="1"/>
    </xf>
    <xf numFmtId="0" fontId="18" fillId="14" borderId="10" xfId="3" applyFill="1" applyBorder="1" applyAlignment="1">
      <alignment horizontal="center" vertical="center"/>
    </xf>
    <xf numFmtId="0" fontId="19" fillId="14" borderId="10" xfId="4" applyFont="1" applyFill="1" applyBorder="1" applyAlignment="1">
      <alignment horizontal="left" vertical="center"/>
    </xf>
    <xf numFmtId="181" fontId="19" fillId="14" borderId="10" xfId="4" applyNumberFormat="1" applyFont="1" applyFill="1" applyBorder="1" applyAlignment="1">
      <alignment horizontal="center" vertical="center"/>
    </xf>
    <xf numFmtId="0" fontId="19" fillId="14" borderId="10" xfId="4" applyFont="1" applyFill="1" applyBorder="1" applyAlignment="1">
      <alignment horizontal="center" vertical="center"/>
    </xf>
    <xf numFmtId="0" fontId="0" fillId="14" borderId="10" xfId="0" applyFill="1" applyBorder="1" applyAlignment="1">
      <alignment horizontal="right" vertical="center"/>
    </xf>
    <xf numFmtId="0" fontId="29" fillId="0" borderId="10" xfId="3" applyFont="1" applyBorder="1" applyAlignment="1">
      <alignment horizontal="left" vertical="center" wrapText="1"/>
    </xf>
    <xf numFmtId="3" fontId="0" fillId="0" borderId="8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13" fillId="0" borderId="10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shrinkToFit="1"/>
    </xf>
    <xf numFmtId="0" fontId="13" fillId="0" borderId="10" xfId="0" applyFont="1" applyBorder="1" applyAlignment="1">
      <alignment vertical="center" shrinkToFit="1"/>
    </xf>
    <xf numFmtId="3" fontId="13" fillId="13" borderId="10" xfId="0" applyNumberFormat="1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center" vertical="center"/>
    </xf>
    <xf numFmtId="0" fontId="13" fillId="13" borderId="10" xfId="0" applyFont="1" applyFill="1" applyBorder="1" applyAlignment="1">
      <alignment vertical="center" shrinkToFit="1"/>
    </xf>
    <xf numFmtId="0" fontId="0" fillId="13" borderId="10" xfId="0" applyFont="1" applyFill="1" applyBorder="1" applyAlignment="1">
      <alignment horizontal="center" vertical="center"/>
    </xf>
    <xf numFmtId="3" fontId="0" fillId="13" borderId="10" xfId="0" applyNumberFormat="1" applyFont="1" applyFill="1" applyBorder="1" applyAlignment="1">
      <alignment horizontal="center" vertical="center"/>
    </xf>
    <xf numFmtId="0" fontId="0" fillId="0" borderId="10" xfId="0" applyFont="1" applyBorder="1" applyAlignment="1">
      <alignment vertical="center" shrinkToFit="1"/>
    </xf>
    <xf numFmtId="0" fontId="5" fillId="13" borderId="2" xfId="0" applyFont="1" applyFill="1" applyBorder="1" applyAlignment="1">
      <alignment horizontal="center" vertical="center"/>
    </xf>
    <xf numFmtId="0" fontId="18" fillId="13" borderId="10" xfId="3" applyFill="1" applyBorder="1" applyAlignment="1">
      <alignment vertical="center"/>
    </xf>
    <xf numFmtId="0" fontId="17" fillId="13" borderId="10" xfId="0" applyFont="1" applyFill="1" applyBorder="1">
      <alignment vertical="center"/>
    </xf>
    <xf numFmtId="49" fontId="0" fillId="13" borderId="10" xfId="0" applyNumberFormat="1" applyFill="1" applyBorder="1" applyAlignment="1">
      <alignment horizontal="left" vertical="center"/>
    </xf>
    <xf numFmtId="0" fontId="13" fillId="0" borderId="10" xfId="0" applyFont="1" applyBorder="1" applyAlignment="1">
      <alignment vertical="center" wrapText="1"/>
    </xf>
    <xf numFmtId="0" fontId="5" fillId="13" borderId="10" xfId="0" applyFont="1" applyFill="1" applyBorder="1" applyAlignment="1">
      <alignment horizontal="center" vertical="center"/>
    </xf>
    <xf numFmtId="0" fontId="19" fillId="13" borderId="10" xfId="0" applyFont="1" applyFill="1" applyBorder="1" applyAlignment="1">
      <alignment horizontal="left" vertical="center"/>
    </xf>
    <xf numFmtId="0" fontId="18" fillId="13" borderId="10" xfId="3" applyFont="1" applyFill="1" applyBorder="1" applyAlignment="1">
      <alignment horizontal="center" vertical="center"/>
    </xf>
    <xf numFmtId="0" fontId="15" fillId="13" borderId="10" xfId="3" applyFont="1" applyFill="1" applyBorder="1" applyAlignment="1">
      <alignment horizontal="left" vertical="center"/>
    </xf>
    <xf numFmtId="0" fontId="15" fillId="13" borderId="10" xfId="0" applyFont="1" applyFill="1" applyBorder="1">
      <alignment vertical="center"/>
    </xf>
    <xf numFmtId="0" fontId="19" fillId="13" borderId="10" xfId="0" applyNumberFormat="1" applyFont="1" applyFill="1" applyBorder="1" applyAlignment="1">
      <alignment horizontal="center" vertical="center"/>
    </xf>
    <xf numFmtId="0" fontId="31" fillId="13" borderId="13" xfId="3" applyFont="1" applyFill="1" applyBorder="1"/>
    <xf numFmtId="176" fontId="18" fillId="13" borderId="13" xfId="0" applyNumberFormat="1" applyFont="1" applyFill="1" applyBorder="1" applyAlignment="1">
      <alignment horizontal="center" vertical="center"/>
    </xf>
    <xf numFmtId="0" fontId="18" fillId="13" borderId="13" xfId="3" applyFont="1" applyFill="1" applyBorder="1" applyAlignment="1">
      <alignment horizontal="center" vertical="center"/>
    </xf>
    <xf numFmtId="0" fontId="13" fillId="14" borderId="10" xfId="0" applyFont="1" applyFill="1" applyBorder="1" applyAlignment="1">
      <alignment horizontal="left" vertical="center"/>
    </xf>
    <xf numFmtId="0" fontId="5" fillId="13" borderId="7" xfId="0" applyFont="1" applyFill="1" applyBorder="1" applyAlignment="1">
      <alignment horizontal="center" vertical="center"/>
    </xf>
    <xf numFmtId="0" fontId="5" fillId="13" borderId="1" xfId="0" applyFont="1" applyFill="1" applyBorder="1">
      <alignment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0" xfId="0" applyFont="1" applyFill="1" applyBorder="1" applyAlignment="1">
      <alignment horizontal="center" vertical="center"/>
    </xf>
    <xf numFmtId="176" fontId="0" fillId="0" borderId="0" xfId="0" applyNumberFormat="1" applyBorder="1" applyAlignment="1"/>
    <xf numFmtId="0" fontId="5" fillId="13" borderId="11" xfId="0" applyFont="1" applyFill="1" applyBorder="1" applyAlignment="1">
      <alignment horizontal="center" vertical="center"/>
    </xf>
    <xf numFmtId="0" fontId="5" fillId="13" borderId="8" xfId="0" applyFont="1" applyFill="1" applyBorder="1">
      <alignment vertical="center"/>
    </xf>
    <xf numFmtId="0" fontId="0" fillId="0" borderId="18" xfId="0" applyBorder="1" applyAlignment="1">
      <alignment horizontal="center" vertical="center"/>
    </xf>
    <xf numFmtId="0" fontId="2" fillId="13" borderId="18" xfId="0" applyFont="1" applyFill="1" applyBorder="1" applyAlignment="1">
      <alignment horizontal="center" vertical="center"/>
    </xf>
    <xf numFmtId="0" fontId="6" fillId="13" borderId="11" xfId="0" applyFont="1" applyFill="1" applyBorder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3" fontId="18" fillId="13" borderId="10" xfId="0" applyNumberFormat="1" applyFont="1" applyFill="1" applyBorder="1" applyAlignment="1">
      <alignment horizontal="center" vertical="center"/>
    </xf>
    <xf numFmtId="0" fontId="0" fillId="13" borderId="10" xfId="0" applyFill="1" applyBorder="1" applyAlignment="1">
      <alignment horizontal="left" vertical="center"/>
    </xf>
    <xf numFmtId="0" fontId="0" fillId="13" borderId="10" xfId="0" applyFill="1" applyBorder="1" applyAlignment="1">
      <alignment horizontal="right" vertical="center"/>
    </xf>
    <xf numFmtId="176" fontId="0" fillId="13" borderId="10" xfId="0" applyNumberFormat="1" applyFill="1" applyBorder="1" applyAlignment="1">
      <alignment horizontal="right" vertical="center"/>
    </xf>
    <xf numFmtId="176" fontId="15" fillId="0" borderId="12" xfId="0" applyNumberFormat="1" applyFont="1" applyBorder="1" applyAlignment="1"/>
    <xf numFmtId="0" fontId="0" fillId="0" borderId="1" xfId="0" applyBorder="1" applyAlignment="1">
      <alignment vertical="center" shrinkToFit="1"/>
    </xf>
    <xf numFmtId="3" fontId="18" fillId="13" borderId="18" xfId="0" applyNumberFormat="1" applyFont="1" applyFill="1" applyBorder="1" applyAlignment="1">
      <alignment horizontal="center" vertical="center"/>
    </xf>
    <xf numFmtId="0" fontId="13" fillId="13" borderId="10" xfId="0" applyFont="1" applyFill="1" applyBorder="1" applyAlignment="1">
      <alignment horizontal="left" vertical="center"/>
    </xf>
    <xf numFmtId="176" fontId="0" fillId="16" borderId="10" xfId="0" applyNumberFormat="1" applyFill="1" applyBorder="1" applyAlignment="1">
      <alignment horizontal="center" vertical="center"/>
    </xf>
    <xf numFmtId="176" fontId="15" fillId="0" borderId="10" xfId="0" applyNumberFormat="1" applyFont="1" applyBorder="1" applyAlignment="1"/>
    <xf numFmtId="176" fontId="15" fillId="0" borderId="10" xfId="0" applyNumberFormat="1" applyFont="1" applyBorder="1" applyAlignment="1">
      <alignment horizontal="left" vertical="center"/>
    </xf>
    <xf numFmtId="0" fontId="18" fillId="13" borderId="10" xfId="0" applyFont="1" applyFill="1" applyBorder="1">
      <alignment vertical="center"/>
    </xf>
    <xf numFmtId="180" fontId="18" fillId="13" borderId="10" xfId="0" applyNumberFormat="1" applyFont="1" applyFill="1" applyBorder="1" applyAlignment="1">
      <alignment horizontal="center" vertical="center"/>
    </xf>
    <xf numFmtId="176" fontId="18" fillId="13" borderId="10" xfId="0" applyNumberFormat="1" applyFont="1" applyFill="1" applyBorder="1">
      <alignment vertical="center"/>
    </xf>
    <xf numFmtId="0" fontId="18" fillId="13" borderId="10" xfId="3" applyFill="1" applyBorder="1"/>
    <xf numFmtId="176" fontId="15" fillId="13" borderId="10" xfId="0" applyNumberFormat="1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/>
    </xf>
    <xf numFmtId="0" fontId="18" fillId="13" borderId="10" xfId="0" applyFont="1" applyFill="1" applyBorder="1" applyAlignment="1">
      <alignment horizontal="left" vertical="center"/>
    </xf>
    <xf numFmtId="3" fontId="19" fillId="13" borderId="10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3" fontId="5" fillId="13" borderId="2" xfId="0" applyNumberFormat="1" applyFont="1" applyFill="1" applyBorder="1" applyAlignment="1">
      <alignment horizontal="center" vertical="center"/>
    </xf>
    <xf numFmtId="0" fontId="13" fillId="13" borderId="6" xfId="0" applyFont="1" applyFill="1" applyBorder="1" applyAlignment="1">
      <alignment vertical="center" shrinkToFit="1"/>
    </xf>
    <xf numFmtId="176" fontId="0" fillId="13" borderId="1" xfId="0" applyNumberFormat="1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vertical="center" shrinkToFit="1"/>
    </xf>
    <xf numFmtId="0" fontId="13" fillId="13" borderId="20" xfId="0" applyFont="1" applyFill="1" applyBorder="1" applyAlignment="1">
      <alignment vertical="center" shrinkToFit="1"/>
    </xf>
    <xf numFmtId="3" fontId="5" fillId="13" borderId="7" xfId="0" applyNumberFormat="1" applyFont="1" applyFill="1" applyBorder="1" applyAlignment="1">
      <alignment horizontal="center" vertical="center"/>
    </xf>
    <xf numFmtId="0" fontId="2" fillId="13" borderId="13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left" vertical="center" shrinkToFit="1"/>
    </xf>
    <xf numFmtId="0" fontId="18" fillId="0" borderId="10" xfId="3" applyFill="1" applyBorder="1" applyAlignment="1">
      <alignment horizontal="left" vertical="center"/>
    </xf>
    <xf numFmtId="0" fontId="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2" xfId="0" applyFont="1" applyBorder="1" applyAlignment="1">
      <alignment vertical="center"/>
    </xf>
    <xf numFmtId="176" fontId="0" fillId="0" borderId="1" xfId="0" applyNumberFormat="1" applyFont="1" applyBorder="1" applyAlignment="1">
      <alignment vertical="center"/>
    </xf>
    <xf numFmtId="176" fontId="0" fillId="0" borderId="10" xfId="0" applyNumberFormat="1" applyBorder="1" applyAlignment="1">
      <alignment vertical="center"/>
    </xf>
    <xf numFmtId="38" fontId="0" fillId="0" borderId="12" xfId="0" applyNumberFormat="1" applyBorder="1" applyAlignment="1">
      <alignment vertical="center"/>
    </xf>
    <xf numFmtId="0" fontId="19" fillId="0" borderId="12" xfId="0" applyFont="1" applyBorder="1" applyAlignment="1">
      <alignment vertical="center"/>
    </xf>
    <xf numFmtId="176" fontId="0" fillId="0" borderId="10" xfId="0" applyNumberFormat="1" applyFont="1" applyFill="1" applyBorder="1" applyAlignment="1">
      <alignment vertical="center"/>
    </xf>
    <xf numFmtId="176" fontId="9" fillId="0" borderId="8" xfId="0" applyNumberFormat="1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176" fontId="24" fillId="0" borderId="10" xfId="0" applyNumberFormat="1" applyFont="1" applyBorder="1" applyAlignment="1">
      <alignment vertical="center"/>
    </xf>
    <xf numFmtId="176" fontId="17" fillId="0" borderId="10" xfId="0" applyNumberFormat="1" applyFont="1" applyBorder="1" applyAlignment="1">
      <alignment vertical="center"/>
    </xf>
    <xf numFmtId="38" fontId="0" fillId="0" borderId="10" xfId="0" applyNumberFormat="1" applyBorder="1" applyAlignment="1">
      <alignment vertical="center"/>
    </xf>
    <xf numFmtId="38" fontId="19" fillId="10" borderId="10" xfId="0" applyNumberFormat="1" applyFont="1" applyFill="1" applyBorder="1" applyAlignment="1">
      <alignment vertical="center"/>
    </xf>
    <xf numFmtId="176" fontId="0" fillId="0" borderId="10" xfId="0" applyNumberFormat="1" applyFill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176" fontId="0" fillId="0" borderId="0" xfId="0" applyNumberFormat="1" applyBorder="1" applyAlignment="1">
      <alignment vertical="center"/>
    </xf>
    <xf numFmtId="176" fontId="15" fillId="0" borderId="10" xfId="0" applyNumberFormat="1" applyFont="1" applyBorder="1" applyAlignment="1">
      <alignment vertical="center"/>
    </xf>
    <xf numFmtId="176" fontId="18" fillId="0" borderId="10" xfId="0" applyNumberFormat="1" applyFont="1" applyBorder="1" applyAlignment="1">
      <alignment vertical="center"/>
    </xf>
    <xf numFmtId="176" fontId="19" fillId="0" borderId="10" xfId="0" applyNumberFormat="1" applyFont="1" applyBorder="1" applyAlignment="1">
      <alignment vertical="center"/>
    </xf>
    <xf numFmtId="176" fontId="0" fillId="0" borderId="10" xfId="0" applyNumberFormat="1" applyFont="1" applyBorder="1" applyAlignment="1">
      <alignment vertical="center"/>
    </xf>
    <xf numFmtId="176" fontId="0" fillId="0" borderId="3" xfId="0" applyNumberFormat="1" applyFont="1" applyBorder="1" applyAlignment="1">
      <alignment vertical="center"/>
    </xf>
    <xf numFmtId="176" fontId="23" fillId="10" borderId="10" xfId="0" applyNumberFormat="1" applyFont="1" applyFill="1" applyBorder="1" applyAlignment="1">
      <alignment vertical="center"/>
    </xf>
    <xf numFmtId="176" fontId="23" fillId="10" borderId="1" xfId="0" applyNumberFormat="1" applyFont="1" applyFill="1" applyBorder="1" applyAlignment="1">
      <alignment vertical="center"/>
    </xf>
    <xf numFmtId="176" fontId="29" fillId="10" borderId="10" xfId="0" applyNumberFormat="1" applyFont="1" applyFill="1" applyBorder="1" applyAlignment="1">
      <alignment vertical="center"/>
    </xf>
    <xf numFmtId="182" fontId="21" fillId="10" borderId="10" xfId="0" applyNumberFormat="1" applyFont="1" applyFill="1" applyBorder="1" applyAlignment="1">
      <alignment vertical="center"/>
    </xf>
    <xf numFmtId="38" fontId="21" fillId="10" borderId="10" xfId="0" applyNumberFormat="1" applyFont="1" applyFill="1" applyBorder="1" applyAlignment="1">
      <alignment vertical="center"/>
    </xf>
    <xf numFmtId="176" fontId="15" fillId="0" borderId="10" xfId="0" applyNumberFormat="1" applyFont="1" applyFill="1" applyBorder="1" applyAlignment="1">
      <alignment vertical="center"/>
    </xf>
    <xf numFmtId="176" fontId="19" fillId="0" borderId="10" xfId="0" applyNumberFormat="1" applyFont="1" applyFill="1" applyBorder="1" applyAlignment="1">
      <alignment vertical="center"/>
    </xf>
    <xf numFmtId="181" fontId="0" fillId="14" borderId="10" xfId="0" applyNumberFormat="1" applyFill="1" applyBorder="1" applyAlignment="1">
      <alignment horizontal="center" vertical="center"/>
    </xf>
    <xf numFmtId="181" fontId="0" fillId="13" borderId="10" xfId="0" applyNumberFormat="1" applyFill="1" applyBorder="1" applyAlignment="1">
      <alignment horizontal="center" vertical="center"/>
    </xf>
    <xf numFmtId="181" fontId="0" fillId="0" borderId="10" xfId="0" applyNumberFormat="1" applyFill="1" applyBorder="1" applyAlignment="1">
      <alignment horizontal="center" vertical="center"/>
    </xf>
    <xf numFmtId="181" fontId="19" fillId="7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vertical="center" shrinkToFit="1"/>
    </xf>
    <xf numFmtId="176" fontId="19" fillId="13" borderId="10" xfId="0" applyNumberFormat="1" applyFont="1" applyFill="1" applyBorder="1" applyAlignment="1">
      <alignment horizontal="center" vertical="center"/>
    </xf>
    <xf numFmtId="176" fontId="18" fillId="13" borderId="10" xfId="0" applyNumberFormat="1" applyFont="1" applyFill="1" applyBorder="1" applyAlignment="1">
      <alignment horizontal="center" vertical="center"/>
    </xf>
    <xf numFmtId="0" fontId="13" fillId="13" borderId="10" xfId="0" applyFont="1" applyFill="1" applyBorder="1">
      <alignment vertical="center"/>
    </xf>
    <xf numFmtId="0" fontId="18" fillId="13" borderId="10" xfId="3" applyFill="1" applyBorder="1" applyAlignment="1">
      <alignment horizontal="left" vertical="center"/>
    </xf>
    <xf numFmtId="3" fontId="15" fillId="13" borderId="10" xfId="0" applyNumberFormat="1" applyFont="1" applyFill="1" applyBorder="1" applyAlignment="1">
      <alignment horizontal="center" vertical="center"/>
    </xf>
    <xf numFmtId="180" fontId="15" fillId="13" borderId="10" xfId="0" applyNumberFormat="1" applyFont="1" applyFill="1" applyBorder="1" applyAlignment="1">
      <alignment horizontal="center" vertical="center"/>
    </xf>
    <xf numFmtId="176" fontId="18" fillId="13" borderId="10" xfId="3" applyNumberFormat="1" applyFill="1" applyBorder="1" applyAlignment="1">
      <alignment vertical="center"/>
    </xf>
    <xf numFmtId="0" fontId="15" fillId="13" borderId="10" xfId="0" applyFont="1" applyFill="1" applyBorder="1" applyAlignment="1">
      <alignment horizontal="left" vertical="center" shrinkToFit="1"/>
    </xf>
    <xf numFmtId="176" fontId="15" fillId="13" borderId="10" xfId="3" applyNumberFormat="1" applyFont="1" applyFill="1" applyBorder="1" applyAlignment="1">
      <alignment horizontal="right"/>
    </xf>
    <xf numFmtId="0" fontId="23" fillId="0" borderId="10" xfId="0" applyFont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vertical="center" shrinkToFit="1"/>
    </xf>
    <xf numFmtId="0" fontId="19" fillId="13" borderId="12" xfId="0" applyFont="1" applyFill="1" applyBorder="1">
      <alignment vertical="center"/>
    </xf>
    <xf numFmtId="176" fontId="0" fillId="11" borderId="1" xfId="0" applyNumberFormat="1" applyFont="1" applyFill="1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49" fontId="13" fillId="14" borderId="10" xfId="0" applyNumberFormat="1" applyFont="1" applyFill="1" applyBorder="1" applyAlignment="1">
      <alignment horizontal="left" vertical="center"/>
    </xf>
    <xf numFmtId="38" fontId="0" fillId="14" borderId="10" xfId="0" applyNumberFormat="1" applyFill="1" applyBorder="1" applyAlignment="1">
      <alignment horizontal="right" vertical="center"/>
    </xf>
    <xf numFmtId="0" fontId="13" fillId="0" borderId="12" xfId="0" applyFont="1" applyBorder="1" applyAlignment="1">
      <alignment horizontal="left" vertical="center" shrinkToFit="1"/>
    </xf>
    <xf numFmtId="0" fontId="0" fillId="0" borderId="2" xfId="0" applyFont="1" applyBorder="1" applyAlignment="1">
      <alignment horizontal="left" vertical="center" shrinkToFit="1"/>
    </xf>
    <xf numFmtId="0" fontId="0" fillId="0" borderId="4" xfId="0" applyFont="1" applyFill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2" xfId="0" applyFont="1" applyFill="1" applyBorder="1" applyAlignment="1">
      <alignment horizontal="center" vertical="center" shrinkToFit="1"/>
    </xf>
    <xf numFmtId="179" fontId="0" fillId="0" borderId="3" xfId="0" applyNumberFormat="1" applyFont="1" applyFill="1" applyBorder="1" applyAlignment="1">
      <alignment horizontal="center" vertical="center"/>
    </xf>
    <xf numFmtId="177" fontId="0" fillId="0" borderId="3" xfId="0" applyNumberFormat="1" applyFont="1" applyFill="1" applyBorder="1" applyAlignment="1">
      <alignment horizontal="center" vertical="center"/>
    </xf>
    <xf numFmtId="178" fontId="0" fillId="0" borderId="3" xfId="0" applyNumberFormat="1" applyFont="1" applyFill="1" applyBorder="1" applyAlignment="1">
      <alignment horizontal="center" vertical="center"/>
    </xf>
    <xf numFmtId="177" fontId="0" fillId="0" borderId="10" xfId="0" applyNumberFormat="1" applyFont="1" applyFill="1" applyBorder="1" applyAlignment="1">
      <alignment horizontal="center" vertical="center"/>
    </xf>
    <xf numFmtId="179" fontId="0" fillId="0" borderId="10" xfId="0" applyNumberFormat="1" applyFont="1" applyBorder="1" applyAlignment="1">
      <alignment horizontal="center" vertical="center"/>
    </xf>
    <xf numFmtId="177" fontId="0" fillId="0" borderId="10" xfId="0" applyNumberFormat="1" applyFont="1" applyBorder="1" applyAlignment="1">
      <alignment horizontal="center" vertical="center"/>
    </xf>
    <xf numFmtId="179" fontId="0" fillId="0" borderId="10" xfId="0" applyNumberFormat="1" applyFont="1" applyFill="1" applyBorder="1" applyAlignment="1">
      <alignment horizontal="center" vertical="center"/>
    </xf>
    <xf numFmtId="3" fontId="0" fillId="0" borderId="0" xfId="0" applyNumberFormat="1" applyFont="1" applyBorder="1" applyAlignment="1">
      <alignment horizontal="center" vertical="center"/>
    </xf>
    <xf numFmtId="3" fontId="0" fillId="0" borderId="11" xfId="0" applyNumberFormat="1" applyFont="1" applyBorder="1" applyAlignment="1">
      <alignment horizontal="center" vertical="center"/>
    </xf>
    <xf numFmtId="176" fontId="0" fillId="0" borderId="11" xfId="0" applyNumberFormat="1" applyFont="1" applyBorder="1" applyAlignment="1">
      <alignment horizontal="center" vertical="center"/>
    </xf>
    <xf numFmtId="176" fontId="0" fillId="0" borderId="11" xfId="0" applyNumberFormat="1" applyFont="1" applyBorder="1" applyAlignment="1">
      <alignment vertical="center"/>
    </xf>
    <xf numFmtId="0" fontId="0" fillId="0" borderId="11" xfId="0" applyFont="1" applyBorder="1" applyAlignment="1">
      <alignment horizontal="left" vertical="center" shrinkToFit="1"/>
    </xf>
    <xf numFmtId="0" fontId="18" fillId="0" borderId="10" xfId="3" applyBorder="1" applyAlignment="1">
      <alignment horizontal="center" vertical="center"/>
    </xf>
    <xf numFmtId="0" fontId="13" fillId="0" borderId="2" xfId="0" applyFont="1" applyBorder="1" applyAlignment="1">
      <alignment horizontal="left" vertical="center" shrinkToFit="1"/>
    </xf>
    <xf numFmtId="3" fontId="5" fillId="0" borderId="7" xfId="0" applyNumberFormat="1" applyFont="1" applyFill="1" applyBorder="1" applyAlignment="1">
      <alignment horizontal="center" vertical="center"/>
    </xf>
    <xf numFmtId="3" fontId="0" fillId="0" borderId="10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vertical="center" shrinkToFit="1"/>
    </xf>
    <xf numFmtId="176" fontId="0" fillId="0" borderId="1" xfId="0" applyNumberFormat="1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vertical="center" shrinkToFit="1"/>
    </xf>
    <xf numFmtId="3" fontId="13" fillId="0" borderId="10" xfId="0" applyNumberFormat="1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vertical="center" shrinkToFit="1"/>
    </xf>
    <xf numFmtId="3" fontId="0" fillId="0" borderId="2" xfId="0" applyNumberFormat="1" applyFont="1" applyBorder="1" applyAlignment="1">
      <alignment horizontal="center" vertical="center"/>
    </xf>
    <xf numFmtId="176" fontId="0" fillId="0" borderId="11" xfId="0" applyNumberFormat="1" applyFont="1" applyBorder="1">
      <alignment vertical="center"/>
    </xf>
    <xf numFmtId="176" fontId="0" fillId="0" borderId="10" xfId="0" applyNumberFormat="1" applyFont="1" applyFill="1" applyBorder="1">
      <alignment vertical="center"/>
    </xf>
    <xf numFmtId="176" fontId="9" fillId="0" borderId="10" xfId="0" applyNumberFormat="1" applyFont="1" applyFill="1" applyBorder="1" applyAlignment="1">
      <alignment horizontal="center" vertical="center"/>
    </xf>
    <xf numFmtId="176" fontId="0" fillId="0" borderId="18" xfId="0" applyNumberFormat="1" applyFont="1" applyFill="1" applyBorder="1">
      <alignment vertical="center"/>
    </xf>
    <xf numFmtId="176" fontId="9" fillId="0" borderId="18" xfId="0" applyNumberFormat="1" applyFont="1" applyFill="1" applyBorder="1" applyAlignment="1">
      <alignment horizontal="center" vertical="center"/>
    </xf>
    <xf numFmtId="176" fontId="0" fillId="0" borderId="19" xfId="0" applyNumberFormat="1" applyFont="1" applyBorder="1" applyAlignment="1"/>
    <xf numFmtId="0" fontId="0" fillId="0" borderId="11" xfId="0" applyFont="1" applyBorder="1" applyAlignment="1">
      <alignment horizontal="left" vertical="center"/>
    </xf>
    <xf numFmtId="176" fontId="0" fillId="0" borderId="23" xfId="0" applyNumberFormat="1" applyFont="1" applyBorder="1" applyAlignment="1">
      <alignment horizontal="center" vertical="center"/>
    </xf>
    <xf numFmtId="176" fontId="0" fillId="0" borderId="23" xfId="0" applyNumberFormat="1" applyFont="1" applyBorder="1" applyAlignment="1">
      <alignment vertical="center"/>
    </xf>
    <xf numFmtId="176" fontId="0" fillId="0" borderId="21" xfId="0" applyNumberFormat="1" applyFont="1" applyBorder="1" applyAlignment="1"/>
    <xf numFmtId="0" fontId="0" fillId="0" borderId="23" xfId="0" applyFont="1" applyBorder="1" applyAlignment="1">
      <alignment horizontal="left" vertical="center" shrinkToFit="1"/>
    </xf>
    <xf numFmtId="176" fontId="9" fillId="0" borderId="10" xfId="0" applyNumberFormat="1" applyFont="1" applyFill="1" applyBorder="1" applyAlignment="1">
      <alignment vertical="center"/>
    </xf>
    <xf numFmtId="0" fontId="0" fillId="0" borderId="10" xfId="0" applyFont="1" applyFill="1" applyBorder="1" applyAlignment="1">
      <alignment horizontal="left" vertical="center"/>
    </xf>
    <xf numFmtId="176" fontId="0" fillId="0" borderId="20" xfId="0" applyNumberFormat="1" applyFont="1" applyBorder="1" applyAlignment="1">
      <alignment horizontal="center" vertical="center"/>
    </xf>
    <xf numFmtId="176" fontId="0" fillId="0" borderId="11" xfId="0" applyNumberFormat="1" applyFont="1" applyBorder="1" applyAlignment="1"/>
    <xf numFmtId="0" fontId="0" fillId="0" borderId="11" xfId="0" applyFont="1" applyBorder="1" applyAlignment="1">
      <alignment horizontal="center" vertical="center"/>
    </xf>
    <xf numFmtId="179" fontId="0" fillId="0" borderId="11" xfId="0" applyNumberFormat="1" applyFont="1" applyBorder="1" applyAlignment="1">
      <alignment horizontal="center" vertical="center"/>
    </xf>
    <xf numFmtId="177" fontId="0" fillId="0" borderId="11" xfId="0" applyNumberFormat="1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176" fontId="9" fillId="5" borderId="21" xfId="0" applyNumberFormat="1" applyFont="1" applyFill="1" applyBorder="1" applyAlignment="1">
      <alignment horizontal="center" vertical="center"/>
    </xf>
    <xf numFmtId="176" fontId="9" fillId="5" borderId="0" xfId="0" applyNumberFormat="1" applyFont="1" applyFill="1" applyBorder="1" applyAlignment="1">
      <alignment horizontal="center" vertical="center"/>
    </xf>
    <xf numFmtId="176" fontId="9" fillId="5" borderId="22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6" fontId="9" fillId="5" borderId="9" xfId="0" applyNumberFormat="1" applyFont="1" applyFill="1" applyBorder="1" applyAlignment="1">
      <alignment horizontal="center" vertical="center"/>
    </xf>
    <xf numFmtId="176" fontId="9" fillId="5" borderId="19" xfId="0" applyNumberFormat="1" applyFont="1" applyFill="1" applyBorder="1" applyAlignment="1">
      <alignment horizontal="center" vertical="center"/>
    </xf>
    <xf numFmtId="176" fontId="9" fillId="5" borderId="20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12" fillId="15" borderId="10" xfId="0" applyFont="1" applyFill="1" applyBorder="1" applyAlignment="1">
      <alignment horizontal="center" vertical="center"/>
    </xf>
    <xf numFmtId="3" fontId="25" fillId="9" borderId="12" xfId="0" applyNumberFormat="1" applyFont="1" applyFill="1" applyBorder="1" applyAlignment="1">
      <alignment horizontal="center" vertical="center"/>
    </xf>
    <xf numFmtId="3" fontId="25" fillId="9" borderId="17" xfId="0" applyNumberFormat="1" applyFont="1" applyFill="1" applyBorder="1" applyAlignment="1">
      <alignment horizontal="center" vertical="center"/>
    </xf>
    <xf numFmtId="3" fontId="25" fillId="9" borderId="15" xfId="0" applyNumberFormat="1" applyFont="1" applyFill="1" applyBorder="1" applyAlignment="1">
      <alignment horizontal="center" vertical="center"/>
    </xf>
    <xf numFmtId="176" fontId="28" fillId="8" borderId="12" xfId="0" applyNumberFormat="1" applyFont="1" applyFill="1" applyBorder="1" applyAlignment="1">
      <alignment horizontal="center" vertical="center"/>
    </xf>
    <xf numFmtId="176" fontId="28" fillId="8" borderId="17" xfId="0" applyNumberFormat="1" applyFont="1" applyFill="1" applyBorder="1" applyAlignment="1">
      <alignment horizontal="center" vertical="center"/>
    </xf>
    <xf numFmtId="176" fontId="28" fillId="8" borderId="15" xfId="0" applyNumberFormat="1" applyFont="1" applyFill="1" applyBorder="1" applyAlignment="1">
      <alignment horizontal="center" vertical="center"/>
    </xf>
    <xf numFmtId="3" fontId="30" fillId="2" borderId="10" xfId="0" applyNumberFormat="1" applyFont="1" applyFill="1" applyBorder="1" applyAlignment="1">
      <alignment horizontal="center" vertical="center"/>
    </xf>
    <xf numFmtId="3" fontId="20" fillId="2" borderId="13" xfId="0" applyNumberFormat="1" applyFont="1" applyFill="1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/>
    </xf>
    <xf numFmtId="176" fontId="9" fillId="5" borderId="2" xfId="0" applyNumberFormat="1" applyFont="1" applyFill="1" applyBorder="1" applyAlignment="1">
      <alignment horizontal="center" vertical="center"/>
    </xf>
    <xf numFmtId="176" fontId="9" fillId="5" borderId="7" xfId="0" applyNumberFormat="1" applyFont="1" applyFill="1" applyBorder="1" applyAlignment="1">
      <alignment horizontal="center" vertical="center"/>
    </xf>
    <xf numFmtId="176" fontId="9" fillId="5" borderId="8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4D5D-7675-417F-9133-8818830DAF50}">
  <sheetPr>
    <tabColor rgb="FF92D050"/>
  </sheetPr>
  <dimension ref="A2:R45"/>
  <sheetViews>
    <sheetView tabSelected="1" zoomScale="80" zoomScaleNormal="80" workbookViewId="0">
      <pane xSplit="11" ySplit="8" topLeftCell="R15" activePane="bottomRight" state="frozen"/>
      <selection activeCell="D26" sqref="D26"/>
      <selection pane="topRight" activeCell="D26" sqref="D26"/>
      <selection pane="bottomLeft" activeCell="D26" sqref="D26"/>
      <selection pane="bottomRight" activeCell="R20" sqref="R20"/>
    </sheetView>
  </sheetViews>
  <sheetFormatPr defaultColWidth="11.75" defaultRowHeight="13.5" customHeight="1" x14ac:dyDescent="0.15"/>
  <cols>
    <col min="1" max="1" width="11.75" style="108" customWidth="1"/>
    <col min="2" max="2" width="9.25" style="108" customWidth="1"/>
    <col min="3" max="3" width="6.25" style="12" customWidth="1"/>
    <col min="4" max="4" width="15.25" style="108" customWidth="1"/>
    <col min="5" max="5" width="15.5" style="108" customWidth="1"/>
    <col min="6" max="6" width="71.5" style="108" customWidth="1"/>
    <col min="7" max="7" width="10.75" style="12" customWidth="1"/>
    <col min="8" max="8" width="12.125" style="12" customWidth="1"/>
    <col min="9" max="9" width="12.125" style="361" customWidth="1"/>
    <col min="10" max="10" width="7.125" style="17" customWidth="1"/>
    <col min="11" max="11" width="50.5" style="108" customWidth="1"/>
    <col min="12" max="12" width="45.25" style="108" customWidth="1"/>
    <col min="13" max="13" width="8.125" style="12" customWidth="1"/>
    <col min="14" max="14" width="17" style="12" customWidth="1"/>
    <col min="15" max="15" width="7.875" style="108" customWidth="1"/>
    <col min="16" max="16" width="16.375" style="12" customWidth="1"/>
    <col min="17" max="17" width="17.875" style="124" customWidth="1"/>
    <col min="18" max="18" width="19.375" style="124" customWidth="1"/>
    <col min="19" max="16384" width="11.75" style="108"/>
  </cols>
  <sheetData>
    <row r="2" spans="1:18" ht="20.100000000000001" customHeight="1" x14ac:dyDescent="0.15">
      <c r="C2" s="473" t="s">
        <v>0</v>
      </c>
      <c r="D2" s="473"/>
      <c r="E2" s="473"/>
      <c r="F2" s="106" t="s">
        <v>256</v>
      </c>
      <c r="H2" s="477" t="s">
        <v>2</v>
      </c>
      <c r="I2" s="478"/>
      <c r="J2" s="479"/>
      <c r="K2" s="16">
        <f>SUM(I:I)</f>
        <v>841668</v>
      </c>
    </row>
    <row r="3" spans="1:18" ht="20.100000000000001" customHeight="1" x14ac:dyDescent="0.15">
      <c r="C3" s="473" t="s">
        <v>3</v>
      </c>
      <c r="D3" s="473"/>
      <c r="E3" s="473"/>
      <c r="F3" s="14" t="s">
        <v>257</v>
      </c>
    </row>
    <row r="4" spans="1:18" ht="20.100000000000001" customHeight="1" x14ac:dyDescent="0.15">
      <c r="C4" s="473" t="s">
        <v>5</v>
      </c>
      <c r="D4" s="473"/>
      <c r="E4" s="473"/>
      <c r="F4" s="14" t="s">
        <v>358</v>
      </c>
      <c r="H4" s="480" t="s">
        <v>258</v>
      </c>
      <c r="I4" s="480"/>
      <c r="J4" s="480"/>
      <c r="K4" s="480"/>
      <c r="L4" s="206"/>
    </row>
    <row r="5" spans="1:18" ht="20.100000000000001" customHeight="1" x14ac:dyDescent="0.15">
      <c r="C5" s="473" t="s">
        <v>6</v>
      </c>
      <c r="D5" s="473"/>
      <c r="E5" s="473"/>
      <c r="F5" s="15">
        <v>44637</v>
      </c>
      <c r="H5" s="480"/>
      <c r="I5" s="480"/>
      <c r="J5" s="480"/>
      <c r="K5" s="480"/>
    </row>
    <row r="6" spans="1:18" ht="20.100000000000001" customHeight="1" x14ac:dyDescent="0.15">
      <c r="C6" s="473" t="s">
        <v>7</v>
      </c>
      <c r="D6" s="473"/>
      <c r="E6" s="473"/>
      <c r="F6" s="15">
        <v>44638</v>
      </c>
      <c r="H6" s="222"/>
      <c r="I6" s="362"/>
    </row>
    <row r="8" spans="1:18" s="12" customFormat="1" ht="19.5" customHeight="1" x14ac:dyDescent="0.15">
      <c r="B8" s="294" t="s">
        <v>255</v>
      </c>
      <c r="C8" s="293" t="s">
        <v>8</v>
      </c>
      <c r="D8" s="6" t="s">
        <v>9</v>
      </c>
      <c r="E8" s="6" t="s">
        <v>10</v>
      </c>
      <c r="F8" s="68" t="s">
        <v>11</v>
      </c>
      <c r="G8" s="68" t="s">
        <v>12</v>
      </c>
      <c r="H8" s="68" t="s">
        <v>13</v>
      </c>
      <c r="I8" s="363" t="s">
        <v>14</v>
      </c>
      <c r="J8" s="4" t="s">
        <v>15</v>
      </c>
      <c r="K8" s="68" t="s">
        <v>16</v>
      </c>
      <c r="L8" s="68" t="s">
        <v>17</v>
      </c>
      <c r="M8" s="68" t="s">
        <v>18</v>
      </c>
      <c r="N8" s="74" t="s">
        <v>19</v>
      </c>
      <c r="O8" s="6" t="s">
        <v>20</v>
      </c>
      <c r="P8" s="68" t="s">
        <v>21</v>
      </c>
      <c r="Q8" s="74" t="s">
        <v>22</v>
      </c>
      <c r="R8" s="13" t="s">
        <v>23</v>
      </c>
    </row>
    <row r="9" spans="1:18" s="12" customFormat="1" ht="19.5" customHeight="1" x14ac:dyDescent="0.15">
      <c r="C9" s="465" t="s">
        <v>272</v>
      </c>
      <c r="D9" s="466"/>
      <c r="E9" s="466"/>
      <c r="F9" s="467"/>
      <c r="G9" s="66"/>
      <c r="H9" s="66"/>
      <c r="I9" s="364"/>
      <c r="J9" s="19"/>
      <c r="K9" s="67"/>
      <c r="L9" s="68"/>
      <c r="M9" s="68"/>
      <c r="N9" s="74"/>
      <c r="O9" s="6"/>
      <c r="P9" s="68"/>
      <c r="Q9" s="74"/>
      <c r="R9" s="13"/>
    </row>
    <row r="10" spans="1:18" s="12" customFormat="1" ht="19.5" customHeight="1" x14ac:dyDescent="0.15">
      <c r="A10" s="117"/>
      <c r="B10" s="220"/>
      <c r="C10" s="437">
        <v>1</v>
      </c>
      <c r="D10" s="441"/>
      <c r="E10" s="441" t="s">
        <v>261</v>
      </c>
      <c r="F10" s="442" t="s">
        <v>260</v>
      </c>
      <c r="G10" s="214">
        <v>1</v>
      </c>
      <c r="H10" s="66">
        <v>831250</v>
      </c>
      <c r="I10" s="365">
        <f t="shared" ref="I10" si="0">G10*H10</f>
        <v>831250</v>
      </c>
      <c r="J10" s="19"/>
      <c r="K10" s="298" t="s">
        <v>259</v>
      </c>
      <c r="L10" s="68"/>
      <c r="M10" s="68"/>
      <c r="N10" s="74"/>
      <c r="O10" s="6"/>
      <c r="P10" s="68"/>
      <c r="Q10" s="74"/>
      <c r="R10" s="13"/>
    </row>
    <row r="11" spans="1:18" s="12" customFormat="1" ht="19.5" customHeight="1" x14ac:dyDescent="0.15">
      <c r="A11" s="117"/>
      <c r="B11" s="220"/>
      <c r="C11" s="436">
        <f>+C10+1</f>
        <v>2</v>
      </c>
      <c r="D11" s="441"/>
      <c r="E11" s="441" t="s">
        <v>261</v>
      </c>
      <c r="F11" s="442" t="s">
        <v>349</v>
      </c>
      <c r="G11" s="214">
        <v>1</v>
      </c>
      <c r="H11" s="66"/>
      <c r="I11" s="365"/>
      <c r="J11" s="19"/>
      <c r="K11" s="298"/>
      <c r="L11" s="68"/>
      <c r="M11" s="68"/>
      <c r="N11" s="74"/>
      <c r="O11" s="6"/>
      <c r="P11" s="68"/>
      <c r="Q11" s="74"/>
      <c r="R11" s="13"/>
    </row>
    <row r="12" spans="1:18" s="12" customFormat="1" ht="19.5" customHeight="1" x14ac:dyDescent="0.15">
      <c r="A12" s="117"/>
      <c r="B12" s="220"/>
      <c r="C12" s="436">
        <f>+C11+1</f>
        <v>3</v>
      </c>
      <c r="D12" s="441"/>
      <c r="E12" s="441" t="s">
        <v>261</v>
      </c>
      <c r="F12" s="442" t="s">
        <v>350</v>
      </c>
      <c r="G12" s="214">
        <v>1</v>
      </c>
      <c r="H12" s="66"/>
      <c r="I12" s="365"/>
      <c r="J12" s="19"/>
      <c r="K12" s="298"/>
      <c r="L12" s="68"/>
      <c r="M12" s="68"/>
      <c r="N12" s="74"/>
      <c r="O12" s="6"/>
      <c r="P12" s="68"/>
      <c r="Q12" s="74"/>
      <c r="R12" s="13"/>
    </row>
    <row r="13" spans="1:18" s="12" customFormat="1" ht="19.5" customHeight="1" x14ac:dyDescent="0.15">
      <c r="A13" s="117"/>
      <c r="B13" s="117"/>
      <c r="C13" s="157"/>
      <c r="D13" s="270"/>
      <c r="E13" s="270"/>
      <c r="F13" s="299"/>
      <c r="G13" s="214"/>
      <c r="H13" s="66"/>
      <c r="I13" s="365"/>
      <c r="J13" s="19"/>
      <c r="K13" s="67"/>
      <c r="L13" s="68"/>
      <c r="M13" s="68"/>
      <c r="N13" s="74"/>
      <c r="O13" s="6"/>
      <c r="P13" s="68"/>
      <c r="Q13" s="74"/>
      <c r="R13" s="13"/>
    </row>
    <row r="14" spans="1:18" s="12" customFormat="1" ht="19.5" customHeight="1" x14ac:dyDescent="0.15">
      <c r="A14" s="117"/>
      <c r="B14" s="117"/>
      <c r="C14" s="157"/>
      <c r="D14" s="128"/>
      <c r="E14" s="128"/>
      <c r="F14" s="474">
        <f>SUM(I10:I13)</f>
        <v>831250</v>
      </c>
      <c r="G14" s="475"/>
      <c r="H14" s="475"/>
      <c r="I14" s="476"/>
      <c r="J14" s="19"/>
      <c r="K14" s="67"/>
      <c r="L14" s="68"/>
      <c r="M14" s="68"/>
      <c r="N14" s="74"/>
      <c r="O14" s="6"/>
      <c r="P14" s="68"/>
      <c r="Q14" s="74"/>
      <c r="R14" s="13"/>
    </row>
    <row r="15" spans="1:18" s="12" customFormat="1" ht="19.5" customHeight="1" x14ac:dyDescent="0.15">
      <c r="A15" s="117"/>
      <c r="B15" s="117"/>
      <c r="C15" s="157"/>
      <c r="D15" s="157"/>
      <c r="E15" s="157"/>
      <c r="F15" s="305"/>
      <c r="G15" s="457"/>
      <c r="H15" s="431"/>
      <c r="I15" s="432"/>
      <c r="J15" s="458"/>
      <c r="K15" s="433"/>
      <c r="L15" s="459"/>
      <c r="M15" s="459"/>
      <c r="N15" s="460"/>
      <c r="O15" s="430"/>
      <c r="P15" s="459"/>
      <c r="Q15" s="460"/>
      <c r="R15" s="461"/>
    </row>
    <row r="16" spans="1:18" s="12" customFormat="1" ht="19.5" customHeight="1" x14ac:dyDescent="0.15">
      <c r="A16" s="117"/>
      <c r="B16" s="117"/>
      <c r="C16" s="429"/>
      <c r="D16" s="157"/>
      <c r="E16" s="157"/>
      <c r="F16" s="305"/>
      <c r="G16" s="159"/>
      <c r="H16" s="159"/>
      <c r="I16" s="382"/>
      <c r="J16" s="241"/>
      <c r="K16" s="243"/>
      <c r="L16" s="117"/>
      <c r="M16" s="117"/>
      <c r="N16" s="426"/>
      <c r="O16" s="157"/>
      <c r="P16" s="117"/>
      <c r="Q16" s="426"/>
      <c r="R16" s="427"/>
    </row>
    <row r="17" spans="1:18" s="12" customFormat="1" ht="19.5" customHeight="1" x14ac:dyDescent="0.15">
      <c r="A17" s="117"/>
      <c r="B17" s="117"/>
      <c r="C17" s="429"/>
      <c r="D17" s="157"/>
      <c r="E17" s="157"/>
      <c r="F17" s="305"/>
      <c r="G17" s="159"/>
      <c r="H17" s="159"/>
      <c r="I17" s="382"/>
      <c r="J17" s="241"/>
      <c r="K17" s="243"/>
      <c r="L17" s="117"/>
      <c r="M17" s="117"/>
      <c r="N17" s="426"/>
      <c r="O17" s="157"/>
      <c r="P17" s="117"/>
      <c r="Q17" s="426"/>
      <c r="R17" s="427"/>
    </row>
    <row r="18" spans="1:18" s="164" customFormat="1" ht="18" customHeight="1" x14ac:dyDescent="0.15">
      <c r="A18" s="218"/>
      <c r="B18" s="234"/>
      <c r="C18" s="465" t="s">
        <v>356</v>
      </c>
      <c r="D18" s="466"/>
      <c r="E18" s="466"/>
      <c r="F18" s="467"/>
      <c r="G18" s="132"/>
      <c r="H18" s="133"/>
      <c r="I18" s="365"/>
      <c r="J18" s="148"/>
      <c r="K18" s="141"/>
      <c r="L18" s="237"/>
      <c r="M18" s="220"/>
      <c r="N18" s="235"/>
      <c r="O18" s="234"/>
      <c r="P18" s="235"/>
      <c r="Q18" s="235"/>
      <c r="R18" s="236"/>
    </row>
    <row r="19" spans="1:18" s="164" customFormat="1" ht="18" customHeight="1" x14ac:dyDescent="0.15">
      <c r="A19" s="269" t="s">
        <v>233</v>
      </c>
      <c r="B19" s="351"/>
      <c r="C19" s="436">
        <f>+C12+1</f>
        <v>4</v>
      </c>
      <c r="D19" s="267" t="s">
        <v>220</v>
      </c>
      <c r="E19" s="267" t="s">
        <v>135</v>
      </c>
      <c r="F19" s="415" t="s">
        <v>347</v>
      </c>
      <c r="G19" s="285">
        <v>1</v>
      </c>
      <c r="H19" s="416">
        <v>6574</v>
      </c>
      <c r="I19" s="366">
        <f t="shared" ref="I19:I21" si="1">G19*H19</f>
        <v>6574</v>
      </c>
      <c r="J19" s="148"/>
      <c r="K19" s="417" t="s">
        <v>348</v>
      </c>
      <c r="L19" s="237"/>
      <c r="M19" s="419"/>
      <c r="N19" s="235">
        <v>44627</v>
      </c>
      <c r="O19" s="425"/>
      <c r="P19" s="235"/>
      <c r="Q19" s="235">
        <v>44638</v>
      </c>
      <c r="R19" s="236">
        <v>44638</v>
      </c>
    </row>
    <row r="20" spans="1:18" s="164" customFormat="1" ht="18" customHeight="1" x14ac:dyDescent="0.15">
      <c r="A20" s="269" t="s">
        <v>222</v>
      </c>
      <c r="B20" s="351"/>
      <c r="C20" s="295">
        <f>+C19+1</f>
        <v>5</v>
      </c>
      <c r="D20" s="128" t="s">
        <v>135</v>
      </c>
      <c r="E20" s="128" t="s">
        <v>135</v>
      </c>
      <c r="F20" s="438" t="s">
        <v>359</v>
      </c>
      <c r="G20" s="439">
        <v>2</v>
      </c>
      <c r="H20" s="439">
        <v>460</v>
      </c>
      <c r="I20" s="365">
        <f t="shared" si="1"/>
        <v>920</v>
      </c>
      <c r="J20" s="19"/>
      <c r="K20" s="435" t="s">
        <v>361</v>
      </c>
      <c r="L20" s="237"/>
      <c r="M20" s="419"/>
      <c r="N20" s="235">
        <v>44627</v>
      </c>
      <c r="O20" s="425"/>
      <c r="P20" s="235"/>
      <c r="Q20" s="235">
        <v>44630</v>
      </c>
      <c r="R20" s="236">
        <v>44630</v>
      </c>
    </row>
    <row r="21" spans="1:18" s="164" customFormat="1" ht="18" customHeight="1" x14ac:dyDescent="0.15">
      <c r="A21" s="269" t="s">
        <v>222</v>
      </c>
      <c r="B21" s="351"/>
      <c r="C21" s="295">
        <f t="shared" ref="C21" si="2">+C20+1</f>
        <v>6</v>
      </c>
      <c r="D21" s="128" t="s">
        <v>135</v>
      </c>
      <c r="E21" s="128" t="s">
        <v>135</v>
      </c>
      <c r="F21" s="440" t="s">
        <v>288</v>
      </c>
      <c r="G21" s="439">
        <v>2</v>
      </c>
      <c r="H21" s="439">
        <v>319</v>
      </c>
      <c r="I21" s="365">
        <f t="shared" si="1"/>
        <v>638</v>
      </c>
      <c r="J21" s="19"/>
      <c r="K21" s="435" t="s">
        <v>360</v>
      </c>
      <c r="L21" s="237"/>
      <c r="M21" s="419"/>
      <c r="N21" s="235">
        <v>44627</v>
      </c>
      <c r="O21" s="425"/>
      <c r="P21" s="235"/>
      <c r="Q21" s="235">
        <v>44630</v>
      </c>
      <c r="R21" s="236">
        <v>44630</v>
      </c>
    </row>
    <row r="22" spans="1:18" ht="18" customHeight="1" x14ac:dyDescent="0.15">
      <c r="A22" s="109"/>
      <c r="B22" s="109"/>
      <c r="C22" s="119"/>
      <c r="D22" s="122"/>
      <c r="E22" s="410"/>
      <c r="F22" s="262"/>
      <c r="G22" s="263"/>
      <c r="H22" s="264"/>
      <c r="I22" s="368"/>
      <c r="J22" s="261"/>
      <c r="K22" s="168"/>
      <c r="L22" s="69"/>
      <c r="M22" s="420"/>
      <c r="N22" s="426"/>
      <c r="O22" s="427"/>
      <c r="P22" s="427"/>
      <c r="Q22" s="427"/>
      <c r="R22" s="120"/>
    </row>
    <row r="23" spans="1:18" ht="18" customHeight="1" x14ac:dyDescent="0.15">
      <c r="A23" s="109"/>
      <c r="B23" s="109"/>
      <c r="C23" s="411"/>
      <c r="D23" s="6"/>
      <c r="E23" s="444"/>
      <c r="F23" s="470">
        <f>SUM(I19:I22)</f>
        <v>8132</v>
      </c>
      <c r="G23" s="471"/>
      <c r="H23" s="471"/>
      <c r="I23" s="472"/>
      <c r="J23" s="65"/>
      <c r="K23" s="62"/>
      <c r="L23" s="69"/>
      <c r="M23" s="420"/>
      <c r="N23" s="426"/>
      <c r="O23" s="427"/>
      <c r="P23" s="427"/>
      <c r="Q23" s="427"/>
      <c r="R23" s="120"/>
    </row>
    <row r="24" spans="1:18" ht="18" customHeight="1" x14ac:dyDescent="0.15">
      <c r="A24" s="109"/>
      <c r="B24" s="109"/>
      <c r="C24" s="411"/>
      <c r="D24" s="443"/>
      <c r="E24" s="447"/>
      <c r="F24" s="448"/>
      <c r="G24" s="448"/>
      <c r="H24" s="448"/>
      <c r="I24" s="448"/>
      <c r="J24" s="449"/>
      <c r="K24" s="450"/>
      <c r="L24" s="69"/>
      <c r="M24" s="420"/>
      <c r="N24" s="426"/>
      <c r="O24" s="427"/>
      <c r="P24" s="427"/>
      <c r="Q24" s="427"/>
      <c r="R24" s="120"/>
    </row>
    <row r="25" spans="1:18" s="164" customFormat="1" ht="18" customHeight="1" x14ac:dyDescent="0.15">
      <c r="A25" s="234"/>
      <c r="B25" s="234"/>
      <c r="C25" s="412"/>
      <c r="D25" s="410"/>
      <c r="E25" s="437"/>
      <c r="F25" s="446"/>
      <c r="G25" s="446"/>
      <c r="H25" s="446"/>
      <c r="I25" s="455"/>
      <c r="J25" s="445"/>
      <c r="K25" s="456"/>
      <c r="L25" s="242"/>
      <c r="M25" s="421"/>
      <c r="N25" s="428"/>
      <c r="O25" s="425"/>
      <c r="P25" s="425"/>
      <c r="Q25" s="425"/>
      <c r="R25" s="236"/>
    </row>
    <row r="26" spans="1:18" ht="18" customHeight="1" x14ac:dyDescent="0.15">
      <c r="A26" s="109"/>
      <c r="B26" s="109"/>
      <c r="C26" s="465" t="s">
        <v>357</v>
      </c>
      <c r="D26" s="466"/>
      <c r="E26" s="468"/>
      <c r="F26" s="469"/>
      <c r="G26" s="451"/>
      <c r="H26" s="451"/>
      <c r="I26" s="452"/>
      <c r="J26" s="453"/>
      <c r="K26" s="454"/>
      <c r="L26" s="69"/>
      <c r="M26" s="420"/>
      <c r="N26" s="426"/>
      <c r="O26" s="427"/>
      <c r="P26" s="427"/>
      <c r="Q26" s="427"/>
      <c r="R26" s="120"/>
    </row>
    <row r="27" spans="1:18" ht="18" customHeight="1" x14ac:dyDescent="0.15">
      <c r="A27" s="269" t="s">
        <v>222</v>
      </c>
      <c r="B27" s="234"/>
      <c r="C27" s="436">
        <f>+C21+1</f>
        <v>7</v>
      </c>
      <c r="D27" s="128" t="s">
        <v>135</v>
      </c>
      <c r="E27" s="128" t="s">
        <v>135</v>
      </c>
      <c r="F27" s="158" t="s">
        <v>351</v>
      </c>
      <c r="G27" s="159">
        <v>1</v>
      </c>
      <c r="H27" s="159">
        <v>346</v>
      </c>
      <c r="I27" s="132">
        <f t="shared" ref="I27:I29" si="3">G27*H27</f>
        <v>346</v>
      </c>
      <c r="J27" s="241"/>
      <c r="K27" s="175" t="s">
        <v>354</v>
      </c>
      <c r="L27" s="240"/>
      <c r="M27" s="420"/>
      <c r="N27" s="235">
        <v>44627</v>
      </c>
      <c r="O27" s="427"/>
      <c r="P27" s="235"/>
      <c r="Q27" s="235">
        <v>44630</v>
      </c>
      <c r="R27" s="120">
        <v>44630</v>
      </c>
    </row>
    <row r="28" spans="1:18" ht="18" customHeight="1" x14ac:dyDescent="0.15">
      <c r="A28" s="269" t="s">
        <v>222</v>
      </c>
      <c r="B28" s="234"/>
      <c r="C28" s="263">
        <f t="shared" ref="C28:C29" si="4">+C27+1</f>
        <v>8</v>
      </c>
      <c r="D28" s="128" t="s">
        <v>135</v>
      </c>
      <c r="E28" s="128" t="s">
        <v>135</v>
      </c>
      <c r="F28" s="158" t="s">
        <v>352</v>
      </c>
      <c r="G28" s="159">
        <v>1</v>
      </c>
      <c r="H28" s="159">
        <v>376</v>
      </c>
      <c r="I28" s="132">
        <f t="shared" si="3"/>
        <v>376</v>
      </c>
      <c r="J28" s="241"/>
      <c r="K28" s="175" t="s">
        <v>353</v>
      </c>
      <c r="L28" s="240"/>
      <c r="M28" s="420"/>
      <c r="N28" s="235">
        <v>44627</v>
      </c>
      <c r="O28" s="427"/>
      <c r="P28" s="235"/>
      <c r="Q28" s="235">
        <v>44630</v>
      </c>
      <c r="R28" s="120">
        <v>44630</v>
      </c>
    </row>
    <row r="29" spans="1:18" ht="18" customHeight="1" x14ac:dyDescent="0.15">
      <c r="A29" s="269" t="s">
        <v>213</v>
      </c>
      <c r="B29" s="351"/>
      <c r="C29" s="263">
        <f t="shared" si="4"/>
        <v>9</v>
      </c>
      <c r="D29" s="128" t="s">
        <v>135</v>
      </c>
      <c r="E29" s="128" t="s">
        <v>135</v>
      </c>
      <c r="F29" s="282" t="s">
        <v>362</v>
      </c>
      <c r="G29" s="150">
        <v>1</v>
      </c>
      <c r="H29" s="434">
        <v>1564</v>
      </c>
      <c r="I29" s="132">
        <f t="shared" si="3"/>
        <v>1564</v>
      </c>
      <c r="J29" s="133"/>
      <c r="K29" s="118" t="s">
        <v>355</v>
      </c>
      <c r="L29" s="240"/>
      <c r="M29" s="420"/>
      <c r="N29" s="235">
        <v>44627</v>
      </c>
      <c r="O29" s="427"/>
      <c r="P29" s="235"/>
      <c r="Q29" s="235">
        <v>44630</v>
      </c>
      <c r="R29" s="120">
        <v>44630</v>
      </c>
    </row>
    <row r="30" spans="1:18" ht="18" customHeight="1" x14ac:dyDescent="0.15">
      <c r="A30" s="109"/>
      <c r="B30" s="109"/>
      <c r="C30" s="414"/>
      <c r="D30" s="157"/>
      <c r="E30" s="157"/>
      <c r="F30" s="158"/>
      <c r="G30" s="159"/>
      <c r="H30" s="159"/>
      <c r="I30" s="382"/>
      <c r="J30" s="241"/>
      <c r="K30" s="243"/>
      <c r="L30" s="240"/>
      <c r="M30" s="420"/>
      <c r="N30" s="426"/>
      <c r="O30" s="427"/>
      <c r="P30" s="427"/>
      <c r="Q30" s="426"/>
      <c r="R30" s="120"/>
    </row>
    <row r="31" spans="1:18" ht="18" customHeight="1" x14ac:dyDescent="0.15">
      <c r="A31" s="109"/>
      <c r="B31" s="109"/>
      <c r="C31" s="414"/>
      <c r="D31" s="157"/>
      <c r="E31" s="157"/>
      <c r="F31" s="470">
        <f>SUM(I27:I30)</f>
        <v>2286</v>
      </c>
      <c r="G31" s="471"/>
      <c r="H31" s="471"/>
      <c r="I31" s="472"/>
      <c r="J31" s="241"/>
      <c r="K31" s="243"/>
      <c r="L31" s="240"/>
      <c r="M31" s="420"/>
      <c r="N31" s="426"/>
      <c r="O31" s="427"/>
      <c r="P31" s="427"/>
      <c r="Q31" s="426"/>
      <c r="R31" s="120"/>
    </row>
    <row r="32" spans="1:18" ht="18" customHeight="1" x14ac:dyDescent="0.15">
      <c r="A32" s="109"/>
      <c r="B32" s="109"/>
      <c r="C32" s="414"/>
      <c r="D32" s="157"/>
      <c r="E32" s="157"/>
      <c r="F32" s="158"/>
      <c r="G32" s="159"/>
      <c r="H32" s="159"/>
      <c r="I32" s="382"/>
      <c r="J32" s="241"/>
      <c r="K32" s="243"/>
      <c r="L32" s="240"/>
      <c r="M32" s="420"/>
      <c r="N32" s="426"/>
      <c r="O32" s="427"/>
      <c r="P32" s="427"/>
      <c r="Q32" s="426"/>
      <c r="R32" s="120"/>
    </row>
    <row r="33" spans="1:18" ht="18" customHeight="1" x14ac:dyDescent="0.15">
      <c r="A33" s="109"/>
      <c r="B33" s="109"/>
      <c r="C33" s="414"/>
      <c r="D33" s="157"/>
      <c r="E33" s="157"/>
      <c r="F33" s="158"/>
      <c r="G33" s="159"/>
      <c r="H33" s="159"/>
      <c r="I33" s="382"/>
      <c r="J33" s="241"/>
      <c r="K33" s="243"/>
      <c r="L33" s="240"/>
      <c r="M33" s="420"/>
      <c r="N33" s="426"/>
      <c r="O33" s="427"/>
      <c r="P33" s="427"/>
      <c r="Q33" s="426"/>
      <c r="R33" s="120"/>
    </row>
    <row r="34" spans="1:18" ht="18" customHeight="1" x14ac:dyDescent="0.15">
      <c r="A34" s="109"/>
      <c r="B34" s="109"/>
      <c r="C34" s="414"/>
      <c r="D34" s="157"/>
      <c r="E34" s="157"/>
      <c r="F34" s="158"/>
      <c r="G34" s="159"/>
      <c r="H34" s="159"/>
      <c r="I34" s="382"/>
      <c r="J34" s="241"/>
      <c r="K34" s="243"/>
      <c r="L34" s="240"/>
      <c r="M34" s="420"/>
      <c r="N34" s="426"/>
      <c r="O34" s="427"/>
      <c r="P34" s="427"/>
      <c r="Q34" s="426"/>
      <c r="R34" s="120"/>
    </row>
    <row r="35" spans="1:18" ht="18" customHeight="1" x14ac:dyDescent="0.15">
      <c r="A35" s="109"/>
      <c r="B35" s="109"/>
      <c r="C35" s="414"/>
      <c r="D35" s="157"/>
      <c r="E35" s="157"/>
      <c r="F35" s="158"/>
      <c r="G35" s="159"/>
      <c r="H35" s="159"/>
      <c r="I35" s="382"/>
      <c r="J35" s="241"/>
      <c r="K35" s="243"/>
      <c r="L35" s="240"/>
      <c r="M35" s="420"/>
      <c r="N35" s="426"/>
      <c r="O35" s="427"/>
      <c r="P35" s="427"/>
      <c r="Q35" s="426"/>
      <c r="R35" s="120"/>
    </row>
    <row r="36" spans="1:18" ht="18" customHeight="1" x14ac:dyDescent="0.15">
      <c r="A36" s="109"/>
      <c r="B36" s="109"/>
      <c r="C36" s="414"/>
      <c r="D36" s="157"/>
      <c r="E36" s="157"/>
      <c r="F36" s="158"/>
      <c r="G36" s="159"/>
      <c r="H36" s="159"/>
      <c r="I36" s="382"/>
      <c r="J36" s="241"/>
      <c r="K36" s="243"/>
      <c r="L36" s="240"/>
      <c r="M36" s="420"/>
      <c r="N36" s="426"/>
      <c r="O36" s="427"/>
      <c r="P36" s="427"/>
      <c r="Q36" s="426"/>
      <c r="R36" s="120"/>
    </row>
    <row r="37" spans="1:18" ht="18" customHeight="1" x14ac:dyDescent="0.15">
      <c r="A37" s="109"/>
      <c r="B37" s="109"/>
      <c r="C37" s="414"/>
      <c r="D37" s="157"/>
      <c r="E37" s="157"/>
      <c r="F37" s="158"/>
      <c r="G37" s="159"/>
      <c r="H37" s="159"/>
      <c r="I37" s="382"/>
      <c r="J37" s="241"/>
      <c r="K37" s="243"/>
      <c r="L37" s="240"/>
      <c r="M37" s="420"/>
      <c r="N37" s="426"/>
      <c r="O37" s="427"/>
      <c r="P37" s="427"/>
      <c r="Q37" s="426"/>
      <c r="R37" s="120"/>
    </row>
    <row r="38" spans="1:18" ht="18" customHeight="1" x14ac:dyDescent="0.15">
      <c r="A38" s="109"/>
      <c r="B38" s="109"/>
      <c r="C38" s="413"/>
      <c r="D38" s="6"/>
      <c r="E38" s="6"/>
      <c r="F38" s="43"/>
      <c r="G38" s="107"/>
      <c r="H38" s="107"/>
      <c r="I38" s="364"/>
      <c r="J38" s="4"/>
      <c r="K38" s="43"/>
      <c r="L38" s="69"/>
      <c r="M38" s="9"/>
      <c r="N38" s="74"/>
      <c r="O38" s="13"/>
      <c r="P38" s="13"/>
      <c r="Q38" s="74"/>
      <c r="R38" s="22"/>
    </row>
    <row r="39" spans="1:18" ht="18" customHeight="1" x14ac:dyDescent="0.15">
      <c r="A39" s="109"/>
      <c r="B39" s="109"/>
      <c r="C39" s="413"/>
      <c r="D39" s="68"/>
      <c r="E39" s="68"/>
      <c r="F39" s="69" t="s">
        <v>130</v>
      </c>
      <c r="G39" s="66"/>
      <c r="H39" s="66"/>
      <c r="I39" s="364">
        <f>G39*H39</f>
        <v>0</v>
      </c>
      <c r="J39" s="19"/>
      <c r="K39" s="43" t="s">
        <v>131</v>
      </c>
      <c r="L39" s="94"/>
      <c r="M39" s="68"/>
      <c r="N39" s="74"/>
      <c r="O39" s="94"/>
      <c r="P39" s="68"/>
      <c r="Q39" s="74"/>
      <c r="R39" s="22"/>
    </row>
    <row r="40" spans="1:18" ht="18" customHeight="1" x14ac:dyDescent="0.15">
      <c r="A40" s="109"/>
      <c r="B40" s="109"/>
      <c r="C40" s="413"/>
      <c r="D40" s="6"/>
      <c r="E40" s="6"/>
      <c r="F40" s="69" t="s">
        <v>131</v>
      </c>
      <c r="G40" s="66"/>
      <c r="H40" s="66">
        <v>5000</v>
      </c>
      <c r="I40" s="364">
        <f>G40*H40</f>
        <v>0</v>
      </c>
      <c r="J40" s="19"/>
      <c r="K40" s="43" t="s">
        <v>132</v>
      </c>
      <c r="L40" s="94"/>
      <c r="M40" s="68"/>
      <c r="N40" s="74"/>
      <c r="O40" s="94"/>
      <c r="P40" s="68"/>
      <c r="Q40" s="74"/>
      <c r="R40" s="13"/>
    </row>
    <row r="41" spans="1:18" ht="18" customHeight="1" x14ac:dyDescent="0.15">
      <c r="A41" s="109"/>
      <c r="B41" s="109"/>
      <c r="C41" s="413"/>
      <c r="D41" s="6"/>
      <c r="E41" s="6"/>
      <c r="F41" s="69" t="s">
        <v>132</v>
      </c>
      <c r="G41" s="66"/>
      <c r="H41" s="66"/>
      <c r="I41" s="364">
        <f>G41*H41</f>
        <v>0</v>
      </c>
      <c r="J41" s="19"/>
      <c r="K41" s="9"/>
      <c r="L41" s="94"/>
      <c r="M41" s="68"/>
      <c r="N41" s="68"/>
      <c r="O41" s="94"/>
      <c r="P41" s="68"/>
      <c r="Q41" s="13"/>
      <c r="R41" s="13"/>
    </row>
    <row r="42" spans="1:18" ht="18" customHeight="1" x14ac:dyDescent="0.15">
      <c r="A42" s="109"/>
      <c r="B42" s="109"/>
      <c r="C42" s="413"/>
      <c r="D42" s="6"/>
      <c r="E42" s="6"/>
      <c r="F42" s="462"/>
      <c r="G42" s="463"/>
      <c r="H42" s="463"/>
      <c r="I42" s="464"/>
      <c r="J42" s="11"/>
      <c r="K42" s="62"/>
    </row>
    <row r="43" spans="1:18" ht="18" customHeight="1" x14ac:dyDescent="0.15"/>
    <row r="44" spans="1:18" ht="18" customHeight="1" x14ac:dyDescent="0.15"/>
    <row r="45" spans="1:18" ht="18" customHeight="1" x14ac:dyDescent="0.15"/>
  </sheetData>
  <autoFilter ref="C8:P45" xr:uid="{00000000-0009-0000-0000-000003000000}"/>
  <mergeCells count="14">
    <mergeCell ref="C2:E2"/>
    <mergeCell ref="H2:J2"/>
    <mergeCell ref="C3:E3"/>
    <mergeCell ref="C4:E4"/>
    <mergeCell ref="H4:K5"/>
    <mergeCell ref="C5:E5"/>
    <mergeCell ref="F42:I42"/>
    <mergeCell ref="C18:F18"/>
    <mergeCell ref="C26:F26"/>
    <mergeCell ref="F31:I31"/>
    <mergeCell ref="C6:E6"/>
    <mergeCell ref="C9:F9"/>
    <mergeCell ref="F14:I14"/>
    <mergeCell ref="F23:I23"/>
  </mergeCells>
  <phoneticPr fontId="14"/>
  <dataValidations count="1">
    <dataValidation allowBlank="1" showInputMessage="1" showErrorMessage="1" sqref="K22:K24" xr:uid="{206AFC69-3F78-465B-9F34-EDF6359A3DAB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5484-3D68-4E4D-94ED-EDD2DECC8132}">
  <dimension ref="A2:S151"/>
  <sheetViews>
    <sheetView zoomScale="91" zoomScaleNormal="91" workbookViewId="0">
      <pane xSplit="11" ySplit="8" topLeftCell="L9" activePane="bottomRight" state="frozen"/>
      <selection activeCell="D26" sqref="D26"/>
      <selection pane="topRight" activeCell="D26" sqref="D26"/>
      <selection pane="bottomLeft" activeCell="D26" sqref="D26"/>
      <selection pane="bottomRight" activeCell="F26" sqref="F26"/>
    </sheetView>
  </sheetViews>
  <sheetFormatPr defaultColWidth="11.75" defaultRowHeight="13.5" customHeight="1" x14ac:dyDescent="0.15"/>
  <cols>
    <col min="1" max="1" width="11.75" style="108" customWidth="1"/>
    <col min="2" max="2" width="9.25" style="108" customWidth="1"/>
    <col min="3" max="3" width="6.25" style="12" customWidth="1"/>
    <col min="4" max="4" width="15.25" style="108" customWidth="1"/>
    <col min="5" max="5" width="15.5" style="108" customWidth="1"/>
    <col min="6" max="6" width="71.5" style="108" customWidth="1"/>
    <col min="7" max="7" width="10.75" style="12" customWidth="1"/>
    <col min="8" max="8" width="12.125" style="12" customWidth="1"/>
    <col min="9" max="9" width="12.125" style="361" customWidth="1"/>
    <col min="10" max="10" width="7.125" style="17" customWidth="1"/>
    <col min="11" max="11" width="50.5" style="108" customWidth="1"/>
    <col min="12" max="12" width="45.25" style="108" customWidth="1"/>
    <col min="13" max="13" width="8.125" style="12" customWidth="1"/>
    <col min="14" max="14" width="17" style="12" customWidth="1"/>
    <col min="15" max="15" width="7.875" style="108" customWidth="1"/>
    <col min="16" max="16" width="16.375" style="12" customWidth="1"/>
    <col min="17" max="17" width="17.875" style="124" customWidth="1"/>
    <col min="18" max="18" width="19.375" style="124" customWidth="1"/>
    <col min="19" max="16384" width="11.75" style="108"/>
  </cols>
  <sheetData>
    <row r="2" spans="1:18" ht="20.100000000000001" customHeight="1" x14ac:dyDescent="0.15">
      <c r="C2" s="473" t="s">
        <v>0</v>
      </c>
      <c r="D2" s="473"/>
      <c r="E2" s="473"/>
      <c r="F2" s="106" t="s">
        <v>256</v>
      </c>
      <c r="H2" s="477" t="s">
        <v>2</v>
      </c>
      <c r="I2" s="478"/>
      <c r="J2" s="479"/>
      <c r="K2" s="16">
        <f>SUM(I:I)</f>
        <v>1287496</v>
      </c>
    </row>
    <row r="3" spans="1:18" ht="20.100000000000001" customHeight="1" x14ac:dyDescent="0.15">
      <c r="C3" s="473" t="s">
        <v>3</v>
      </c>
      <c r="D3" s="473"/>
      <c r="E3" s="473"/>
      <c r="F3" s="14" t="s">
        <v>257</v>
      </c>
    </row>
    <row r="4" spans="1:18" ht="20.100000000000001" customHeight="1" x14ac:dyDescent="0.15">
      <c r="C4" s="473" t="s">
        <v>5</v>
      </c>
      <c r="D4" s="473"/>
      <c r="E4" s="473"/>
      <c r="F4" s="14" t="s">
        <v>211</v>
      </c>
      <c r="H4" s="480" t="s">
        <v>258</v>
      </c>
      <c r="I4" s="480"/>
      <c r="J4" s="480"/>
      <c r="K4" s="480"/>
      <c r="L4" s="206"/>
    </row>
    <row r="5" spans="1:18" ht="20.100000000000001" customHeight="1" x14ac:dyDescent="0.15">
      <c r="C5" s="473" t="s">
        <v>6</v>
      </c>
      <c r="D5" s="473"/>
      <c r="E5" s="473"/>
      <c r="F5" s="15">
        <v>44654</v>
      </c>
      <c r="H5" s="480"/>
      <c r="I5" s="480"/>
      <c r="J5" s="480"/>
      <c r="K5" s="480"/>
    </row>
    <row r="6" spans="1:18" ht="20.100000000000001" customHeight="1" x14ac:dyDescent="0.15">
      <c r="C6" s="473" t="s">
        <v>7</v>
      </c>
      <c r="D6" s="473"/>
      <c r="E6" s="473"/>
      <c r="F6" s="15">
        <v>44656</v>
      </c>
      <c r="H6" s="222"/>
      <c r="I6" s="362"/>
    </row>
    <row r="8" spans="1:18" s="12" customFormat="1" ht="19.5" customHeight="1" x14ac:dyDescent="0.15">
      <c r="B8" s="294" t="s">
        <v>255</v>
      </c>
      <c r="C8" s="293" t="s">
        <v>8</v>
      </c>
      <c r="D8" s="6" t="s">
        <v>9</v>
      </c>
      <c r="E8" s="6" t="s">
        <v>10</v>
      </c>
      <c r="F8" s="68" t="s">
        <v>11</v>
      </c>
      <c r="G8" s="68" t="s">
        <v>12</v>
      </c>
      <c r="H8" s="68" t="s">
        <v>13</v>
      </c>
      <c r="I8" s="363" t="s">
        <v>14</v>
      </c>
      <c r="J8" s="4" t="s">
        <v>15</v>
      </c>
      <c r="K8" s="68" t="s">
        <v>16</v>
      </c>
      <c r="L8" s="68" t="s">
        <v>17</v>
      </c>
      <c r="M8" s="68" t="s">
        <v>18</v>
      </c>
      <c r="N8" s="74" t="s">
        <v>19</v>
      </c>
      <c r="O8" s="6" t="s">
        <v>20</v>
      </c>
      <c r="P8" s="68" t="s">
        <v>21</v>
      </c>
      <c r="Q8" s="74" t="s">
        <v>22</v>
      </c>
      <c r="R8" s="13" t="s">
        <v>23</v>
      </c>
    </row>
    <row r="9" spans="1:18" s="12" customFormat="1" ht="19.5" customHeight="1" x14ac:dyDescent="0.15">
      <c r="C9" s="465" t="s">
        <v>272</v>
      </c>
      <c r="D9" s="466"/>
      <c r="E9" s="466"/>
      <c r="F9" s="467"/>
      <c r="G9" s="66"/>
      <c r="H9" s="66"/>
      <c r="I9" s="364"/>
      <c r="J9" s="19"/>
      <c r="K9" s="67"/>
      <c r="L9" s="68"/>
      <c r="M9" s="68"/>
      <c r="N9" s="74"/>
      <c r="O9" s="6"/>
      <c r="P9" s="68"/>
      <c r="Q9" s="74"/>
      <c r="R9" s="13"/>
    </row>
    <row r="10" spans="1:18" s="12" customFormat="1" ht="19.5" customHeight="1" x14ac:dyDescent="0.15">
      <c r="A10" s="117"/>
      <c r="B10" s="303"/>
      <c r="C10" s="304">
        <v>1</v>
      </c>
      <c r="D10" s="300"/>
      <c r="E10" s="300" t="s">
        <v>261</v>
      </c>
      <c r="F10" s="302" t="s">
        <v>260</v>
      </c>
      <c r="G10" s="214">
        <v>1</v>
      </c>
      <c r="H10" s="66">
        <v>831250</v>
      </c>
      <c r="I10" s="365">
        <f t="shared" ref="I10" si="0">G10*H10</f>
        <v>831250</v>
      </c>
      <c r="J10" s="19"/>
      <c r="K10" s="298" t="s">
        <v>259</v>
      </c>
      <c r="L10" s="68"/>
      <c r="M10" s="68"/>
      <c r="N10" s="74"/>
      <c r="O10" s="6"/>
      <c r="P10" s="68"/>
      <c r="Q10" s="74"/>
      <c r="R10" s="13"/>
    </row>
    <row r="11" spans="1:18" s="12" customFormat="1" ht="19.5" customHeight="1" x14ac:dyDescent="0.15">
      <c r="A11" s="117"/>
      <c r="B11" s="303"/>
      <c r="C11" s="304"/>
      <c r="D11" s="300"/>
      <c r="E11" s="300" t="s">
        <v>261</v>
      </c>
      <c r="F11" s="302" t="s">
        <v>349</v>
      </c>
      <c r="G11" s="214">
        <v>1</v>
      </c>
      <c r="H11" s="66"/>
      <c r="I11" s="365"/>
      <c r="J11" s="19"/>
      <c r="K11" s="298"/>
      <c r="L11" s="68"/>
      <c r="M11" s="68"/>
      <c r="N11" s="74"/>
      <c r="O11" s="6"/>
      <c r="P11" s="68"/>
      <c r="Q11" s="74"/>
      <c r="R11" s="13"/>
    </row>
    <row r="12" spans="1:18" s="12" customFormat="1" ht="19.5" customHeight="1" x14ac:dyDescent="0.15">
      <c r="A12" s="117"/>
      <c r="B12" s="303"/>
      <c r="C12" s="304"/>
      <c r="D12" s="300"/>
      <c r="E12" s="300" t="s">
        <v>261</v>
      </c>
      <c r="F12" s="302" t="s">
        <v>350</v>
      </c>
      <c r="G12" s="214">
        <v>1</v>
      </c>
      <c r="H12" s="66"/>
      <c r="I12" s="365"/>
      <c r="J12" s="19"/>
      <c r="K12" s="298"/>
      <c r="L12" s="68"/>
      <c r="M12" s="68"/>
      <c r="N12" s="74"/>
      <c r="O12" s="6"/>
      <c r="P12" s="68"/>
      <c r="Q12" s="74"/>
      <c r="R12" s="13"/>
    </row>
    <row r="13" spans="1:18" s="12" customFormat="1" ht="19.5" customHeight="1" x14ac:dyDescent="0.15">
      <c r="A13" s="117"/>
      <c r="B13" s="117"/>
      <c r="C13" s="157"/>
      <c r="D13" s="270"/>
      <c r="E13" s="270"/>
      <c r="F13" s="299"/>
      <c r="G13" s="214"/>
      <c r="H13" s="66"/>
      <c r="I13" s="365"/>
      <c r="J13" s="19"/>
      <c r="K13" s="67"/>
      <c r="L13" s="68"/>
      <c r="M13" s="68"/>
      <c r="N13" s="74"/>
      <c r="O13" s="6"/>
      <c r="P13" s="68"/>
      <c r="Q13" s="74"/>
      <c r="R13" s="13"/>
    </row>
    <row r="14" spans="1:18" s="12" customFormat="1" ht="19.5" customHeight="1" x14ac:dyDescent="0.15">
      <c r="A14" s="117"/>
      <c r="B14" s="117"/>
      <c r="C14" s="157"/>
      <c r="D14" s="128"/>
      <c r="E14" s="128"/>
      <c r="F14" s="474">
        <f>SUM(I10:I13)</f>
        <v>831250</v>
      </c>
      <c r="G14" s="475"/>
      <c r="H14" s="475"/>
      <c r="I14" s="476"/>
      <c r="J14" s="19"/>
      <c r="K14" s="67"/>
      <c r="L14" s="68"/>
      <c r="M14" s="68"/>
      <c r="N14" s="74"/>
      <c r="O14" s="6"/>
      <c r="P14" s="68"/>
      <c r="Q14" s="74"/>
      <c r="R14" s="13"/>
    </row>
    <row r="15" spans="1:18" s="12" customFormat="1" ht="19.5" customHeight="1" x14ac:dyDescent="0.15">
      <c r="A15" s="117"/>
      <c r="B15" s="117"/>
      <c r="C15" s="157"/>
      <c r="D15" s="157"/>
      <c r="E15" s="157"/>
      <c r="F15" s="305"/>
      <c r="G15" s="214"/>
      <c r="H15" s="66"/>
      <c r="I15" s="364"/>
      <c r="J15" s="19"/>
      <c r="K15" s="67"/>
      <c r="L15" s="68"/>
      <c r="M15" s="68"/>
      <c r="N15" s="74"/>
      <c r="O15" s="6"/>
      <c r="P15" s="68"/>
      <c r="Q15" s="74"/>
      <c r="R15" s="13"/>
    </row>
    <row r="16" spans="1:18" s="164" customFormat="1" ht="18" customHeight="1" x14ac:dyDescent="0.15">
      <c r="A16" s="218"/>
      <c r="B16" s="234"/>
      <c r="C16" s="295"/>
      <c r="D16" s="128"/>
      <c r="E16" s="128"/>
      <c r="F16" s="239"/>
      <c r="G16" s="132"/>
      <c r="H16" s="133"/>
      <c r="I16" s="365"/>
      <c r="J16" s="148"/>
      <c r="K16" s="141"/>
      <c r="L16" s="237"/>
      <c r="M16" s="220"/>
      <c r="N16" s="235"/>
      <c r="O16" s="234"/>
      <c r="P16" s="235"/>
      <c r="Q16" s="235"/>
      <c r="R16" s="236"/>
    </row>
    <row r="17" spans="1:18" s="164" customFormat="1" ht="18" customHeight="1" x14ac:dyDescent="0.15">
      <c r="A17" s="269" t="s">
        <v>233</v>
      </c>
      <c r="B17" s="301"/>
      <c r="C17" s="357">
        <f>+C10+1</f>
        <v>2</v>
      </c>
      <c r="D17" s="267" t="s">
        <v>220</v>
      </c>
      <c r="E17" s="267" t="s">
        <v>135</v>
      </c>
      <c r="F17" s="415" t="s">
        <v>347</v>
      </c>
      <c r="G17" s="285">
        <v>1</v>
      </c>
      <c r="H17" s="416">
        <v>6574</v>
      </c>
      <c r="I17" s="366">
        <f t="shared" ref="I17:I19" si="1">G17*H17</f>
        <v>6574</v>
      </c>
      <c r="J17" s="148"/>
      <c r="K17" s="417" t="s">
        <v>348</v>
      </c>
      <c r="L17" s="237"/>
      <c r="M17" s="419"/>
      <c r="N17" s="235"/>
      <c r="O17" s="425"/>
      <c r="P17" s="235"/>
      <c r="Q17" s="235"/>
      <c r="R17" s="236"/>
    </row>
    <row r="18" spans="1:18" s="164" customFormat="1" ht="18" customHeight="1" x14ac:dyDescent="0.15">
      <c r="A18" s="269" t="s">
        <v>222</v>
      </c>
      <c r="B18" s="301"/>
      <c r="C18" s="357"/>
      <c r="D18" s="128" t="s">
        <v>135</v>
      </c>
      <c r="E18" s="128" t="s">
        <v>135</v>
      </c>
      <c r="F18" s="438" t="s">
        <v>359</v>
      </c>
      <c r="G18" s="439">
        <v>2</v>
      </c>
      <c r="H18" s="439">
        <v>460</v>
      </c>
      <c r="I18" s="365">
        <f t="shared" si="1"/>
        <v>920</v>
      </c>
      <c r="J18" s="19"/>
      <c r="K18" s="435" t="s">
        <v>361</v>
      </c>
      <c r="L18" s="237"/>
      <c r="M18" s="419"/>
      <c r="N18" s="235"/>
      <c r="O18" s="425"/>
      <c r="P18" s="235"/>
      <c r="Q18" s="235"/>
      <c r="R18" s="236"/>
    </row>
    <row r="19" spans="1:18" s="164" customFormat="1" ht="18" customHeight="1" x14ac:dyDescent="0.15">
      <c r="A19" s="269" t="s">
        <v>222</v>
      </c>
      <c r="B19" s="301"/>
      <c r="C19" s="357"/>
      <c r="D19" s="128" t="s">
        <v>135</v>
      </c>
      <c r="E19" s="128" t="s">
        <v>135</v>
      </c>
      <c r="F19" s="440" t="s">
        <v>288</v>
      </c>
      <c r="G19" s="439">
        <v>2</v>
      </c>
      <c r="H19" s="439">
        <v>319</v>
      </c>
      <c r="I19" s="365">
        <f t="shared" si="1"/>
        <v>638</v>
      </c>
      <c r="J19" s="19"/>
      <c r="K19" s="435" t="s">
        <v>360</v>
      </c>
      <c r="L19" s="237"/>
      <c r="M19" s="419"/>
      <c r="N19" s="235"/>
      <c r="O19" s="425"/>
      <c r="P19" s="235"/>
      <c r="Q19" s="235"/>
      <c r="R19" s="236"/>
    </row>
    <row r="20" spans="1:18" s="164" customFormat="1" ht="18" customHeight="1" x14ac:dyDescent="0.15">
      <c r="A20" s="269" t="s">
        <v>222</v>
      </c>
      <c r="B20" s="301"/>
      <c r="C20" s="321">
        <f>+C17+1</f>
        <v>3</v>
      </c>
      <c r="D20" s="300" t="s">
        <v>261</v>
      </c>
      <c r="E20" s="300" t="s">
        <v>261</v>
      </c>
      <c r="F20" s="353" t="s">
        <v>263</v>
      </c>
      <c r="G20" s="354">
        <v>1</v>
      </c>
      <c r="H20" s="409"/>
      <c r="I20" s="365">
        <f t="shared" ref="I20:I24" si="2">G20*H20</f>
        <v>0</v>
      </c>
      <c r="J20" s="19"/>
      <c r="K20" s="418" t="s">
        <v>262</v>
      </c>
      <c r="L20" s="237"/>
      <c r="M20" s="419"/>
      <c r="N20" s="235"/>
      <c r="O20" s="425"/>
      <c r="P20" s="235"/>
      <c r="Q20" s="235"/>
      <c r="R20" s="236"/>
    </row>
    <row r="21" spans="1:18" s="164" customFormat="1" ht="18" customHeight="1" x14ac:dyDescent="0.15">
      <c r="A21" s="269" t="s">
        <v>222</v>
      </c>
      <c r="B21" s="301"/>
      <c r="C21" s="321">
        <f t="shared" ref="C21:C24" si="3">+C20+1</f>
        <v>4</v>
      </c>
      <c r="D21" s="300" t="s">
        <v>261</v>
      </c>
      <c r="E21" s="300" t="s">
        <v>261</v>
      </c>
      <c r="F21" s="355" t="s">
        <v>265</v>
      </c>
      <c r="G21" s="354">
        <v>1</v>
      </c>
      <c r="H21" s="409"/>
      <c r="I21" s="365">
        <f t="shared" si="2"/>
        <v>0</v>
      </c>
      <c r="J21" s="19"/>
      <c r="K21" s="418" t="s">
        <v>264</v>
      </c>
      <c r="L21" s="237"/>
      <c r="M21" s="419"/>
      <c r="N21" s="235"/>
      <c r="O21" s="425"/>
      <c r="P21" s="235"/>
      <c r="Q21" s="235"/>
      <c r="R21" s="236"/>
    </row>
    <row r="22" spans="1:18" s="164" customFormat="1" ht="18" customHeight="1" x14ac:dyDescent="0.15">
      <c r="A22" s="269" t="s">
        <v>222</v>
      </c>
      <c r="B22" s="301"/>
      <c r="C22" s="321">
        <f t="shared" si="3"/>
        <v>5</v>
      </c>
      <c r="D22" s="300" t="s">
        <v>261</v>
      </c>
      <c r="E22" s="300" t="s">
        <v>261</v>
      </c>
      <c r="F22" s="355" t="s">
        <v>267</v>
      </c>
      <c r="G22" s="354">
        <v>1</v>
      </c>
      <c r="H22" s="409"/>
      <c r="I22" s="365">
        <f t="shared" si="2"/>
        <v>0</v>
      </c>
      <c r="J22" s="19"/>
      <c r="K22" s="418" t="s">
        <v>266</v>
      </c>
      <c r="L22" s="237"/>
      <c r="M22" s="419"/>
      <c r="N22" s="235"/>
      <c r="O22" s="425"/>
      <c r="P22" s="235"/>
      <c r="Q22" s="235"/>
      <c r="R22" s="236"/>
    </row>
    <row r="23" spans="1:18" s="164" customFormat="1" ht="18" customHeight="1" x14ac:dyDescent="0.15">
      <c r="A23" s="269" t="s">
        <v>222</v>
      </c>
      <c r="B23" s="301"/>
      <c r="C23" s="321">
        <f t="shared" si="3"/>
        <v>6</v>
      </c>
      <c r="D23" s="300" t="s">
        <v>261</v>
      </c>
      <c r="E23" s="300" t="s">
        <v>261</v>
      </c>
      <c r="F23" s="355" t="s">
        <v>269</v>
      </c>
      <c r="G23" s="354">
        <v>1</v>
      </c>
      <c r="H23" s="409"/>
      <c r="I23" s="365">
        <f t="shared" si="2"/>
        <v>0</v>
      </c>
      <c r="J23" s="19"/>
      <c r="K23" s="418" t="s">
        <v>268</v>
      </c>
      <c r="L23" s="237"/>
      <c r="M23" s="419"/>
      <c r="N23" s="235"/>
      <c r="O23" s="425"/>
      <c r="P23" s="235"/>
      <c r="Q23" s="235"/>
      <c r="R23" s="236"/>
    </row>
    <row r="24" spans="1:18" s="164" customFormat="1" ht="18" customHeight="1" x14ac:dyDescent="0.15">
      <c r="A24" s="269" t="s">
        <v>222</v>
      </c>
      <c r="B24" s="301"/>
      <c r="C24" s="321">
        <f t="shared" si="3"/>
        <v>7</v>
      </c>
      <c r="D24" s="300" t="s">
        <v>261</v>
      </c>
      <c r="E24" s="300" t="s">
        <v>261</v>
      </c>
      <c r="F24" s="356" t="s">
        <v>271</v>
      </c>
      <c r="G24" s="354">
        <v>1</v>
      </c>
      <c r="H24" s="409"/>
      <c r="I24" s="365">
        <f t="shared" si="2"/>
        <v>0</v>
      </c>
      <c r="J24" s="19"/>
      <c r="K24" s="418" t="s">
        <v>270</v>
      </c>
      <c r="L24" s="237"/>
      <c r="M24" s="419"/>
      <c r="N24" s="235"/>
      <c r="O24" s="425"/>
      <c r="P24" s="235"/>
      <c r="Q24" s="235"/>
      <c r="R24" s="236"/>
    </row>
    <row r="25" spans="1:18" ht="18" customHeight="1" x14ac:dyDescent="0.15">
      <c r="A25" s="269"/>
      <c r="B25" s="301"/>
      <c r="C25" s="321"/>
      <c r="D25" s="350"/>
      <c r="E25" s="350"/>
      <c r="F25" s="312"/>
      <c r="G25" s="260"/>
      <c r="H25" s="260"/>
      <c r="I25" s="367"/>
      <c r="J25" s="248"/>
      <c r="K25" s="282"/>
      <c r="L25" s="46"/>
      <c r="M25" s="420"/>
      <c r="N25" s="426"/>
      <c r="O25" s="427"/>
      <c r="P25" s="427"/>
      <c r="Q25" s="426"/>
      <c r="R25" s="120"/>
    </row>
    <row r="26" spans="1:18" ht="18" customHeight="1" x14ac:dyDescent="0.15">
      <c r="A26" s="109"/>
      <c r="B26" s="109"/>
      <c r="C26" s="119"/>
      <c r="D26" s="122"/>
      <c r="E26" s="410"/>
      <c r="F26" s="262"/>
      <c r="G26" s="263"/>
      <c r="H26" s="264"/>
      <c r="I26" s="368"/>
      <c r="J26" s="261"/>
      <c r="K26" s="168"/>
      <c r="L26" s="69"/>
      <c r="M26" s="420"/>
      <c r="N26" s="426"/>
      <c r="O26" s="427"/>
      <c r="P26" s="427"/>
      <c r="Q26" s="426"/>
      <c r="R26" s="120"/>
    </row>
    <row r="27" spans="1:18" ht="18" customHeight="1" x14ac:dyDescent="0.15">
      <c r="A27" s="109"/>
      <c r="B27" s="109"/>
      <c r="C27" s="411"/>
      <c r="D27" s="6"/>
      <c r="E27" s="11"/>
      <c r="F27" s="470">
        <f>SUM(I17:I26)</f>
        <v>8132</v>
      </c>
      <c r="G27" s="471"/>
      <c r="H27" s="471"/>
      <c r="I27" s="472"/>
      <c r="J27" s="65"/>
      <c r="K27" s="62"/>
      <c r="L27" s="69"/>
      <c r="M27" s="420"/>
      <c r="N27" s="426"/>
      <c r="O27" s="427"/>
      <c r="P27" s="427"/>
      <c r="Q27" s="426"/>
      <c r="R27" s="120"/>
    </row>
    <row r="28" spans="1:18" s="164" customFormat="1" ht="18" customHeight="1" x14ac:dyDescent="0.15">
      <c r="A28" s="234"/>
      <c r="B28" s="234"/>
      <c r="C28" s="412"/>
      <c r="D28" s="122"/>
      <c r="E28" s="122"/>
      <c r="F28" s="165"/>
      <c r="G28" s="166"/>
      <c r="H28" s="166"/>
      <c r="I28" s="369"/>
      <c r="J28" s="167"/>
      <c r="K28" s="168"/>
      <c r="L28" s="169"/>
      <c r="M28" s="421"/>
      <c r="N28" s="428"/>
      <c r="O28" s="425"/>
      <c r="P28" s="425"/>
      <c r="Q28" s="428"/>
      <c r="R28" s="236"/>
    </row>
    <row r="29" spans="1:18" ht="18" customHeight="1" x14ac:dyDescent="0.15">
      <c r="A29" s="109"/>
      <c r="B29" s="109"/>
      <c r="C29" s="413"/>
      <c r="D29" s="6"/>
      <c r="E29" s="6"/>
      <c r="F29" s="105"/>
      <c r="G29" s="66"/>
      <c r="H29" s="66"/>
      <c r="I29" s="364"/>
      <c r="J29" s="65"/>
      <c r="K29" s="67"/>
      <c r="L29" s="69"/>
      <c r="M29" s="420"/>
      <c r="N29" s="426"/>
      <c r="O29" s="427"/>
      <c r="P29" s="427"/>
      <c r="Q29" s="426"/>
      <c r="R29" s="120"/>
    </row>
    <row r="30" spans="1:18" ht="18" customHeight="1" x14ac:dyDescent="0.15">
      <c r="A30" s="109"/>
      <c r="B30" s="109"/>
      <c r="C30" s="414"/>
      <c r="D30" s="481" t="s">
        <v>182</v>
      </c>
      <c r="E30" s="482"/>
      <c r="F30" s="483"/>
      <c r="G30" s="126"/>
      <c r="H30" s="126"/>
      <c r="I30" s="370"/>
      <c r="J30" s="129"/>
      <c r="K30" s="126"/>
      <c r="L30" s="69"/>
      <c r="M30" s="420"/>
      <c r="N30" s="426"/>
      <c r="O30" s="427"/>
      <c r="P30" s="427"/>
      <c r="Q30" s="426"/>
      <c r="R30" s="120"/>
    </row>
    <row r="31" spans="1:18" s="164" customFormat="1" ht="18" customHeight="1" x14ac:dyDescent="0.15">
      <c r="A31" s="250" t="s">
        <v>212</v>
      </c>
      <c r="B31" s="301"/>
      <c r="C31" s="352">
        <f>+C24+1</f>
        <v>8</v>
      </c>
      <c r="D31" s="267" t="s">
        <v>220</v>
      </c>
      <c r="E31" s="267" t="s">
        <v>135</v>
      </c>
      <c r="F31" s="284" t="s">
        <v>224</v>
      </c>
      <c r="G31" s="285">
        <v>1</v>
      </c>
      <c r="H31" s="285">
        <v>1936</v>
      </c>
      <c r="I31" s="365">
        <f t="shared" ref="I31:I39" si="4">G31*H31</f>
        <v>1936</v>
      </c>
      <c r="J31" s="112"/>
      <c r="K31" s="278" t="s">
        <v>223</v>
      </c>
      <c r="L31" s="169"/>
      <c r="M31" s="421"/>
      <c r="N31" s="428"/>
      <c r="O31" s="425"/>
      <c r="P31" s="425"/>
      <c r="Q31" s="428"/>
      <c r="R31" s="236"/>
    </row>
    <row r="32" spans="1:18" s="164" customFormat="1" ht="18" customHeight="1" x14ac:dyDescent="0.15">
      <c r="A32" s="250" t="s">
        <v>212</v>
      </c>
      <c r="B32" s="301"/>
      <c r="C32" s="306">
        <f t="shared" ref="C32" si="5">+C31+1</f>
        <v>9</v>
      </c>
      <c r="D32" s="267" t="s">
        <v>220</v>
      </c>
      <c r="E32" s="267" t="s">
        <v>135</v>
      </c>
      <c r="F32" s="284" t="s">
        <v>225</v>
      </c>
      <c r="G32" s="285">
        <v>1</v>
      </c>
      <c r="H32" s="285">
        <v>2850</v>
      </c>
      <c r="I32" s="365">
        <f t="shared" si="4"/>
        <v>2850</v>
      </c>
      <c r="J32" s="112"/>
      <c r="K32" s="278" t="s">
        <v>226</v>
      </c>
      <c r="L32" s="221"/>
      <c r="M32" s="421"/>
      <c r="N32" s="428"/>
      <c r="O32" s="425"/>
      <c r="P32" s="425"/>
      <c r="Q32" s="428"/>
      <c r="R32" s="236"/>
    </row>
    <row r="33" spans="1:18" s="164" customFormat="1" ht="18" customHeight="1" x14ac:dyDescent="0.15">
      <c r="A33" s="250" t="s">
        <v>212</v>
      </c>
      <c r="B33" s="301"/>
      <c r="C33" s="306">
        <f t="shared" ref="C33:C39" si="6">+C32+1</f>
        <v>10</v>
      </c>
      <c r="D33" s="267" t="s">
        <v>220</v>
      </c>
      <c r="E33" s="267" t="s">
        <v>135</v>
      </c>
      <c r="F33" s="286" t="s">
        <v>227</v>
      </c>
      <c r="G33" s="287">
        <v>1</v>
      </c>
      <c r="H33" s="268">
        <v>4500</v>
      </c>
      <c r="I33" s="365">
        <f t="shared" si="4"/>
        <v>4500</v>
      </c>
      <c r="J33" s="135"/>
      <c r="K33" s="141" t="s">
        <v>202</v>
      </c>
      <c r="L33" s="169"/>
      <c r="M33" s="421"/>
      <c r="N33" s="428"/>
      <c r="O33" s="425"/>
      <c r="P33" s="425"/>
      <c r="Q33" s="428"/>
      <c r="R33" s="236"/>
    </row>
    <row r="34" spans="1:18" s="164" customFormat="1" ht="18" customHeight="1" x14ac:dyDescent="0.15">
      <c r="A34" s="126" t="s">
        <v>222</v>
      </c>
      <c r="B34" s="301"/>
      <c r="C34" s="306">
        <f t="shared" si="6"/>
        <v>11</v>
      </c>
      <c r="D34" s="256" t="s">
        <v>135</v>
      </c>
      <c r="E34" s="256" t="s">
        <v>135</v>
      </c>
      <c r="F34" s="307" t="s">
        <v>183</v>
      </c>
      <c r="G34" s="253">
        <v>2</v>
      </c>
      <c r="H34" s="254">
        <v>70</v>
      </c>
      <c r="I34" s="371">
        <f t="shared" si="4"/>
        <v>140</v>
      </c>
      <c r="J34" s="129"/>
      <c r="K34" s="145" t="s">
        <v>184</v>
      </c>
      <c r="L34" s="126"/>
      <c r="M34" s="421"/>
      <c r="N34" s="428"/>
      <c r="O34" s="425"/>
      <c r="P34" s="425"/>
      <c r="Q34" s="428"/>
      <c r="R34" s="236"/>
    </row>
    <row r="35" spans="1:18" s="164" customFormat="1" ht="18" customHeight="1" x14ac:dyDescent="0.15">
      <c r="A35" s="126" t="s">
        <v>222</v>
      </c>
      <c r="B35" s="301"/>
      <c r="C35" s="306">
        <f t="shared" si="6"/>
        <v>12</v>
      </c>
      <c r="D35" s="256" t="s">
        <v>135</v>
      </c>
      <c r="E35" s="256" t="s">
        <v>135</v>
      </c>
      <c r="F35" s="307" t="s">
        <v>185</v>
      </c>
      <c r="G35" s="253">
        <v>2</v>
      </c>
      <c r="H35" s="254">
        <v>78</v>
      </c>
      <c r="I35" s="371">
        <f t="shared" si="4"/>
        <v>156</v>
      </c>
      <c r="J35" s="129"/>
      <c r="K35" s="145" t="s">
        <v>184</v>
      </c>
      <c r="L35" s="126"/>
      <c r="M35" s="421"/>
      <c r="N35" s="428"/>
      <c r="O35" s="425"/>
      <c r="P35" s="425"/>
      <c r="Q35" s="428"/>
      <c r="R35" s="236"/>
    </row>
    <row r="36" spans="1:18" s="164" customFormat="1" ht="18" customHeight="1" x14ac:dyDescent="0.15">
      <c r="A36" s="126" t="s">
        <v>222</v>
      </c>
      <c r="B36" s="301"/>
      <c r="C36" s="306">
        <f t="shared" si="6"/>
        <v>13</v>
      </c>
      <c r="D36" s="259" t="s">
        <v>135</v>
      </c>
      <c r="E36" s="259" t="s">
        <v>135</v>
      </c>
      <c r="F36" s="308" t="s">
        <v>186</v>
      </c>
      <c r="G36" s="255">
        <v>4</v>
      </c>
      <c r="H36" s="252">
        <v>169</v>
      </c>
      <c r="I36" s="372">
        <f t="shared" si="4"/>
        <v>676</v>
      </c>
      <c r="J36" s="152"/>
      <c r="K36" s="151" t="s">
        <v>187</v>
      </c>
      <c r="L36" s="126"/>
      <c r="M36" s="421"/>
      <c r="N36" s="428"/>
      <c r="O36" s="425"/>
      <c r="P36" s="425"/>
      <c r="Q36" s="428"/>
      <c r="R36" s="236"/>
    </row>
    <row r="37" spans="1:18" s="164" customFormat="1" ht="18" customHeight="1" x14ac:dyDescent="0.15">
      <c r="A37" s="126" t="s">
        <v>222</v>
      </c>
      <c r="B37" s="301"/>
      <c r="C37" s="306">
        <f t="shared" si="6"/>
        <v>14</v>
      </c>
      <c r="D37" s="259" t="s">
        <v>135</v>
      </c>
      <c r="E37" s="259" t="s">
        <v>135</v>
      </c>
      <c r="F37" s="309" t="s">
        <v>188</v>
      </c>
      <c r="G37" s="256">
        <v>2</v>
      </c>
      <c r="H37" s="257">
        <v>71</v>
      </c>
      <c r="I37" s="373">
        <f t="shared" si="4"/>
        <v>142</v>
      </c>
      <c r="J37" s="129"/>
      <c r="K37" s="127" t="s">
        <v>189</v>
      </c>
      <c r="L37" s="146"/>
      <c r="M37" s="421"/>
      <c r="N37" s="428"/>
      <c r="O37" s="425"/>
      <c r="P37" s="425"/>
      <c r="Q37" s="428"/>
      <c r="R37" s="236"/>
    </row>
    <row r="38" spans="1:18" s="164" customFormat="1" ht="18" customHeight="1" x14ac:dyDescent="0.15">
      <c r="A38" s="126" t="s">
        <v>222</v>
      </c>
      <c r="B38" s="301"/>
      <c r="C38" s="306">
        <f t="shared" si="6"/>
        <v>15</v>
      </c>
      <c r="D38" s="259" t="s">
        <v>135</v>
      </c>
      <c r="E38" s="259" t="s">
        <v>135</v>
      </c>
      <c r="F38" s="309" t="s">
        <v>190</v>
      </c>
      <c r="G38" s="256">
        <v>2</v>
      </c>
      <c r="H38" s="257">
        <v>30</v>
      </c>
      <c r="I38" s="373">
        <f t="shared" si="4"/>
        <v>60</v>
      </c>
      <c r="J38" s="129"/>
      <c r="K38" s="127" t="s">
        <v>191</v>
      </c>
      <c r="L38" s="146"/>
      <c r="M38" s="421"/>
      <c r="N38" s="428"/>
      <c r="O38" s="425"/>
      <c r="P38" s="425"/>
      <c r="Q38" s="428"/>
      <c r="R38" s="236"/>
    </row>
    <row r="39" spans="1:18" s="164" customFormat="1" ht="18" customHeight="1" x14ac:dyDescent="0.15">
      <c r="A39" s="126" t="s">
        <v>229</v>
      </c>
      <c r="B39" s="301"/>
      <c r="C39" s="306">
        <f t="shared" si="6"/>
        <v>16</v>
      </c>
      <c r="D39" s="178" t="s">
        <v>192</v>
      </c>
      <c r="E39" s="178" t="s">
        <v>135</v>
      </c>
      <c r="F39" s="179" t="s">
        <v>193</v>
      </c>
      <c r="G39" s="180"/>
      <c r="H39" s="213">
        <v>1800</v>
      </c>
      <c r="I39" s="374">
        <f t="shared" si="4"/>
        <v>0</v>
      </c>
      <c r="J39" s="181"/>
      <c r="K39" s="283" t="s">
        <v>253</v>
      </c>
      <c r="L39" s="177" t="s">
        <v>228</v>
      </c>
      <c r="M39" s="421"/>
      <c r="N39" s="428"/>
      <c r="O39" s="425"/>
      <c r="P39" s="425"/>
      <c r="Q39" s="428"/>
      <c r="R39" s="236"/>
    </row>
    <row r="40" spans="1:18" ht="18" customHeight="1" x14ac:dyDescent="0.15">
      <c r="C40" s="117"/>
      <c r="D40" s="142"/>
      <c r="E40" s="142"/>
      <c r="F40" s="131"/>
      <c r="G40" s="126"/>
      <c r="H40" s="132"/>
      <c r="I40" s="365"/>
      <c r="J40" s="129"/>
      <c r="K40" s="154"/>
      <c r="L40" s="69"/>
      <c r="M40" s="420"/>
      <c r="N40" s="426"/>
      <c r="O40" s="427"/>
      <c r="P40" s="427"/>
      <c r="Q40" s="426"/>
      <c r="R40" s="120"/>
    </row>
    <row r="41" spans="1:18" ht="18" customHeight="1" x14ac:dyDescent="0.15">
      <c r="C41" s="117"/>
      <c r="D41" s="155"/>
      <c r="E41" s="155"/>
      <c r="F41" s="484">
        <f>SUM(I31:I39)</f>
        <v>10460</v>
      </c>
      <c r="G41" s="485"/>
      <c r="H41" s="485"/>
      <c r="I41" s="486"/>
      <c r="J41" s="137"/>
      <c r="K41" s="138"/>
      <c r="L41" s="69"/>
      <c r="M41" s="420"/>
      <c r="N41" s="426"/>
      <c r="O41" s="427"/>
      <c r="P41" s="427"/>
      <c r="Q41" s="426"/>
      <c r="R41" s="120"/>
    </row>
    <row r="42" spans="1:18" s="164" customFormat="1" ht="18" customHeight="1" x14ac:dyDescent="0.15">
      <c r="C42" s="220"/>
      <c r="D42" s="223"/>
      <c r="E42" s="223"/>
      <c r="F42" s="224"/>
      <c r="G42" s="225"/>
      <c r="H42" s="226"/>
      <c r="I42" s="375"/>
      <c r="J42" s="111"/>
      <c r="K42" s="219"/>
      <c r="L42" s="242"/>
      <c r="M42" s="421"/>
      <c r="N42" s="428"/>
      <c r="O42" s="425"/>
      <c r="P42" s="425"/>
      <c r="Q42" s="428"/>
      <c r="R42" s="236"/>
    </row>
    <row r="43" spans="1:18" s="164" customFormat="1" ht="18" customHeight="1" x14ac:dyDescent="0.15">
      <c r="C43" s="220"/>
      <c r="D43" s="223"/>
      <c r="E43" s="223"/>
      <c r="F43" s="224"/>
      <c r="G43" s="225"/>
      <c r="H43" s="226"/>
      <c r="I43" s="375"/>
      <c r="J43" s="111"/>
      <c r="K43" s="219"/>
      <c r="L43" s="242"/>
      <c r="M43" s="421"/>
      <c r="N43" s="428"/>
      <c r="O43" s="425"/>
      <c r="P43" s="425"/>
      <c r="Q43" s="428"/>
      <c r="R43" s="236"/>
    </row>
    <row r="44" spans="1:18" s="164" customFormat="1" ht="18" customHeight="1" x14ac:dyDescent="0.15">
      <c r="C44" s="220"/>
      <c r="D44" s="487" t="s">
        <v>273</v>
      </c>
      <c r="E44" s="487"/>
      <c r="F44" s="487"/>
      <c r="G44" s="225"/>
      <c r="H44" s="226"/>
      <c r="I44" s="375"/>
      <c r="J44" s="111"/>
      <c r="K44" s="219"/>
      <c r="L44" s="242"/>
      <c r="M44" s="421"/>
      <c r="N44" s="428"/>
      <c r="O44" s="425"/>
      <c r="P44" s="425"/>
      <c r="Q44" s="428"/>
      <c r="R44" s="236"/>
    </row>
    <row r="45" spans="1:18" s="164" customFormat="1" ht="18" customHeight="1" x14ac:dyDescent="0.15">
      <c r="A45" s="269" t="s">
        <v>233</v>
      </c>
      <c r="B45" s="301"/>
      <c r="C45" s="357">
        <f>+C39+1</f>
        <v>17</v>
      </c>
      <c r="D45" s="267" t="s">
        <v>220</v>
      </c>
      <c r="E45" s="267" t="s">
        <v>135</v>
      </c>
      <c r="F45" s="320" t="s">
        <v>294</v>
      </c>
      <c r="G45" s="391">
        <v>1</v>
      </c>
      <c r="H45" s="291">
        <v>24500</v>
      </c>
      <c r="I45" s="373">
        <f t="shared" ref="I45:I47" si="7">G45*H45</f>
        <v>24500</v>
      </c>
      <c r="J45" s="129"/>
      <c r="K45" s="116" t="s">
        <v>294</v>
      </c>
      <c r="L45" s="126"/>
      <c r="M45" s="421"/>
      <c r="N45" s="428"/>
      <c r="O45" s="425"/>
      <c r="P45" s="425"/>
      <c r="Q45" s="428"/>
      <c r="R45" s="236"/>
    </row>
    <row r="46" spans="1:18" s="164" customFormat="1" ht="18" customHeight="1" x14ac:dyDescent="0.15">
      <c r="A46" s="269" t="s">
        <v>233</v>
      </c>
      <c r="B46" s="301"/>
      <c r="C46" s="321">
        <f t="shared" ref="C46:C94" si="8">+C45+1</f>
        <v>18</v>
      </c>
      <c r="D46" s="267" t="s">
        <v>220</v>
      </c>
      <c r="E46" s="267" t="s">
        <v>135</v>
      </c>
      <c r="F46" s="320" t="s">
        <v>295</v>
      </c>
      <c r="G46" s="391">
        <v>1</v>
      </c>
      <c r="H46" s="291">
        <v>6500</v>
      </c>
      <c r="I46" s="373">
        <f t="shared" si="7"/>
        <v>6500</v>
      </c>
      <c r="J46" s="129"/>
      <c r="K46" s="116" t="s">
        <v>295</v>
      </c>
      <c r="L46" s="126"/>
      <c r="M46" s="421"/>
      <c r="N46" s="428"/>
      <c r="O46" s="425"/>
      <c r="P46" s="425"/>
      <c r="Q46" s="428"/>
      <c r="R46" s="236"/>
    </row>
    <row r="47" spans="1:18" s="164" customFormat="1" ht="18" customHeight="1" x14ac:dyDescent="0.15">
      <c r="A47" s="269" t="s">
        <v>233</v>
      </c>
      <c r="B47" s="358"/>
      <c r="C47" s="306">
        <f t="shared" si="8"/>
        <v>19</v>
      </c>
      <c r="D47" s="267" t="s">
        <v>220</v>
      </c>
      <c r="E47" s="267" t="s">
        <v>135</v>
      </c>
      <c r="F47" s="320" t="s">
        <v>296</v>
      </c>
      <c r="G47" s="391">
        <v>1</v>
      </c>
      <c r="H47" s="291">
        <v>6500</v>
      </c>
      <c r="I47" s="373">
        <f t="shared" si="7"/>
        <v>6500</v>
      </c>
      <c r="J47" s="129"/>
      <c r="K47" s="116" t="s">
        <v>296</v>
      </c>
      <c r="L47" s="126"/>
      <c r="M47" s="421"/>
      <c r="N47" s="428"/>
      <c r="O47" s="425"/>
      <c r="P47" s="425"/>
      <c r="Q47" s="428"/>
      <c r="R47" s="236"/>
    </row>
    <row r="48" spans="1:18" s="164" customFormat="1" ht="18" customHeight="1" x14ac:dyDescent="0.15">
      <c r="A48" s="126" t="s">
        <v>222</v>
      </c>
      <c r="B48" s="301"/>
      <c r="C48" s="306">
        <f t="shared" si="8"/>
        <v>20</v>
      </c>
      <c r="D48" s="259" t="s">
        <v>135</v>
      </c>
      <c r="E48" s="259" t="s">
        <v>135</v>
      </c>
      <c r="F48" s="309" t="s">
        <v>188</v>
      </c>
      <c r="G48" s="256">
        <v>8</v>
      </c>
      <c r="H48" s="257">
        <v>71</v>
      </c>
      <c r="I48" s="373">
        <f t="shared" ref="I48" si="9">G48*H48</f>
        <v>568</v>
      </c>
      <c r="J48" s="129"/>
      <c r="K48" s="127" t="s">
        <v>189</v>
      </c>
      <c r="L48" s="126"/>
      <c r="M48" s="421"/>
      <c r="N48" s="428"/>
      <c r="O48" s="425"/>
      <c r="P48" s="425"/>
      <c r="Q48" s="428"/>
      <c r="R48" s="236"/>
    </row>
    <row r="49" spans="1:18" s="164" customFormat="1" ht="18" customHeight="1" x14ac:dyDescent="0.15">
      <c r="A49" s="126" t="s">
        <v>222</v>
      </c>
      <c r="B49" s="301"/>
      <c r="C49" s="306">
        <f t="shared" si="8"/>
        <v>21</v>
      </c>
      <c r="D49" s="259" t="s">
        <v>135</v>
      </c>
      <c r="E49" s="259" t="s">
        <v>135</v>
      </c>
      <c r="F49" s="339" t="s">
        <v>278</v>
      </c>
      <c r="G49" s="392">
        <v>2</v>
      </c>
      <c r="H49" s="334">
        <v>391</v>
      </c>
      <c r="I49" s="376">
        <f t="shared" ref="I49:I97" si="10">G49*H49</f>
        <v>782</v>
      </c>
      <c r="J49" s="129"/>
      <c r="K49" s="278" t="s">
        <v>335</v>
      </c>
      <c r="L49" s="126"/>
      <c r="M49" s="421"/>
      <c r="N49" s="428"/>
      <c r="O49" s="425"/>
      <c r="P49" s="425"/>
      <c r="Q49" s="428"/>
      <c r="R49" s="236"/>
    </row>
    <row r="50" spans="1:18" s="164" customFormat="1" ht="18" customHeight="1" x14ac:dyDescent="0.15">
      <c r="A50" s="126" t="s">
        <v>222</v>
      </c>
      <c r="B50" s="301"/>
      <c r="C50" s="306">
        <f t="shared" si="8"/>
        <v>22</v>
      </c>
      <c r="D50" s="259" t="s">
        <v>135</v>
      </c>
      <c r="E50" s="259" t="s">
        <v>135</v>
      </c>
      <c r="F50" s="333" t="s">
        <v>214</v>
      </c>
      <c r="G50" s="392">
        <v>4</v>
      </c>
      <c r="H50" s="334">
        <v>180</v>
      </c>
      <c r="I50" s="365">
        <f t="shared" si="10"/>
        <v>720</v>
      </c>
      <c r="J50" s="129"/>
      <c r="K50" s="244" t="s">
        <v>215</v>
      </c>
      <c r="L50" s="126"/>
      <c r="M50" s="421"/>
      <c r="N50" s="428"/>
      <c r="O50" s="425"/>
      <c r="P50" s="425"/>
      <c r="Q50" s="428"/>
      <c r="R50" s="236"/>
    </row>
    <row r="51" spans="1:18" s="164" customFormat="1" ht="18" customHeight="1" x14ac:dyDescent="0.15">
      <c r="A51" s="126" t="s">
        <v>222</v>
      </c>
      <c r="B51" s="301"/>
      <c r="C51" s="306">
        <f t="shared" si="8"/>
        <v>23</v>
      </c>
      <c r="D51" s="259" t="s">
        <v>135</v>
      </c>
      <c r="E51" s="259" t="s">
        <v>135</v>
      </c>
      <c r="F51" s="339" t="s">
        <v>279</v>
      </c>
      <c r="G51" s="392">
        <v>2</v>
      </c>
      <c r="H51" s="334">
        <v>350</v>
      </c>
      <c r="I51" s="376">
        <f t="shared" si="10"/>
        <v>700</v>
      </c>
      <c r="J51" s="129"/>
      <c r="K51" s="278" t="s">
        <v>336</v>
      </c>
      <c r="L51" s="126"/>
      <c r="M51" s="421"/>
      <c r="N51" s="428"/>
      <c r="O51" s="425"/>
      <c r="P51" s="425"/>
      <c r="Q51" s="428"/>
      <c r="R51" s="236"/>
    </row>
    <row r="52" spans="1:18" s="164" customFormat="1" ht="18" customHeight="1" x14ac:dyDescent="0.15">
      <c r="A52" s="126" t="s">
        <v>222</v>
      </c>
      <c r="B52" s="301"/>
      <c r="C52" s="306">
        <f t="shared" si="8"/>
        <v>24</v>
      </c>
      <c r="D52" s="259" t="s">
        <v>135</v>
      </c>
      <c r="E52" s="259" t="s">
        <v>135</v>
      </c>
      <c r="F52" s="339" t="s">
        <v>280</v>
      </c>
      <c r="G52" s="392">
        <v>1</v>
      </c>
      <c r="H52" s="334">
        <v>380</v>
      </c>
      <c r="I52" s="376">
        <f t="shared" si="10"/>
        <v>380</v>
      </c>
      <c r="J52" s="129"/>
      <c r="K52" s="278" t="s">
        <v>336</v>
      </c>
      <c r="L52" s="126"/>
      <c r="M52" s="421"/>
      <c r="N52" s="428"/>
      <c r="O52" s="425"/>
      <c r="P52" s="425"/>
      <c r="Q52" s="428"/>
      <c r="R52" s="236"/>
    </row>
    <row r="53" spans="1:18" s="164" customFormat="1" ht="18" customHeight="1" x14ac:dyDescent="0.15">
      <c r="A53" s="126" t="s">
        <v>222</v>
      </c>
      <c r="B53" s="301"/>
      <c r="C53" s="306">
        <f t="shared" si="8"/>
        <v>25</v>
      </c>
      <c r="D53" s="332" t="s">
        <v>37</v>
      </c>
      <c r="E53" s="332" t="s">
        <v>37</v>
      </c>
      <c r="F53" s="333" t="s">
        <v>216</v>
      </c>
      <c r="G53" s="392">
        <v>11</v>
      </c>
      <c r="H53" s="334">
        <v>46</v>
      </c>
      <c r="I53" s="365">
        <f t="shared" si="10"/>
        <v>506</v>
      </c>
      <c r="J53" s="129"/>
      <c r="K53" s="277" t="s">
        <v>297</v>
      </c>
      <c r="L53" s="126"/>
      <c r="M53" s="421"/>
      <c r="N53" s="428"/>
      <c r="O53" s="425"/>
      <c r="P53" s="425"/>
      <c r="Q53" s="428"/>
      <c r="R53" s="236"/>
    </row>
    <row r="54" spans="1:18" s="164" customFormat="1" ht="18" customHeight="1" x14ac:dyDescent="0.15">
      <c r="A54" s="328" t="s">
        <v>222</v>
      </c>
      <c r="B54" s="329"/>
      <c r="C54" s="306">
        <f t="shared" si="8"/>
        <v>26</v>
      </c>
      <c r="D54" s="330" t="s">
        <v>37</v>
      </c>
      <c r="E54" s="330" t="s">
        <v>37</v>
      </c>
      <c r="F54" s="322" t="s">
        <v>217</v>
      </c>
      <c r="G54" s="323">
        <v>52</v>
      </c>
      <c r="H54" s="326">
        <v>79</v>
      </c>
      <c r="I54" s="376">
        <f t="shared" ref="I54:I56" si="11">G54*H54</f>
        <v>4108</v>
      </c>
      <c r="J54" s="245"/>
      <c r="K54" s="43" t="s">
        <v>133</v>
      </c>
      <c r="L54" s="126"/>
      <c r="M54" s="170"/>
      <c r="N54" s="422"/>
      <c r="O54" s="423"/>
      <c r="P54" s="423"/>
      <c r="Q54" s="422"/>
      <c r="R54" s="424"/>
    </row>
    <row r="55" spans="1:18" s="164" customFormat="1" ht="18" customHeight="1" x14ac:dyDescent="0.15">
      <c r="A55" s="126" t="s">
        <v>222</v>
      </c>
      <c r="B55" s="301"/>
      <c r="C55" s="306">
        <f t="shared" si="8"/>
        <v>27</v>
      </c>
      <c r="D55" s="331" t="s">
        <v>37</v>
      </c>
      <c r="E55" s="331" t="s">
        <v>37</v>
      </c>
      <c r="F55" s="327" t="s">
        <v>288</v>
      </c>
      <c r="G55" s="324">
        <v>2</v>
      </c>
      <c r="H55" s="311">
        <v>319</v>
      </c>
      <c r="I55" s="376">
        <f t="shared" si="11"/>
        <v>638</v>
      </c>
      <c r="J55" s="325"/>
      <c r="K55" s="43" t="s">
        <v>289</v>
      </c>
      <c r="L55" s="126"/>
      <c r="M55" s="170"/>
      <c r="N55" s="171"/>
      <c r="O55" s="172"/>
      <c r="P55" s="172"/>
      <c r="Q55" s="171"/>
      <c r="R55" s="173"/>
    </row>
    <row r="56" spans="1:18" s="164" customFormat="1" ht="18" customHeight="1" x14ac:dyDescent="0.15">
      <c r="A56" s="126" t="s">
        <v>222</v>
      </c>
      <c r="B56" s="301"/>
      <c r="C56" s="306">
        <f t="shared" si="8"/>
        <v>28</v>
      </c>
      <c r="D56" s="259" t="s">
        <v>135</v>
      </c>
      <c r="E56" s="259" t="s">
        <v>135</v>
      </c>
      <c r="F56" s="309" t="s">
        <v>190</v>
      </c>
      <c r="G56" s="256">
        <v>8</v>
      </c>
      <c r="H56" s="257">
        <v>30</v>
      </c>
      <c r="I56" s="373">
        <f t="shared" si="11"/>
        <v>240</v>
      </c>
      <c r="J56" s="129"/>
      <c r="K56" s="127" t="s">
        <v>191</v>
      </c>
      <c r="L56" s="126"/>
      <c r="M56" s="170"/>
      <c r="N56" s="171"/>
      <c r="O56" s="172"/>
      <c r="P56" s="172"/>
      <c r="Q56" s="171"/>
      <c r="R56" s="173"/>
    </row>
    <row r="57" spans="1:18" s="164" customFormat="1" ht="18" customHeight="1" x14ac:dyDescent="0.15">
      <c r="A57" s="126" t="s">
        <v>222</v>
      </c>
      <c r="B57" s="301"/>
      <c r="C57" s="306">
        <f t="shared" si="8"/>
        <v>29</v>
      </c>
      <c r="D57" s="332" t="s">
        <v>37</v>
      </c>
      <c r="E57" s="332" t="s">
        <v>37</v>
      </c>
      <c r="F57" s="339" t="s">
        <v>232</v>
      </c>
      <c r="G57" s="392">
        <v>28</v>
      </c>
      <c r="H57" s="334">
        <v>23</v>
      </c>
      <c r="I57" s="376">
        <f t="shared" si="10"/>
        <v>644</v>
      </c>
      <c r="J57" s="129"/>
      <c r="K57" s="278" t="s">
        <v>231</v>
      </c>
      <c r="L57" s="126"/>
      <c r="M57" s="170"/>
      <c r="N57" s="171"/>
      <c r="O57" s="172"/>
      <c r="P57" s="172"/>
      <c r="Q57" s="171"/>
      <c r="R57" s="173"/>
    </row>
    <row r="58" spans="1:18" s="164" customFormat="1" ht="18" customHeight="1" x14ac:dyDescent="0.15">
      <c r="A58" s="126" t="s">
        <v>222</v>
      </c>
      <c r="B58" s="301"/>
      <c r="C58" s="306">
        <f t="shared" si="8"/>
        <v>30</v>
      </c>
      <c r="D58" s="332" t="s">
        <v>37</v>
      </c>
      <c r="E58" s="332" t="s">
        <v>37</v>
      </c>
      <c r="F58" s="339" t="s">
        <v>282</v>
      </c>
      <c r="G58" s="392">
        <v>11</v>
      </c>
      <c r="H58" s="334">
        <v>54</v>
      </c>
      <c r="I58" s="376">
        <f t="shared" si="10"/>
        <v>594</v>
      </c>
      <c r="J58" s="129"/>
      <c r="K58" s="278" t="s">
        <v>337</v>
      </c>
      <c r="L58" s="126"/>
      <c r="M58" s="170"/>
      <c r="N58" s="171"/>
      <c r="O58" s="172"/>
      <c r="P58" s="172"/>
      <c r="Q58" s="171"/>
      <c r="R58" s="173"/>
    </row>
    <row r="59" spans="1:18" s="164" customFormat="1" ht="18" customHeight="1" x14ac:dyDescent="0.15">
      <c r="A59" s="126" t="s">
        <v>222</v>
      </c>
      <c r="B59" s="301"/>
      <c r="C59" s="306">
        <f t="shared" si="8"/>
        <v>31</v>
      </c>
      <c r="D59" s="332" t="s">
        <v>37</v>
      </c>
      <c r="E59" s="332" t="s">
        <v>37</v>
      </c>
      <c r="F59" s="333" t="s">
        <v>218</v>
      </c>
      <c r="G59" s="256">
        <v>12</v>
      </c>
      <c r="H59" s="335">
        <v>25</v>
      </c>
      <c r="I59" s="375">
        <f>G59*H59</f>
        <v>300</v>
      </c>
      <c r="J59" s="112"/>
      <c r="K59" s="113" t="s">
        <v>219</v>
      </c>
      <c r="L59" s="126"/>
      <c r="M59" s="170"/>
      <c r="N59" s="171"/>
      <c r="O59" s="172"/>
      <c r="P59" s="172"/>
      <c r="Q59" s="171"/>
      <c r="R59" s="173"/>
    </row>
    <row r="60" spans="1:18" s="164" customFormat="1" ht="18" customHeight="1" x14ac:dyDescent="0.15">
      <c r="A60" s="126" t="s">
        <v>222</v>
      </c>
      <c r="B60" s="301"/>
      <c r="C60" s="306">
        <f t="shared" si="8"/>
        <v>32</v>
      </c>
      <c r="D60" s="332" t="s">
        <v>37</v>
      </c>
      <c r="E60" s="332" t="s">
        <v>37</v>
      </c>
      <c r="F60" s="339" t="s">
        <v>292</v>
      </c>
      <c r="G60" s="392">
        <v>10</v>
      </c>
      <c r="H60" s="334">
        <v>23</v>
      </c>
      <c r="I60" s="376">
        <f t="shared" si="10"/>
        <v>230</v>
      </c>
      <c r="J60" s="129"/>
      <c r="K60" s="278" t="s">
        <v>231</v>
      </c>
      <c r="L60" s="126"/>
      <c r="M60" s="170"/>
      <c r="N60" s="171"/>
      <c r="O60" s="172"/>
      <c r="P60" s="172"/>
      <c r="Q60" s="171"/>
      <c r="R60" s="173"/>
    </row>
    <row r="61" spans="1:18" s="164" customFormat="1" ht="18" customHeight="1" x14ac:dyDescent="0.15">
      <c r="A61" s="250"/>
      <c r="B61" s="351"/>
      <c r="C61" s="295"/>
      <c r="D61" s="204"/>
      <c r="E61" s="204"/>
      <c r="F61" s="116"/>
      <c r="G61" s="393"/>
      <c r="H61" s="271"/>
      <c r="I61" s="377"/>
      <c r="J61" s="112"/>
      <c r="K61" s="116"/>
      <c r="L61" s="126"/>
      <c r="M61" s="170"/>
      <c r="N61" s="171"/>
      <c r="O61" s="172"/>
      <c r="P61" s="172"/>
      <c r="Q61" s="171"/>
      <c r="R61" s="173"/>
    </row>
    <row r="62" spans="1:18" s="164" customFormat="1" ht="18" customHeight="1" x14ac:dyDescent="0.15">
      <c r="A62" s="269" t="s">
        <v>233</v>
      </c>
      <c r="B62" s="301"/>
      <c r="C62" s="306">
        <f>+C60+1</f>
        <v>33</v>
      </c>
      <c r="D62" s="267" t="s">
        <v>220</v>
      </c>
      <c r="E62" s="267" t="s">
        <v>135</v>
      </c>
      <c r="F62" s="320" t="s">
        <v>286</v>
      </c>
      <c r="G62" s="391">
        <v>1</v>
      </c>
      <c r="H62" s="291">
        <v>32000</v>
      </c>
      <c r="I62" s="376">
        <f t="shared" si="10"/>
        <v>32000</v>
      </c>
      <c r="J62" s="129"/>
      <c r="K62" s="116"/>
      <c r="L62" s="126"/>
      <c r="M62" s="170"/>
      <c r="N62" s="171"/>
      <c r="O62" s="172"/>
      <c r="P62" s="172"/>
      <c r="Q62" s="171"/>
      <c r="R62" s="173"/>
    </row>
    <row r="63" spans="1:18" s="164" customFormat="1" ht="18" customHeight="1" x14ac:dyDescent="0.15">
      <c r="A63" s="269" t="s">
        <v>233</v>
      </c>
      <c r="B63" s="301"/>
      <c r="C63" s="306">
        <f t="shared" si="8"/>
        <v>34</v>
      </c>
      <c r="D63" s="267" t="s">
        <v>220</v>
      </c>
      <c r="E63" s="267" t="s">
        <v>135</v>
      </c>
      <c r="F63" s="320" t="s">
        <v>287</v>
      </c>
      <c r="G63" s="391">
        <v>1</v>
      </c>
      <c r="H63" s="291">
        <v>20000</v>
      </c>
      <c r="I63" s="376">
        <f t="shared" si="10"/>
        <v>20000</v>
      </c>
      <c r="J63" s="129"/>
      <c r="K63" s="116"/>
      <c r="L63" s="126"/>
      <c r="M63" s="170"/>
      <c r="N63" s="171"/>
      <c r="O63" s="172"/>
      <c r="P63" s="172"/>
      <c r="Q63" s="171"/>
      <c r="R63" s="173"/>
    </row>
    <row r="64" spans="1:18" s="164" customFormat="1" ht="18" customHeight="1" x14ac:dyDescent="0.15">
      <c r="A64" s="269" t="s">
        <v>233</v>
      </c>
      <c r="B64" s="301"/>
      <c r="C64" s="306">
        <f t="shared" si="8"/>
        <v>35</v>
      </c>
      <c r="D64" s="267" t="s">
        <v>220</v>
      </c>
      <c r="E64" s="267" t="s">
        <v>135</v>
      </c>
      <c r="F64" s="320" t="s">
        <v>334</v>
      </c>
      <c r="G64" s="391">
        <v>1</v>
      </c>
      <c r="H64" s="291">
        <v>15000</v>
      </c>
      <c r="I64" s="376">
        <f t="shared" si="10"/>
        <v>15000</v>
      </c>
      <c r="J64" s="129"/>
      <c r="K64" s="116"/>
      <c r="L64" s="126"/>
      <c r="M64" s="170"/>
      <c r="N64" s="171"/>
      <c r="O64" s="172"/>
      <c r="P64" s="172"/>
      <c r="Q64" s="171"/>
      <c r="R64" s="173"/>
    </row>
    <row r="65" spans="1:18" s="164" customFormat="1" ht="18" customHeight="1" x14ac:dyDescent="0.15">
      <c r="A65" s="269" t="s">
        <v>233</v>
      </c>
      <c r="B65" s="301"/>
      <c r="C65" s="306">
        <f>+C64+1</f>
        <v>36</v>
      </c>
      <c r="D65" s="267" t="s">
        <v>220</v>
      </c>
      <c r="E65" s="267" t="s">
        <v>135</v>
      </c>
      <c r="F65" s="320" t="s">
        <v>283</v>
      </c>
      <c r="G65" s="391">
        <v>3</v>
      </c>
      <c r="H65" s="291">
        <v>10000</v>
      </c>
      <c r="I65" s="376">
        <f t="shared" si="10"/>
        <v>30000</v>
      </c>
      <c r="J65" s="129"/>
      <c r="K65" s="116"/>
      <c r="L65" s="126"/>
      <c r="M65" s="170"/>
      <c r="N65" s="171"/>
      <c r="O65" s="172"/>
      <c r="P65" s="172"/>
      <c r="Q65" s="171"/>
      <c r="R65" s="173"/>
    </row>
    <row r="66" spans="1:18" s="164" customFormat="1" ht="18" customHeight="1" x14ac:dyDescent="0.15">
      <c r="A66" s="269" t="s">
        <v>233</v>
      </c>
      <c r="B66" s="301"/>
      <c r="C66" s="306">
        <f t="shared" si="8"/>
        <v>37</v>
      </c>
      <c r="D66" s="267" t="s">
        <v>220</v>
      </c>
      <c r="E66" s="267" t="s">
        <v>135</v>
      </c>
      <c r="F66" s="320" t="s">
        <v>284</v>
      </c>
      <c r="G66" s="391">
        <v>3</v>
      </c>
      <c r="H66" s="291">
        <v>13500</v>
      </c>
      <c r="I66" s="376">
        <f t="shared" si="10"/>
        <v>40500</v>
      </c>
      <c r="J66" s="129"/>
      <c r="K66" s="116"/>
      <c r="L66" s="126"/>
      <c r="M66" s="170"/>
      <c r="N66" s="171"/>
      <c r="O66" s="172"/>
      <c r="P66" s="172"/>
      <c r="Q66" s="171"/>
      <c r="R66" s="173"/>
    </row>
    <row r="67" spans="1:18" s="164" customFormat="1" ht="18" customHeight="1" x14ac:dyDescent="0.15">
      <c r="A67" s="269" t="s">
        <v>229</v>
      </c>
      <c r="B67" s="301"/>
      <c r="C67" s="306">
        <f t="shared" si="8"/>
        <v>38</v>
      </c>
      <c r="D67" s="259" t="s">
        <v>134</v>
      </c>
      <c r="E67" s="256" t="s">
        <v>146</v>
      </c>
      <c r="F67" s="333" t="s">
        <v>298</v>
      </c>
      <c r="G67" s="256">
        <v>6</v>
      </c>
      <c r="H67" s="334">
        <v>785</v>
      </c>
      <c r="I67" s="365">
        <f>G67*H67</f>
        <v>4710</v>
      </c>
      <c r="J67" s="129"/>
      <c r="K67" s="116" t="s">
        <v>299</v>
      </c>
      <c r="L67" s="126"/>
      <c r="M67" s="170"/>
      <c r="N67" s="171"/>
      <c r="O67" s="172"/>
      <c r="P67" s="172"/>
      <c r="Q67" s="171"/>
      <c r="R67" s="173"/>
    </row>
    <row r="68" spans="1:18" s="164" customFormat="1" ht="18" customHeight="1" x14ac:dyDescent="0.15">
      <c r="A68" s="269" t="s">
        <v>312</v>
      </c>
      <c r="B68" s="301"/>
      <c r="C68" s="306">
        <f t="shared" si="8"/>
        <v>39</v>
      </c>
      <c r="D68" s="259" t="s">
        <v>134</v>
      </c>
      <c r="E68" s="338" t="s">
        <v>146</v>
      </c>
      <c r="F68" s="339" t="s">
        <v>285</v>
      </c>
      <c r="G68" s="392">
        <v>3</v>
      </c>
      <c r="H68" s="334">
        <v>25159</v>
      </c>
      <c r="I68" s="376">
        <f t="shared" si="10"/>
        <v>75477</v>
      </c>
      <c r="J68" s="129"/>
      <c r="K68" s="116"/>
      <c r="L68" s="126"/>
      <c r="M68" s="170"/>
      <c r="N68" s="171"/>
      <c r="O68" s="172"/>
      <c r="P68" s="172"/>
      <c r="Q68" s="171"/>
      <c r="R68" s="173"/>
    </row>
    <row r="69" spans="1:18" s="164" customFormat="1" ht="18" customHeight="1" x14ac:dyDescent="0.15">
      <c r="A69" s="126" t="s">
        <v>222</v>
      </c>
      <c r="B69" s="301"/>
      <c r="C69" s="306">
        <f t="shared" si="8"/>
        <v>40</v>
      </c>
      <c r="D69" s="332" t="s">
        <v>37</v>
      </c>
      <c r="E69" s="332" t="s">
        <v>37</v>
      </c>
      <c r="F69" s="339" t="s">
        <v>338</v>
      </c>
      <c r="G69" s="392">
        <v>1</v>
      </c>
      <c r="H69" s="334">
        <v>393</v>
      </c>
      <c r="I69" s="376">
        <f t="shared" si="10"/>
        <v>393</v>
      </c>
      <c r="J69" s="129"/>
      <c r="K69" s="278" t="s">
        <v>339</v>
      </c>
      <c r="L69" s="126"/>
      <c r="M69" s="170"/>
      <c r="N69" s="171"/>
      <c r="O69" s="172"/>
      <c r="P69" s="172"/>
      <c r="Q69" s="171"/>
      <c r="R69" s="173"/>
    </row>
    <row r="70" spans="1:18" s="164" customFormat="1" ht="18" customHeight="1" x14ac:dyDescent="0.15">
      <c r="A70" s="269" t="s">
        <v>229</v>
      </c>
      <c r="B70" s="301"/>
      <c r="C70" s="306">
        <f t="shared" si="8"/>
        <v>41</v>
      </c>
      <c r="D70" s="332" t="s">
        <v>37</v>
      </c>
      <c r="E70" s="332" t="s">
        <v>37</v>
      </c>
      <c r="F70" s="339" t="s">
        <v>290</v>
      </c>
      <c r="G70" s="392">
        <v>2</v>
      </c>
      <c r="H70" s="334">
        <v>1290</v>
      </c>
      <c r="I70" s="376">
        <f t="shared" si="10"/>
        <v>2580</v>
      </c>
      <c r="J70" s="129"/>
      <c r="K70" s="278" t="s">
        <v>340</v>
      </c>
      <c r="L70" s="126"/>
      <c r="M70" s="170"/>
      <c r="N70" s="171"/>
      <c r="O70" s="172"/>
      <c r="P70" s="172"/>
      <c r="Q70" s="171"/>
      <c r="R70" s="173"/>
    </row>
    <row r="71" spans="1:18" s="164" customFormat="1" ht="18" customHeight="1" x14ac:dyDescent="0.15">
      <c r="A71" s="269" t="s">
        <v>229</v>
      </c>
      <c r="B71" s="301"/>
      <c r="C71" s="306">
        <f t="shared" si="8"/>
        <v>42</v>
      </c>
      <c r="D71" s="332" t="s">
        <v>37</v>
      </c>
      <c r="E71" s="332" t="s">
        <v>37</v>
      </c>
      <c r="F71" s="339" t="s">
        <v>291</v>
      </c>
      <c r="G71" s="392">
        <v>2</v>
      </c>
      <c r="H71" s="334">
        <v>820</v>
      </c>
      <c r="I71" s="377">
        <f t="shared" si="10"/>
        <v>1640</v>
      </c>
      <c r="J71" s="129"/>
      <c r="K71" s="278" t="s">
        <v>341</v>
      </c>
      <c r="L71" s="126"/>
      <c r="M71" s="170"/>
      <c r="N71" s="171"/>
      <c r="O71" s="172"/>
      <c r="P71" s="172"/>
      <c r="Q71" s="171"/>
      <c r="R71" s="173"/>
    </row>
    <row r="72" spans="1:18" s="164" customFormat="1" ht="18" customHeight="1" x14ac:dyDescent="0.15">
      <c r="A72" s="126" t="s">
        <v>222</v>
      </c>
      <c r="B72" s="301"/>
      <c r="C72" s="306">
        <f t="shared" si="8"/>
        <v>43</v>
      </c>
      <c r="D72" s="332" t="s">
        <v>37</v>
      </c>
      <c r="E72" s="332" t="s">
        <v>37</v>
      </c>
      <c r="F72" s="339" t="s">
        <v>293</v>
      </c>
      <c r="G72" s="392">
        <v>1</v>
      </c>
      <c r="H72" s="334">
        <v>250</v>
      </c>
      <c r="I72" s="376">
        <f t="shared" si="10"/>
        <v>250</v>
      </c>
      <c r="J72" s="129"/>
      <c r="K72" s="278" t="s">
        <v>342</v>
      </c>
      <c r="L72" s="126"/>
      <c r="M72" s="170"/>
      <c r="N72" s="171"/>
      <c r="O72" s="172"/>
      <c r="P72" s="172"/>
      <c r="Q72" s="171"/>
      <c r="R72" s="173"/>
    </row>
    <row r="73" spans="1:18" s="164" customFormat="1" ht="18" customHeight="1" x14ac:dyDescent="0.15">
      <c r="A73" s="269" t="s">
        <v>221</v>
      </c>
      <c r="B73" s="301"/>
      <c r="C73" s="306">
        <f t="shared" si="8"/>
        <v>44</v>
      </c>
      <c r="D73" s="267" t="s">
        <v>220</v>
      </c>
      <c r="E73" s="267" t="s">
        <v>135</v>
      </c>
      <c r="F73" s="320" t="s">
        <v>343</v>
      </c>
      <c r="G73" s="391">
        <v>1</v>
      </c>
      <c r="H73" s="291">
        <v>6500</v>
      </c>
      <c r="I73" s="376">
        <f t="shared" si="10"/>
        <v>6500</v>
      </c>
      <c r="J73" s="129"/>
      <c r="K73" s="278" t="s">
        <v>343</v>
      </c>
      <c r="L73" s="126"/>
      <c r="M73" s="170"/>
      <c r="N73" s="171"/>
      <c r="O73" s="172"/>
      <c r="P73" s="172"/>
      <c r="Q73" s="171"/>
      <c r="R73" s="173"/>
    </row>
    <row r="74" spans="1:18" s="164" customFormat="1" ht="18" customHeight="1" x14ac:dyDescent="0.15">
      <c r="A74" s="126" t="s">
        <v>222</v>
      </c>
      <c r="B74" s="301"/>
      <c r="C74" s="306">
        <f t="shared" si="8"/>
        <v>45</v>
      </c>
      <c r="D74" s="259" t="s">
        <v>135</v>
      </c>
      <c r="E74" s="259" t="s">
        <v>135</v>
      </c>
      <c r="F74" s="339" t="s">
        <v>240</v>
      </c>
      <c r="G74" s="392">
        <v>6</v>
      </c>
      <c r="H74" s="334">
        <v>41</v>
      </c>
      <c r="I74" s="378">
        <f t="shared" si="10"/>
        <v>246</v>
      </c>
      <c r="J74" s="129"/>
      <c r="K74" s="278" t="s">
        <v>344</v>
      </c>
      <c r="L74" s="126"/>
      <c r="M74" s="170"/>
      <c r="N74" s="171"/>
      <c r="O74" s="172"/>
      <c r="P74" s="172"/>
      <c r="Q74" s="171"/>
      <c r="R74" s="173"/>
    </row>
    <row r="75" spans="1:18" s="164" customFormat="1" ht="18" customHeight="1" x14ac:dyDescent="0.15">
      <c r="A75" s="126" t="s">
        <v>222</v>
      </c>
      <c r="B75" s="301"/>
      <c r="C75" s="306">
        <f t="shared" si="8"/>
        <v>46</v>
      </c>
      <c r="D75" s="259" t="s">
        <v>135</v>
      </c>
      <c r="E75" s="259" t="s">
        <v>135</v>
      </c>
      <c r="F75" s="309" t="s">
        <v>300</v>
      </c>
      <c r="G75" s="256">
        <v>1</v>
      </c>
      <c r="H75" s="249">
        <v>230</v>
      </c>
      <c r="I75" s="140">
        <f t="shared" si="10"/>
        <v>230</v>
      </c>
      <c r="J75" s="129"/>
      <c r="K75" s="174" t="s">
        <v>301</v>
      </c>
      <c r="L75" s="126"/>
      <c r="M75" s="170"/>
      <c r="N75" s="171"/>
      <c r="O75" s="172"/>
      <c r="P75" s="172"/>
      <c r="Q75" s="171"/>
      <c r="R75" s="173"/>
    </row>
    <row r="76" spans="1:18" s="164" customFormat="1" ht="18" customHeight="1" x14ac:dyDescent="0.15">
      <c r="A76" s="126" t="s">
        <v>222</v>
      </c>
      <c r="B76" s="301"/>
      <c r="C76" s="306">
        <f t="shared" si="8"/>
        <v>47</v>
      </c>
      <c r="D76" s="259" t="s">
        <v>135</v>
      </c>
      <c r="E76" s="259" t="s">
        <v>135</v>
      </c>
      <c r="F76" s="309" t="s">
        <v>302</v>
      </c>
      <c r="G76" s="256">
        <v>3</v>
      </c>
      <c r="H76" s="249">
        <v>120</v>
      </c>
      <c r="I76" s="140">
        <f t="shared" si="10"/>
        <v>360</v>
      </c>
      <c r="J76" s="129"/>
      <c r="K76" s="174" t="s">
        <v>303</v>
      </c>
      <c r="L76" s="126"/>
      <c r="M76" s="170"/>
      <c r="N76" s="171"/>
      <c r="O76" s="172"/>
      <c r="P76" s="172"/>
      <c r="Q76" s="171"/>
      <c r="R76" s="173"/>
    </row>
    <row r="77" spans="1:18" s="164" customFormat="1" ht="18" customHeight="1" x14ac:dyDescent="0.15">
      <c r="A77" s="126" t="s">
        <v>222</v>
      </c>
      <c r="B77" s="301"/>
      <c r="C77" s="306">
        <f t="shared" si="8"/>
        <v>48</v>
      </c>
      <c r="D77" s="256" t="s">
        <v>143</v>
      </c>
      <c r="E77" s="256" t="s">
        <v>146</v>
      </c>
      <c r="F77" s="309" t="s">
        <v>304</v>
      </c>
      <c r="G77" s="256">
        <v>1</v>
      </c>
      <c r="H77" s="249">
        <v>4184</v>
      </c>
      <c r="I77" s="140">
        <f t="shared" si="10"/>
        <v>4184</v>
      </c>
      <c r="J77" s="129"/>
      <c r="K77" s="174" t="s">
        <v>305</v>
      </c>
      <c r="L77" s="238"/>
      <c r="M77" s="170"/>
      <c r="N77" s="171"/>
      <c r="O77" s="172"/>
      <c r="P77" s="172"/>
      <c r="Q77" s="171"/>
      <c r="R77" s="173"/>
    </row>
    <row r="78" spans="1:18" s="164" customFormat="1" ht="18" customHeight="1" x14ac:dyDescent="0.15">
      <c r="A78" s="126" t="s">
        <v>222</v>
      </c>
      <c r="B78" s="301"/>
      <c r="C78" s="306">
        <f t="shared" si="8"/>
        <v>49</v>
      </c>
      <c r="D78" s="256" t="s">
        <v>143</v>
      </c>
      <c r="E78" s="256" t="s">
        <v>146</v>
      </c>
      <c r="F78" s="309" t="s">
        <v>144</v>
      </c>
      <c r="G78" s="256">
        <v>3</v>
      </c>
      <c r="H78" s="249">
        <v>6282</v>
      </c>
      <c r="I78" s="140">
        <f t="shared" si="10"/>
        <v>18846</v>
      </c>
      <c r="J78" s="129"/>
      <c r="K78" s="174" t="s">
        <v>306</v>
      </c>
      <c r="L78" s="238"/>
      <c r="M78" s="170"/>
      <c r="N78" s="171"/>
      <c r="O78" s="172"/>
      <c r="P78" s="172"/>
      <c r="Q78" s="171"/>
      <c r="R78" s="173"/>
    </row>
    <row r="79" spans="1:18" s="164" customFormat="1" ht="18" customHeight="1" x14ac:dyDescent="0.15">
      <c r="A79" s="126" t="s">
        <v>222</v>
      </c>
      <c r="B79" s="301"/>
      <c r="C79" s="306">
        <f t="shared" si="8"/>
        <v>50</v>
      </c>
      <c r="D79" s="256" t="s">
        <v>143</v>
      </c>
      <c r="E79" s="256" t="s">
        <v>146</v>
      </c>
      <c r="F79" s="346" t="s">
        <v>307</v>
      </c>
      <c r="G79" s="347">
        <v>2</v>
      </c>
      <c r="H79" s="251">
        <v>272</v>
      </c>
      <c r="I79" s="140">
        <f t="shared" si="10"/>
        <v>544</v>
      </c>
      <c r="J79" s="336"/>
      <c r="K79" s="203" t="s">
        <v>308</v>
      </c>
      <c r="L79" s="337" t="s">
        <v>309</v>
      </c>
      <c r="M79" s="170"/>
      <c r="N79" s="171"/>
      <c r="O79" s="172"/>
      <c r="P79" s="172"/>
      <c r="Q79" s="171"/>
      <c r="R79" s="173"/>
    </row>
    <row r="80" spans="1:18" s="164" customFormat="1" ht="18" customHeight="1" x14ac:dyDescent="0.15">
      <c r="A80" s="126" t="s">
        <v>222</v>
      </c>
      <c r="B80" s="301"/>
      <c r="C80" s="306">
        <f t="shared" si="8"/>
        <v>51</v>
      </c>
      <c r="D80" s="256" t="s">
        <v>143</v>
      </c>
      <c r="E80" s="256" t="s">
        <v>146</v>
      </c>
      <c r="F80" s="309" t="s">
        <v>310</v>
      </c>
      <c r="G80" s="256">
        <v>2</v>
      </c>
      <c r="H80" s="249">
        <v>366</v>
      </c>
      <c r="I80" s="140">
        <f t="shared" si="10"/>
        <v>732</v>
      </c>
      <c r="J80" s="129"/>
      <c r="K80" s="174" t="s">
        <v>311</v>
      </c>
      <c r="L80" s="238"/>
      <c r="M80" s="170"/>
      <c r="N80" s="171"/>
      <c r="O80" s="172"/>
      <c r="P80" s="172"/>
      <c r="Q80" s="171"/>
      <c r="R80" s="173"/>
    </row>
    <row r="81" spans="1:18" s="164" customFormat="1" ht="18" customHeight="1" x14ac:dyDescent="0.15">
      <c r="A81" s="126" t="s">
        <v>222</v>
      </c>
      <c r="B81" s="301"/>
      <c r="C81" s="306">
        <f t="shared" si="8"/>
        <v>52</v>
      </c>
      <c r="D81" s="348" t="s">
        <v>134</v>
      </c>
      <c r="E81" s="255" t="s">
        <v>146</v>
      </c>
      <c r="F81" s="349" t="s">
        <v>174</v>
      </c>
      <c r="G81" s="348">
        <v>1</v>
      </c>
      <c r="H81" s="315">
        <v>3040</v>
      </c>
      <c r="I81" s="379">
        <f t="shared" si="10"/>
        <v>3040</v>
      </c>
      <c r="J81" s="129"/>
      <c r="K81" s="258" t="s">
        <v>313</v>
      </c>
      <c r="L81" s="126"/>
      <c r="M81" s="170"/>
      <c r="N81" s="171"/>
      <c r="O81" s="172"/>
      <c r="P81" s="172"/>
      <c r="Q81" s="171"/>
      <c r="R81" s="173"/>
    </row>
    <row r="82" spans="1:18" s="164" customFormat="1" ht="18" customHeight="1" x14ac:dyDescent="0.15">
      <c r="A82" s="126" t="s">
        <v>222</v>
      </c>
      <c r="B82" s="301"/>
      <c r="C82" s="306">
        <f t="shared" si="8"/>
        <v>53</v>
      </c>
      <c r="D82" s="332" t="s">
        <v>135</v>
      </c>
      <c r="E82" s="332" t="s">
        <v>135</v>
      </c>
      <c r="F82" s="343" t="s">
        <v>300</v>
      </c>
      <c r="G82" s="344">
        <v>2</v>
      </c>
      <c r="H82" s="345">
        <v>200</v>
      </c>
      <c r="I82" s="380">
        <f>G82*H82</f>
        <v>400</v>
      </c>
      <c r="J82" s="143"/>
      <c r="K82" s="359" t="s">
        <v>314</v>
      </c>
      <c r="L82" s="126"/>
      <c r="M82" s="170"/>
      <c r="N82" s="171"/>
      <c r="O82" s="172"/>
      <c r="P82" s="172"/>
      <c r="Q82" s="171"/>
      <c r="R82" s="173"/>
    </row>
    <row r="83" spans="1:18" s="164" customFormat="1" ht="18" customHeight="1" x14ac:dyDescent="0.15">
      <c r="A83" s="126" t="s">
        <v>222</v>
      </c>
      <c r="B83" s="301"/>
      <c r="C83" s="306">
        <f t="shared" si="8"/>
        <v>54</v>
      </c>
      <c r="D83" s="251" t="s">
        <v>315</v>
      </c>
      <c r="E83" s="255" t="s">
        <v>146</v>
      </c>
      <c r="F83" s="307" t="s">
        <v>316</v>
      </c>
      <c r="G83" s="251">
        <v>2</v>
      </c>
      <c r="H83" s="307">
        <v>210</v>
      </c>
      <c r="I83" s="381">
        <f t="shared" ref="I83:I94" si="12">G83*H83</f>
        <v>420</v>
      </c>
      <c r="J83" s="248"/>
      <c r="K83" s="360" t="s">
        <v>317</v>
      </c>
      <c r="L83" s="126"/>
      <c r="M83" s="170"/>
      <c r="N83" s="171"/>
      <c r="O83" s="172"/>
      <c r="P83" s="172"/>
      <c r="Q83" s="171"/>
      <c r="R83" s="173"/>
    </row>
    <row r="84" spans="1:18" s="164" customFormat="1" ht="18" customHeight="1" x14ac:dyDescent="0.15">
      <c r="A84" s="269" t="s">
        <v>233</v>
      </c>
      <c r="B84" s="301"/>
      <c r="C84" s="306">
        <f t="shared" si="8"/>
        <v>55</v>
      </c>
      <c r="D84" s="259" t="s">
        <v>134</v>
      </c>
      <c r="E84" s="259" t="s">
        <v>320</v>
      </c>
      <c r="F84" s="339" t="s">
        <v>318</v>
      </c>
      <c r="G84" s="401">
        <v>1</v>
      </c>
      <c r="H84" s="402">
        <v>6790</v>
      </c>
      <c r="I84" s="381">
        <f t="shared" si="12"/>
        <v>6790</v>
      </c>
      <c r="J84" s="340"/>
      <c r="K84" s="360" t="s">
        <v>319</v>
      </c>
      <c r="L84" s="126"/>
      <c r="M84" s="170"/>
      <c r="N84" s="171"/>
      <c r="O84" s="172"/>
      <c r="P84" s="172"/>
      <c r="Q84" s="171"/>
      <c r="R84" s="173"/>
    </row>
    <row r="85" spans="1:18" s="164" customFormat="1" ht="18" customHeight="1" x14ac:dyDescent="0.15">
      <c r="A85" s="269" t="s">
        <v>230</v>
      </c>
      <c r="B85" s="301"/>
      <c r="C85" s="306">
        <f t="shared" si="8"/>
        <v>56</v>
      </c>
      <c r="D85" s="348" t="s">
        <v>134</v>
      </c>
      <c r="E85" s="259" t="s">
        <v>320</v>
      </c>
      <c r="F85" s="333" t="s">
        <v>321</v>
      </c>
      <c r="G85" s="401">
        <v>1</v>
      </c>
      <c r="H85" s="402">
        <v>7607</v>
      </c>
      <c r="I85" s="365">
        <f t="shared" si="12"/>
        <v>7607</v>
      </c>
      <c r="J85" s="132"/>
      <c r="K85" s="147"/>
      <c r="L85" s="126"/>
      <c r="M85" s="170"/>
      <c r="N85" s="171"/>
      <c r="O85" s="172"/>
      <c r="P85" s="172"/>
      <c r="Q85" s="171"/>
      <c r="R85" s="173"/>
    </row>
    <row r="86" spans="1:18" s="164" customFormat="1" ht="18" customHeight="1" x14ac:dyDescent="0.15">
      <c r="A86" s="126" t="s">
        <v>222</v>
      </c>
      <c r="B86" s="301"/>
      <c r="C86" s="306">
        <f t="shared" si="8"/>
        <v>57</v>
      </c>
      <c r="D86" s="332" t="s">
        <v>135</v>
      </c>
      <c r="E86" s="332" t="s">
        <v>135</v>
      </c>
      <c r="F86" s="343" t="s">
        <v>300</v>
      </c>
      <c r="G86" s="344">
        <v>2</v>
      </c>
      <c r="H86" s="345">
        <v>200</v>
      </c>
      <c r="I86" s="380">
        <f>G86*H86</f>
        <v>400</v>
      </c>
      <c r="J86" s="143"/>
      <c r="K86" s="153" t="s">
        <v>314</v>
      </c>
      <c r="L86" s="126"/>
      <c r="M86" s="170"/>
      <c r="N86" s="171"/>
      <c r="O86" s="172"/>
      <c r="P86" s="172"/>
      <c r="Q86" s="171"/>
      <c r="R86" s="173"/>
    </row>
    <row r="87" spans="1:18" s="164" customFormat="1" ht="18" customHeight="1" x14ac:dyDescent="0.15">
      <c r="A87" s="126" t="s">
        <v>222</v>
      </c>
      <c r="B87" s="301"/>
      <c r="C87" s="306">
        <f t="shared" si="8"/>
        <v>58</v>
      </c>
      <c r="D87" s="332" t="s">
        <v>135</v>
      </c>
      <c r="E87" s="332" t="s">
        <v>135</v>
      </c>
      <c r="F87" s="343" t="s">
        <v>327</v>
      </c>
      <c r="G87" s="344">
        <v>2</v>
      </c>
      <c r="H87" s="345">
        <v>270</v>
      </c>
      <c r="I87" s="380">
        <f>G87*H87</f>
        <v>540</v>
      </c>
      <c r="J87" s="143"/>
      <c r="K87" s="153" t="s">
        <v>197</v>
      </c>
      <c r="L87" s="126"/>
      <c r="M87" s="170"/>
      <c r="N87" s="171"/>
      <c r="O87" s="172"/>
      <c r="P87" s="172"/>
      <c r="Q87" s="171"/>
      <c r="R87" s="173"/>
    </row>
    <row r="88" spans="1:18" s="164" customFormat="1" ht="18" customHeight="1" x14ac:dyDescent="0.15">
      <c r="A88" s="405" t="s">
        <v>326</v>
      </c>
      <c r="B88" s="301"/>
      <c r="C88" s="306">
        <f t="shared" si="8"/>
        <v>59</v>
      </c>
      <c r="D88" s="348" t="s">
        <v>134</v>
      </c>
      <c r="E88" s="255" t="s">
        <v>146</v>
      </c>
      <c r="F88" s="403" t="s">
        <v>322</v>
      </c>
      <c r="G88" s="256">
        <v>1</v>
      </c>
      <c r="H88" s="404">
        <v>17840</v>
      </c>
      <c r="I88" s="140">
        <f t="shared" si="12"/>
        <v>17840</v>
      </c>
      <c r="J88" s="341"/>
      <c r="K88" s="342" t="s">
        <v>323</v>
      </c>
      <c r="L88" s="126"/>
      <c r="M88" s="170"/>
      <c r="N88" s="171"/>
      <c r="O88" s="172"/>
      <c r="P88" s="172"/>
      <c r="Q88" s="171"/>
      <c r="R88" s="173"/>
    </row>
    <row r="89" spans="1:18" s="164" customFormat="1" ht="18" customHeight="1" x14ac:dyDescent="0.15">
      <c r="A89" s="126" t="s">
        <v>222</v>
      </c>
      <c r="B89" s="301"/>
      <c r="C89" s="306">
        <f t="shared" si="8"/>
        <v>60</v>
      </c>
      <c r="D89" s="348" t="s">
        <v>134</v>
      </c>
      <c r="E89" s="255" t="s">
        <v>146</v>
      </c>
      <c r="F89" s="309" t="s">
        <v>324</v>
      </c>
      <c r="G89" s="256">
        <v>1</v>
      </c>
      <c r="H89" s="249">
        <v>9823</v>
      </c>
      <c r="I89" s="140">
        <f t="shared" si="12"/>
        <v>9823</v>
      </c>
      <c r="J89" s="129"/>
      <c r="K89" s="127" t="s">
        <v>325</v>
      </c>
      <c r="L89" s="126"/>
      <c r="M89" s="170"/>
      <c r="N89" s="171"/>
      <c r="O89" s="172"/>
      <c r="P89" s="172"/>
      <c r="Q89" s="171"/>
      <c r="R89" s="173"/>
    </row>
    <row r="90" spans="1:18" s="164" customFormat="1" ht="18" customHeight="1" x14ac:dyDescent="0.15">
      <c r="A90" s="126" t="s">
        <v>222</v>
      </c>
      <c r="B90" s="301"/>
      <c r="C90" s="306">
        <f t="shared" si="8"/>
        <v>61</v>
      </c>
      <c r="D90" s="332" t="s">
        <v>135</v>
      </c>
      <c r="E90" s="332" t="s">
        <v>135</v>
      </c>
      <c r="F90" s="343" t="s">
        <v>145</v>
      </c>
      <c r="G90" s="344">
        <v>2</v>
      </c>
      <c r="H90" s="345">
        <v>780</v>
      </c>
      <c r="I90" s="380">
        <f t="shared" si="12"/>
        <v>1560</v>
      </c>
      <c r="J90" s="143"/>
      <c r="K90" s="153" t="s">
        <v>194</v>
      </c>
      <c r="L90" s="126"/>
      <c r="M90" s="170"/>
      <c r="N90" s="171"/>
      <c r="O90" s="172"/>
      <c r="P90" s="172"/>
      <c r="Q90" s="171"/>
      <c r="R90" s="173"/>
    </row>
    <row r="91" spans="1:18" s="164" customFormat="1" ht="18" customHeight="1" x14ac:dyDescent="0.15">
      <c r="A91" s="126" t="s">
        <v>222</v>
      </c>
      <c r="B91" s="301"/>
      <c r="C91" s="306">
        <f t="shared" si="8"/>
        <v>62</v>
      </c>
      <c r="D91" s="332" t="s">
        <v>135</v>
      </c>
      <c r="E91" s="332" t="s">
        <v>135</v>
      </c>
      <c r="F91" s="343" t="s">
        <v>195</v>
      </c>
      <c r="G91" s="344">
        <v>2</v>
      </c>
      <c r="H91" s="345">
        <v>570</v>
      </c>
      <c r="I91" s="380">
        <f t="shared" si="12"/>
        <v>1140</v>
      </c>
      <c r="J91" s="143"/>
      <c r="K91" s="153" t="s">
        <v>196</v>
      </c>
      <c r="L91" s="126"/>
      <c r="M91" s="170"/>
      <c r="N91" s="171"/>
      <c r="O91" s="172"/>
      <c r="P91" s="172"/>
      <c r="Q91" s="171"/>
      <c r="R91" s="173"/>
    </row>
    <row r="92" spans="1:18" s="164" customFormat="1" ht="18" customHeight="1" x14ac:dyDescent="0.15">
      <c r="A92" s="126" t="s">
        <v>222</v>
      </c>
      <c r="B92" s="301"/>
      <c r="C92" s="306">
        <f t="shared" si="8"/>
        <v>63</v>
      </c>
      <c r="D92" s="332" t="s">
        <v>135</v>
      </c>
      <c r="E92" s="332" t="s">
        <v>135</v>
      </c>
      <c r="F92" s="343" t="s">
        <v>140</v>
      </c>
      <c r="G92" s="344">
        <v>1</v>
      </c>
      <c r="H92" s="345">
        <v>940</v>
      </c>
      <c r="I92" s="380">
        <f t="shared" si="12"/>
        <v>940</v>
      </c>
      <c r="J92" s="143"/>
      <c r="K92" s="153" t="s">
        <v>196</v>
      </c>
      <c r="L92" s="126"/>
      <c r="M92" s="170"/>
      <c r="N92" s="171"/>
      <c r="O92" s="172"/>
      <c r="P92" s="172"/>
      <c r="Q92" s="171"/>
      <c r="R92" s="173"/>
    </row>
    <row r="93" spans="1:18" s="164" customFormat="1" ht="18" customHeight="1" x14ac:dyDescent="0.15">
      <c r="A93" s="126" t="s">
        <v>222</v>
      </c>
      <c r="B93" s="301"/>
      <c r="C93" s="306">
        <f t="shared" si="8"/>
        <v>64</v>
      </c>
      <c r="D93" s="332" t="s">
        <v>329</v>
      </c>
      <c r="E93" s="332" t="s">
        <v>135</v>
      </c>
      <c r="F93" s="339" t="s">
        <v>328</v>
      </c>
      <c r="G93" s="392">
        <v>1</v>
      </c>
      <c r="H93" s="334">
        <v>629</v>
      </c>
      <c r="I93" s="376">
        <f t="shared" si="12"/>
        <v>629</v>
      </c>
      <c r="J93" s="129"/>
      <c r="K93" s="278" t="s">
        <v>330</v>
      </c>
      <c r="L93" s="126"/>
      <c r="M93" s="170"/>
      <c r="N93" s="171"/>
      <c r="O93" s="172"/>
      <c r="P93" s="172"/>
      <c r="Q93" s="171"/>
      <c r="R93" s="173"/>
    </row>
    <row r="94" spans="1:18" s="164" customFormat="1" ht="18" customHeight="1" x14ac:dyDescent="0.15">
      <c r="A94" s="126" t="s">
        <v>222</v>
      </c>
      <c r="B94" s="301"/>
      <c r="C94" s="306">
        <f t="shared" si="8"/>
        <v>65</v>
      </c>
      <c r="D94" s="332" t="s">
        <v>333</v>
      </c>
      <c r="E94" s="332" t="s">
        <v>135</v>
      </c>
      <c r="F94" s="339" t="s">
        <v>331</v>
      </c>
      <c r="G94" s="392">
        <v>4</v>
      </c>
      <c r="H94" s="334">
        <v>70</v>
      </c>
      <c r="I94" s="376">
        <f t="shared" si="12"/>
        <v>280</v>
      </c>
      <c r="J94" s="129"/>
      <c r="K94" s="278" t="s">
        <v>332</v>
      </c>
      <c r="L94" s="126"/>
      <c r="M94" s="170"/>
      <c r="N94" s="171"/>
      <c r="O94" s="172"/>
      <c r="P94" s="172"/>
      <c r="Q94" s="171"/>
      <c r="R94" s="173"/>
    </row>
    <row r="95" spans="1:18" s="164" customFormat="1" ht="18" customHeight="1" x14ac:dyDescent="0.15">
      <c r="A95" s="250"/>
      <c r="B95" s="351"/>
      <c r="C95" s="233"/>
      <c r="D95" s="204"/>
      <c r="E95" s="204"/>
      <c r="F95" s="116"/>
      <c r="G95" s="393"/>
      <c r="H95" s="271"/>
      <c r="I95" s="377"/>
      <c r="J95" s="112"/>
      <c r="K95" s="116"/>
      <c r="L95" s="126"/>
      <c r="M95" s="170"/>
      <c r="N95" s="171"/>
      <c r="O95" s="172"/>
      <c r="P95" s="172"/>
      <c r="Q95" s="171"/>
      <c r="R95" s="173"/>
    </row>
    <row r="96" spans="1:18" s="164" customFormat="1" ht="18" customHeight="1" x14ac:dyDescent="0.15">
      <c r="A96" s="269" t="s">
        <v>229</v>
      </c>
      <c r="B96" s="301"/>
      <c r="C96" s="306">
        <f>+C94+1</f>
        <v>66</v>
      </c>
      <c r="D96" s="332" t="s">
        <v>135</v>
      </c>
      <c r="E96" s="332" t="s">
        <v>135</v>
      </c>
      <c r="F96" s="339" t="s">
        <v>345</v>
      </c>
      <c r="G96" s="392">
        <v>2</v>
      </c>
      <c r="H96" s="334">
        <v>1050</v>
      </c>
      <c r="I96" s="376">
        <f t="shared" ref="I96" si="13">G96*H96</f>
        <v>2100</v>
      </c>
      <c r="J96" s="129"/>
      <c r="K96" s="278" t="s">
        <v>346</v>
      </c>
      <c r="L96" s="266" t="s">
        <v>281</v>
      </c>
      <c r="M96" s="170"/>
      <c r="N96" s="171"/>
      <c r="O96" s="172"/>
      <c r="P96" s="172"/>
      <c r="Q96" s="171"/>
      <c r="R96" s="173"/>
    </row>
    <row r="97" spans="1:18" s="164" customFormat="1" ht="18" customHeight="1" x14ac:dyDescent="0.15">
      <c r="A97" s="250"/>
      <c r="B97" s="351"/>
      <c r="C97" s="295"/>
      <c r="D97" s="204"/>
      <c r="E97" s="204"/>
      <c r="F97" s="116"/>
      <c r="G97" s="393"/>
      <c r="H97" s="271"/>
      <c r="I97" s="377">
        <f t="shared" si="10"/>
        <v>0</v>
      </c>
      <c r="J97" s="112"/>
      <c r="K97" s="116"/>
      <c r="L97" s="126"/>
      <c r="M97" s="170"/>
      <c r="N97" s="171"/>
      <c r="O97" s="172"/>
      <c r="P97" s="172"/>
      <c r="Q97" s="171"/>
      <c r="R97" s="173"/>
    </row>
    <row r="98" spans="1:18" s="164" customFormat="1" ht="18" customHeight="1" x14ac:dyDescent="0.15">
      <c r="C98" s="220"/>
      <c r="D98" s="115"/>
      <c r="E98" s="115"/>
      <c r="F98" s="205"/>
      <c r="G98" s="394"/>
      <c r="H98" s="136"/>
      <c r="I98" s="365"/>
      <c r="J98" s="137"/>
      <c r="K98" s="138"/>
      <c r="L98" s="242"/>
      <c r="M98" s="170"/>
      <c r="N98" s="171"/>
      <c r="O98" s="172"/>
      <c r="P98" s="172"/>
      <c r="Q98" s="171"/>
      <c r="R98" s="173"/>
    </row>
    <row r="99" spans="1:18" s="164" customFormat="1" ht="18" customHeight="1" x14ac:dyDescent="0.15">
      <c r="C99" s="220"/>
      <c r="D99" s="246"/>
      <c r="E99" s="246"/>
      <c r="F99" s="484">
        <f>SUM(I45:I97)</f>
        <v>355611</v>
      </c>
      <c r="G99" s="485"/>
      <c r="H99" s="485"/>
      <c r="I99" s="486"/>
      <c r="J99" s="137"/>
      <c r="K99" s="138"/>
      <c r="L99" s="242"/>
      <c r="M99" s="170"/>
      <c r="N99" s="171"/>
      <c r="O99" s="172"/>
      <c r="P99" s="172"/>
      <c r="Q99" s="171"/>
      <c r="R99" s="173"/>
    </row>
    <row r="100" spans="1:18" s="164" customFormat="1" ht="18" customHeight="1" x14ac:dyDescent="0.15">
      <c r="C100" s="220"/>
      <c r="D100" s="246"/>
      <c r="E100" s="246"/>
      <c r="F100" s="247"/>
      <c r="G100" s="394"/>
      <c r="H100" s="136"/>
      <c r="I100" s="365"/>
      <c r="J100" s="137"/>
      <c r="K100" s="138"/>
      <c r="L100" s="242"/>
      <c r="M100" s="170"/>
      <c r="N100" s="171"/>
      <c r="O100" s="172"/>
      <c r="P100" s="172"/>
      <c r="Q100" s="171"/>
      <c r="R100" s="173"/>
    </row>
    <row r="101" spans="1:18" s="164" customFormat="1" ht="18" customHeight="1" x14ac:dyDescent="0.15">
      <c r="C101" s="220"/>
      <c r="D101" s="223"/>
      <c r="E101" s="223"/>
      <c r="F101" s="224"/>
      <c r="G101" s="225"/>
      <c r="H101" s="226"/>
      <c r="I101" s="375"/>
      <c r="J101" s="111"/>
      <c r="K101" s="219"/>
      <c r="L101" s="242"/>
      <c r="M101" s="170"/>
      <c r="N101" s="171"/>
      <c r="O101" s="172"/>
      <c r="P101" s="172"/>
      <c r="Q101" s="171"/>
      <c r="R101" s="173"/>
    </row>
    <row r="102" spans="1:18" ht="18" customHeight="1" x14ac:dyDescent="0.15">
      <c r="C102" s="117"/>
      <c r="D102" s="157"/>
      <c r="E102" s="157"/>
      <c r="F102" s="158"/>
      <c r="G102" s="159"/>
      <c r="H102" s="159"/>
      <c r="I102" s="382"/>
      <c r="J102" s="241"/>
      <c r="K102" s="243"/>
      <c r="L102" s="240"/>
      <c r="M102" s="9"/>
      <c r="N102" s="74"/>
      <c r="O102" s="13"/>
      <c r="P102" s="13"/>
      <c r="Q102" s="74"/>
      <c r="R102" s="22"/>
    </row>
    <row r="103" spans="1:18" ht="18" customHeight="1" x14ac:dyDescent="0.15">
      <c r="C103" s="227"/>
      <c r="D103" s="488" t="s">
        <v>142</v>
      </c>
      <c r="E103" s="489"/>
      <c r="F103" s="489"/>
      <c r="G103" s="156"/>
      <c r="H103" s="215"/>
      <c r="I103" s="383"/>
      <c r="J103" s="47"/>
      <c r="K103" s="98"/>
      <c r="L103" s="69"/>
      <c r="M103" s="9"/>
      <c r="N103" s="74"/>
      <c r="O103" s="13"/>
      <c r="P103" s="13"/>
      <c r="Q103" s="74"/>
      <c r="R103" s="22"/>
    </row>
    <row r="104" spans="1:18" ht="18" customHeight="1" x14ac:dyDescent="0.15">
      <c r="A104" s="269" t="s">
        <v>212</v>
      </c>
      <c r="B104" s="301"/>
      <c r="C104" s="306">
        <f>+C96+1</f>
        <v>67</v>
      </c>
      <c r="D104" s="267" t="s">
        <v>135</v>
      </c>
      <c r="E104" s="267" t="s">
        <v>135</v>
      </c>
      <c r="F104" s="288" t="s">
        <v>201</v>
      </c>
      <c r="G104" s="289">
        <v>1</v>
      </c>
      <c r="H104" s="290">
        <v>11950</v>
      </c>
      <c r="I104" s="373">
        <f t="shared" ref="I104:I131" si="14">G104*H104</f>
        <v>11950</v>
      </c>
      <c r="J104" s="129"/>
      <c r="K104" s="130" t="s">
        <v>147</v>
      </c>
      <c r="L104" s="69"/>
      <c r="M104" s="9"/>
      <c r="N104" s="123"/>
      <c r="O104" s="13"/>
      <c r="P104" s="123"/>
      <c r="Q104" s="74"/>
      <c r="R104" s="120"/>
    </row>
    <row r="105" spans="1:18" ht="18" customHeight="1" x14ac:dyDescent="0.15">
      <c r="A105" s="269" t="s">
        <v>213</v>
      </c>
      <c r="B105" s="301"/>
      <c r="C105" s="306">
        <f t="shared" ref="C105" si="15">+C104+1</f>
        <v>68</v>
      </c>
      <c r="D105" s="259" t="s">
        <v>135</v>
      </c>
      <c r="E105" s="259" t="s">
        <v>135</v>
      </c>
      <c r="F105" s="312" t="s">
        <v>251</v>
      </c>
      <c r="G105" s="260">
        <v>1</v>
      </c>
      <c r="H105" s="313">
        <v>1341</v>
      </c>
      <c r="I105" s="365">
        <f t="shared" si="14"/>
        <v>1341</v>
      </c>
      <c r="J105" s="133"/>
      <c r="K105" s="127" t="s">
        <v>148</v>
      </c>
      <c r="L105" s="69"/>
      <c r="M105" s="9"/>
      <c r="N105" s="123"/>
      <c r="O105" s="13"/>
      <c r="P105" s="123"/>
      <c r="Q105" s="74"/>
      <c r="R105" s="120"/>
    </row>
    <row r="106" spans="1:18" ht="18" customHeight="1" x14ac:dyDescent="0.15">
      <c r="A106" s="269" t="s">
        <v>213</v>
      </c>
      <c r="B106" s="301"/>
      <c r="C106" s="311">
        <f t="shared" ref="C106:C139" si="16">+C105+1</f>
        <v>69</v>
      </c>
      <c r="D106" s="259" t="s">
        <v>135</v>
      </c>
      <c r="E106" s="259" t="s">
        <v>135</v>
      </c>
      <c r="F106" s="312" t="s">
        <v>252</v>
      </c>
      <c r="G106" s="260">
        <v>1</v>
      </c>
      <c r="H106" s="313">
        <v>4132</v>
      </c>
      <c r="I106" s="365">
        <f t="shared" si="14"/>
        <v>4132</v>
      </c>
      <c r="J106" s="133"/>
      <c r="K106" s="127" t="s">
        <v>148</v>
      </c>
      <c r="L106" s="118"/>
      <c r="M106" s="9"/>
      <c r="N106" s="123"/>
      <c r="O106" s="13"/>
      <c r="P106" s="123"/>
      <c r="Q106" s="74"/>
      <c r="R106" s="120"/>
    </row>
    <row r="107" spans="1:18" ht="18" customHeight="1" x14ac:dyDescent="0.15">
      <c r="A107" s="269" t="s">
        <v>210</v>
      </c>
      <c r="B107" s="301"/>
      <c r="C107" s="311">
        <f t="shared" si="16"/>
        <v>70</v>
      </c>
      <c r="D107" s="259" t="s">
        <v>135</v>
      </c>
      <c r="E107" s="259" t="s">
        <v>135</v>
      </c>
      <c r="F107" s="312" t="s">
        <v>149</v>
      </c>
      <c r="G107" s="260">
        <v>1</v>
      </c>
      <c r="H107" s="313">
        <v>4570</v>
      </c>
      <c r="I107" s="365">
        <f t="shared" si="14"/>
        <v>4570</v>
      </c>
      <c r="J107" s="133"/>
      <c r="K107" s="127" t="s">
        <v>150</v>
      </c>
      <c r="L107" s="118"/>
      <c r="M107" s="9"/>
      <c r="N107" s="123"/>
      <c r="O107" s="13"/>
      <c r="P107" s="123"/>
      <c r="Q107" s="74"/>
      <c r="R107" s="120"/>
    </row>
    <row r="108" spans="1:18" ht="18" customHeight="1" x14ac:dyDescent="0.15">
      <c r="A108" s="269" t="s">
        <v>210</v>
      </c>
      <c r="B108" s="301"/>
      <c r="C108" s="311">
        <f t="shared" si="16"/>
        <v>71</v>
      </c>
      <c r="D108" s="259" t="s">
        <v>135</v>
      </c>
      <c r="E108" s="259" t="s">
        <v>135</v>
      </c>
      <c r="F108" s="312" t="s">
        <v>274</v>
      </c>
      <c r="G108" s="260">
        <v>1</v>
      </c>
      <c r="H108" s="313">
        <v>1560</v>
      </c>
      <c r="I108" s="365">
        <f t="shared" si="14"/>
        <v>1560</v>
      </c>
      <c r="J108" s="134"/>
      <c r="K108" s="310" t="s">
        <v>275</v>
      </c>
      <c r="L108" s="266"/>
      <c r="M108" s="9"/>
      <c r="N108" s="123"/>
      <c r="O108" s="13"/>
      <c r="P108" s="123"/>
      <c r="Q108" s="74"/>
      <c r="R108" s="120"/>
    </row>
    <row r="109" spans="1:18" ht="18" customHeight="1" x14ac:dyDescent="0.15">
      <c r="A109" s="269" t="s">
        <v>212</v>
      </c>
      <c r="B109" s="301"/>
      <c r="C109" s="311">
        <f t="shared" si="16"/>
        <v>72</v>
      </c>
      <c r="D109" s="259" t="s">
        <v>135</v>
      </c>
      <c r="E109" s="259" t="s">
        <v>135</v>
      </c>
      <c r="F109" s="312" t="s">
        <v>204</v>
      </c>
      <c r="G109" s="260">
        <v>1</v>
      </c>
      <c r="H109" s="313">
        <v>977</v>
      </c>
      <c r="I109" s="365">
        <f t="shared" si="14"/>
        <v>977</v>
      </c>
      <c r="J109" s="135"/>
      <c r="K109" s="127" t="s">
        <v>151</v>
      </c>
      <c r="L109" s="118"/>
      <c r="M109" s="9"/>
      <c r="N109" s="123"/>
      <c r="O109" s="13"/>
      <c r="P109" s="123"/>
      <c r="Q109" s="74"/>
      <c r="R109" s="120"/>
    </row>
    <row r="110" spans="1:18" ht="18" customHeight="1" x14ac:dyDescent="0.15">
      <c r="A110" s="269" t="s">
        <v>212</v>
      </c>
      <c r="B110" s="301"/>
      <c r="C110" s="311">
        <f t="shared" si="16"/>
        <v>73</v>
      </c>
      <c r="D110" s="256" t="s">
        <v>37</v>
      </c>
      <c r="E110" s="256" t="s">
        <v>37</v>
      </c>
      <c r="F110" s="395" t="s">
        <v>203</v>
      </c>
      <c r="G110" s="396">
        <v>1</v>
      </c>
      <c r="H110" s="396">
        <v>977</v>
      </c>
      <c r="I110" s="365">
        <f>G110*H110</f>
        <v>977</v>
      </c>
      <c r="J110" s="148"/>
      <c r="K110" s="141" t="s">
        <v>116</v>
      </c>
      <c r="L110" s="69"/>
      <c r="M110" s="9"/>
      <c r="N110" s="123"/>
      <c r="O110" s="13"/>
      <c r="P110" s="123"/>
      <c r="Q110" s="74"/>
      <c r="R110" s="120"/>
    </row>
    <row r="111" spans="1:18" ht="18" customHeight="1" x14ac:dyDescent="0.15">
      <c r="A111" s="117"/>
      <c r="B111" s="296"/>
      <c r="C111" s="121">
        <f>+C110+1</f>
        <v>74</v>
      </c>
      <c r="D111" s="183" t="s">
        <v>135</v>
      </c>
      <c r="E111" s="183" t="s">
        <v>135</v>
      </c>
      <c r="F111" s="186" t="s">
        <v>138</v>
      </c>
      <c r="G111" s="187"/>
      <c r="H111" s="190">
        <v>403</v>
      </c>
      <c r="I111" s="384">
        <f t="shared" si="14"/>
        <v>0</v>
      </c>
      <c r="J111" s="189"/>
      <c r="K111" s="185" t="s">
        <v>139</v>
      </c>
      <c r="L111" s="177" t="s">
        <v>200</v>
      </c>
      <c r="M111" s="9"/>
      <c r="N111" s="74"/>
      <c r="O111" s="13"/>
      <c r="P111" s="123"/>
      <c r="Q111" s="125"/>
      <c r="R111" s="22"/>
    </row>
    <row r="112" spans="1:18" ht="18" customHeight="1" x14ac:dyDescent="0.15">
      <c r="A112" s="269" t="s">
        <v>210</v>
      </c>
      <c r="B112" s="296"/>
      <c r="C112" s="121">
        <f t="shared" si="16"/>
        <v>75</v>
      </c>
      <c r="D112" s="183" t="s">
        <v>135</v>
      </c>
      <c r="E112" s="183" t="s">
        <v>135</v>
      </c>
      <c r="F112" s="186" t="s">
        <v>152</v>
      </c>
      <c r="G112" s="187"/>
      <c r="H112" s="187">
        <v>926</v>
      </c>
      <c r="I112" s="384">
        <f t="shared" si="14"/>
        <v>0</v>
      </c>
      <c r="J112" s="189"/>
      <c r="K112" s="185" t="s">
        <v>153</v>
      </c>
      <c r="L112" s="177" t="s">
        <v>200</v>
      </c>
      <c r="M112" s="9"/>
      <c r="N112" s="74"/>
      <c r="O112" s="13"/>
      <c r="P112" s="123"/>
      <c r="Q112" s="125"/>
      <c r="R112" s="22"/>
    </row>
    <row r="113" spans="1:18" ht="18" customHeight="1" x14ac:dyDescent="0.15">
      <c r="A113" s="117"/>
      <c r="B113" s="296"/>
      <c r="C113" s="121">
        <f t="shared" si="16"/>
        <v>76</v>
      </c>
      <c r="D113" s="183" t="s">
        <v>135</v>
      </c>
      <c r="E113" s="183" t="s">
        <v>135</v>
      </c>
      <c r="F113" s="194" t="s">
        <v>154</v>
      </c>
      <c r="G113" s="187"/>
      <c r="H113" s="188">
        <v>19</v>
      </c>
      <c r="I113" s="384">
        <f>G113*H113</f>
        <v>0</v>
      </c>
      <c r="J113" s="188"/>
      <c r="K113" s="185" t="s">
        <v>155</v>
      </c>
      <c r="L113" s="177" t="s">
        <v>200</v>
      </c>
      <c r="M113" s="9"/>
      <c r="N113" s="74"/>
      <c r="O113" s="13"/>
      <c r="P113" s="123"/>
      <c r="Q113" s="125"/>
      <c r="R113" s="22"/>
    </row>
    <row r="114" spans="1:18" ht="18" customHeight="1" x14ac:dyDescent="0.15">
      <c r="A114" s="269" t="s">
        <v>210</v>
      </c>
      <c r="B114" s="301"/>
      <c r="C114" s="311">
        <f>+C113+1</f>
        <v>77</v>
      </c>
      <c r="D114" s="253" t="s">
        <v>135</v>
      </c>
      <c r="E114" s="253" t="s">
        <v>135</v>
      </c>
      <c r="F114" s="315" t="s">
        <v>236</v>
      </c>
      <c r="G114" s="252">
        <v>1</v>
      </c>
      <c r="H114" s="252">
        <v>1989</v>
      </c>
      <c r="I114" s="365">
        <f t="shared" si="14"/>
        <v>1989</v>
      </c>
      <c r="J114" s="140"/>
      <c r="K114" s="175" t="s">
        <v>237</v>
      </c>
      <c r="L114" s="69"/>
      <c r="M114" s="9"/>
      <c r="N114" s="123"/>
      <c r="O114" s="13"/>
      <c r="P114" s="123"/>
      <c r="Q114" s="74"/>
      <c r="R114" s="120"/>
    </row>
    <row r="115" spans="1:18" ht="18" customHeight="1" x14ac:dyDescent="0.15">
      <c r="A115" s="269" t="s">
        <v>210</v>
      </c>
      <c r="B115" s="301"/>
      <c r="C115" s="311">
        <f t="shared" si="16"/>
        <v>78</v>
      </c>
      <c r="D115" s="259" t="s">
        <v>135</v>
      </c>
      <c r="E115" s="259" t="s">
        <v>135</v>
      </c>
      <c r="F115" s="314" t="s">
        <v>276</v>
      </c>
      <c r="G115" s="256">
        <v>1</v>
      </c>
      <c r="H115" s="252">
        <v>4225</v>
      </c>
      <c r="I115" s="365">
        <f t="shared" si="14"/>
        <v>4225</v>
      </c>
      <c r="J115" s="129"/>
      <c r="K115" s="131" t="s">
        <v>156</v>
      </c>
      <c r="L115" s="69"/>
      <c r="M115" s="9"/>
      <c r="N115" s="123"/>
      <c r="O115" s="13"/>
      <c r="P115" s="123"/>
      <c r="Q115" s="74"/>
      <c r="R115" s="120"/>
    </row>
    <row r="116" spans="1:18" ht="18" customHeight="1" x14ac:dyDescent="0.15">
      <c r="A116" s="117"/>
      <c r="B116" s="296"/>
      <c r="C116" s="121">
        <f>+C115+1</f>
        <v>79</v>
      </c>
      <c r="D116" s="191" t="s">
        <v>157</v>
      </c>
      <c r="E116" s="191" t="s">
        <v>135</v>
      </c>
      <c r="F116" s="182" t="s">
        <v>158</v>
      </c>
      <c r="G116" s="192"/>
      <c r="H116" s="193">
        <v>483</v>
      </c>
      <c r="I116" s="232">
        <f t="shared" si="14"/>
        <v>0</v>
      </c>
      <c r="J116" s="195"/>
      <c r="K116" s="196" t="s">
        <v>159</v>
      </c>
      <c r="L116" s="177" t="s">
        <v>200</v>
      </c>
      <c r="M116" s="9"/>
      <c r="N116" s="74"/>
      <c r="O116" s="13"/>
      <c r="P116" s="123"/>
      <c r="Q116" s="125"/>
      <c r="R116" s="22"/>
    </row>
    <row r="117" spans="1:18" ht="18" customHeight="1" x14ac:dyDescent="0.15">
      <c r="A117" s="269" t="s">
        <v>210</v>
      </c>
      <c r="B117" s="301"/>
      <c r="C117" s="311">
        <f t="shared" si="16"/>
        <v>80</v>
      </c>
      <c r="D117" s="259" t="s">
        <v>135</v>
      </c>
      <c r="E117" s="259" t="s">
        <v>135</v>
      </c>
      <c r="F117" s="302" t="s">
        <v>160</v>
      </c>
      <c r="G117" s="256">
        <v>1</v>
      </c>
      <c r="H117" s="252">
        <v>550</v>
      </c>
      <c r="I117" s="375">
        <f t="shared" si="14"/>
        <v>550</v>
      </c>
      <c r="J117" s="129"/>
      <c r="K117" s="127" t="s">
        <v>161</v>
      </c>
      <c r="L117" s="69"/>
      <c r="M117" s="9"/>
      <c r="N117" s="123"/>
      <c r="O117" s="13"/>
      <c r="P117" s="123"/>
      <c r="Q117" s="74"/>
      <c r="R117" s="120"/>
    </row>
    <row r="118" spans="1:18" ht="18" customHeight="1" x14ac:dyDescent="0.15">
      <c r="A118" s="117"/>
      <c r="B118" s="296"/>
      <c r="C118" s="121">
        <f t="shared" si="16"/>
        <v>81</v>
      </c>
      <c r="D118" s="191" t="s">
        <v>135</v>
      </c>
      <c r="E118" s="191" t="s">
        <v>135</v>
      </c>
      <c r="F118" s="275" t="s">
        <v>238</v>
      </c>
      <c r="G118" s="192"/>
      <c r="H118" s="193">
        <v>508</v>
      </c>
      <c r="I118" s="232">
        <f t="shared" si="14"/>
        <v>0</v>
      </c>
      <c r="J118" s="195"/>
      <c r="K118" s="196" t="s">
        <v>162</v>
      </c>
      <c r="L118" s="177" t="s">
        <v>200</v>
      </c>
      <c r="M118" s="9"/>
      <c r="N118" s="123"/>
      <c r="O118" s="13"/>
      <c r="P118" s="123"/>
      <c r="Q118" s="74"/>
      <c r="R118" s="120"/>
    </row>
    <row r="119" spans="1:18" ht="18" customHeight="1" x14ac:dyDescent="0.15">
      <c r="A119" s="117" t="s">
        <v>213</v>
      </c>
      <c r="B119" s="301"/>
      <c r="C119" s="311">
        <f t="shared" si="16"/>
        <v>82</v>
      </c>
      <c r="D119" s="350" t="s">
        <v>135</v>
      </c>
      <c r="E119" s="350" t="s">
        <v>135</v>
      </c>
      <c r="F119" s="408" t="s">
        <v>163</v>
      </c>
      <c r="G119" s="260"/>
      <c r="H119" s="396">
        <v>5104</v>
      </c>
      <c r="I119" s="390">
        <f t="shared" si="14"/>
        <v>0</v>
      </c>
      <c r="J119" s="406"/>
      <c r="K119" s="205" t="s">
        <v>164</v>
      </c>
      <c r="L119" s="407"/>
      <c r="M119" s="9"/>
      <c r="N119" s="123"/>
      <c r="O119" s="13"/>
      <c r="P119" s="123"/>
      <c r="Q119" s="74"/>
      <c r="R119" s="120"/>
    </row>
    <row r="120" spans="1:18" ht="18" customHeight="1" x14ac:dyDescent="0.15">
      <c r="A120" s="117" t="s">
        <v>213</v>
      </c>
      <c r="B120" s="301"/>
      <c r="C120" s="311">
        <f t="shared" si="16"/>
        <v>83</v>
      </c>
      <c r="D120" s="350" t="s">
        <v>135</v>
      </c>
      <c r="E120" s="350" t="s">
        <v>135</v>
      </c>
      <c r="F120" s="408" t="s">
        <v>165</v>
      </c>
      <c r="G120" s="260">
        <v>1</v>
      </c>
      <c r="H120" s="396">
        <v>5400</v>
      </c>
      <c r="I120" s="390">
        <f t="shared" si="14"/>
        <v>5400</v>
      </c>
      <c r="J120" s="406"/>
      <c r="K120" s="205" t="s">
        <v>166</v>
      </c>
      <c r="L120" s="407"/>
      <c r="M120" s="9"/>
      <c r="N120" s="123"/>
      <c r="O120" s="13"/>
      <c r="P120" s="123"/>
      <c r="Q120" s="74"/>
      <c r="R120" s="120"/>
    </row>
    <row r="121" spans="1:18" ht="18" customHeight="1" x14ac:dyDescent="0.15">
      <c r="A121" s="117" t="s">
        <v>213</v>
      </c>
      <c r="B121" s="296"/>
      <c r="C121" s="121">
        <f t="shared" si="16"/>
        <v>84</v>
      </c>
      <c r="D121" s="191" t="s">
        <v>135</v>
      </c>
      <c r="E121" s="191" t="s">
        <v>135</v>
      </c>
      <c r="F121" s="276" t="s">
        <v>167</v>
      </c>
      <c r="G121" s="192"/>
      <c r="H121" s="193">
        <v>5560</v>
      </c>
      <c r="I121" s="232">
        <f t="shared" si="14"/>
        <v>0</v>
      </c>
      <c r="J121" s="195"/>
      <c r="K121" s="196" t="s">
        <v>168</v>
      </c>
      <c r="L121" s="177" t="s">
        <v>200</v>
      </c>
      <c r="M121" s="9"/>
      <c r="N121" s="123"/>
      <c r="O121" s="13"/>
      <c r="P121" s="123"/>
      <c r="Q121" s="74"/>
      <c r="R121" s="120"/>
    </row>
    <row r="122" spans="1:18" ht="18" customHeight="1" x14ac:dyDescent="0.15">
      <c r="A122" s="117"/>
      <c r="B122" s="296"/>
      <c r="C122" s="121">
        <f t="shared" si="16"/>
        <v>85</v>
      </c>
      <c r="D122" s="183" t="s">
        <v>135</v>
      </c>
      <c r="E122" s="183" t="s">
        <v>135</v>
      </c>
      <c r="F122" s="197" t="s">
        <v>169</v>
      </c>
      <c r="G122" s="187"/>
      <c r="H122" s="188">
        <v>1098</v>
      </c>
      <c r="I122" s="384">
        <f t="shared" si="14"/>
        <v>0</v>
      </c>
      <c r="J122" s="184"/>
      <c r="K122" s="186" t="s">
        <v>170</v>
      </c>
      <c r="L122" s="177" t="s">
        <v>200</v>
      </c>
      <c r="M122" s="9"/>
      <c r="N122" s="74"/>
      <c r="O122" s="13"/>
      <c r="P122" s="123"/>
      <c r="Q122" s="125"/>
      <c r="R122" s="22"/>
    </row>
    <row r="123" spans="1:18" ht="18" customHeight="1" x14ac:dyDescent="0.15">
      <c r="A123" s="117"/>
      <c r="B123" s="296"/>
      <c r="C123" s="121">
        <f t="shared" si="16"/>
        <v>86</v>
      </c>
      <c r="D123" s="183" t="s">
        <v>135</v>
      </c>
      <c r="E123" s="183" t="s">
        <v>135</v>
      </c>
      <c r="F123" s="198" t="s">
        <v>171</v>
      </c>
      <c r="G123" s="187"/>
      <c r="H123" s="188">
        <v>1098</v>
      </c>
      <c r="I123" s="384">
        <f t="shared" si="14"/>
        <v>0</v>
      </c>
      <c r="J123" s="184"/>
      <c r="K123" s="186" t="s">
        <v>172</v>
      </c>
      <c r="L123" s="177" t="s">
        <v>200</v>
      </c>
      <c r="M123" s="9"/>
      <c r="N123" s="74"/>
      <c r="O123" s="13"/>
      <c r="P123" s="123"/>
      <c r="Q123" s="125"/>
      <c r="R123" s="22"/>
    </row>
    <row r="124" spans="1:18" ht="18" customHeight="1" x14ac:dyDescent="0.15">
      <c r="A124" s="269" t="s">
        <v>210</v>
      </c>
      <c r="B124" s="301"/>
      <c r="C124" s="311">
        <f t="shared" si="16"/>
        <v>87</v>
      </c>
      <c r="D124" s="332" t="s">
        <v>135</v>
      </c>
      <c r="E124" s="332" t="s">
        <v>135</v>
      </c>
      <c r="F124" s="343" t="s">
        <v>145</v>
      </c>
      <c r="G124" s="344">
        <v>1</v>
      </c>
      <c r="H124" s="397">
        <v>860</v>
      </c>
      <c r="I124" s="376">
        <f t="shared" si="14"/>
        <v>860</v>
      </c>
      <c r="J124" s="143"/>
      <c r="K124" s="144" t="s">
        <v>173</v>
      </c>
      <c r="L124" s="69"/>
      <c r="M124" s="9"/>
      <c r="N124" s="123"/>
      <c r="O124" s="13"/>
      <c r="P124" s="123"/>
      <c r="Q124" s="74"/>
      <c r="R124" s="120"/>
    </row>
    <row r="125" spans="1:18" ht="18" customHeight="1" x14ac:dyDescent="0.15">
      <c r="A125" s="269" t="s">
        <v>210</v>
      </c>
      <c r="B125" s="301"/>
      <c r="C125" s="311">
        <f t="shared" si="16"/>
        <v>88</v>
      </c>
      <c r="D125" s="332" t="s">
        <v>135</v>
      </c>
      <c r="E125" s="332" t="s">
        <v>135</v>
      </c>
      <c r="F125" s="315" t="s">
        <v>199</v>
      </c>
      <c r="G125" s="348">
        <v>1</v>
      </c>
      <c r="H125" s="347">
        <v>270</v>
      </c>
      <c r="I125" s="376">
        <f t="shared" si="14"/>
        <v>270</v>
      </c>
      <c r="J125" s="149"/>
      <c r="K125" s="139" t="s">
        <v>198</v>
      </c>
      <c r="L125" s="69"/>
      <c r="M125" s="9"/>
      <c r="N125" s="123"/>
      <c r="O125" s="13"/>
      <c r="P125" s="123"/>
      <c r="Q125" s="74"/>
      <c r="R125" s="120"/>
    </row>
    <row r="126" spans="1:18" ht="18" customHeight="1" x14ac:dyDescent="0.15">
      <c r="A126" s="269" t="s">
        <v>210</v>
      </c>
      <c r="B126" s="301"/>
      <c r="C126" s="311">
        <f t="shared" si="16"/>
        <v>89</v>
      </c>
      <c r="D126" s="348" t="s">
        <v>242</v>
      </c>
      <c r="E126" s="332" t="s">
        <v>135</v>
      </c>
      <c r="F126" s="349" t="s">
        <v>241</v>
      </c>
      <c r="G126" s="348">
        <v>1</v>
      </c>
      <c r="H126" s="348">
        <v>622</v>
      </c>
      <c r="I126" s="376">
        <f t="shared" si="14"/>
        <v>622</v>
      </c>
      <c r="J126" s="112"/>
      <c r="K126" s="163" t="s">
        <v>245</v>
      </c>
      <c r="L126" s="69"/>
      <c r="M126" s="9"/>
      <c r="N126" s="74"/>
      <c r="O126" s="13"/>
      <c r="P126" s="123"/>
      <c r="Q126" s="125"/>
      <c r="R126" s="22"/>
    </row>
    <row r="127" spans="1:18" ht="18" customHeight="1" x14ac:dyDescent="0.15">
      <c r="A127" s="269" t="s">
        <v>210</v>
      </c>
      <c r="B127" s="301"/>
      <c r="C127" s="311">
        <f t="shared" si="16"/>
        <v>90</v>
      </c>
      <c r="D127" s="332" t="s">
        <v>135</v>
      </c>
      <c r="E127" s="332" t="s">
        <v>135</v>
      </c>
      <c r="F127" s="398" t="s">
        <v>243</v>
      </c>
      <c r="G127" s="256">
        <v>2</v>
      </c>
      <c r="H127" s="256">
        <v>120</v>
      </c>
      <c r="I127" s="376">
        <f t="shared" si="14"/>
        <v>240</v>
      </c>
      <c r="J127" s="271"/>
      <c r="K127" s="218" t="s">
        <v>244</v>
      </c>
      <c r="L127" s="69"/>
      <c r="M127" s="9"/>
      <c r="N127" s="123"/>
      <c r="O127" s="13"/>
      <c r="P127" s="123"/>
      <c r="Q127" s="74"/>
      <c r="R127" s="120"/>
    </row>
    <row r="128" spans="1:18" ht="18" customHeight="1" x14ac:dyDescent="0.15">
      <c r="A128" s="269" t="s">
        <v>210</v>
      </c>
      <c r="B128" s="301"/>
      <c r="C128" s="311">
        <f>+C127+1</f>
        <v>91</v>
      </c>
      <c r="D128" s="253" t="s">
        <v>135</v>
      </c>
      <c r="E128" s="253" t="s">
        <v>135</v>
      </c>
      <c r="F128" s="399" t="s">
        <v>175</v>
      </c>
      <c r="G128" s="251">
        <v>2</v>
      </c>
      <c r="H128" s="251">
        <v>250</v>
      </c>
      <c r="I128" s="365">
        <f t="shared" si="14"/>
        <v>500</v>
      </c>
      <c r="J128" s="148"/>
      <c r="K128" s="147" t="s">
        <v>176</v>
      </c>
      <c r="L128" s="69"/>
      <c r="M128" s="9"/>
      <c r="N128" s="123"/>
      <c r="O128" s="13"/>
      <c r="P128" s="123"/>
      <c r="Q128" s="74"/>
      <c r="R128" s="120"/>
    </row>
    <row r="129" spans="1:19" ht="18" customHeight="1" x14ac:dyDescent="0.15">
      <c r="A129" s="269" t="s">
        <v>210</v>
      </c>
      <c r="B129" s="301"/>
      <c r="C129" s="311">
        <f t="shared" si="16"/>
        <v>92</v>
      </c>
      <c r="D129" s="253" t="s">
        <v>135</v>
      </c>
      <c r="E129" s="253" t="s">
        <v>135</v>
      </c>
      <c r="F129" s="399" t="s">
        <v>177</v>
      </c>
      <c r="G129" s="251">
        <v>2</v>
      </c>
      <c r="H129" s="251">
        <v>200</v>
      </c>
      <c r="I129" s="365">
        <f t="shared" si="14"/>
        <v>400</v>
      </c>
      <c r="J129" s="148"/>
      <c r="K129" s="147" t="s">
        <v>178</v>
      </c>
      <c r="L129" s="69"/>
      <c r="M129" s="9"/>
      <c r="N129" s="123"/>
      <c r="O129" s="13"/>
      <c r="P129" s="123"/>
      <c r="Q129" s="74"/>
      <c r="R129" s="120"/>
    </row>
    <row r="130" spans="1:19" ht="18" customHeight="1" x14ac:dyDescent="0.15">
      <c r="A130" s="117"/>
      <c r="B130" s="296"/>
      <c r="C130" s="121">
        <f t="shared" si="16"/>
        <v>93</v>
      </c>
      <c r="D130" s="183" t="s">
        <v>135</v>
      </c>
      <c r="E130" s="183" t="s">
        <v>135</v>
      </c>
      <c r="F130" s="186" t="s">
        <v>140</v>
      </c>
      <c r="G130" s="187"/>
      <c r="H130" s="188">
        <v>940</v>
      </c>
      <c r="I130" s="385">
        <f t="shared" si="14"/>
        <v>0</v>
      </c>
      <c r="J130" s="199"/>
      <c r="K130" s="197" t="s">
        <v>141</v>
      </c>
      <c r="L130" s="177" t="s">
        <v>200</v>
      </c>
      <c r="M130" s="9"/>
      <c r="N130" s="74"/>
      <c r="O130" s="13"/>
      <c r="P130" s="123"/>
      <c r="Q130" s="125"/>
      <c r="R130" s="22"/>
    </row>
    <row r="131" spans="1:19" ht="18" customHeight="1" x14ac:dyDescent="0.15">
      <c r="A131" s="117"/>
      <c r="B131" s="296"/>
      <c r="C131" s="121">
        <f t="shared" si="16"/>
        <v>94</v>
      </c>
      <c r="D131" s="200" t="s">
        <v>135</v>
      </c>
      <c r="E131" s="200" t="s">
        <v>135</v>
      </c>
      <c r="F131" s="176" t="s">
        <v>179</v>
      </c>
      <c r="G131" s="201"/>
      <c r="H131" s="210">
        <v>570</v>
      </c>
      <c r="I131" s="386">
        <f t="shared" si="14"/>
        <v>0</v>
      </c>
      <c r="J131" s="202"/>
      <c r="K131" s="176" t="s">
        <v>180</v>
      </c>
      <c r="L131" s="177" t="s">
        <v>200</v>
      </c>
      <c r="M131" s="9"/>
      <c r="N131" s="74"/>
      <c r="O131" s="13"/>
      <c r="P131" s="123"/>
      <c r="Q131" s="125"/>
      <c r="R131" s="22"/>
    </row>
    <row r="132" spans="1:19" ht="18" customHeight="1" x14ac:dyDescent="0.15">
      <c r="A132" s="269"/>
      <c r="B132" s="296"/>
      <c r="C132" s="121"/>
      <c r="D132" s="128"/>
      <c r="E132" s="128"/>
      <c r="F132" s="130"/>
      <c r="G132" s="150"/>
      <c r="H132" s="216"/>
      <c r="I132" s="373"/>
      <c r="J132" s="129"/>
      <c r="K132" s="127"/>
      <c r="L132" s="69"/>
      <c r="M132" s="9"/>
      <c r="N132" s="123"/>
      <c r="O132" s="13"/>
      <c r="P132" s="123"/>
      <c r="Q132" s="74"/>
      <c r="R132" s="120"/>
    </row>
    <row r="133" spans="1:19" ht="18" customHeight="1" x14ac:dyDescent="0.15">
      <c r="A133" s="117"/>
      <c r="B133" s="296"/>
      <c r="C133" s="121">
        <f>+C131+1</f>
        <v>95</v>
      </c>
      <c r="D133" s="272" t="s">
        <v>135</v>
      </c>
      <c r="E133" s="273" t="s">
        <v>135</v>
      </c>
      <c r="F133" s="265" t="s">
        <v>205</v>
      </c>
      <c r="G133" s="231"/>
      <c r="H133" s="228">
        <v>72</v>
      </c>
      <c r="I133" s="387">
        <f t="shared" ref="I133:I135" si="17">G133*H133</f>
        <v>0</v>
      </c>
      <c r="J133" s="274"/>
      <c r="K133" s="229" t="s">
        <v>235</v>
      </c>
      <c r="L133" s="177" t="s">
        <v>200</v>
      </c>
      <c r="M133" s="9"/>
      <c r="N133" s="123"/>
      <c r="O133" s="13"/>
      <c r="P133" s="123"/>
      <c r="Q133" s="74"/>
      <c r="R133" s="120"/>
    </row>
    <row r="134" spans="1:19" ht="18" customHeight="1" x14ac:dyDescent="0.15">
      <c r="A134" s="117"/>
      <c r="B134" s="296"/>
      <c r="C134" s="121">
        <f t="shared" si="16"/>
        <v>96</v>
      </c>
      <c r="D134" s="191" t="s">
        <v>135</v>
      </c>
      <c r="E134" s="191" t="s">
        <v>135</v>
      </c>
      <c r="F134" s="229" t="s">
        <v>206</v>
      </c>
      <c r="G134" s="192"/>
      <c r="H134" s="193">
        <v>860</v>
      </c>
      <c r="I134" s="232">
        <f t="shared" si="17"/>
        <v>0</v>
      </c>
      <c r="J134" s="195"/>
      <c r="K134" s="196" t="s">
        <v>207</v>
      </c>
      <c r="L134" s="177" t="s">
        <v>200</v>
      </c>
      <c r="M134" s="9"/>
      <c r="N134" s="123"/>
      <c r="O134" s="13"/>
      <c r="P134" s="123"/>
      <c r="Q134" s="74"/>
      <c r="R134" s="120"/>
    </row>
    <row r="135" spans="1:19" ht="18" customHeight="1" x14ac:dyDescent="0.15">
      <c r="A135" s="117"/>
      <c r="B135" s="296"/>
      <c r="C135" s="121">
        <f t="shared" si="16"/>
        <v>97</v>
      </c>
      <c r="D135" s="191" t="s">
        <v>135</v>
      </c>
      <c r="E135" s="191" t="s">
        <v>135</v>
      </c>
      <c r="F135" s="229" t="s">
        <v>208</v>
      </c>
      <c r="G135" s="192"/>
      <c r="H135" s="193">
        <v>443</v>
      </c>
      <c r="I135" s="232">
        <f t="shared" si="17"/>
        <v>0</v>
      </c>
      <c r="J135" s="195"/>
      <c r="K135" s="196" t="s">
        <v>209</v>
      </c>
      <c r="L135" s="177" t="s">
        <v>200</v>
      </c>
      <c r="M135" s="9"/>
      <c r="N135" s="123"/>
      <c r="O135" s="13"/>
      <c r="P135" s="123"/>
      <c r="Q135" s="74"/>
      <c r="R135" s="120"/>
    </row>
    <row r="136" spans="1:19" ht="18" customHeight="1" x14ac:dyDescent="0.15">
      <c r="A136" s="117"/>
      <c r="B136" s="296"/>
      <c r="C136" s="121">
        <f>+C135+1</f>
        <v>98</v>
      </c>
      <c r="D136" s="191" t="s">
        <v>135</v>
      </c>
      <c r="E136" s="191" t="s">
        <v>135</v>
      </c>
      <c r="F136" s="276" t="s">
        <v>181</v>
      </c>
      <c r="G136" s="192"/>
      <c r="H136" s="230">
        <v>229</v>
      </c>
      <c r="I136" s="388">
        <f>G136*H136</f>
        <v>0</v>
      </c>
      <c r="J136" s="195"/>
      <c r="K136" s="229" t="s">
        <v>239</v>
      </c>
      <c r="L136" s="177" t="s">
        <v>200</v>
      </c>
      <c r="M136" s="9"/>
      <c r="N136" s="123"/>
      <c r="O136" s="13"/>
      <c r="P136" s="123"/>
      <c r="Q136" s="74"/>
      <c r="R136" s="120"/>
    </row>
    <row r="137" spans="1:19" ht="18" customHeight="1" x14ac:dyDescent="0.15">
      <c r="A137" s="117"/>
      <c r="B137" s="296"/>
      <c r="C137" s="121">
        <f>+C136+1</f>
        <v>99</v>
      </c>
      <c r="D137" s="200" t="s">
        <v>135</v>
      </c>
      <c r="E137" s="200" t="s">
        <v>135</v>
      </c>
      <c r="F137" s="176" t="s">
        <v>136</v>
      </c>
      <c r="G137" s="201"/>
      <c r="H137" s="210">
        <v>830</v>
      </c>
      <c r="I137" s="385">
        <f t="shared" ref="I137:I141" si="18">G137*H137</f>
        <v>0</v>
      </c>
      <c r="J137" s="207"/>
      <c r="K137" s="198" t="s">
        <v>137</v>
      </c>
      <c r="L137" s="177" t="s">
        <v>200</v>
      </c>
      <c r="M137" s="117"/>
      <c r="N137" s="123"/>
      <c r="O137" s="109"/>
      <c r="P137" s="117"/>
      <c r="Q137" s="123"/>
      <c r="R137" s="120"/>
    </row>
    <row r="138" spans="1:19" ht="18" customHeight="1" x14ac:dyDescent="0.15">
      <c r="A138" s="269" t="s">
        <v>213</v>
      </c>
      <c r="B138" s="301"/>
      <c r="C138" s="311">
        <f t="shared" si="16"/>
        <v>100</v>
      </c>
      <c r="D138" s="400" t="s">
        <v>234</v>
      </c>
      <c r="E138" s="332" t="s">
        <v>135</v>
      </c>
      <c r="F138" s="315" t="s">
        <v>247</v>
      </c>
      <c r="G138" s="348">
        <v>6</v>
      </c>
      <c r="H138" s="347">
        <v>51</v>
      </c>
      <c r="I138" s="365">
        <f>G138*H138</f>
        <v>306</v>
      </c>
      <c r="J138" s="114"/>
      <c r="K138" s="110" t="s">
        <v>246</v>
      </c>
      <c r="L138" s="118" t="s">
        <v>248</v>
      </c>
      <c r="M138" s="117"/>
      <c r="N138" s="123"/>
      <c r="O138" s="109"/>
      <c r="P138" s="117"/>
      <c r="Q138" s="74"/>
      <c r="R138" s="120"/>
    </row>
    <row r="139" spans="1:19" ht="18" customHeight="1" x14ac:dyDescent="0.15">
      <c r="A139" s="269" t="s">
        <v>210</v>
      </c>
      <c r="B139" s="301"/>
      <c r="C139" s="311">
        <f t="shared" si="16"/>
        <v>101</v>
      </c>
      <c r="D139" s="259" t="s">
        <v>135</v>
      </c>
      <c r="E139" s="259" t="s">
        <v>135</v>
      </c>
      <c r="F139" s="315" t="s">
        <v>249</v>
      </c>
      <c r="G139" s="348">
        <v>6</v>
      </c>
      <c r="H139" s="347">
        <v>92</v>
      </c>
      <c r="I139" s="365">
        <f t="shared" si="18"/>
        <v>552</v>
      </c>
      <c r="J139" s="114"/>
      <c r="K139" s="110" t="s">
        <v>250</v>
      </c>
      <c r="L139" s="109"/>
      <c r="M139" s="117"/>
      <c r="N139" s="123"/>
      <c r="O139" s="109"/>
      <c r="P139" s="117"/>
      <c r="Q139" s="74"/>
      <c r="R139" s="120"/>
    </row>
    <row r="140" spans="1:19" ht="18" customHeight="1" x14ac:dyDescent="0.15">
      <c r="A140" s="117"/>
      <c r="B140" s="296"/>
      <c r="C140" s="121">
        <f>+C139+1</f>
        <v>102</v>
      </c>
      <c r="D140" s="208" t="s">
        <v>37</v>
      </c>
      <c r="E140" s="208" t="s">
        <v>37</v>
      </c>
      <c r="F140" s="209" t="s">
        <v>127</v>
      </c>
      <c r="G140" s="210"/>
      <c r="H140" s="190">
        <v>622</v>
      </c>
      <c r="I140" s="386">
        <v>622</v>
      </c>
      <c r="J140" s="211"/>
      <c r="K140" s="212" t="s">
        <v>128</v>
      </c>
      <c r="L140" s="177" t="s">
        <v>200</v>
      </c>
      <c r="M140" s="117"/>
      <c r="N140" s="123"/>
      <c r="O140" s="109"/>
      <c r="P140" s="117"/>
      <c r="Q140" s="123"/>
      <c r="R140" s="120"/>
    </row>
    <row r="141" spans="1:19" ht="18" customHeight="1" x14ac:dyDescent="0.15">
      <c r="A141" s="269"/>
      <c r="B141" s="301"/>
      <c r="C141" s="311">
        <f>+C140+1</f>
        <v>103</v>
      </c>
      <c r="D141" s="316"/>
      <c r="E141" s="316"/>
      <c r="F141" s="317" t="s">
        <v>277</v>
      </c>
      <c r="G141" s="318">
        <v>1</v>
      </c>
      <c r="H141" s="319">
        <v>40000</v>
      </c>
      <c r="I141" s="365">
        <f t="shared" si="18"/>
        <v>40000</v>
      </c>
      <c r="J141" s="281"/>
      <c r="K141" s="162"/>
      <c r="L141" s="279"/>
      <c r="M141" s="117"/>
      <c r="N141" s="123">
        <v>44532</v>
      </c>
      <c r="O141" s="109"/>
      <c r="P141" s="117"/>
      <c r="Q141" s="123"/>
      <c r="R141" s="120"/>
    </row>
    <row r="142" spans="1:19" ht="18" customHeight="1" x14ac:dyDescent="0.15">
      <c r="A142" s="269"/>
      <c r="B142" s="351"/>
      <c r="C142" s="121"/>
      <c r="D142" s="297"/>
      <c r="E142" s="280"/>
      <c r="F142" s="292"/>
      <c r="G142" s="160"/>
      <c r="H142" s="217"/>
      <c r="I142" s="389"/>
      <c r="J142" s="161"/>
      <c r="K142" s="131"/>
      <c r="L142" s="109"/>
      <c r="M142" s="117"/>
      <c r="N142" s="123"/>
      <c r="O142" s="109"/>
      <c r="P142" s="117"/>
      <c r="Q142" s="123"/>
      <c r="R142" s="120">
        <v>44529</v>
      </c>
      <c r="S142" s="206" t="s">
        <v>254</v>
      </c>
    </row>
    <row r="143" spans="1:19" ht="18" customHeight="1" x14ac:dyDescent="0.15">
      <c r="C143" s="68"/>
      <c r="D143" s="6"/>
      <c r="E143" s="6"/>
      <c r="F143" s="490">
        <f>SUM(I104:I142)</f>
        <v>82043</v>
      </c>
      <c r="G143" s="491"/>
      <c r="H143" s="491"/>
      <c r="I143" s="492"/>
      <c r="J143" s="11"/>
      <c r="K143" s="62"/>
      <c r="L143" s="69"/>
      <c r="M143" s="9"/>
      <c r="N143" s="74"/>
      <c r="O143" s="13"/>
      <c r="P143" s="13"/>
      <c r="Q143" s="74"/>
      <c r="R143" s="22"/>
    </row>
    <row r="144" spans="1:19" ht="18" customHeight="1" x14ac:dyDescent="0.15">
      <c r="C144" s="68"/>
      <c r="D144" s="6"/>
      <c r="E144" s="6"/>
      <c r="F144" s="43"/>
      <c r="G144" s="107"/>
      <c r="H144" s="107"/>
      <c r="I144" s="364"/>
      <c r="J144" s="4"/>
      <c r="K144" s="43"/>
      <c r="L144" s="69"/>
      <c r="M144" s="9"/>
      <c r="N144" s="74"/>
      <c r="O144" s="13"/>
      <c r="P144" s="13"/>
      <c r="Q144" s="74"/>
      <c r="R144" s="22"/>
    </row>
    <row r="145" spans="3:18" ht="18" customHeight="1" x14ac:dyDescent="0.15">
      <c r="C145" s="68"/>
      <c r="D145" s="68"/>
      <c r="E145" s="68"/>
      <c r="F145" s="69" t="s">
        <v>130</v>
      </c>
      <c r="G145" s="66"/>
      <c r="H145" s="66"/>
      <c r="I145" s="364">
        <f>G145*H145</f>
        <v>0</v>
      </c>
      <c r="J145" s="19"/>
      <c r="K145" s="43" t="s">
        <v>131</v>
      </c>
      <c r="L145" s="94"/>
      <c r="M145" s="68"/>
      <c r="N145" s="74"/>
      <c r="O145" s="94"/>
      <c r="P145" s="68"/>
      <c r="Q145" s="74"/>
      <c r="R145" s="22"/>
    </row>
    <row r="146" spans="3:18" ht="18" customHeight="1" x14ac:dyDescent="0.15">
      <c r="C146" s="68"/>
      <c r="D146" s="6"/>
      <c r="E146" s="6"/>
      <c r="F146" s="69" t="s">
        <v>131</v>
      </c>
      <c r="G146" s="66"/>
      <c r="H146" s="66">
        <v>5000</v>
      </c>
      <c r="I146" s="364">
        <f>G146*H146</f>
        <v>0</v>
      </c>
      <c r="J146" s="19"/>
      <c r="K146" s="43" t="s">
        <v>132</v>
      </c>
      <c r="L146" s="94"/>
      <c r="M146" s="68"/>
      <c r="N146" s="74"/>
      <c r="O146" s="94"/>
      <c r="P146" s="68"/>
      <c r="Q146" s="74"/>
      <c r="R146" s="13"/>
    </row>
    <row r="147" spans="3:18" ht="18" customHeight="1" x14ac:dyDescent="0.15">
      <c r="C147" s="68"/>
      <c r="D147" s="6"/>
      <c r="E147" s="6"/>
      <c r="F147" s="69" t="s">
        <v>132</v>
      </c>
      <c r="G147" s="66"/>
      <c r="H147" s="66"/>
      <c r="I147" s="364">
        <f>G147*H147</f>
        <v>0</v>
      </c>
      <c r="J147" s="19"/>
      <c r="K147" s="9"/>
      <c r="L147" s="94"/>
      <c r="M147" s="68"/>
      <c r="N147" s="68"/>
      <c r="O147" s="94"/>
      <c r="P147" s="68"/>
      <c r="Q147" s="13"/>
      <c r="R147" s="13"/>
    </row>
    <row r="148" spans="3:18" ht="18" customHeight="1" x14ac:dyDescent="0.15">
      <c r="C148" s="68"/>
      <c r="D148" s="6"/>
      <c r="E148" s="6"/>
      <c r="F148" s="462"/>
      <c r="G148" s="463"/>
      <c r="H148" s="463"/>
      <c r="I148" s="464"/>
      <c r="J148" s="11"/>
      <c r="K148" s="62"/>
    </row>
    <row r="149" spans="3:18" ht="18" customHeight="1" x14ac:dyDescent="0.15"/>
    <row r="150" spans="3:18" ht="18" customHeight="1" x14ac:dyDescent="0.15"/>
    <row r="151" spans="3:18" ht="18" customHeight="1" x14ac:dyDescent="0.15"/>
  </sheetData>
  <autoFilter ref="C8:P151" xr:uid="{00000000-0009-0000-0000-000003000000}"/>
  <mergeCells count="17">
    <mergeCell ref="C2:E2"/>
    <mergeCell ref="H2:J2"/>
    <mergeCell ref="C3:E3"/>
    <mergeCell ref="C4:E4"/>
    <mergeCell ref="H4:K5"/>
    <mergeCell ref="C5:E5"/>
    <mergeCell ref="F148:I148"/>
    <mergeCell ref="C6:E6"/>
    <mergeCell ref="F27:I27"/>
    <mergeCell ref="D30:F30"/>
    <mergeCell ref="F41:I41"/>
    <mergeCell ref="D44:F44"/>
    <mergeCell ref="F99:I99"/>
    <mergeCell ref="D103:F103"/>
    <mergeCell ref="F143:I143"/>
    <mergeCell ref="C9:F9"/>
    <mergeCell ref="F14:I14"/>
  </mergeCells>
  <phoneticPr fontId="14"/>
  <dataValidations disablePrompts="1" count="2">
    <dataValidation imeMode="hiragana" allowBlank="1" showInputMessage="1" showErrorMessage="1" sqref="K34:K35" xr:uid="{89498A4B-AC29-4FDE-BA43-FFD939F0F9BD}"/>
    <dataValidation allowBlank="1" showInputMessage="1" showErrorMessage="1" sqref="K26:K27" xr:uid="{6E4F9FB1-B099-4DA8-93C7-1C74069EA75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118"/>
  <sheetViews>
    <sheetView zoomScale="85" workbookViewId="0">
      <pane xSplit="10" ySplit="8" topLeftCell="K9" activePane="bottomRight" state="frozen"/>
      <selection activeCell="E28" sqref="E28"/>
      <selection pane="topRight" activeCell="E28" sqref="E28"/>
      <selection pane="bottomLeft" activeCell="E28" sqref="E28"/>
      <selection pane="bottomRight" activeCell="E28" sqref="E28"/>
    </sheetView>
  </sheetViews>
  <sheetFormatPr defaultColWidth="11.75" defaultRowHeight="13.5" customHeight="1" x14ac:dyDescent="0.15"/>
  <cols>
    <col min="1" max="1" width="3.125" style="2" customWidth="1"/>
    <col min="2" max="2" width="6.25" style="7" customWidth="1"/>
    <col min="3" max="3" width="15.25" style="2" customWidth="1"/>
    <col min="4" max="4" width="15.5" style="2" customWidth="1"/>
    <col min="5" max="5" width="43.875" style="2" customWidth="1"/>
    <col min="6" max="6" width="10.75" style="2" customWidth="1"/>
    <col min="7" max="8" width="12.125" style="2" customWidth="1"/>
    <col min="9" max="9" width="7.125" style="17" customWidth="1"/>
    <col min="10" max="10" width="55.25" style="2" customWidth="1"/>
    <col min="11" max="11" width="22.125" style="2" customWidth="1"/>
    <col min="12" max="12" width="8.125" style="7" customWidth="1"/>
    <col min="13" max="13" width="17" style="7" customWidth="1"/>
    <col min="14" max="14" width="7.875" style="2" customWidth="1"/>
    <col min="15" max="15" width="16.375" style="17" customWidth="1"/>
    <col min="16" max="16" width="17.875" style="20" customWidth="1"/>
    <col min="17" max="17" width="19.375" style="20" customWidth="1"/>
  </cols>
  <sheetData>
    <row r="2" spans="2:17" ht="20.100000000000001" customHeight="1" x14ac:dyDescent="0.15">
      <c r="B2" s="473" t="s">
        <v>0</v>
      </c>
      <c r="C2" s="473"/>
      <c r="D2" s="473"/>
      <c r="E2" s="14" t="s">
        <v>1</v>
      </c>
      <c r="G2" s="477" t="s">
        <v>2</v>
      </c>
      <c r="H2" s="478"/>
      <c r="I2" s="479"/>
      <c r="J2" s="16">
        <f>SUM(H:H)</f>
        <v>412688</v>
      </c>
      <c r="K2" s="8"/>
      <c r="L2" s="12"/>
    </row>
    <row r="3" spans="2:17" ht="20.100000000000001" customHeight="1" x14ac:dyDescent="0.15">
      <c r="B3" s="473" t="s">
        <v>3</v>
      </c>
      <c r="C3" s="473"/>
      <c r="D3" s="473"/>
      <c r="E3" s="14" t="s">
        <v>4</v>
      </c>
    </row>
    <row r="4" spans="2:17" ht="20.100000000000001" customHeight="1" x14ac:dyDescent="0.15">
      <c r="B4" s="473" t="s">
        <v>5</v>
      </c>
      <c r="C4" s="473"/>
      <c r="D4" s="473"/>
      <c r="E4" s="14"/>
    </row>
    <row r="5" spans="2:17" ht="20.100000000000001" customHeight="1" x14ac:dyDescent="0.15">
      <c r="B5" s="473" t="s">
        <v>6</v>
      </c>
      <c r="C5" s="473"/>
      <c r="D5" s="473"/>
      <c r="E5" s="15">
        <v>42165</v>
      </c>
    </row>
    <row r="6" spans="2:17" ht="20.100000000000001" customHeight="1" x14ac:dyDescent="0.15">
      <c r="B6" s="473" t="s">
        <v>7</v>
      </c>
      <c r="C6" s="473"/>
      <c r="D6" s="473"/>
      <c r="E6" s="15">
        <v>42170</v>
      </c>
    </row>
    <row r="8" spans="2:17" s="5" customFormat="1" ht="19.5" customHeight="1" x14ac:dyDescent="0.15">
      <c r="B8" s="6" t="s">
        <v>8</v>
      </c>
      <c r="C8" s="6" t="s">
        <v>9</v>
      </c>
      <c r="D8" s="6" t="s">
        <v>10</v>
      </c>
      <c r="E8" s="3" t="s">
        <v>11</v>
      </c>
      <c r="F8" s="3" t="s">
        <v>12</v>
      </c>
      <c r="G8" s="3" t="s">
        <v>13</v>
      </c>
      <c r="H8" s="4" t="s">
        <v>14</v>
      </c>
      <c r="I8" s="4" t="s">
        <v>15</v>
      </c>
      <c r="J8" s="3" t="s">
        <v>16</v>
      </c>
      <c r="K8" s="3" t="s">
        <v>17</v>
      </c>
      <c r="L8" s="3" t="s">
        <v>18</v>
      </c>
      <c r="M8" s="24" t="s">
        <v>19</v>
      </c>
      <c r="N8" s="6" t="s">
        <v>20</v>
      </c>
      <c r="O8" s="3" t="s">
        <v>21</v>
      </c>
      <c r="P8" s="24" t="s">
        <v>22</v>
      </c>
      <c r="Q8" s="13" t="s">
        <v>23</v>
      </c>
    </row>
    <row r="9" spans="2:17" s="5" customFormat="1" ht="19.5" customHeight="1" x14ac:dyDescent="0.15">
      <c r="B9" s="6"/>
      <c r="C9" s="6"/>
      <c r="D9" s="6"/>
      <c r="E9" s="10"/>
      <c r="F9" s="66"/>
      <c r="G9" s="11"/>
      <c r="H9" s="11"/>
      <c r="I9" s="19"/>
      <c r="J9" s="67"/>
      <c r="K9" s="3"/>
      <c r="L9" s="3"/>
      <c r="M9" s="24"/>
      <c r="N9" s="6"/>
      <c r="O9" s="3"/>
      <c r="P9" s="24"/>
      <c r="Q9" s="13"/>
    </row>
    <row r="10" spans="2:17" s="35" customFormat="1" ht="18" customHeight="1" x14ac:dyDescent="0.15">
      <c r="B10" s="496" t="s">
        <v>24</v>
      </c>
      <c r="C10" s="497"/>
      <c r="D10" s="497"/>
      <c r="E10" s="498"/>
      <c r="F10" s="42"/>
      <c r="G10" s="23"/>
      <c r="H10" s="11"/>
      <c r="I10" s="19"/>
      <c r="J10" s="43"/>
      <c r="K10" s="10"/>
      <c r="L10" s="9"/>
      <c r="M10" s="24"/>
      <c r="N10" s="13"/>
      <c r="O10" s="18"/>
      <c r="P10" s="24"/>
      <c r="Q10" s="22"/>
    </row>
    <row r="11" spans="2:17" s="35" customFormat="1" ht="18" customHeight="1" x14ac:dyDescent="0.15">
      <c r="B11" s="26"/>
      <c r="C11" s="33" t="s">
        <v>25</v>
      </c>
      <c r="D11" s="33" t="s">
        <v>25</v>
      </c>
      <c r="E11" s="34" t="s">
        <v>26</v>
      </c>
      <c r="F11" s="42">
        <v>1</v>
      </c>
      <c r="G11" s="85">
        <v>4500</v>
      </c>
      <c r="H11" s="11">
        <f t="shared" ref="H11:H33" si="0">F11*G11</f>
        <v>4500</v>
      </c>
      <c r="I11" s="19"/>
      <c r="J11" s="34" t="s">
        <v>26</v>
      </c>
      <c r="K11" s="10"/>
      <c r="L11" s="9"/>
      <c r="M11" s="24"/>
      <c r="N11" s="13"/>
      <c r="O11" s="18"/>
      <c r="P11" s="24"/>
      <c r="Q11" s="22"/>
    </row>
    <row r="12" spans="2:17" s="35" customFormat="1" ht="18" customHeight="1" x14ac:dyDescent="0.15">
      <c r="B12" s="26"/>
      <c r="C12" s="33" t="s">
        <v>25</v>
      </c>
      <c r="D12" s="33" t="s">
        <v>25</v>
      </c>
      <c r="E12" s="43" t="s">
        <v>27</v>
      </c>
      <c r="F12" s="42">
        <v>1</v>
      </c>
      <c r="G12" s="85">
        <v>4500</v>
      </c>
      <c r="H12" s="11">
        <f t="shared" si="0"/>
        <v>4500</v>
      </c>
      <c r="I12" s="19"/>
      <c r="J12" s="43" t="s">
        <v>27</v>
      </c>
      <c r="K12" s="10"/>
      <c r="L12" s="9"/>
      <c r="M12" s="24"/>
      <c r="N12" s="13"/>
      <c r="O12" s="18"/>
      <c r="P12" s="24"/>
      <c r="Q12" s="22"/>
    </row>
    <row r="13" spans="2:17" s="35" customFormat="1" ht="18" customHeight="1" x14ac:dyDescent="0.15">
      <c r="B13" s="26"/>
      <c r="C13" s="33" t="s">
        <v>25</v>
      </c>
      <c r="D13" s="33" t="s">
        <v>25</v>
      </c>
      <c r="E13" s="43" t="s">
        <v>28</v>
      </c>
      <c r="F13" s="42">
        <v>2</v>
      </c>
      <c r="G13" s="85">
        <v>3500</v>
      </c>
      <c r="H13" s="11">
        <f t="shared" si="0"/>
        <v>7000</v>
      </c>
      <c r="I13" s="19"/>
      <c r="J13" s="43" t="s">
        <v>28</v>
      </c>
      <c r="K13" s="10"/>
      <c r="L13" s="9"/>
      <c r="M13" s="24"/>
      <c r="N13" s="13"/>
      <c r="O13" s="18"/>
      <c r="P13" s="24"/>
      <c r="Q13" s="22"/>
    </row>
    <row r="14" spans="2:17" s="35" customFormat="1" ht="18" customHeight="1" x14ac:dyDescent="0.15">
      <c r="B14" s="26"/>
      <c r="C14" s="33" t="s">
        <v>25</v>
      </c>
      <c r="D14" s="33" t="s">
        <v>25</v>
      </c>
      <c r="E14" s="34" t="s">
        <v>29</v>
      </c>
      <c r="F14" s="42">
        <v>1</v>
      </c>
      <c r="G14" s="85">
        <v>4000</v>
      </c>
      <c r="H14" s="11">
        <f t="shared" si="0"/>
        <v>4000</v>
      </c>
      <c r="I14" s="19"/>
      <c r="J14" s="34" t="s">
        <v>29</v>
      </c>
      <c r="K14" s="10"/>
      <c r="L14" s="9"/>
      <c r="M14" s="24"/>
      <c r="N14" s="13"/>
      <c r="O14" s="18"/>
      <c r="P14" s="24"/>
      <c r="Q14" s="22"/>
    </row>
    <row r="15" spans="2:17" s="35" customFormat="1" ht="18" customHeight="1" x14ac:dyDescent="0.15">
      <c r="B15" s="26"/>
      <c r="C15" s="33" t="s">
        <v>25</v>
      </c>
      <c r="D15" s="33" t="s">
        <v>25</v>
      </c>
      <c r="E15" s="34" t="s">
        <v>30</v>
      </c>
      <c r="F15" s="42">
        <v>1</v>
      </c>
      <c r="G15" s="85">
        <v>4000</v>
      </c>
      <c r="H15" s="11">
        <f t="shared" si="0"/>
        <v>4000</v>
      </c>
      <c r="I15" s="19"/>
      <c r="J15" s="34" t="s">
        <v>30</v>
      </c>
      <c r="K15" s="10"/>
      <c r="L15" s="9"/>
      <c r="M15" s="24"/>
      <c r="N15" s="13"/>
      <c r="O15" s="18"/>
      <c r="P15" s="24"/>
      <c r="Q15" s="22"/>
    </row>
    <row r="16" spans="2:17" s="35" customFormat="1" ht="18" customHeight="1" x14ac:dyDescent="0.15">
      <c r="B16" s="26"/>
      <c r="C16" s="33" t="s">
        <v>25</v>
      </c>
      <c r="D16" s="33" t="s">
        <v>25</v>
      </c>
      <c r="E16" s="34" t="s">
        <v>31</v>
      </c>
      <c r="F16" s="42">
        <v>1</v>
      </c>
      <c r="G16" s="85">
        <v>7500</v>
      </c>
      <c r="H16" s="11">
        <f t="shared" si="0"/>
        <v>7500</v>
      </c>
      <c r="I16" s="19"/>
      <c r="J16" s="34" t="s">
        <v>31</v>
      </c>
      <c r="K16" s="10"/>
      <c r="L16" s="9"/>
      <c r="M16" s="24"/>
      <c r="N16" s="13"/>
      <c r="O16" s="18"/>
      <c r="P16" s="24"/>
      <c r="Q16" s="22"/>
    </row>
    <row r="17" spans="2:17" s="35" customFormat="1" ht="18" customHeight="1" x14ac:dyDescent="0.15">
      <c r="B17" s="26"/>
      <c r="C17" s="33" t="s">
        <v>25</v>
      </c>
      <c r="D17" s="33" t="s">
        <v>25</v>
      </c>
      <c r="E17" s="34" t="s">
        <v>32</v>
      </c>
      <c r="F17" s="42">
        <v>1</v>
      </c>
      <c r="G17" s="85">
        <v>18000</v>
      </c>
      <c r="H17" s="11">
        <f t="shared" si="0"/>
        <v>18000</v>
      </c>
      <c r="I17" s="19"/>
      <c r="J17" s="34" t="s">
        <v>32</v>
      </c>
      <c r="K17" s="10"/>
      <c r="L17" s="9"/>
      <c r="M17" s="24"/>
      <c r="N17" s="13"/>
      <c r="O17" s="18"/>
      <c r="P17" s="24"/>
      <c r="Q17" s="22"/>
    </row>
    <row r="18" spans="2:17" s="35" customFormat="1" ht="18" customHeight="1" x14ac:dyDescent="0.15">
      <c r="B18" s="26"/>
      <c r="C18" s="33" t="s">
        <v>25</v>
      </c>
      <c r="D18" s="33" t="s">
        <v>25</v>
      </c>
      <c r="E18" s="34" t="s">
        <v>33</v>
      </c>
      <c r="F18" s="42">
        <v>1</v>
      </c>
      <c r="G18" s="85">
        <v>8000</v>
      </c>
      <c r="H18" s="11">
        <f t="shared" si="0"/>
        <v>8000</v>
      </c>
      <c r="I18" s="19"/>
      <c r="J18" s="34" t="s">
        <v>33</v>
      </c>
      <c r="K18" s="10"/>
      <c r="L18" s="9"/>
      <c r="M18" s="24"/>
      <c r="N18" s="13"/>
      <c r="O18" s="18"/>
      <c r="P18" s="24"/>
      <c r="Q18" s="22"/>
    </row>
    <row r="19" spans="2:17" s="35" customFormat="1" ht="18" customHeight="1" x14ac:dyDescent="0.15">
      <c r="B19" s="26"/>
      <c r="C19" s="33" t="s">
        <v>25</v>
      </c>
      <c r="D19" s="33" t="s">
        <v>25</v>
      </c>
      <c r="E19" s="34" t="s">
        <v>34</v>
      </c>
      <c r="F19" s="42">
        <v>1</v>
      </c>
      <c r="G19" s="85">
        <v>3000</v>
      </c>
      <c r="H19" s="11">
        <f t="shared" si="0"/>
        <v>3000</v>
      </c>
      <c r="I19" s="19"/>
      <c r="J19" s="34" t="s">
        <v>34</v>
      </c>
      <c r="K19" s="10"/>
      <c r="L19" s="9"/>
      <c r="M19" s="24"/>
      <c r="N19" s="13"/>
      <c r="O19" s="18"/>
      <c r="P19" s="24"/>
      <c r="Q19" s="22"/>
    </row>
    <row r="20" spans="2:17" s="35" customFormat="1" ht="18" customHeight="1" x14ac:dyDescent="0.15">
      <c r="B20" s="26"/>
      <c r="C20" s="33" t="s">
        <v>25</v>
      </c>
      <c r="D20" s="33" t="s">
        <v>25</v>
      </c>
      <c r="E20" s="34" t="s">
        <v>35</v>
      </c>
      <c r="F20" s="42">
        <v>1</v>
      </c>
      <c r="G20" s="85">
        <v>3500</v>
      </c>
      <c r="H20" s="11">
        <f t="shared" si="0"/>
        <v>3500</v>
      </c>
      <c r="I20" s="19"/>
      <c r="J20" s="34" t="s">
        <v>35</v>
      </c>
      <c r="K20" s="10"/>
      <c r="L20" s="9"/>
      <c r="M20" s="24"/>
      <c r="N20" s="13"/>
      <c r="O20" s="18"/>
      <c r="P20" s="24"/>
      <c r="Q20" s="22"/>
    </row>
    <row r="21" spans="2:17" s="35" customFormat="1" ht="18" customHeight="1" x14ac:dyDescent="0.15">
      <c r="B21" s="26"/>
      <c r="C21" s="33" t="s">
        <v>25</v>
      </c>
      <c r="D21" s="33" t="s">
        <v>25</v>
      </c>
      <c r="E21" s="34" t="s">
        <v>36</v>
      </c>
      <c r="F21" s="42">
        <v>1</v>
      </c>
      <c r="G21" s="85">
        <v>12500</v>
      </c>
      <c r="H21" s="11">
        <f t="shared" si="0"/>
        <v>12500</v>
      </c>
      <c r="I21" s="19"/>
      <c r="J21" s="34" t="s">
        <v>36</v>
      </c>
      <c r="K21" s="10"/>
      <c r="L21" s="9"/>
      <c r="M21" s="24"/>
      <c r="N21" s="13"/>
      <c r="O21" s="18"/>
      <c r="P21" s="24"/>
      <c r="Q21" s="22"/>
    </row>
    <row r="22" spans="2:17" s="35" customFormat="1" ht="18" customHeight="1" x14ac:dyDescent="0.15">
      <c r="B22" s="26"/>
      <c r="C22" s="28" t="s">
        <v>37</v>
      </c>
      <c r="D22" s="28" t="s">
        <v>37</v>
      </c>
      <c r="E22" s="92" t="s">
        <v>38</v>
      </c>
      <c r="F22" s="28">
        <v>1</v>
      </c>
      <c r="G22" s="92">
        <v>6899</v>
      </c>
      <c r="H22" s="63">
        <f t="shared" si="0"/>
        <v>6899</v>
      </c>
      <c r="I22" s="64"/>
      <c r="J22" s="32" t="s">
        <v>39</v>
      </c>
      <c r="K22" s="10"/>
      <c r="L22" s="9"/>
      <c r="M22" s="24"/>
      <c r="N22" s="13"/>
      <c r="O22" s="18"/>
      <c r="P22" s="24"/>
      <c r="Q22" s="22"/>
    </row>
    <row r="23" spans="2:17" s="35" customFormat="1" ht="18" customHeight="1" x14ac:dyDescent="0.15">
      <c r="B23" s="26"/>
      <c r="C23" s="28" t="s">
        <v>37</v>
      </c>
      <c r="D23" s="28" t="s">
        <v>37</v>
      </c>
      <c r="E23" s="92" t="s">
        <v>40</v>
      </c>
      <c r="F23" s="28">
        <v>1</v>
      </c>
      <c r="G23" s="92">
        <v>6899</v>
      </c>
      <c r="H23" s="63">
        <f t="shared" si="0"/>
        <v>6899</v>
      </c>
      <c r="I23" s="64"/>
      <c r="J23" s="32" t="s">
        <v>41</v>
      </c>
      <c r="K23" s="10"/>
      <c r="L23" s="9"/>
      <c r="M23" s="24"/>
      <c r="N23" s="13"/>
      <c r="O23" s="18"/>
      <c r="P23" s="24"/>
      <c r="Q23" s="22"/>
    </row>
    <row r="24" spans="2:17" s="35" customFormat="1" ht="18" customHeight="1" x14ac:dyDescent="0.15">
      <c r="B24" s="26"/>
      <c r="C24" s="21" t="s">
        <v>37</v>
      </c>
      <c r="D24" s="21" t="s">
        <v>37</v>
      </c>
      <c r="E24" s="91" t="s">
        <v>42</v>
      </c>
      <c r="F24" s="87">
        <v>1</v>
      </c>
      <c r="G24" s="92">
        <v>16000</v>
      </c>
      <c r="H24" s="30">
        <f t="shared" si="0"/>
        <v>16000</v>
      </c>
      <c r="I24" s="19"/>
      <c r="J24" s="33" t="s">
        <v>43</v>
      </c>
      <c r="K24" s="10"/>
      <c r="L24" s="9"/>
      <c r="M24" s="24"/>
      <c r="N24" s="13"/>
      <c r="O24" s="18"/>
      <c r="P24" s="24"/>
      <c r="Q24" s="22"/>
    </row>
    <row r="25" spans="2:17" s="35" customFormat="1" ht="18" customHeight="1" x14ac:dyDescent="0.15">
      <c r="B25" s="26"/>
      <c r="C25" s="21" t="s">
        <v>37</v>
      </c>
      <c r="D25" s="21" t="s">
        <v>37</v>
      </c>
      <c r="E25" s="81" t="s">
        <v>44</v>
      </c>
      <c r="F25" s="79">
        <v>2</v>
      </c>
      <c r="G25" s="92">
        <v>570</v>
      </c>
      <c r="H25" s="30">
        <f t="shared" si="0"/>
        <v>1140</v>
      </c>
      <c r="I25" s="4"/>
      <c r="J25" s="33" t="s">
        <v>45</v>
      </c>
      <c r="K25" s="10"/>
      <c r="L25" s="9"/>
      <c r="M25" s="24"/>
      <c r="N25" s="13"/>
      <c r="O25" s="18"/>
      <c r="P25" s="24"/>
      <c r="Q25" s="22"/>
    </row>
    <row r="26" spans="2:17" s="35" customFormat="1" ht="18" customHeight="1" x14ac:dyDescent="0.15">
      <c r="B26" s="26"/>
      <c r="C26" s="21" t="s">
        <v>37</v>
      </c>
      <c r="D26" s="21" t="s">
        <v>37</v>
      </c>
      <c r="E26" s="93" t="s">
        <v>46</v>
      </c>
      <c r="F26" s="79">
        <v>26</v>
      </c>
      <c r="G26" s="92">
        <v>99</v>
      </c>
      <c r="H26" s="30">
        <f t="shared" si="0"/>
        <v>2574</v>
      </c>
      <c r="I26" s="4"/>
      <c r="J26" s="88" t="s">
        <v>47</v>
      </c>
      <c r="K26" s="10"/>
      <c r="L26" s="9"/>
      <c r="M26" s="24"/>
      <c r="N26" s="13"/>
      <c r="O26" s="18"/>
      <c r="P26" s="24"/>
      <c r="Q26" s="22"/>
    </row>
    <row r="27" spans="2:17" s="35" customFormat="1" ht="18" customHeight="1" x14ac:dyDescent="0.15">
      <c r="B27" s="26"/>
      <c r="C27" s="21" t="s">
        <v>37</v>
      </c>
      <c r="D27" s="21" t="s">
        <v>37</v>
      </c>
      <c r="E27" s="93" t="s">
        <v>48</v>
      </c>
      <c r="F27" s="79">
        <v>2</v>
      </c>
      <c r="G27" s="92">
        <v>99</v>
      </c>
      <c r="H27" s="30">
        <f t="shared" si="0"/>
        <v>198</v>
      </c>
      <c r="I27" s="4"/>
      <c r="J27" s="88" t="s">
        <v>49</v>
      </c>
      <c r="K27" s="10"/>
      <c r="L27" s="9"/>
      <c r="M27" s="24"/>
      <c r="N27" s="13"/>
      <c r="O27" s="18"/>
      <c r="P27" s="24"/>
      <c r="Q27" s="22"/>
    </row>
    <row r="28" spans="2:17" s="35" customFormat="1" ht="18" customHeight="1" x14ac:dyDescent="0.15">
      <c r="B28" s="26"/>
      <c r="C28" s="6" t="s">
        <v>37</v>
      </c>
      <c r="D28" s="6" t="s">
        <v>37</v>
      </c>
      <c r="E28" s="89" t="s">
        <v>50</v>
      </c>
      <c r="F28" s="90">
        <v>4</v>
      </c>
      <c r="G28" s="11">
        <v>75</v>
      </c>
      <c r="H28" s="11">
        <f t="shared" si="0"/>
        <v>300</v>
      </c>
      <c r="I28" s="11"/>
      <c r="J28" s="62" t="s">
        <v>51</v>
      </c>
      <c r="K28" s="10"/>
      <c r="L28" s="9"/>
      <c r="M28" s="24"/>
      <c r="N28" s="13"/>
      <c r="O28" s="18"/>
      <c r="P28" s="24"/>
      <c r="Q28" s="22"/>
    </row>
    <row r="29" spans="2:17" s="35" customFormat="1" ht="18" customHeight="1" x14ac:dyDescent="0.15">
      <c r="B29" s="26"/>
      <c r="C29" s="6" t="s">
        <v>37</v>
      </c>
      <c r="D29" s="6" t="s">
        <v>37</v>
      </c>
      <c r="E29" s="89" t="s">
        <v>52</v>
      </c>
      <c r="F29" s="90">
        <v>8</v>
      </c>
      <c r="G29" s="82">
        <v>80</v>
      </c>
      <c r="H29" s="11">
        <f t="shared" si="0"/>
        <v>640</v>
      </c>
      <c r="I29" s="11"/>
      <c r="J29" s="62" t="s">
        <v>53</v>
      </c>
      <c r="K29" s="10"/>
      <c r="L29" s="9"/>
      <c r="M29" s="24"/>
      <c r="N29" s="13"/>
      <c r="O29" s="18"/>
      <c r="P29" s="24"/>
      <c r="Q29" s="22"/>
    </row>
    <row r="30" spans="2:17" s="35" customFormat="1" ht="18" customHeight="1" x14ac:dyDescent="0.15">
      <c r="B30" s="26"/>
      <c r="C30" s="6" t="s">
        <v>37</v>
      </c>
      <c r="D30" s="6" t="s">
        <v>37</v>
      </c>
      <c r="E30" s="89" t="s">
        <v>54</v>
      </c>
      <c r="F30" s="90">
        <v>2</v>
      </c>
      <c r="G30" s="82">
        <v>88</v>
      </c>
      <c r="H30" s="11">
        <f t="shared" si="0"/>
        <v>176</v>
      </c>
      <c r="I30" s="11"/>
      <c r="J30" s="62" t="s">
        <v>55</v>
      </c>
      <c r="K30" s="10"/>
      <c r="L30" s="9"/>
      <c r="M30" s="24"/>
      <c r="N30" s="13"/>
      <c r="O30" s="18"/>
      <c r="P30" s="24"/>
      <c r="Q30" s="22"/>
    </row>
    <row r="31" spans="2:17" s="35" customFormat="1" ht="18" customHeight="1" x14ac:dyDescent="0.15">
      <c r="B31" s="26"/>
      <c r="C31" s="6" t="s">
        <v>37</v>
      </c>
      <c r="D31" s="6" t="s">
        <v>37</v>
      </c>
      <c r="E31" s="89" t="s">
        <v>56</v>
      </c>
      <c r="F31" s="90">
        <v>9</v>
      </c>
      <c r="G31" s="82">
        <v>70</v>
      </c>
      <c r="H31" s="11">
        <f t="shared" si="0"/>
        <v>630</v>
      </c>
      <c r="I31" s="11"/>
      <c r="J31" s="62" t="s">
        <v>57</v>
      </c>
      <c r="K31" s="10"/>
      <c r="L31" s="9"/>
      <c r="M31" s="24"/>
      <c r="N31" s="13"/>
      <c r="O31" s="18"/>
      <c r="P31" s="24"/>
      <c r="Q31" s="22"/>
    </row>
    <row r="32" spans="2:17" s="35" customFormat="1" ht="18" customHeight="1" x14ac:dyDescent="0.15">
      <c r="B32" s="26"/>
      <c r="C32" s="6" t="s">
        <v>37</v>
      </c>
      <c r="D32" s="6" t="s">
        <v>37</v>
      </c>
      <c r="E32" s="89" t="s">
        <v>58</v>
      </c>
      <c r="F32" s="90">
        <v>9</v>
      </c>
      <c r="G32" s="82">
        <v>70</v>
      </c>
      <c r="H32" s="11">
        <f t="shared" si="0"/>
        <v>630</v>
      </c>
      <c r="I32" s="11"/>
      <c r="J32" s="62" t="s">
        <v>59</v>
      </c>
      <c r="K32" s="10"/>
      <c r="L32" s="9"/>
      <c r="M32" s="24"/>
      <c r="N32" s="13"/>
      <c r="O32" s="18"/>
      <c r="P32" s="24"/>
      <c r="Q32" s="22"/>
    </row>
    <row r="33" spans="2:17" s="35" customFormat="1" ht="18" customHeight="1" x14ac:dyDescent="0.15">
      <c r="B33" s="26"/>
      <c r="C33" s="6" t="s">
        <v>37</v>
      </c>
      <c r="D33" s="6" t="s">
        <v>37</v>
      </c>
      <c r="E33" s="89" t="s">
        <v>60</v>
      </c>
      <c r="F33" s="66">
        <v>20</v>
      </c>
      <c r="G33" s="82">
        <v>75</v>
      </c>
      <c r="H33" s="11">
        <f t="shared" si="0"/>
        <v>1500</v>
      </c>
      <c r="I33" s="65"/>
      <c r="J33" s="62" t="s">
        <v>61</v>
      </c>
      <c r="K33" s="10"/>
      <c r="L33" s="9"/>
      <c r="M33" s="24"/>
      <c r="N33" s="13"/>
      <c r="O33" s="18"/>
      <c r="P33" s="24"/>
      <c r="Q33" s="22"/>
    </row>
    <row r="34" spans="2:17" s="35" customFormat="1" ht="18" customHeight="1" x14ac:dyDescent="0.15">
      <c r="B34" s="26"/>
      <c r="C34" s="6"/>
      <c r="D34" s="11"/>
      <c r="E34" s="103">
        <f>SUM(H11:H33)</f>
        <v>114086</v>
      </c>
      <c r="F34" s="66"/>
      <c r="H34" s="94"/>
      <c r="I34" s="65"/>
      <c r="J34" s="62"/>
      <c r="K34" s="10"/>
      <c r="L34" s="9"/>
      <c r="M34" s="24"/>
      <c r="N34" s="13"/>
      <c r="O34" s="18"/>
      <c r="P34" s="24"/>
      <c r="Q34" s="22"/>
    </row>
    <row r="35" spans="2:17" s="5" customFormat="1" ht="19.5" customHeight="1" x14ac:dyDescent="0.15">
      <c r="B35" s="6"/>
      <c r="C35" s="6"/>
      <c r="D35" s="6"/>
      <c r="E35" s="10"/>
      <c r="F35" s="66"/>
      <c r="G35" s="11"/>
      <c r="H35" s="11"/>
      <c r="I35" s="19"/>
      <c r="J35" s="67"/>
      <c r="K35" s="3"/>
      <c r="L35" s="3"/>
      <c r="M35" s="24"/>
      <c r="N35" s="6"/>
      <c r="O35" s="3"/>
      <c r="P35" s="24"/>
      <c r="Q35" s="13"/>
    </row>
    <row r="36" spans="2:17" s="5" customFormat="1" ht="19.5" customHeight="1" x14ac:dyDescent="0.15">
      <c r="B36" s="493" t="s">
        <v>62</v>
      </c>
      <c r="C36" s="494"/>
      <c r="D36" s="494"/>
      <c r="E36" s="495"/>
      <c r="F36" s="44"/>
      <c r="G36" s="95"/>
      <c r="H36" s="96"/>
      <c r="I36" s="97"/>
      <c r="J36" s="98"/>
      <c r="K36" s="44"/>
      <c r="L36" s="44"/>
      <c r="M36" s="99"/>
      <c r="N36" s="45"/>
      <c r="O36" s="44"/>
      <c r="P36" s="99"/>
      <c r="Q36" s="100"/>
    </row>
    <row r="37" spans="2:17" s="5" customFormat="1" ht="19.5" customHeight="1" x14ac:dyDescent="0.15">
      <c r="B37" s="26"/>
      <c r="C37" s="33" t="s">
        <v>25</v>
      </c>
      <c r="D37" s="33" t="s">
        <v>25</v>
      </c>
      <c r="E37" s="71" t="s">
        <v>63</v>
      </c>
      <c r="F37" s="71">
        <v>1</v>
      </c>
      <c r="G37" s="71">
        <v>19500</v>
      </c>
      <c r="H37" s="61">
        <f t="shared" ref="H37:H58" si="1">F37*G37</f>
        <v>19500</v>
      </c>
      <c r="I37" s="72"/>
      <c r="J37" s="71" t="s">
        <v>63</v>
      </c>
      <c r="K37" s="3"/>
      <c r="L37" s="3"/>
      <c r="M37" s="24"/>
      <c r="N37" s="6"/>
      <c r="O37" s="3"/>
      <c r="P37" s="24"/>
      <c r="Q37" s="22"/>
    </row>
    <row r="38" spans="2:17" s="5" customFormat="1" ht="19.5" customHeight="1" x14ac:dyDescent="0.15">
      <c r="B38" s="26"/>
      <c r="C38" s="33" t="s">
        <v>25</v>
      </c>
      <c r="D38" s="33" t="s">
        <v>25</v>
      </c>
      <c r="E38" s="71" t="s">
        <v>64</v>
      </c>
      <c r="F38" s="71">
        <v>1</v>
      </c>
      <c r="G38" s="71">
        <v>17500</v>
      </c>
      <c r="H38" s="61">
        <f t="shared" si="1"/>
        <v>17500</v>
      </c>
      <c r="I38" s="72"/>
      <c r="J38" s="71" t="s">
        <v>64</v>
      </c>
      <c r="K38" s="3"/>
      <c r="L38" s="3"/>
      <c r="M38" s="24"/>
      <c r="N38" s="6"/>
      <c r="O38" s="3"/>
      <c r="P38" s="24"/>
      <c r="Q38" s="22"/>
    </row>
    <row r="39" spans="2:17" s="5" customFormat="1" ht="19.5" customHeight="1" x14ac:dyDescent="0.15">
      <c r="B39" s="26"/>
      <c r="C39" s="33" t="s">
        <v>25</v>
      </c>
      <c r="D39" s="33" t="s">
        <v>25</v>
      </c>
      <c r="E39" s="71" t="s">
        <v>65</v>
      </c>
      <c r="F39" s="71">
        <v>8</v>
      </c>
      <c r="G39" s="71">
        <v>3800</v>
      </c>
      <c r="H39" s="61">
        <f t="shared" si="1"/>
        <v>30400</v>
      </c>
      <c r="I39" s="72"/>
      <c r="J39" s="71" t="s">
        <v>65</v>
      </c>
      <c r="K39" s="3"/>
      <c r="L39" s="3"/>
      <c r="M39" s="24"/>
      <c r="N39" s="6"/>
      <c r="O39" s="3"/>
      <c r="P39" s="24"/>
      <c r="Q39" s="22"/>
    </row>
    <row r="40" spans="2:17" s="5" customFormat="1" ht="19.5" customHeight="1" x14ac:dyDescent="0.15">
      <c r="B40" s="26"/>
      <c r="C40" s="33" t="s">
        <v>25</v>
      </c>
      <c r="D40" s="33" t="s">
        <v>25</v>
      </c>
      <c r="E40" s="71" t="s">
        <v>66</v>
      </c>
      <c r="F40" s="71">
        <v>2</v>
      </c>
      <c r="G40" s="71">
        <v>5000</v>
      </c>
      <c r="H40" s="61">
        <f t="shared" si="1"/>
        <v>10000</v>
      </c>
      <c r="I40" s="72"/>
      <c r="J40" s="71" t="s">
        <v>67</v>
      </c>
      <c r="K40" s="3"/>
      <c r="L40" s="3"/>
      <c r="M40" s="24"/>
      <c r="N40" s="6"/>
      <c r="O40" s="3"/>
      <c r="P40" s="24"/>
      <c r="Q40" s="22"/>
    </row>
    <row r="41" spans="2:17" ht="18" customHeight="1" x14ac:dyDescent="0.15">
      <c r="B41" s="26"/>
      <c r="C41" s="27" t="s">
        <v>37</v>
      </c>
      <c r="D41" s="27" t="s">
        <v>37</v>
      </c>
      <c r="E41" s="29" t="s">
        <v>68</v>
      </c>
      <c r="F41" s="28">
        <v>1</v>
      </c>
      <c r="G41" s="29">
        <v>356</v>
      </c>
      <c r="H41" s="30">
        <f t="shared" si="1"/>
        <v>356</v>
      </c>
      <c r="I41" s="31"/>
      <c r="J41" s="32" t="s">
        <v>69</v>
      </c>
      <c r="K41" s="10"/>
      <c r="L41" s="9"/>
      <c r="M41" s="24"/>
      <c r="N41" s="13"/>
      <c r="O41" s="18"/>
      <c r="P41" s="24"/>
      <c r="Q41" s="22"/>
    </row>
    <row r="42" spans="2:17" ht="18" customHeight="1" x14ac:dyDescent="0.15">
      <c r="B42" s="26"/>
      <c r="C42" s="27" t="s">
        <v>37</v>
      </c>
      <c r="D42" s="27" t="s">
        <v>37</v>
      </c>
      <c r="E42" s="29" t="s">
        <v>70</v>
      </c>
      <c r="F42" s="28">
        <v>1</v>
      </c>
      <c r="G42" s="29">
        <v>479</v>
      </c>
      <c r="H42" s="30">
        <f t="shared" si="1"/>
        <v>479</v>
      </c>
      <c r="I42" s="31"/>
      <c r="J42" s="32" t="s">
        <v>71</v>
      </c>
      <c r="K42" s="10"/>
      <c r="L42" s="9"/>
      <c r="M42" s="24"/>
      <c r="N42" s="13"/>
      <c r="O42" s="18"/>
      <c r="P42" s="24"/>
      <c r="Q42" s="22"/>
    </row>
    <row r="43" spans="2:17" ht="18" customHeight="1" x14ac:dyDescent="0.15">
      <c r="B43" s="26"/>
      <c r="C43" s="27" t="s">
        <v>37</v>
      </c>
      <c r="D43" s="27" t="s">
        <v>37</v>
      </c>
      <c r="E43" s="29" t="s">
        <v>72</v>
      </c>
      <c r="F43" s="28">
        <v>1</v>
      </c>
      <c r="G43" s="29">
        <v>650</v>
      </c>
      <c r="H43" s="30">
        <f t="shared" si="1"/>
        <v>650</v>
      </c>
      <c r="I43" s="31"/>
      <c r="J43" s="32" t="s">
        <v>69</v>
      </c>
      <c r="K43" s="10"/>
      <c r="L43" s="9"/>
      <c r="M43" s="24"/>
      <c r="N43" s="13"/>
      <c r="O43" s="18"/>
      <c r="P43" s="24"/>
      <c r="Q43" s="22"/>
    </row>
    <row r="44" spans="2:17" s="35" customFormat="1" ht="18" customHeight="1" x14ac:dyDescent="0.15">
      <c r="B44" s="26"/>
      <c r="C44" s="60" t="s">
        <v>37</v>
      </c>
      <c r="D44" s="60" t="s">
        <v>37</v>
      </c>
      <c r="E44" s="38" t="s">
        <v>73</v>
      </c>
      <c r="F44" s="80">
        <v>6</v>
      </c>
      <c r="G44" s="81">
        <v>370</v>
      </c>
      <c r="H44" s="11">
        <f t="shared" si="1"/>
        <v>2220</v>
      </c>
      <c r="I44" s="19"/>
      <c r="J44" s="39" t="s">
        <v>74</v>
      </c>
      <c r="K44" s="10"/>
      <c r="L44" s="9"/>
      <c r="M44" s="24"/>
      <c r="N44" s="13"/>
      <c r="O44" s="18"/>
      <c r="P44" s="24"/>
      <c r="Q44" s="22"/>
    </row>
    <row r="45" spans="2:17" s="35" customFormat="1" ht="18" customHeight="1" x14ac:dyDescent="0.15">
      <c r="B45" s="26"/>
      <c r="C45" s="28" t="s">
        <v>37</v>
      </c>
      <c r="D45" s="28" t="s">
        <v>37</v>
      </c>
      <c r="E45" s="83" t="s">
        <v>75</v>
      </c>
      <c r="F45" s="84">
        <v>2</v>
      </c>
      <c r="G45" s="85">
        <v>8800</v>
      </c>
      <c r="H45" s="11">
        <f t="shared" si="1"/>
        <v>17600</v>
      </c>
      <c r="I45" s="19"/>
      <c r="J45" s="40" t="s">
        <v>76</v>
      </c>
      <c r="K45" s="10"/>
      <c r="L45" s="9"/>
      <c r="M45" s="24"/>
      <c r="N45" s="13"/>
      <c r="O45" s="18"/>
      <c r="P45" s="24"/>
      <c r="Q45" s="22"/>
    </row>
    <row r="46" spans="2:17" s="35" customFormat="1" ht="18" customHeight="1" x14ac:dyDescent="0.15">
      <c r="B46" s="26"/>
      <c r="C46" s="28" t="s">
        <v>37</v>
      </c>
      <c r="D46" s="28" t="s">
        <v>37</v>
      </c>
      <c r="E46" s="41" t="s">
        <v>77</v>
      </c>
      <c r="F46" s="84">
        <v>2</v>
      </c>
      <c r="G46" s="85">
        <v>4710</v>
      </c>
      <c r="H46" s="11">
        <f t="shared" si="1"/>
        <v>9420</v>
      </c>
      <c r="I46" s="19"/>
      <c r="J46" s="40" t="s">
        <v>78</v>
      </c>
      <c r="K46" s="10"/>
      <c r="L46" s="9"/>
      <c r="M46" s="24"/>
      <c r="N46" s="13"/>
      <c r="O46" s="18"/>
      <c r="P46" s="24"/>
      <c r="Q46" s="22"/>
    </row>
    <row r="47" spans="2:17" s="35" customFormat="1" ht="18" customHeight="1" x14ac:dyDescent="0.15">
      <c r="B47" s="26"/>
      <c r="C47" s="28" t="s">
        <v>37</v>
      </c>
      <c r="D47" s="28" t="s">
        <v>37</v>
      </c>
      <c r="E47" s="86" t="s">
        <v>79</v>
      </c>
      <c r="F47" s="42">
        <v>1</v>
      </c>
      <c r="G47" s="85">
        <v>59000</v>
      </c>
      <c r="H47" s="11">
        <f t="shared" si="1"/>
        <v>59000</v>
      </c>
      <c r="I47" s="19"/>
      <c r="J47" s="37" t="s">
        <v>80</v>
      </c>
      <c r="K47" s="10"/>
      <c r="L47" s="9"/>
      <c r="M47" s="24"/>
      <c r="N47" s="13"/>
      <c r="O47" s="18"/>
      <c r="P47" s="24"/>
      <c r="Q47" s="22"/>
    </row>
    <row r="48" spans="2:17" s="35" customFormat="1" ht="18" customHeight="1" x14ac:dyDescent="0.15">
      <c r="B48" s="26"/>
      <c r="C48" s="28" t="s">
        <v>37</v>
      </c>
      <c r="D48" s="28" t="s">
        <v>37</v>
      </c>
      <c r="E48" s="83" t="s">
        <v>81</v>
      </c>
      <c r="F48" s="42">
        <v>1</v>
      </c>
      <c r="G48" s="23">
        <v>370</v>
      </c>
      <c r="H48" s="11">
        <f t="shared" si="1"/>
        <v>370</v>
      </c>
      <c r="I48" s="19"/>
      <c r="J48" s="40" t="s">
        <v>82</v>
      </c>
      <c r="K48" s="10"/>
      <c r="L48" s="9"/>
      <c r="M48" s="24"/>
      <c r="N48" s="13"/>
      <c r="O48" s="18"/>
      <c r="P48" s="24"/>
      <c r="Q48" s="22"/>
    </row>
    <row r="49" spans="2:17" s="35" customFormat="1" ht="18" customHeight="1" x14ac:dyDescent="0.15">
      <c r="B49" s="26"/>
      <c r="C49" s="28" t="s">
        <v>37</v>
      </c>
      <c r="D49" s="28" t="s">
        <v>37</v>
      </c>
      <c r="E49" s="86" t="s">
        <v>83</v>
      </c>
      <c r="F49" s="84">
        <v>2</v>
      </c>
      <c r="G49" s="85">
        <v>3560</v>
      </c>
      <c r="H49" s="11">
        <f t="shared" si="1"/>
        <v>7120</v>
      </c>
      <c r="I49" s="19"/>
      <c r="J49" s="37" t="s">
        <v>84</v>
      </c>
      <c r="K49" s="10"/>
      <c r="L49" s="9"/>
      <c r="M49" s="24"/>
      <c r="N49" s="13"/>
      <c r="O49" s="18"/>
      <c r="P49" s="24"/>
      <c r="Q49" s="22"/>
    </row>
    <row r="50" spans="2:17" s="35" customFormat="1" ht="18" customHeight="1" x14ac:dyDescent="0.15">
      <c r="B50" s="26"/>
      <c r="C50" s="28" t="s">
        <v>37</v>
      </c>
      <c r="D50" s="28" t="s">
        <v>37</v>
      </c>
      <c r="E50" s="33" t="s">
        <v>85</v>
      </c>
      <c r="F50" s="42">
        <v>10</v>
      </c>
      <c r="G50" s="23">
        <v>26</v>
      </c>
      <c r="H50" s="11">
        <f t="shared" si="1"/>
        <v>260</v>
      </c>
      <c r="I50" s="19"/>
      <c r="J50" s="34" t="s">
        <v>86</v>
      </c>
      <c r="K50" s="10"/>
      <c r="L50" s="9"/>
      <c r="M50" s="24"/>
      <c r="N50" s="13"/>
      <c r="O50" s="18"/>
      <c r="P50" s="24"/>
      <c r="Q50" s="22"/>
    </row>
    <row r="51" spans="2:17" s="35" customFormat="1" ht="18" customHeight="1" x14ac:dyDescent="0.15">
      <c r="B51" s="26"/>
      <c r="C51" s="28" t="s">
        <v>37</v>
      </c>
      <c r="D51" s="28" t="s">
        <v>37</v>
      </c>
      <c r="E51" s="33" t="s">
        <v>87</v>
      </c>
      <c r="F51" s="42">
        <v>4</v>
      </c>
      <c r="G51" s="23">
        <v>29</v>
      </c>
      <c r="H51" s="11">
        <f t="shared" si="1"/>
        <v>116</v>
      </c>
      <c r="I51" s="19"/>
      <c r="J51" s="34" t="s">
        <v>88</v>
      </c>
      <c r="K51" s="10"/>
      <c r="L51" s="9"/>
      <c r="M51" s="24"/>
      <c r="N51" s="13"/>
      <c r="O51" s="18"/>
      <c r="P51" s="24"/>
      <c r="Q51" s="22"/>
    </row>
    <row r="52" spans="2:17" s="35" customFormat="1" ht="18" customHeight="1" x14ac:dyDescent="0.15">
      <c r="B52" s="26"/>
      <c r="C52" s="28" t="s">
        <v>37</v>
      </c>
      <c r="D52" s="28" t="s">
        <v>37</v>
      </c>
      <c r="E52" s="33" t="s">
        <v>89</v>
      </c>
      <c r="F52" s="42">
        <v>16</v>
      </c>
      <c r="G52" s="23">
        <v>54</v>
      </c>
      <c r="H52" s="11">
        <f t="shared" si="1"/>
        <v>864</v>
      </c>
      <c r="I52" s="19"/>
      <c r="J52" s="34" t="s">
        <v>90</v>
      </c>
      <c r="K52" s="10"/>
      <c r="L52" s="9"/>
      <c r="M52" s="24"/>
      <c r="N52" s="13"/>
      <c r="O52" s="18"/>
      <c r="P52" s="24"/>
      <c r="Q52" s="22"/>
    </row>
    <row r="53" spans="2:17" s="35" customFormat="1" ht="18" customHeight="1" x14ac:dyDescent="0.15">
      <c r="B53" s="26"/>
      <c r="C53" s="28" t="s">
        <v>37</v>
      </c>
      <c r="D53" s="28" t="s">
        <v>37</v>
      </c>
      <c r="E53" s="33" t="s">
        <v>58</v>
      </c>
      <c r="F53" s="42">
        <v>6</v>
      </c>
      <c r="G53" s="23">
        <v>70</v>
      </c>
      <c r="H53" s="11">
        <f t="shared" si="1"/>
        <v>420</v>
      </c>
      <c r="I53" s="19"/>
      <c r="J53" s="34" t="s">
        <v>91</v>
      </c>
      <c r="K53" s="10"/>
      <c r="L53" s="9"/>
      <c r="M53" s="24"/>
      <c r="N53" s="13"/>
      <c r="O53" s="18"/>
      <c r="P53" s="24"/>
      <c r="Q53" s="22"/>
    </row>
    <row r="54" spans="2:17" s="35" customFormat="1" ht="18" customHeight="1" x14ac:dyDescent="0.15">
      <c r="B54" s="26"/>
      <c r="C54" s="28" t="s">
        <v>37</v>
      </c>
      <c r="D54" s="28" t="s">
        <v>37</v>
      </c>
      <c r="E54" s="33" t="s">
        <v>92</v>
      </c>
      <c r="F54" s="42">
        <v>12</v>
      </c>
      <c r="G54" s="23">
        <v>75</v>
      </c>
      <c r="H54" s="11">
        <f t="shared" si="1"/>
        <v>900</v>
      </c>
      <c r="I54" s="19"/>
      <c r="J54" s="34" t="s">
        <v>93</v>
      </c>
      <c r="K54" s="10"/>
      <c r="L54" s="9"/>
      <c r="M54" s="24"/>
      <c r="N54" s="13"/>
      <c r="O54" s="18"/>
      <c r="P54" s="24"/>
      <c r="Q54" s="22"/>
    </row>
    <row r="55" spans="2:17" s="35" customFormat="1" ht="18" customHeight="1" x14ac:dyDescent="0.15">
      <c r="B55" s="26"/>
      <c r="C55" s="28" t="s">
        <v>37</v>
      </c>
      <c r="D55" s="28" t="s">
        <v>37</v>
      </c>
      <c r="E55" s="33" t="s">
        <v>94</v>
      </c>
      <c r="F55" s="42">
        <v>4</v>
      </c>
      <c r="G55" s="23">
        <v>80</v>
      </c>
      <c r="H55" s="11">
        <f t="shared" si="1"/>
        <v>320</v>
      </c>
      <c r="I55" s="19"/>
      <c r="J55" s="34" t="s">
        <v>95</v>
      </c>
      <c r="K55" s="10"/>
      <c r="L55" s="9"/>
      <c r="M55" s="24"/>
      <c r="N55" s="13"/>
      <c r="O55" s="18"/>
      <c r="P55" s="24"/>
      <c r="Q55" s="22"/>
    </row>
    <row r="56" spans="2:17" s="35" customFormat="1" ht="18" customHeight="1" x14ac:dyDescent="0.15">
      <c r="B56" s="26"/>
      <c r="C56" s="28" t="s">
        <v>37</v>
      </c>
      <c r="D56" s="28" t="s">
        <v>37</v>
      </c>
      <c r="E56" s="33" t="s">
        <v>96</v>
      </c>
      <c r="F56" s="42">
        <v>10</v>
      </c>
      <c r="G56" s="23">
        <v>99</v>
      </c>
      <c r="H56" s="11">
        <f t="shared" si="1"/>
        <v>990</v>
      </c>
      <c r="I56" s="19"/>
      <c r="J56" s="34" t="s">
        <v>97</v>
      </c>
      <c r="K56" s="10"/>
      <c r="L56" s="9"/>
      <c r="M56" s="24"/>
      <c r="N56" s="13"/>
      <c r="O56" s="18"/>
      <c r="P56" s="24"/>
      <c r="Q56" s="22"/>
    </row>
    <row r="57" spans="2:17" s="35" customFormat="1" ht="18" customHeight="1" x14ac:dyDescent="0.15">
      <c r="B57" s="26"/>
      <c r="C57" s="28" t="s">
        <v>37</v>
      </c>
      <c r="D57" s="28" t="s">
        <v>37</v>
      </c>
      <c r="E57" s="33" t="s">
        <v>98</v>
      </c>
      <c r="F57" s="42">
        <v>2</v>
      </c>
      <c r="G57" s="23">
        <v>610</v>
      </c>
      <c r="H57" s="11">
        <f t="shared" si="1"/>
        <v>1220</v>
      </c>
      <c r="I57" s="19"/>
      <c r="J57" s="43" t="s">
        <v>99</v>
      </c>
      <c r="K57" s="10"/>
      <c r="L57" s="9"/>
      <c r="M57" s="24"/>
      <c r="N57" s="13"/>
      <c r="O57" s="18"/>
      <c r="P57" s="24"/>
      <c r="Q57" s="22"/>
    </row>
    <row r="58" spans="2:17" s="35" customFormat="1" ht="18" customHeight="1" x14ac:dyDescent="0.15">
      <c r="B58" s="26"/>
      <c r="C58" s="28" t="s">
        <v>37</v>
      </c>
      <c r="D58" s="28" t="s">
        <v>37</v>
      </c>
      <c r="E58" s="33" t="s">
        <v>100</v>
      </c>
      <c r="F58" s="42">
        <v>2</v>
      </c>
      <c r="G58" s="23">
        <v>780</v>
      </c>
      <c r="H58" s="11">
        <f t="shared" si="1"/>
        <v>1560</v>
      </c>
      <c r="I58" s="19"/>
      <c r="J58" s="43" t="s">
        <v>101</v>
      </c>
      <c r="K58" s="10"/>
      <c r="L58" s="9"/>
      <c r="M58" s="24"/>
      <c r="N58" s="13"/>
      <c r="O58" s="18"/>
      <c r="P58" s="24"/>
      <c r="Q58" s="22"/>
    </row>
    <row r="59" spans="2:17" s="35" customFormat="1" ht="18" customHeight="1" x14ac:dyDescent="0.15">
      <c r="B59" s="26"/>
      <c r="C59" s="28"/>
      <c r="D59" s="28"/>
      <c r="E59" s="104">
        <f>SUM(H37:H58)</f>
        <v>181265</v>
      </c>
      <c r="F59" s="28"/>
      <c r="G59" s="29"/>
      <c r="I59" s="64"/>
      <c r="J59" s="32"/>
      <c r="K59" s="10"/>
      <c r="L59" s="9"/>
      <c r="M59" s="24"/>
      <c r="N59" s="13"/>
      <c r="O59" s="18"/>
      <c r="P59" s="24"/>
      <c r="Q59" s="22"/>
    </row>
    <row r="60" spans="2:17" s="35" customFormat="1" ht="18" customHeight="1" x14ac:dyDescent="0.15">
      <c r="B60" s="26"/>
      <c r="C60" s="28"/>
      <c r="D60" s="28"/>
      <c r="E60" s="29"/>
      <c r="F60" s="28"/>
      <c r="G60" s="29"/>
      <c r="H60" s="63"/>
      <c r="I60" s="64"/>
      <c r="J60" s="32"/>
      <c r="K60" s="10"/>
      <c r="L60" s="9"/>
      <c r="M60" s="24"/>
      <c r="N60" s="13"/>
      <c r="O60" s="18"/>
      <c r="P60" s="24"/>
      <c r="Q60" s="22"/>
    </row>
    <row r="61" spans="2:17" s="35" customFormat="1" ht="18" customHeight="1" x14ac:dyDescent="0.15">
      <c r="B61" s="493" t="s">
        <v>102</v>
      </c>
      <c r="C61" s="494"/>
      <c r="D61" s="494"/>
      <c r="E61" s="495"/>
      <c r="F61" s="28"/>
      <c r="G61" s="29"/>
      <c r="H61" s="63"/>
      <c r="I61" s="64"/>
      <c r="J61" s="32"/>
      <c r="K61" s="10"/>
      <c r="L61" s="9"/>
      <c r="M61" s="24"/>
      <c r="N61" s="13"/>
      <c r="O61" s="18"/>
      <c r="P61" s="24"/>
      <c r="Q61" s="22"/>
    </row>
    <row r="62" spans="2:17" s="35" customFormat="1" ht="18" customHeight="1" x14ac:dyDescent="0.15">
      <c r="B62" s="26"/>
      <c r="C62" s="28"/>
      <c r="D62" s="28"/>
      <c r="E62" s="29"/>
      <c r="F62" s="28"/>
      <c r="G62" s="29"/>
      <c r="H62" s="63"/>
      <c r="I62" s="64"/>
      <c r="J62" s="32"/>
      <c r="K62" s="10"/>
      <c r="L62" s="9"/>
      <c r="M62" s="24"/>
      <c r="N62" s="13"/>
      <c r="O62" s="18"/>
      <c r="P62" s="24"/>
      <c r="Q62" s="22"/>
    </row>
    <row r="63" spans="2:17" s="35" customFormat="1" ht="18" customHeight="1" x14ac:dyDescent="0.15">
      <c r="B63" s="26"/>
      <c r="C63" s="33" t="s">
        <v>25</v>
      </c>
      <c r="D63" s="33" t="s">
        <v>25</v>
      </c>
      <c r="E63" s="71" t="s">
        <v>103</v>
      </c>
      <c r="F63" s="68">
        <v>2</v>
      </c>
      <c r="G63" s="71">
        <v>18500</v>
      </c>
      <c r="H63" s="71">
        <f t="shared" ref="H63:H71" si="2">F63*G63</f>
        <v>37000</v>
      </c>
      <c r="I63" s="72"/>
      <c r="J63" s="71" t="s">
        <v>103</v>
      </c>
      <c r="K63" s="10"/>
      <c r="L63" s="9"/>
      <c r="M63" s="24"/>
      <c r="N63" s="13"/>
      <c r="O63" s="18"/>
      <c r="P63" s="24"/>
      <c r="Q63" s="22"/>
    </row>
    <row r="64" spans="2:17" s="35" customFormat="1" ht="18" customHeight="1" x14ac:dyDescent="0.15">
      <c r="B64" s="26"/>
      <c r="C64" s="33" t="s">
        <v>25</v>
      </c>
      <c r="D64" s="33" t="s">
        <v>25</v>
      </c>
      <c r="E64" s="71" t="s">
        <v>104</v>
      </c>
      <c r="F64" s="68">
        <v>4</v>
      </c>
      <c r="G64" s="71">
        <v>4000</v>
      </c>
      <c r="H64" s="71">
        <f t="shared" si="2"/>
        <v>16000</v>
      </c>
      <c r="I64" s="72"/>
      <c r="J64" s="71" t="s">
        <v>104</v>
      </c>
      <c r="K64" s="10"/>
      <c r="L64" s="9"/>
      <c r="M64" s="24"/>
      <c r="N64" s="13"/>
      <c r="O64" s="18"/>
      <c r="P64" s="24"/>
      <c r="Q64" s="22"/>
    </row>
    <row r="65" spans="2:17" s="35" customFormat="1" ht="18" customHeight="1" x14ac:dyDescent="0.15">
      <c r="B65" s="26"/>
      <c r="C65" s="28" t="s">
        <v>37</v>
      </c>
      <c r="D65" s="28" t="s">
        <v>37</v>
      </c>
      <c r="E65" s="86" t="s">
        <v>105</v>
      </c>
      <c r="F65" s="75">
        <v>10</v>
      </c>
      <c r="G65" s="85">
        <v>920</v>
      </c>
      <c r="H65" s="76">
        <f t="shared" si="2"/>
        <v>9200</v>
      </c>
      <c r="I65" s="77"/>
      <c r="J65" s="78" t="s">
        <v>106</v>
      </c>
      <c r="K65" s="10"/>
      <c r="L65" s="9"/>
      <c r="M65" s="24"/>
      <c r="N65" s="13"/>
      <c r="O65" s="18"/>
      <c r="P65" s="24"/>
      <c r="Q65" s="22"/>
    </row>
    <row r="66" spans="2:17" s="35" customFormat="1" ht="18" customHeight="1" x14ac:dyDescent="0.15">
      <c r="B66" s="26"/>
      <c r="C66" s="28" t="s">
        <v>37</v>
      </c>
      <c r="D66" s="28" t="s">
        <v>37</v>
      </c>
      <c r="E66" s="102" t="s">
        <v>105</v>
      </c>
      <c r="F66" s="75">
        <v>10</v>
      </c>
      <c r="G66" s="85">
        <v>1250</v>
      </c>
      <c r="H66" s="76">
        <f t="shared" si="2"/>
        <v>12500</v>
      </c>
      <c r="I66" s="77"/>
      <c r="J66" s="101" t="s">
        <v>107</v>
      </c>
      <c r="K66" s="10"/>
      <c r="L66" s="9"/>
      <c r="M66" s="24"/>
      <c r="N66" s="13"/>
      <c r="O66" s="18"/>
      <c r="P66" s="24"/>
      <c r="Q66" s="22"/>
    </row>
    <row r="67" spans="2:17" s="35" customFormat="1" ht="18" customHeight="1" x14ac:dyDescent="0.15">
      <c r="B67" s="26"/>
      <c r="C67" s="28" t="s">
        <v>37</v>
      </c>
      <c r="D67" s="28" t="s">
        <v>37</v>
      </c>
      <c r="E67" s="36" t="s">
        <v>108</v>
      </c>
      <c r="F67" s="42">
        <v>4</v>
      </c>
      <c r="G67" s="23">
        <v>570</v>
      </c>
      <c r="H67" s="11">
        <f t="shared" si="2"/>
        <v>2280</v>
      </c>
      <c r="I67" s="19"/>
      <c r="J67" s="37" t="s">
        <v>109</v>
      </c>
      <c r="K67" s="10"/>
      <c r="L67" s="9"/>
      <c r="M67" s="24"/>
      <c r="N67" s="13"/>
      <c r="O67" s="18"/>
      <c r="P67" s="24"/>
      <c r="Q67" s="22"/>
    </row>
    <row r="68" spans="2:17" s="35" customFormat="1" ht="18" customHeight="1" x14ac:dyDescent="0.15">
      <c r="B68" s="26"/>
      <c r="C68" s="28" t="s">
        <v>37</v>
      </c>
      <c r="D68" s="28" t="s">
        <v>37</v>
      </c>
      <c r="E68" s="33" t="s">
        <v>85</v>
      </c>
      <c r="F68" s="42">
        <v>4</v>
      </c>
      <c r="G68" s="85">
        <v>26</v>
      </c>
      <c r="H68" s="11">
        <f t="shared" si="2"/>
        <v>104</v>
      </c>
      <c r="I68" s="19"/>
      <c r="J68" s="34" t="s">
        <v>86</v>
      </c>
      <c r="K68" s="10"/>
      <c r="L68" s="9"/>
      <c r="M68" s="24"/>
      <c r="N68" s="13"/>
      <c r="O68" s="18"/>
      <c r="P68" s="24"/>
      <c r="Q68" s="22"/>
    </row>
    <row r="69" spans="2:17" s="35" customFormat="1" ht="18" customHeight="1" x14ac:dyDescent="0.15">
      <c r="B69" s="26"/>
      <c r="C69" s="28" t="s">
        <v>37</v>
      </c>
      <c r="D69" s="28" t="s">
        <v>37</v>
      </c>
      <c r="E69" s="81" t="s">
        <v>110</v>
      </c>
      <c r="F69" s="42">
        <v>4</v>
      </c>
      <c r="G69" s="85">
        <v>800</v>
      </c>
      <c r="H69" s="11">
        <f t="shared" si="2"/>
        <v>3200</v>
      </c>
      <c r="I69" s="19"/>
      <c r="J69" s="34" t="s">
        <v>111</v>
      </c>
      <c r="K69" s="10"/>
      <c r="L69" s="9"/>
      <c r="M69" s="24"/>
      <c r="N69" s="13"/>
      <c r="O69" s="18"/>
      <c r="P69" s="24"/>
      <c r="Q69" s="22"/>
    </row>
    <row r="70" spans="2:17" s="35" customFormat="1" ht="18" customHeight="1" x14ac:dyDescent="0.15">
      <c r="B70" s="26"/>
      <c r="C70" s="28" t="s">
        <v>37</v>
      </c>
      <c r="D70" s="28" t="s">
        <v>37</v>
      </c>
      <c r="E70" s="33" t="s">
        <v>92</v>
      </c>
      <c r="F70" s="42">
        <v>8</v>
      </c>
      <c r="G70" s="23">
        <v>75</v>
      </c>
      <c r="H70" s="11">
        <f t="shared" si="2"/>
        <v>600</v>
      </c>
      <c r="I70" s="19"/>
      <c r="J70" s="34" t="s">
        <v>93</v>
      </c>
      <c r="K70" s="10"/>
      <c r="L70" s="9"/>
      <c r="M70" s="24"/>
      <c r="N70" s="13"/>
      <c r="O70" s="18"/>
      <c r="P70" s="24"/>
      <c r="Q70" s="22"/>
    </row>
    <row r="71" spans="2:17" s="35" customFormat="1" ht="18" customHeight="1" x14ac:dyDescent="0.15">
      <c r="B71" s="26"/>
      <c r="C71" s="28" t="s">
        <v>37</v>
      </c>
      <c r="D71" s="28" t="s">
        <v>37</v>
      </c>
      <c r="E71" s="33" t="s">
        <v>94</v>
      </c>
      <c r="F71" s="42">
        <v>8</v>
      </c>
      <c r="G71" s="23">
        <v>80</v>
      </c>
      <c r="H71" s="11">
        <f t="shared" si="2"/>
        <v>640</v>
      </c>
      <c r="I71" s="19"/>
      <c r="J71" s="34" t="s">
        <v>95</v>
      </c>
      <c r="K71" s="10"/>
      <c r="L71" s="9"/>
      <c r="M71" s="24"/>
      <c r="N71" s="13"/>
      <c r="O71" s="18"/>
      <c r="P71" s="24"/>
      <c r="Q71" s="22"/>
    </row>
    <row r="72" spans="2:17" s="35" customFormat="1" ht="18" customHeight="1" x14ac:dyDescent="0.15">
      <c r="B72" s="26"/>
      <c r="C72" s="28"/>
      <c r="D72" s="28"/>
      <c r="E72" s="103">
        <f>SUM(H63:H71)</f>
        <v>81524</v>
      </c>
      <c r="F72" s="42"/>
      <c r="G72" s="23"/>
      <c r="I72" s="19"/>
      <c r="J72" s="34"/>
      <c r="K72" s="10"/>
      <c r="L72" s="9"/>
      <c r="M72" s="24"/>
      <c r="N72" s="13"/>
      <c r="O72" s="18"/>
      <c r="P72" s="24"/>
      <c r="Q72" s="22"/>
    </row>
    <row r="73" spans="2:17" s="35" customFormat="1" ht="18" customHeight="1" x14ac:dyDescent="0.15">
      <c r="B73" s="26"/>
      <c r="C73" s="6"/>
      <c r="D73" s="6"/>
      <c r="E73" s="89"/>
      <c r="F73" s="66"/>
      <c r="G73" s="11"/>
      <c r="H73" s="11"/>
      <c r="I73" s="65"/>
      <c r="J73" s="62"/>
      <c r="K73" s="10"/>
      <c r="L73" s="9"/>
      <c r="M73" s="24"/>
      <c r="N73" s="13"/>
      <c r="O73" s="18"/>
      <c r="P73" s="24"/>
      <c r="Q73" s="22"/>
    </row>
    <row r="74" spans="2:17" s="35" customFormat="1" ht="18" customHeight="1" x14ac:dyDescent="0.15">
      <c r="B74" s="496" t="s">
        <v>112</v>
      </c>
      <c r="C74" s="497"/>
      <c r="D74" s="497"/>
      <c r="E74" s="498"/>
      <c r="F74" s="66"/>
      <c r="G74" s="11"/>
      <c r="H74" s="11"/>
      <c r="I74" s="65"/>
      <c r="J74" s="62"/>
      <c r="K74" s="10"/>
      <c r="L74" s="9"/>
      <c r="M74" s="24"/>
      <c r="N74" s="13"/>
      <c r="O74" s="18"/>
      <c r="P74" s="24"/>
      <c r="Q74" s="22"/>
    </row>
    <row r="75" spans="2:17" s="35" customFormat="1" ht="18" customHeight="1" x14ac:dyDescent="0.15">
      <c r="B75" s="26"/>
      <c r="C75" s="33" t="s">
        <v>25</v>
      </c>
      <c r="D75" s="33" t="s">
        <v>25</v>
      </c>
      <c r="E75" s="71" t="s">
        <v>113</v>
      </c>
      <c r="F75" s="71">
        <v>1</v>
      </c>
      <c r="G75" s="71">
        <v>16500</v>
      </c>
      <c r="H75" s="71">
        <f t="shared" ref="H75:H83" si="3">F75*G75</f>
        <v>16500</v>
      </c>
      <c r="I75" s="72"/>
      <c r="J75" s="71" t="s">
        <v>114</v>
      </c>
      <c r="K75" s="10"/>
      <c r="L75" s="9"/>
      <c r="M75" s="24"/>
      <c r="N75" s="13"/>
      <c r="O75" s="18"/>
      <c r="P75" s="24"/>
      <c r="Q75" s="22"/>
    </row>
    <row r="76" spans="2:17" s="35" customFormat="1" ht="18" customHeight="1" x14ac:dyDescent="0.15">
      <c r="B76" s="26"/>
      <c r="C76" s="21" t="s">
        <v>37</v>
      </c>
      <c r="D76" s="21" t="s">
        <v>37</v>
      </c>
      <c r="E76" s="10" t="s">
        <v>115</v>
      </c>
      <c r="F76" s="11">
        <v>1</v>
      </c>
      <c r="G76" s="11">
        <v>1080</v>
      </c>
      <c r="H76" s="11">
        <f t="shared" si="3"/>
        <v>1080</v>
      </c>
      <c r="I76" s="19"/>
      <c r="J76" s="9" t="s">
        <v>116</v>
      </c>
      <c r="K76" s="10"/>
      <c r="L76" s="9"/>
      <c r="M76" s="24"/>
      <c r="N76" s="13"/>
      <c r="O76" s="18"/>
      <c r="P76" s="24"/>
      <c r="Q76" s="22"/>
    </row>
    <row r="77" spans="2:17" s="35" customFormat="1" ht="18" customHeight="1" x14ac:dyDescent="0.15">
      <c r="B77" s="26"/>
      <c r="C77" s="21" t="s">
        <v>37</v>
      </c>
      <c r="D77" s="21" t="s">
        <v>37</v>
      </c>
      <c r="E77" s="10" t="s">
        <v>117</v>
      </c>
      <c r="F77" s="11">
        <v>1</v>
      </c>
      <c r="G77" s="11">
        <v>3350</v>
      </c>
      <c r="H77" s="11">
        <f t="shared" si="3"/>
        <v>3350</v>
      </c>
      <c r="I77" s="19"/>
      <c r="J77" s="9" t="s">
        <v>118</v>
      </c>
      <c r="K77" s="10"/>
      <c r="L77" s="9"/>
      <c r="M77" s="24"/>
      <c r="N77" s="13"/>
      <c r="O77" s="18"/>
      <c r="P77" s="24"/>
      <c r="Q77" s="22"/>
    </row>
    <row r="78" spans="2:17" s="35" customFormat="1" ht="18" customHeight="1" x14ac:dyDescent="0.15">
      <c r="B78" s="26"/>
      <c r="C78" s="21" t="s">
        <v>37</v>
      </c>
      <c r="D78" s="21" t="s">
        <v>37</v>
      </c>
      <c r="E78" s="10" t="s">
        <v>119</v>
      </c>
      <c r="F78" s="11">
        <v>1</v>
      </c>
      <c r="G78" s="11">
        <v>3022</v>
      </c>
      <c r="H78" s="11">
        <f t="shared" si="3"/>
        <v>3022</v>
      </c>
      <c r="I78" s="19"/>
      <c r="J78" s="9" t="s">
        <v>120</v>
      </c>
      <c r="K78" s="10"/>
      <c r="L78" s="9"/>
      <c r="M78" s="24"/>
      <c r="N78" s="13"/>
      <c r="O78" s="18"/>
      <c r="P78" s="24"/>
      <c r="Q78" s="22"/>
    </row>
    <row r="79" spans="2:17" s="35" customFormat="1" ht="18" customHeight="1" x14ac:dyDescent="0.15">
      <c r="B79" s="26"/>
      <c r="C79" s="21" t="s">
        <v>37</v>
      </c>
      <c r="D79" s="21" t="s">
        <v>37</v>
      </c>
      <c r="E79" s="10" t="s">
        <v>121</v>
      </c>
      <c r="F79" s="11">
        <v>1</v>
      </c>
      <c r="G79" s="11">
        <v>5719</v>
      </c>
      <c r="H79" s="11">
        <f t="shared" si="3"/>
        <v>5719</v>
      </c>
      <c r="I79" s="19"/>
      <c r="J79" s="9" t="s">
        <v>122</v>
      </c>
      <c r="K79" s="10"/>
      <c r="L79" s="9"/>
      <c r="M79" s="24"/>
      <c r="N79" s="13"/>
      <c r="O79" s="18"/>
      <c r="P79" s="24"/>
      <c r="Q79" s="22"/>
    </row>
    <row r="80" spans="2:17" s="35" customFormat="1" ht="18" customHeight="1" x14ac:dyDescent="0.15">
      <c r="B80" s="26"/>
      <c r="C80" s="21" t="s">
        <v>37</v>
      </c>
      <c r="D80" s="21" t="s">
        <v>37</v>
      </c>
      <c r="E80" s="10" t="s">
        <v>123</v>
      </c>
      <c r="F80" s="11">
        <v>1</v>
      </c>
      <c r="G80" s="11">
        <v>460</v>
      </c>
      <c r="H80" s="11">
        <f t="shared" si="3"/>
        <v>460</v>
      </c>
      <c r="I80" s="19"/>
      <c r="J80" s="9" t="s">
        <v>124</v>
      </c>
      <c r="K80" s="10"/>
      <c r="L80" s="9"/>
      <c r="M80" s="24"/>
      <c r="N80" s="13"/>
      <c r="O80" s="18"/>
      <c r="P80" s="24"/>
      <c r="Q80" s="22"/>
    </row>
    <row r="81" spans="2:17" s="35" customFormat="1" ht="18" customHeight="1" x14ac:dyDescent="0.15">
      <c r="B81" s="26"/>
      <c r="C81" s="21" t="s">
        <v>37</v>
      </c>
      <c r="D81" s="21" t="s">
        <v>37</v>
      </c>
      <c r="E81" s="10" t="s">
        <v>125</v>
      </c>
      <c r="F81" s="11">
        <v>1</v>
      </c>
      <c r="G81" s="11">
        <v>2060</v>
      </c>
      <c r="H81" s="11">
        <f t="shared" si="3"/>
        <v>2060</v>
      </c>
      <c r="I81" s="19"/>
      <c r="J81" s="9" t="s">
        <v>126</v>
      </c>
      <c r="K81" s="10"/>
      <c r="L81" s="9"/>
      <c r="M81" s="24"/>
      <c r="N81" s="13"/>
      <c r="O81" s="18"/>
      <c r="P81" s="24"/>
      <c r="Q81" s="22"/>
    </row>
    <row r="82" spans="2:17" s="35" customFormat="1" ht="18" customHeight="1" x14ac:dyDescent="0.15">
      <c r="B82" s="26"/>
      <c r="C82" s="6" t="s">
        <v>37</v>
      </c>
      <c r="D82" s="6" t="s">
        <v>37</v>
      </c>
      <c r="E82" s="69" t="s">
        <v>127</v>
      </c>
      <c r="F82" s="70">
        <v>1</v>
      </c>
      <c r="G82" s="11">
        <v>622</v>
      </c>
      <c r="H82" s="11">
        <f t="shared" si="3"/>
        <v>622</v>
      </c>
      <c r="I82" s="11"/>
      <c r="J82" s="70" t="s">
        <v>128</v>
      </c>
      <c r="K82" s="10"/>
      <c r="L82" s="9"/>
      <c r="M82" s="24"/>
      <c r="N82" s="13"/>
      <c r="O82" s="18"/>
      <c r="P82" s="24"/>
      <c r="Q82" s="22"/>
    </row>
    <row r="83" spans="2:17" s="35" customFormat="1" ht="18" customHeight="1" x14ac:dyDescent="0.15">
      <c r="B83" s="26"/>
      <c r="C83" s="6" t="s">
        <v>37</v>
      </c>
      <c r="D83" s="6" t="s">
        <v>37</v>
      </c>
      <c r="E83" s="70" t="s">
        <v>129</v>
      </c>
      <c r="F83" s="70">
        <v>1</v>
      </c>
      <c r="G83" s="11">
        <v>3000</v>
      </c>
      <c r="H83" s="11">
        <f t="shared" si="3"/>
        <v>3000</v>
      </c>
      <c r="I83" s="11"/>
      <c r="J83" s="70" t="s">
        <v>129</v>
      </c>
      <c r="K83" s="10"/>
      <c r="L83" s="9"/>
      <c r="M83" s="24"/>
      <c r="N83" s="13"/>
      <c r="O83" s="18"/>
      <c r="P83" s="24"/>
      <c r="Q83" s="22"/>
    </row>
    <row r="84" spans="2:17" s="35" customFormat="1" ht="18" customHeight="1" x14ac:dyDescent="0.15">
      <c r="B84" s="26"/>
      <c r="C84" s="23"/>
      <c r="D84" s="23"/>
      <c r="E84" s="103">
        <f>SUM(H75:H83)</f>
        <v>35813</v>
      </c>
      <c r="F84" s="42"/>
      <c r="G84" s="23"/>
      <c r="I84" s="19"/>
      <c r="J84" s="34"/>
      <c r="K84" s="10"/>
      <c r="L84" s="9"/>
      <c r="M84" s="24"/>
      <c r="N84" s="13"/>
      <c r="O84" s="18"/>
      <c r="P84" s="24"/>
      <c r="Q84" s="22"/>
    </row>
    <row r="85" spans="2:17" s="35" customFormat="1" ht="18" customHeight="1" x14ac:dyDescent="0.15">
      <c r="B85" s="26"/>
      <c r="C85" s="23"/>
      <c r="D85" s="23"/>
      <c r="E85" s="33"/>
      <c r="F85" s="42"/>
      <c r="G85" s="23"/>
      <c r="H85" s="11"/>
      <c r="I85" s="19"/>
      <c r="J85" s="34"/>
      <c r="K85" s="10"/>
      <c r="L85" s="9"/>
      <c r="M85" s="24"/>
      <c r="N85" s="13"/>
      <c r="O85" s="18"/>
      <c r="P85" s="24"/>
      <c r="Q85" s="22"/>
    </row>
    <row r="86" spans="2:17" s="35" customFormat="1" ht="18" customHeight="1" x14ac:dyDescent="0.15">
      <c r="B86" s="26"/>
      <c r="C86" s="23"/>
      <c r="D86" s="23"/>
      <c r="E86" s="33"/>
      <c r="F86" s="42"/>
      <c r="G86" s="23"/>
      <c r="H86" s="11"/>
      <c r="I86" s="19"/>
      <c r="J86" s="34"/>
      <c r="K86" s="10"/>
      <c r="L86" s="9"/>
      <c r="M86" s="24"/>
      <c r="N86" s="13"/>
      <c r="O86" s="18"/>
      <c r="P86" s="24"/>
      <c r="Q86" s="22"/>
    </row>
    <row r="87" spans="2:17" s="35" customFormat="1" ht="18" customHeight="1" x14ac:dyDescent="0.15">
      <c r="B87" s="26"/>
      <c r="C87" s="23"/>
      <c r="D87" s="23"/>
      <c r="E87" s="33"/>
      <c r="F87" s="42"/>
      <c r="G87" s="23"/>
      <c r="H87" s="11"/>
      <c r="I87" s="19"/>
      <c r="J87" s="34"/>
      <c r="K87" s="10"/>
      <c r="L87" s="9"/>
      <c r="M87" s="24"/>
      <c r="N87" s="13"/>
      <c r="O87" s="18"/>
      <c r="P87" s="24"/>
      <c r="Q87" s="22"/>
    </row>
    <row r="88" spans="2:17" s="35" customFormat="1" ht="18" customHeight="1" x14ac:dyDescent="0.15">
      <c r="B88" s="26"/>
      <c r="C88" s="23"/>
      <c r="D88" s="23"/>
      <c r="E88" s="33"/>
      <c r="F88" s="42"/>
      <c r="G88" s="23"/>
      <c r="H88" s="11"/>
      <c r="I88" s="19"/>
      <c r="J88" s="34"/>
      <c r="K88" s="10"/>
      <c r="L88" s="9"/>
      <c r="M88" s="24"/>
      <c r="N88" s="13"/>
      <c r="O88" s="18"/>
      <c r="P88" s="24"/>
      <c r="Q88" s="22"/>
    </row>
    <row r="89" spans="2:17" s="35" customFormat="1" ht="18" customHeight="1" x14ac:dyDescent="0.15">
      <c r="B89" s="26"/>
      <c r="C89" s="23"/>
      <c r="D89" s="23"/>
      <c r="E89" s="33"/>
      <c r="F89" s="42"/>
      <c r="G89" s="23"/>
      <c r="H89" s="11"/>
      <c r="I89" s="19"/>
      <c r="J89" s="34"/>
      <c r="K89" s="10"/>
      <c r="L89" s="9"/>
      <c r="M89" s="24"/>
      <c r="N89" s="13"/>
      <c r="O89" s="18"/>
      <c r="P89" s="24"/>
      <c r="Q89" s="22"/>
    </row>
    <row r="90" spans="2:17" s="35" customFormat="1" ht="18" customHeight="1" x14ac:dyDescent="0.15">
      <c r="B90" s="26"/>
      <c r="C90" s="23"/>
      <c r="D90" s="23"/>
      <c r="E90" s="33"/>
      <c r="F90" s="42"/>
      <c r="G90" s="23"/>
      <c r="H90" s="11"/>
      <c r="I90" s="19"/>
      <c r="J90" s="34"/>
      <c r="K90" s="10"/>
      <c r="L90" s="9"/>
      <c r="M90" s="24"/>
      <c r="N90" s="13"/>
      <c r="O90" s="18"/>
      <c r="P90" s="24"/>
      <c r="Q90" s="22"/>
    </row>
    <row r="91" spans="2:17" ht="18" customHeight="1" x14ac:dyDescent="0.15">
      <c r="B91" s="3"/>
      <c r="C91" s="6"/>
      <c r="D91" s="6"/>
      <c r="E91" s="10" t="s">
        <v>130</v>
      </c>
      <c r="F91" s="66"/>
      <c r="G91" s="11"/>
      <c r="H91" s="11">
        <f>F91*G91</f>
        <v>0</v>
      </c>
      <c r="I91" s="19"/>
      <c r="J91" s="25" t="s">
        <v>131</v>
      </c>
      <c r="K91" s="10"/>
      <c r="L91" s="9"/>
      <c r="M91" s="24"/>
      <c r="N91" s="13"/>
      <c r="O91" s="18"/>
      <c r="P91" s="24"/>
      <c r="Q91" s="22"/>
    </row>
    <row r="92" spans="2:17" ht="18" customHeight="1" x14ac:dyDescent="0.15">
      <c r="B92" s="21"/>
      <c r="C92" s="21"/>
      <c r="D92" s="21"/>
      <c r="E92" s="10" t="s">
        <v>131</v>
      </c>
      <c r="F92" s="66"/>
      <c r="G92" s="11">
        <v>5000</v>
      </c>
      <c r="H92" s="11">
        <f>F92*G92</f>
        <v>0</v>
      </c>
      <c r="I92" s="19"/>
      <c r="J92" s="25" t="s">
        <v>132</v>
      </c>
      <c r="K92" s="10"/>
      <c r="L92" s="9"/>
      <c r="M92" s="24"/>
      <c r="N92" s="13"/>
      <c r="O92" s="18"/>
      <c r="P92" s="24"/>
      <c r="Q92" s="22"/>
    </row>
    <row r="93" spans="2:17" ht="18" customHeight="1" x14ac:dyDescent="0.15">
      <c r="B93" s="21"/>
      <c r="C93" s="21"/>
      <c r="D93" s="21"/>
      <c r="E93" s="10" t="s">
        <v>132</v>
      </c>
      <c r="F93" s="11"/>
      <c r="G93" s="11"/>
      <c r="H93" s="11">
        <f>F93*G93</f>
        <v>0</v>
      </c>
      <c r="I93" s="19"/>
      <c r="J93" s="9"/>
      <c r="K93" s="10"/>
      <c r="L93" s="9"/>
      <c r="M93" s="24"/>
      <c r="N93" s="13"/>
      <c r="O93" s="18"/>
      <c r="P93" s="24"/>
      <c r="Q93" s="22"/>
    </row>
    <row r="94" spans="2:17" ht="18" customHeight="1" x14ac:dyDescent="0.15">
      <c r="B94" s="21"/>
      <c r="C94" s="21"/>
      <c r="D94" s="21"/>
      <c r="E94" s="10"/>
      <c r="F94" s="11"/>
      <c r="G94" s="11"/>
      <c r="H94" s="11"/>
      <c r="I94" s="19"/>
      <c r="J94" s="9"/>
      <c r="K94" s="10"/>
      <c r="L94" s="9"/>
      <c r="M94" s="24"/>
      <c r="N94" s="13"/>
      <c r="O94" s="18"/>
      <c r="P94" s="24"/>
      <c r="Q94" s="22"/>
    </row>
    <row r="95" spans="2:17" ht="18" customHeight="1" x14ac:dyDescent="0.15">
      <c r="B95" s="21"/>
      <c r="C95" s="21"/>
      <c r="D95" s="21"/>
      <c r="E95" s="10"/>
      <c r="F95" s="11"/>
      <c r="G95" s="11"/>
      <c r="H95" s="11"/>
      <c r="I95" s="19"/>
      <c r="J95" s="9"/>
      <c r="K95" s="10"/>
      <c r="L95" s="9"/>
      <c r="M95" s="24"/>
      <c r="N95" s="13"/>
      <c r="O95" s="18"/>
      <c r="P95" s="24"/>
      <c r="Q95" s="22"/>
    </row>
    <row r="96" spans="2:17" ht="18" customHeight="1" x14ac:dyDescent="0.15">
      <c r="B96" s="21"/>
      <c r="C96" s="21"/>
      <c r="D96" s="21"/>
      <c r="E96" s="10"/>
      <c r="F96" s="11"/>
      <c r="G96" s="11"/>
      <c r="H96" s="11"/>
      <c r="I96" s="19"/>
      <c r="J96" s="9"/>
      <c r="K96" s="10"/>
      <c r="L96" s="9"/>
      <c r="M96" s="24"/>
      <c r="N96" s="13"/>
      <c r="O96" s="18"/>
      <c r="P96" s="24"/>
      <c r="Q96" s="22"/>
    </row>
    <row r="97" spans="2:17" ht="18" customHeight="1" x14ac:dyDescent="0.15">
      <c r="B97" s="21"/>
      <c r="C97" s="21"/>
      <c r="D97" s="21"/>
      <c r="E97" s="10"/>
      <c r="F97" s="11"/>
      <c r="G97" s="11"/>
      <c r="H97" s="11"/>
      <c r="I97" s="19"/>
      <c r="J97" s="9"/>
      <c r="K97" s="10"/>
      <c r="L97" s="9"/>
      <c r="M97" s="24"/>
      <c r="N97" s="13"/>
      <c r="O97" s="18"/>
      <c r="P97" s="24"/>
      <c r="Q97" s="22"/>
    </row>
    <row r="98" spans="2:17" ht="18" customHeight="1" x14ac:dyDescent="0.15">
      <c r="B98" s="21"/>
      <c r="C98" s="21"/>
      <c r="D98" s="21"/>
      <c r="E98" s="10"/>
      <c r="F98" s="11"/>
      <c r="G98" s="11"/>
      <c r="H98" s="11"/>
      <c r="I98" s="19"/>
      <c r="J98" s="9"/>
      <c r="K98" s="10"/>
      <c r="L98" s="9"/>
      <c r="M98" s="24"/>
      <c r="N98" s="13"/>
      <c r="O98" s="18"/>
      <c r="P98" s="24"/>
      <c r="Q98" s="22"/>
    </row>
    <row r="99" spans="2:17" ht="18" customHeight="1" x14ac:dyDescent="0.15">
      <c r="B99" s="21"/>
      <c r="C99" s="21"/>
      <c r="D99" s="21"/>
      <c r="E99" s="10"/>
      <c r="F99" s="11"/>
      <c r="G99" s="11"/>
      <c r="H99" s="11"/>
      <c r="I99" s="19"/>
      <c r="J99" s="9"/>
      <c r="K99" s="10"/>
      <c r="L99" s="9"/>
      <c r="M99" s="24"/>
      <c r="N99" s="13"/>
      <c r="O99" s="18"/>
      <c r="P99" s="24"/>
      <c r="Q99" s="22"/>
    </row>
    <row r="100" spans="2:17" ht="18" customHeight="1" x14ac:dyDescent="0.15">
      <c r="B100" s="21"/>
      <c r="C100" s="21"/>
      <c r="D100" s="21"/>
      <c r="E100" s="10"/>
      <c r="F100" s="11"/>
      <c r="G100" s="11"/>
      <c r="H100" s="11"/>
      <c r="I100" s="19"/>
      <c r="J100" s="9"/>
      <c r="K100" s="10"/>
      <c r="L100" s="9"/>
      <c r="M100" s="24"/>
      <c r="N100" s="13"/>
      <c r="O100" s="18"/>
      <c r="P100" s="24"/>
      <c r="Q100" s="22"/>
    </row>
    <row r="101" spans="2:17" ht="18" customHeight="1" x14ac:dyDescent="0.15">
      <c r="B101" s="21"/>
      <c r="C101" s="21"/>
      <c r="D101" s="21"/>
      <c r="E101" s="10"/>
      <c r="F101" s="11"/>
      <c r="G101" s="11"/>
      <c r="H101" s="11"/>
      <c r="I101" s="19"/>
      <c r="J101" s="9"/>
      <c r="K101" s="10"/>
      <c r="L101" s="9"/>
      <c r="M101" s="24"/>
      <c r="N101" s="13"/>
      <c r="O101" s="18"/>
      <c r="P101" s="24"/>
      <c r="Q101" s="22"/>
    </row>
    <row r="102" spans="2:17" ht="18" customHeight="1" x14ac:dyDescent="0.15">
      <c r="B102" s="21"/>
      <c r="C102" s="21"/>
      <c r="D102" s="21"/>
      <c r="E102" s="10"/>
      <c r="F102" s="11"/>
      <c r="G102" s="11"/>
      <c r="H102" s="11"/>
      <c r="I102" s="19"/>
      <c r="J102" s="9"/>
      <c r="K102" s="10"/>
      <c r="L102" s="9"/>
      <c r="M102" s="24"/>
      <c r="N102" s="13"/>
      <c r="O102" s="18"/>
      <c r="P102" s="24"/>
      <c r="Q102" s="22"/>
    </row>
    <row r="103" spans="2:17" ht="18" customHeight="1" x14ac:dyDescent="0.15">
      <c r="B103" s="68"/>
      <c r="C103" s="6"/>
      <c r="D103" s="6"/>
      <c r="E103" s="69"/>
      <c r="F103" s="70"/>
      <c r="G103" s="11"/>
      <c r="H103" s="11"/>
      <c r="I103" s="11"/>
      <c r="J103" s="70"/>
      <c r="K103" s="71"/>
      <c r="L103" s="68"/>
      <c r="M103" s="24"/>
      <c r="N103" s="71"/>
      <c r="O103" s="72"/>
      <c r="P103" s="24"/>
      <c r="Q103" s="22"/>
    </row>
    <row r="104" spans="2:17" ht="18" customHeight="1" x14ac:dyDescent="0.15">
      <c r="B104" s="68"/>
      <c r="C104" s="71"/>
      <c r="D104" s="71"/>
      <c r="E104" s="71"/>
      <c r="F104" s="71"/>
      <c r="G104" s="71"/>
      <c r="H104" s="71"/>
      <c r="I104" s="72"/>
      <c r="J104" s="71"/>
      <c r="K104" s="71"/>
      <c r="L104" s="68"/>
      <c r="M104" s="24"/>
      <c r="N104" s="71"/>
      <c r="O104" s="72"/>
      <c r="P104" s="74"/>
      <c r="Q104" s="73"/>
    </row>
    <row r="105" spans="2:17" ht="18" customHeight="1" x14ac:dyDescent="0.15">
      <c r="B105" s="68"/>
      <c r="C105" s="71"/>
      <c r="D105" s="71"/>
      <c r="E105" s="71"/>
      <c r="F105" s="71"/>
      <c r="G105" s="71"/>
      <c r="H105" s="71"/>
      <c r="I105" s="72"/>
      <c r="J105" s="71"/>
      <c r="K105" s="71"/>
      <c r="L105" s="68"/>
      <c r="M105" s="68"/>
      <c r="N105" s="71"/>
      <c r="O105" s="72"/>
      <c r="P105" s="73"/>
      <c r="Q105" s="73"/>
    </row>
    <row r="106" spans="2:17" ht="18" customHeight="1" x14ac:dyDescent="0.15"/>
    <row r="107" spans="2:17" ht="18" customHeight="1" x14ac:dyDescent="0.15"/>
    <row r="108" spans="2:17" ht="18" customHeight="1" x14ac:dyDescent="0.15"/>
    <row r="109" spans="2:17" ht="18" customHeight="1" x14ac:dyDescent="0.15"/>
    <row r="110" spans="2:17" ht="18" customHeight="1" x14ac:dyDescent="0.15"/>
    <row r="111" spans="2:17" ht="18" customHeight="1" x14ac:dyDescent="0.15"/>
    <row r="112" spans="2:17" ht="18" customHeight="1" x14ac:dyDescent="0.15"/>
    <row r="113" spans="2:17" ht="18" customHeight="1" x14ac:dyDescent="0.15"/>
    <row r="114" spans="2:17" s="57" customFormat="1" ht="13.5" customHeight="1" x14ac:dyDescent="0.15">
      <c r="B114" s="50"/>
      <c r="C114" s="51"/>
      <c r="D114" s="51"/>
      <c r="E114" s="52"/>
      <c r="F114" s="53"/>
      <c r="G114" s="53"/>
      <c r="H114" s="53"/>
      <c r="I114" s="54"/>
      <c r="J114" s="55"/>
      <c r="K114" s="52"/>
      <c r="L114" s="56"/>
      <c r="M114" s="56"/>
      <c r="O114" s="58"/>
      <c r="P114" s="59"/>
      <c r="Q114" s="59"/>
    </row>
    <row r="115" spans="2:17" ht="13.5" customHeight="1" x14ac:dyDescent="0.15">
      <c r="B115" s="44"/>
      <c r="C115" s="45"/>
      <c r="D115" s="45"/>
      <c r="E115" s="46"/>
      <c r="F115" s="47"/>
      <c r="G115" s="47"/>
      <c r="H115" s="47"/>
      <c r="I115" s="48"/>
      <c r="J115" s="49"/>
      <c r="K115" s="46"/>
    </row>
    <row r="116" spans="2:17" ht="13.5" customHeight="1" x14ac:dyDescent="0.15">
      <c r="B116" s="6"/>
      <c r="C116" s="6"/>
      <c r="D116" s="6"/>
      <c r="E116" s="10"/>
      <c r="F116" s="11"/>
      <c r="G116" s="11"/>
      <c r="H116" s="11"/>
      <c r="I116" s="19"/>
      <c r="J116" s="9"/>
      <c r="K116" s="10"/>
    </row>
    <row r="117" spans="2:17" ht="13.5" customHeight="1" x14ac:dyDescent="0.15">
      <c r="B117" s="6"/>
      <c r="C117" s="6"/>
      <c r="D117" s="6"/>
      <c r="E117" s="10"/>
      <c r="F117" s="11"/>
      <c r="G117" s="11"/>
      <c r="H117" s="11"/>
      <c r="I117" s="19"/>
      <c r="J117" s="9"/>
      <c r="K117" s="10"/>
    </row>
    <row r="118" spans="2:17" ht="13.5" customHeight="1" x14ac:dyDescent="0.15">
      <c r="B118" s="6"/>
      <c r="C118" s="6"/>
      <c r="D118" s="6"/>
      <c r="E118" s="10"/>
      <c r="F118" s="11"/>
      <c r="G118" s="11"/>
      <c r="H118" s="11"/>
      <c r="I118" s="19"/>
      <c r="J118" s="9"/>
      <c r="K118" s="10"/>
    </row>
  </sheetData>
  <autoFilter ref="B8:O118" xr:uid="{00000000-0009-0000-0000-000000000000}"/>
  <mergeCells count="10">
    <mergeCell ref="B36:E36"/>
    <mergeCell ref="B61:E61"/>
    <mergeCell ref="B74:E74"/>
    <mergeCell ref="B10:E10"/>
    <mergeCell ref="B6:D6"/>
    <mergeCell ref="G2:I2"/>
    <mergeCell ref="B2:D2"/>
    <mergeCell ref="B3:D3"/>
    <mergeCell ref="B4:D4"/>
    <mergeCell ref="B5:D5"/>
  </mergeCells>
  <phoneticPr fontId="14"/>
  <dataValidations count="1">
    <dataValidation allowBlank="1" showInputMessage="1" showErrorMessage="1" sqref="J73:J74 J29:J34 J25:J27" xr:uid="{00000000-0002-0000-0000-000000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D7" sqref="D7"/>
    </sheetView>
  </sheetViews>
  <sheetFormatPr defaultColWidth="11.75" defaultRowHeight="13.5" customHeight="1" x14ac:dyDescent="0.15"/>
  <cols>
    <col min="1" max="4" width="11.75" style="1"/>
  </cols>
  <sheetData/>
  <phoneticPr fontId="1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75" defaultRowHeight="13.5" customHeight="1" x14ac:dyDescent="0.15"/>
  <cols>
    <col min="1" max="1" width="11.75" style="1"/>
  </cols>
  <sheetData/>
  <phoneticPr fontId="1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発注 (20220304)  受注NO.1950242</vt:lpstr>
      <vt:lpstr>発注 (20220216) </vt:lpstr>
      <vt:lpstr>Sheet1</vt:lpstr>
      <vt:lpstr>Sheet2</vt:lpstr>
      <vt:lpstr>Sheet3</vt:lpstr>
      <vt:lpstr>Sheet1!_FilterDatabase</vt:lpstr>
      <vt:lpstr>'発注 (20220216) '!_FilterDatabase</vt:lpstr>
      <vt:lpstr>'発注 (20220304)  受注NO.1950242'!_FilterDatabase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佐々木</cp:lastModifiedBy>
  <dcterms:created xsi:type="dcterms:W3CDTF">2016-05-16T08:05:24Z</dcterms:created>
  <dcterms:modified xsi:type="dcterms:W3CDTF">2022-03-18T01:18:15Z</dcterms:modified>
</cp:coreProperties>
</file>