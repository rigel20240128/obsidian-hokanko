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A386712B-EA26-40BC-B9A1-107E06882415}" xr6:coauthVersionLast="47" xr6:coauthVersionMax="47" xr10:uidLastSave="{00000000-0000-0000-0000-000000000000}"/>
  <bookViews>
    <workbookView xWindow="-120" yWindow="-120" windowWidth="29040" windowHeight="15840" xr2:uid="{00000000-000D-0000-FFFF-FFFF00000000}"/>
  </bookViews>
  <sheets>
    <sheet name="SETB0230-A01 (20240807)　③" sheetId="15" r:id="rId1"/>
    <sheet name="Sheet1" sheetId="13" r:id="rId2"/>
    <sheet name="Sheet2" sheetId="2" r:id="rId3"/>
    <sheet name="Sheet3" sheetId="3" r:id="rId4"/>
  </sheets>
  <definedNames>
    <definedName name="_xlnm._FilterDatabase" localSheetId="0" hidden="1">'SETB0230-A01 (20240807)　③'!$A$10:$S$154</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18" i="15" l="1"/>
  <c r="J188" i="15" l="1"/>
  <c r="J187" i="15"/>
  <c r="J186" i="15"/>
  <c r="J151" i="15"/>
  <c r="J150" i="15"/>
  <c r="J149" i="15"/>
  <c r="J148" i="15"/>
  <c r="J147" i="15"/>
  <c r="J146" i="15"/>
  <c r="J145" i="15"/>
  <c r="J144" i="15"/>
  <c r="J143" i="15"/>
  <c r="J142" i="15"/>
  <c r="J141" i="15"/>
  <c r="J140" i="15"/>
  <c r="J139" i="15"/>
  <c r="J138" i="15"/>
  <c r="J137" i="15"/>
  <c r="J136" i="15"/>
  <c r="J135" i="15"/>
  <c r="J134" i="15"/>
  <c r="J133" i="15"/>
  <c r="J132" i="15"/>
  <c r="J131" i="15"/>
  <c r="J130" i="15"/>
  <c r="J129" i="15"/>
  <c r="J128" i="15"/>
  <c r="J127" i="15"/>
  <c r="J126" i="15"/>
  <c r="J125" i="15"/>
  <c r="J124" i="15"/>
  <c r="J123" i="15"/>
  <c r="J122" i="15"/>
  <c r="J121" i="15"/>
  <c r="J120" i="15"/>
  <c r="J114" i="15"/>
  <c r="J113" i="15"/>
  <c r="J112" i="15"/>
  <c r="J111" i="15"/>
  <c r="J110" i="15"/>
  <c r="J109" i="15"/>
  <c r="J108" i="15"/>
  <c r="J107" i="15"/>
  <c r="J100" i="15"/>
  <c r="J99" i="15"/>
  <c r="J98" i="15"/>
  <c r="J97" i="15"/>
  <c r="J96" i="15"/>
  <c r="J95" i="15"/>
  <c r="J94" i="15"/>
  <c r="J93" i="15"/>
  <c r="J92" i="15"/>
  <c r="J91" i="15"/>
  <c r="J90" i="15"/>
  <c r="J89" i="15"/>
  <c r="J88" i="15"/>
  <c r="J87" i="15"/>
  <c r="J86" i="15"/>
  <c r="J85" i="15"/>
  <c r="J78" i="15"/>
  <c r="J77" i="15"/>
  <c r="J76" i="15"/>
  <c r="J75" i="15"/>
  <c r="J74" i="15"/>
  <c r="J73" i="15"/>
  <c r="J72" i="15"/>
  <c r="J71" i="15"/>
  <c r="J70" i="15"/>
  <c r="J69" i="15"/>
  <c r="J68" i="15"/>
  <c r="J67" i="15"/>
  <c r="J66" i="15"/>
  <c r="J65" i="15"/>
  <c r="J64" i="15"/>
  <c r="J63" i="15"/>
  <c r="J62" i="15"/>
  <c r="J61" i="15"/>
  <c r="J60" i="15"/>
  <c r="J59" i="15"/>
  <c r="J58" i="15"/>
  <c r="J57" i="15"/>
  <c r="J56" i="15"/>
  <c r="J50" i="15"/>
  <c r="J49" i="15"/>
  <c r="J48" i="15"/>
  <c r="J47" i="15"/>
  <c r="J46" i="15"/>
  <c r="J45" i="15"/>
  <c r="J44" i="15"/>
  <c r="J43" i="15"/>
  <c r="J42" i="15"/>
  <c r="J36" i="15"/>
  <c r="J35" i="15"/>
  <c r="J34" i="15"/>
  <c r="J33" i="15"/>
  <c r="J32" i="15"/>
  <c r="J31" i="15"/>
  <c r="J30" i="15"/>
  <c r="J29" i="15"/>
  <c r="J28" i="15"/>
  <c r="J27" i="15"/>
  <c r="J26" i="15"/>
  <c r="J25" i="15"/>
  <c r="J24" i="15"/>
  <c r="J23" i="15"/>
  <c r="J22" i="15"/>
  <c r="J21" i="15"/>
  <c r="J20" i="15"/>
  <c r="J19" i="15"/>
  <c r="D19" i="15"/>
  <c r="D20" i="15" s="1"/>
  <c r="D21" i="15" s="1"/>
  <c r="D22" i="15" s="1"/>
  <c r="D23" i="15" s="1"/>
  <c r="D24" i="15" s="1"/>
  <c r="D25" i="15" s="1"/>
  <c r="D26" i="15" s="1"/>
  <c r="D27" i="15" s="1"/>
  <c r="D28" i="15" s="1"/>
  <c r="D29" i="15" s="1"/>
  <c r="D30" i="15" s="1"/>
  <c r="D31" i="15" s="1"/>
  <c r="D32" i="15" s="1"/>
  <c r="D33" i="15" s="1"/>
  <c r="D34" i="15" s="1"/>
  <c r="D35" i="15" s="1"/>
  <c r="D36" i="15" s="1"/>
  <c r="D42" i="15" s="1"/>
  <c r="D43" i="15" s="1"/>
  <c r="D44" i="15" s="1"/>
  <c r="D45" i="15" s="1"/>
  <c r="D46" i="15" s="1"/>
  <c r="D47" i="15" s="1"/>
  <c r="D48" i="15" s="1"/>
  <c r="D49" i="15" s="1"/>
  <c r="D50" i="15" s="1"/>
  <c r="D56" i="15" s="1"/>
  <c r="D57" i="15" s="1"/>
  <c r="D58" i="15" s="1"/>
  <c r="D59" i="15" s="1"/>
  <c r="D60" i="15" s="1"/>
  <c r="D61" i="15" s="1"/>
  <c r="D62" i="15" s="1"/>
  <c r="D63" i="15" s="1"/>
  <c r="D64" i="15" s="1"/>
  <c r="D65" i="15" s="1"/>
  <c r="D66" i="15" s="1"/>
  <c r="D67" i="15" s="1"/>
  <c r="D68" i="15" s="1"/>
  <c r="D69" i="15" s="1"/>
  <c r="D70" i="15" s="1"/>
  <c r="D71" i="15" s="1"/>
  <c r="D72" i="15" s="1"/>
  <c r="J18" i="15"/>
  <c r="J12" i="15"/>
  <c r="G14" i="15" s="1"/>
  <c r="D73" i="15" l="1"/>
  <c r="G102" i="15"/>
  <c r="G52" i="15"/>
  <c r="L2" i="15"/>
  <c r="G116" i="15"/>
  <c r="G80" i="15"/>
  <c r="G38" i="15"/>
  <c r="G154" i="15"/>
  <c r="D74" i="15" l="1"/>
  <c r="D75" i="15" l="1"/>
  <c r="D76" i="15" s="1"/>
  <c r="D77" i="15" l="1"/>
  <c r="D78" i="15" s="1"/>
  <c r="D85" i="15" s="1"/>
  <c r="D86" i="15" s="1"/>
  <c r="D87" i="15" s="1"/>
  <c r="D88" i="15" s="1"/>
  <c r="D89" i="15" s="1"/>
  <c r="D90" i="15" s="1"/>
  <c r="D91" i="15" s="1"/>
  <c r="D92" i="15" s="1"/>
  <c r="D93" i="15" s="1"/>
  <c r="D94" i="15" s="1"/>
  <c r="D95" i="15" s="1"/>
  <c r="D96" i="15" s="1"/>
  <c r="D97" i="15" s="1"/>
  <c r="D98" i="15" s="1"/>
  <c r="D99" i="15" s="1"/>
  <c r="D100" i="15" s="1"/>
  <c r="D107" i="15" s="1"/>
  <c r="D108" i="15" s="1"/>
  <c r="D109" i="15" s="1"/>
  <c r="D110" i="15" s="1"/>
  <c r="D111" i="15" s="1"/>
  <c r="D112" i="15" s="1"/>
  <c r="D113" i="15" s="1"/>
  <c r="D114" i="15" s="1"/>
  <c r="D120" i="15" s="1"/>
  <c r="D121" i="15" s="1"/>
  <c r="D122" i="15" s="1"/>
  <c r="D123" i="15" s="1"/>
  <c r="D124" i="15" s="1"/>
  <c r="D125" i="15" s="1"/>
  <c r="D126" i="15" s="1"/>
  <c r="D127" i="15" s="1"/>
  <c r="D128" i="15" s="1"/>
  <c r="D129" i="15" s="1"/>
  <c r="D130" i="15" s="1"/>
  <c r="D131" i="15" s="1"/>
  <c r="D132" i="15" s="1"/>
  <c r="D133" i="15" s="1"/>
  <c r="D134" i="15" s="1"/>
  <c r="D135" i="15" s="1"/>
  <c r="D136" i="15" s="1"/>
  <c r="D137" i="15" s="1"/>
  <c r="D138" i="15" s="1"/>
  <c r="D139" i="15" s="1"/>
  <c r="D140" i="15" s="1"/>
  <c r="D141" i="15" s="1"/>
  <c r="D142" i="15" s="1"/>
  <c r="D143" i="15" s="1"/>
  <c r="D144" i="15" s="1"/>
  <c r="D145" i="15" s="1"/>
  <c r="D146" i="15" s="1"/>
  <c r="D147" i="15" s="1"/>
  <c r="D148" i="15" l="1"/>
  <c r="D149" i="15" s="1"/>
  <c r="D150" i="15" s="1"/>
  <c r="D151" i="15" s="1"/>
</calcChain>
</file>

<file path=xl/sharedStrings.xml><?xml version="1.0" encoding="utf-8"?>
<sst xmlns="http://schemas.openxmlformats.org/spreadsheetml/2006/main" count="704" uniqueCount="285">
  <si>
    <t>お客先名</t>
  </si>
  <si>
    <t>合計金額</t>
  </si>
  <si>
    <t>担当営業</t>
  </si>
  <si>
    <t>受注番号</t>
  </si>
  <si>
    <t>希望納期</t>
  </si>
  <si>
    <t>最終納品</t>
  </si>
  <si>
    <t>見積り分類</t>
  </si>
  <si>
    <t>メーカー</t>
  </si>
  <si>
    <t>仕入先</t>
  </si>
  <si>
    <t>品名 / 型式</t>
  </si>
  <si>
    <t>数量</t>
  </si>
  <si>
    <t>単価</t>
  </si>
  <si>
    <t>金額</t>
  </si>
  <si>
    <t>分類合計</t>
  </si>
  <si>
    <t>詳細</t>
  </si>
  <si>
    <t>備考</t>
  </si>
  <si>
    <t>技術分類</t>
  </si>
  <si>
    <t>発注日</t>
  </si>
  <si>
    <t>発注</t>
  </si>
  <si>
    <t>納期</t>
  </si>
  <si>
    <t>入荷予定日</t>
  </si>
  <si>
    <t>入荷日</t>
  </si>
  <si>
    <t>運送費</t>
  </si>
  <si>
    <t>設計費</t>
  </si>
  <si>
    <t>組立調整費</t>
  </si>
  <si>
    <t>出荷依頼項目NO.</t>
    <rPh sb="0" eb="4">
      <t>シュッカイライ</t>
    </rPh>
    <rPh sb="4" eb="6">
      <t>コウモク</t>
    </rPh>
    <phoneticPr fontId="9"/>
  </si>
  <si>
    <t>ミスミ</t>
    <phoneticPr fontId="10"/>
  </si>
  <si>
    <t>配電BOX　関連</t>
    <rPh sb="0" eb="2">
      <t>ハイデン</t>
    </rPh>
    <rPh sb="6" eb="8">
      <t>カンレン</t>
    </rPh>
    <phoneticPr fontId="10"/>
  </si>
  <si>
    <t>1日目</t>
    <rPh sb="1" eb="2">
      <t>ヒ</t>
    </rPh>
    <rPh sb="2" eb="3">
      <t>メ</t>
    </rPh>
    <phoneticPr fontId="10"/>
  </si>
  <si>
    <t>3日目</t>
    <rPh sb="1" eb="2">
      <t>ヒ</t>
    </rPh>
    <rPh sb="2" eb="3">
      <t>メ</t>
    </rPh>
    <phoneticPr fontId="10"/>
  </si>
  <si>
    <t>2日目</t>
    <rPh sb="1" eb="2">
      <t>ヒ</t>
    </rPh>
    <rPh sb="2" eb="3">
      <t>メ</t>
    </rPh>
    <phoneticPr fontId="10"/>
  </si>
  <si>
    <t>meviy</t>
    <phoneticPr fontId="10"/>
  </si>
  <si>
    <t>MVSHM-3N02052005020-2D1-AN79X</t>
    <phoneticPr fontId="10"/>
  </si>
  <si>
    <t>158930－Z001　レギュレーター取付板金</t>
    <phoneticPr fontId="10"/>
  </si>
  <si>
    <t>BVHV6-1-3-A</t>
    <phoneticPr fontId="10"/>
  </si>
  <si>
    <t>ハンドバルブ</t>
    <phoneticPr fontId="10"/>
  </si>
  <si>
    <t>CHNS4</t>
    <phoneticPr fontId="10"/>
  </si>
  <si>
    <t>蝶ﾅｯﾄ</t>
    <phoneticPr fontId="10"/>
  </si>
  <si>
    <t>RSCB4-15</t>
    <phoneticPr fontId="10"/>
  </si>
  <si>
    <t>六角ﾎﾞﾙﾄ</t>
    <phoneticPr fontId="10"/>
  </si>
  <si>
    <t xml:space="preserve">USYL6 </t>
    <phoneticPr fontId="10"/>
  </si>
  <si>
    <t>ワンタッチ継手　Ｙタイプ</t>
    <phoneticPr fontId="10"/>
  </si>
  <si>
    <t>BSLG6</t>
    <phoneticPr fontId="10"/>
  </si>
  <si>
    <t>ワンタッチ継手　ブラインドプラグ</t>
  </si>
  <si>
    <t>SCB4-6</t>
    <phoneticPr fontId="10"/>
  </si>
  <si>
    <t>六角穴付きﾎﾞﾙﾄ　M4×6mm　　　　2本</t>
    <rPh sb="21" eb="22">
      <t>ホン</t>
    </rPh>
    <phoneticPr fontId="10"/>
  </si>
  <si>
    <t>A8110</t>
    <phoneticPr fontId="10"/>
  </si>
  <si>
    <t>汎用3芯OAタップ 4ヶ口</t>
    <phoneticPr fontId="10"/>
  </si>
  <si>
    <t>ＪＡＰＰＹ</t>
    <phoneticPr fontId="10"/>
  </si>
  <si>
    <t>配線ダクト（側片折り取り可能）　1本　　カッチンダクト</t>
    <rPh sb="17" eb="18">
      <t>ホン</t>
    </rPh>
    <phoneticPr fontId="10"/>
  </si>
  <si>
    <t>EBS-32FB-15A</t>
    <phoneticPr fontId="10"/>
  </si>
  <si>
    <t>漏電ブレーカ</t>
    <rPh sb="0" eb="2">
      <t>ロウデン</t>
    </rPh>
    <phoneticPr fontId="10"/>
  </si>
  <si>
    <t>TBS-22</t>
    <phoneticPr fontId="10"/>
  </si>
  <si>
    <r>
      <t>端子カバー　</t>
    </r>
    <r>
      <rPr>
        <b/>
        <sz val="11"/>
        <rFont val="ＭＳ Ｐゴシック"/>
        <family val="3"/>
        <charset val="128"/>
      </rPr>
      <t>　</t>
    </r>
    <phoneticPr fontId="10"/>
  </si>
  <si>
    <t>MKS9L-10P</t>
    <phoneticPr fontId="10"/>
  </si>
  <si>
    <t>MKBシリーズ　止め金具【10個入り】</t>
    <phoneticPr fontId="10"/>
  </si>
  <si>
    <t>MWS-MDR50-HT50</t>
    <phoneticPr fontId="10"/>
  </si>
  <si>
    <t>MWSシリーズ（バネアップ）,対応圧着端子：Y端子/丸端子</t>
    <phoneticPr fontId="10"/>
  </si>
  <si>
    <t>MWS-DS37A-HT37</t>
    <phoneticPr fontId="10"/>
  </si>
  <si>
    <t>MWSシリーズ（バネアップ）,DINレール取付、ネジ取付両対応</t>
    <phoneticPr fontId="10"/>
  </si>
  <si>
    <t>3VC-3</t>
    <phoneticPr fontId="10"/>
  </si>
  <si>
    <t>ACコード 固定長（PSE） 片側切り落としタイププラグ</t>
    <phoneticPr fontId="10"/>
  </si>
  <si>
    <t>DINレール</t>
    <phoneticPr fontId="10"/>
  </si>
  <si>
    <t>三沢電線</t>
    <rPh sb="0" eb="2">
      <t>ミサワ</t>
    </rPh>
    <rPh sb="2" eb="4">
      <t>デンセン</t>
    </rPh>
    <phoneticPr fontId="10"/>
  </si>
  <si>
    <t>UL1007-20AWG-BE-10</t>
    <phoneticPr fontId="10"/>
  </si>
  <si>
    <t>単芯電線　　0.5　AGW20　青色</t>
    <rPh sb="0" eb="1">
      <t>タン</t>
    </rPh>
    <rPh sb="1" eb="2">
      <t>シン</t>
    </rPh>
    <rPh sb="2" eb="4">
      <t>デンセン</t>
    </rPh>
    <rPh sb="16" eb="17">
      <t>アオ</t>
    </rPh>
    <rPh sb="17" eb="18">
      <t>イロ</t>
    </rPh>
    <phoneticPr fontId="10"/>
  </si>
  <si>
    <t>UL1007-18AWG-R-10</t>
    <phoneticPr fontId="10"/>
  </si>
  <si>
    <t>単芯電線　　0.75　AGW18　赤色</t>
    <rPh sb="0" eb="1">
      <t>タン</t>
    </rPh>
    <rPh sb="1" eb="2">
      <t>シン</t>
    </rPh>
    <rPh sb="2" eb="4">
      <t>デンセン</t>
    </rPh>
    <rPh sb="17" eb="19">
      <t>アカイロ</t>
    </rPh>
    <phoneticPr fontId="10"/>
  </si>
  <si>
    <t>UL1007-18AWG-BK-10</t>
    <phoneticPr fontId="10"/>
  </si>
  <si>
    <t>単芯電線　　0.75　AGW18　黒色</t>
    <rPh sb="0" eb="1">
      <t>タン</t>
    </rPh>
    <rPh sb="1" eb="2">
      <t>シン</t>
    </rPh>
    <rPh sb="2" eb="4">
      <t>デンセン</t>
    </rPh>
    <rPh sb="17" eb="19">
      <t>コクショク</t>
    </rPh>
    <phoneticPr fontId="10"/>
  </si>
  <si>
    <t>UL1007-18AWG-Y-10</t>
    <phoneticPr fontId="10"/>
  </si>
  <si>
    <t>単芯電線　　0.75　AGW18　黄色</t>
    <rPh sb="0" eb="1">
      <t>タン</t>
    </rPh>
    <rPh sb="1" eb="2">
      <t>シン</t>
    </rPh>
    <rPh sb="2" eb="4">
      <t>デンセン</t>
    </rPh>
    <rPh sb="17" eb="19">
      <t>キイロ</t>
    </rPh>
    <phoneticPr fontId="10"/>
  </si>
  <si>
    <t>UL1007-18AWG-GN-10</t>
    <phoneticPr fontId="10"/>
  </si>
  <si>
    <t>単芯電線　　0.75　AGW18　緑色</t>
    <rPh sb="0" eb="1">
      <t>タン</t>
    </rPh>
    <rPh sb="1" eb="2">
      <t>シン</t>
    </rPh>
    <rPh sb="2" eb="4">
      <t>デンセン</t>
    </rPh>
    <rPh sb="17" eb="19">
      <t>ミドリイロ</t>
    </rPh>
    <phoneticPr fontId="10"/>
  </si>
  <si>
    <t>UL1007-16AWG-Y-10</t>
    <phoneticPr fontId="10"/>
  </si>
  <si>
    <t>単芯電線　　1.25　AGW16　黄色</t>
    <rPh sb="0" eb="1">
      <t>タン</t>
    </rPh>
    <rPh sb="1" eb="2">
      <t>シン</t>
    </rPh>
    <rPh sb="2" eb="4">
      <t>デンセン</t>
    </rPh>
    <rPh sb="17" eb="19">
      <t>キイロ</t>
    </rPh>
    <phoneticPr fontId="10"/>
  </si>
  <si>
    <t>UL1007-16AWG-GN-10</t>
    <phoneticPr fontId="10"/>
  </si>
  <si>
    <t>単芯電線　　1.25　AGW16　緑色</t>
    <rPh sb="0" eb="1">
      <t>タン</t>
    </rPh>
    <rPh sb="1" eb="2">
      <t>シン</t>
    </rPh>
    <rPh sb="2" eb="4">
      <t>デンセン</t>
    </rPh>
    <rPh sb="17" eb="19">
      <t>ミドリイロ</t>
    </rPh>
    <phoneticPr fontId="10"/>
  </si>
  <si>
    <t>SS300UCRSB-23-3-20</t>
    <phoneticPr fontId="10"/>
  </si>
  <si>
    <t>SS300UCR UL/CE対応（シールド有(３芯）</t>
    <rPh sb="24" eb="25">
      <t>シン</t>
    </rPh>
    <phoneticPr fontId="10"/>
  </si>
  <si>
    <t>Web設計ボックス</t>
    <rPh sb="3" eb="5">
      <t>セッケイ</t>
    </rPh>
    <phoneticPr fontId="10"/>
  </si>
  <si>
    <t>タキゲン製造</t>
    <rPh sb="4" eb="6">
      <t>セイゾウ</t>
    </rPh>
    <phoneticPr fontId="10"/>
  </si>
  <si>
    <t>C-30-SG-30X90A-EP-UL</t>
    <phoneticPr fontId="10"/>
  </si>
  <si>
    <t>グロメット　　2個</t>
    <rPh sb="8" eb="9">
      <t>コ</t>
    </rPh>
    <phoneticPr fontId="10"/>
  </si>
  <si>
    <t>AYSK15-10</t>
    <phoneticPr fontId="10"/>
  </si>
  <si>
    <t>ゴム足</t>
    <rPh sb="2" eb="3">
      <t>アシ</t>
    </rPh>
    <phoneticPr fontId="10"/>
  </si>
  <si>
    <t>ミスミ</t>
  </si>
  <si>
    <t xml:space="preserve">SCB4-8  </t>
    <phoneticPr fontId="10"/>
  </si>
  <si>
    <t>六角穴付ボルト　　4本 在庫使用</t>
    <rPh sb="10" eb="11">
      <t>ホン</t>
    </rPh>
    <phoneticPr fontId="10"/>
  </si>
  <si>
    <t>ﾜｺﾞ</t>
    <phoneticPr fontId="10"/>
  </si>
  <si>
    <t>2000-1301</t>
    <phoneticPr fontId="10"/>
  </si>
  <si>
    <t>DINレール用中継端子台 2000シリーズ　ｸﾞﾚｰ色　　16個</t>
    <rPh sb="26" eb="27">
      <t>ショク</t>
    </rPh>
    <rPh sb="31" eb="32">
      <t>コ</t>
    </rPh>
    <phoneticPr fontId="10"/>
  </si>
  <si>
    <t>2000-1391</t>
    <phoneticPr fontId="10"/>
  </si>
  <si>
    <t>中継用端子台用エンドプレート  ｸﾞﾚｰ色　4枚</t>
    <rPh sb="23" eb="24">
      <t>マイ</t>
    </rPh>
    <phoneticPr fontId="10"/>
  </si>
  <si>
    <t>2000-404</t>
    <phoneticPr fontId="10"/>
  </si>
  <si>
    <t>中継用端子台 差込型ジャンパ（絶縁）　　4個</t>
    <rPh sb="21" eb="22">
      <t>コ</t>
    </rPh>
    <phoneticPr fontId="10"/>
  </si>
  <si>
    <t>2002-1301</t>
    <phoneticPr fontId="10"/>
  </si>
  <si>
    <t>DINレール用中継端子台 2002シリーズ　ｸﾞﾚｰ色　　6個</t>
    <rPh sb="26" eb="27">
      <t>ショク</t>
    </rPh>
    <rPh sb="30" eb="31">
      <t>コ</t>
    </rPh>
    <phoneticPr fontId="10"/>
  </si>
  <si>
    <t>2002-1307</t>
    <phoneticPr fontId="10"/>
  </si>
  <si>
    <t>DINレール用中継端子台 2002シリーズ　ｱｰｽ用ｸﾞﾘｰﾝ色　3個</t>
    <rPh sb="25" eb="26">
      <t>ヨウ</t>
    </rPh>
    <rPh sb="31" eb="32">
      <t>イロ</t>
    </rPh>
    <rPh sb="34" eb="35">
      <t>コ</t>
    </rPh>
    <phoneticPr fontId="10"/>
  </si>
  <si>
    <t>2002-403</t>
    <phoneticPr fontId="10"/>
  </si>
  <si>
    <t>中継用端子台 差込型ジャンパ（絶縁） 2002シリーズ用　3個</t>
    <rPh sb="30" eb="31">
      <t>コ</t>
    </rPh>
    <phoneticPr fontId="10"/>
  </si>
  <si>
    <t>2002-1391</t>
    <phoneticPr fontId="10"/>
  </si>
  <si>
    <t>中継用端子台用エンドプレート　　4個</t>
    <rPh sb="17" eb="18">
      <t>コ</t>
    </rPh>
    <phoneticPr fontId="10"/>
  </si>
  <si>
    <t>1日目</t>
    <rPh sb="1" eb="3">
      <t>ヒメ</t>
    </rPh>
    <phoneticPr fontId="10"/>
  </si>
  <si>
    <t>ﾂｰﾙ冶具ﾕﾆｯﾄ</t>
    <phoneticPr fontId="10"/>
  </si>
  <si>
    <t>8日目</t>
    <rPh sb="1" eb="2">
      <t>ヒ</t>
    </rPh>
    <rPh sb="2" eb="3">
      <t>メ</t>
    </rPh>
    <phoneticPr fontId="10"/>
  </si>
  <si>
    <t>CBSST3-6</t>
    <phoneticPr fontId="10"/>
  </si>
  <si>
    <t>低頭六角穴付ボルト</t>
    <phoneticPr fontId="10"/>
  </si>
  <si>
    <t>モーター駆動軸先端固定用ﾈｼﾞ</t>
    <rPh sb="4" eb="6">
      <t>クドウ</t>
    </rPh>
    <rPh sb="6" eb="7">
      <t>ジク</t>
    </rPh>
    <rPh sb="7" eb="9">
      <t>センタン</t>
    </rPh>
    <rPh sb="9" eb="11">
      <t>コテイ</t>
    </rPh>
    <rPh sb="11" eb="12">
      <t>ヨウ</t>
    </rPh>
    <phoneticPr fontId="10"/>
  </si>
  <si>
    <t>MS3-10</t>
    <phoneticPr fontId="10"/>
  </si>
  <si>
    <t>ノックピン　－プラス公差　2本</t>
    <rPh sb="14" eb="15">
      <t>ホン</t>
    </rPh>
    <phoneticPr fontId="10"/>
  </si>
  <si>
    <t>SCB4-14</t>
    <phoneticPr fontId="10"/>
  </si>
  <si>
    <t>SCB4-25</t>
    <phoneticPr fontId="10"/>
  </si>
  <si>
    <t>ﾛﾎﾞｯﾄθ軸固定用</t>
    <phoneticPr fontId="10"/>
  </si>
  <si>
    <t xml:space="preserve">SLBNR4 </t>
    <phoneticPr fontId="10"/>
  </si>
  <si>
    <t>ナット　　1個</t>
    <rPh sb="6" eb="7">
      <t>コ</t>
    </rPh>
    <phoneticPr fontId="10"/>
  </si>
  <si>
    <t>sunco</t>
    <phoneticPr fontId="10"/>
  </si>
  <si>
    <t>SSHNI-ST-M4-14</t>
    <phoneticPr fontId="10"/>
  </si>
  <si>
    <t>六角穴付 止めねじ 棒先 アンスコ製　　1個</t>
    <rPh sb="21" eb="22">
      <t>コ</t>
    </rPh>
    <phoneticPr fontId="10"/>
  </si>
  <si>
    <t>WSSS12-3-1</t>
    <phoneticPr fontId="10"/>
  </si>
  <si>
    <t>金属ワッシャ　Ｔ寸選択・指定タイプ</t>
    <phoneticPr fontId="10"/>
  </si>
  <si>
    <t>モーター駆動軸先端固定用ｽﾍﾟｰｻ部使用</t>
    <rPh sb="4" eb="6">
      <t>クドウ</t>
    </rPh>
    <rPh sb="6" eb="7">
      <t>ジク</t>
    </rPh>
    <rPh sb="7" eb="9">
      <t>センタン</t>
    </rPh>
    <rPh sb="9" eb="11">
      <t>コテイ</t>
    </rPh>
    <rPh sb="11" eb="12">
      <t>ヨウ</t>
    </rPh>
    <rPh sb="17" eb="18">
      <t>ブ</t>
    </rPh>
    <rPh sb="18" eb="20">
      <t>シヨウ</t>
    </rPh>
    <phoneticPr fontId="10"/>
  </si>
  <si>
    <t>MSSFS4-8</t>
    <phoneticPr fontId="10"/>
  </si>
  <si>
    <t>六角穴付止めねじ平先</t>
    <phoneticPr fontId="10"/>
  </si>
  <si>
    <t>SETB-0091-Ｙ05 に固定</t>
    <rPh sb="15" eb="17">
      <t>コテイ</t>
    </rPh>
    <phoneticPr fontId="10"/>
  </si>
  <si>
    <t>六角穴付きﾎﾞﾙﾄ　 (M4×25)　2本</t>
    <rPh sb="20" eb="21">
      <t>ホン</t>
    </rPh>
    <phoneticPr fontId="10"/>
  </si>
  <si>
    <t>SCB5-10</t>
    <phoneticPr fontId="10"/>
  </si>
  <si>
    <t>六角穴付きﾎﾞﾙﾄ　M5×10mm　1本</t>
    <rPh sb="19" eb="20">
      <t>ホン</t>
    </rPh>
    <phoneticPr fontId="10"/>
  </si>
  <si>
    <t>ﾛﾎﾞｯﾄθ軸固定用</t>
    <rPh sb="6" eb="7">
      <t>ジク</t>
    </rPh>
    <rPh sb="7" eb="9">
      <t>コテイ</t>
    </rPh>
    <rPh sb="9" eb="10">
      <t>ヨウ</t>
    </rPh>
    <phoneticPr fontId="10"/>
  </si>
  <si>
    <t>WSSS16-5-3</t>
    <phoneticPr fontId="10"/>
  </si>
  <si>
    <t>DCLS-D17-V10-H22-T1.5-L5.5</t>
    <phoneticPr fontId="10"/>
  </si>
  <si>
    <t>段付スペーサ</t>
    <phoneticPr fontId="10"/>
  </si>
  <si>
    <t>SETB-0091-Ｙ06 モータ受けとして</t>
    <rPh sb="17" eb="18">
      <t>ウ</t>
    </rPh>
    <phoneticPr fontId="10"/>
  </si>
  <si>
    <t>FL6903ZZ</t>
    <phoneticPr fontId="10"/>
  </si>
  <si>
    <t>小径玉軸受　フランジ付両シールド形</t>
    <phoneticPr fontId="10"/>
  </si>
  <si>
    <t>ノックピン　－プラス公差　8本</t>
    <rPh sb="14" eb="15">
      <t>ホン</t>
    </rPh>
    <phoneticPr fontId="10"/>
  </si>
  <si>
    <t>SCB4-45</t>
    <phoneticPr fontId="10"/>
  </si>
  <si>
    <t>六角穴付きﾎﾞﾙﾄ　 (M4×45)　4本</t>
    <rPh sb="20" eb="21">
      <t>ホン</t>
    </rPh>
    <phoneticPr fontId="10"/>
  </si>
  <si>
    <t>六角穴付きﾎﾞﾙﾄ　 (M4×14)　　6本</t>
    <rPh sb="21" eb="22">
      <t>ホン</t>
    </rPh>
    <phoneticPr fontId="10"/>
  </si>
  <si>
    <t>SETB-0091-Y06とSETB-0091-Y05　固定用　6個</t>
    <rPh sb="28" eb="30">
      <t>コテイ</t>
    </rPh>
    <rPh sb="30" eb="31">
      <t>ヨウ</t>
    </rPh>
    <rPh sb="33" eb="34">
      <t>コ</t>
    </rPh>
    <phoneticPr fontId="10"/>
  </si>
  <si>
    <t>ねじ変換継手</t>
    <phoneticPr fontId="10"/>
  </si>
  <si>
    <t>チューブ用継手　ナット・スリーブ一体型　エルボ　</t>
    <phoneticPr fontId="10"/>
  </si>
  <si>
    <t>SUNCO</t>
    <phoneticPr fontId="10"/>
  </si>
  <si>
    <t>ﾐｽﾐ</t>
    <phoneticPr fontId="10"/>
  </si>
  <si>
    <t>FNT3</t>
    <phoneticPr fontId="10"/>
  </si>
  <si>
    <t>KBXS100-100</t>
    <phoneticPr fontId="10"/>
  </si>
  <si>
    <t>金属BOX</t>
    <phoneticPr fontId="10"/>
  </si>
  <si>
    <t>SCB4-5</t>
    <phoneticPr fontId="10"/>
  </si>
  <si>
    <r>
      <t>SETB0091</t>
    </r>
    <r>
      <rPr>
        <b/>
        <sz val="11"/>
        <rFont val="ＭＳ Ｐゴシック"/>
        <family val="3"/>
        <charset val="128"/>
      </rPr>
      <t>-Ｙ05</t>
    </r>
    <r>
      <rPr>
        <sz val="11"/>
        <color theme="1"/>
        <rFont val="ＭＳ Ｐゴシック"/>
        <family val="3"/>
        <charset val="128"/>
        <scheme val="minor"/>
      </rPr>
      <t xml:space="preserve"> 回転軸位置決めﾌﾞﾗｹｯﾄ</t>
    </r>
    <phoneticPr fontId="10"/>
  </si>
  <si>
    <r>
      <rPr>
        <b/>
        <sz val="11"/>
        <color indexed="8"/>
        <rFont val="ＭＳ Ｐゴシック"/>
        <family val="3"/>
        <charset val="128"/>
      </rPr>
      <t>SETB-0110-Ｙ01</t>
    </r>
    <r>
      <rPr>
        <b/>
        <sz val="11"/>
        <color indexed="10"/>
        <rFont val="ＭＳ Ｐゴシック"/>
        <family val="3"/>
        <charset val="128"/>
      </rPr>
      <t xml:space="preserve"> </t>
    </r>
    <r>
      <rPr>
        <sz val="11"/>
        <color theme="1"/>
        <rFont val="ＭＳ Ｐゴシック"/>
        <family val="3"/>
        <charset val="128"/>
        <scheme val="minor"/>
      </rPr>
      <t>ﾊﾞﾙﾌﾞ固定モーターﾌﾞﾗｹｯﾄ</t>
    </r>
    <phoneticPr fontId="10"/>
  </si>
  <si>
    <t>MS4-10</t>
    <phoneticPr fontId="10"/>
  </si>
  <si>
    <t>APMTS-N1-T1</t>
    <phoneticPr fontId="10"/>
  </si>
  <si>
    <t>MVBLK-AMW-3SB-R2X88</t>
    <phoneticPr fontId="9"/>
  </si>
  <si>
    <t>MVBLK-AMW-343-8ZXY2</t>
    <phoneticPr fontId="9"/>
  </si>
  <si>
    <r>
      <t>SETB</t>
    </r>
    <r>
      <rPr>
        <b/>
        <sz val="11"/>
        <rFont val="ＭＳ Ｐゴシック"/>
        <family val="3"/>
        <charset val="128"/>
      </rPr>
      <t>0209-Ｙ06</t>
    </r>
    <r>
      <rPr>
        <sz val="11"/>
        <color theme="1"/>
        <rFont val="ＭＳ Ｐゴシック"/>
        <family val="3"/>
        <charset val="128"/>
        <scheme val="minor"/>
      </rPr>
      <t xml:space="preserve"> モータ取付板</t>
    </r>
    <phoneticPr fontId="10"/>
  </si>
  <si>
    <t>ｹｰﾌﾞﾙﾍﾞｱ関連</t>
    <phoneticPr fontId="10"/>
  </si>
  <si>
    <t>6日目</t>
    <rPh sb="1" eb="2">
      <t>ヒ</t>
    </rPh>
    <rPh sb="2" eb="3">
      <t>メ</t>
    </rPh>
    <phoneticPr fontId="17"/>
  </si>
  <si>
    <t>CSHELH-SUS-M4-6</t>
    <phoneticPr fontId="10"/>
  </si>
  <si>
    <t>極薄NSローヘッド ステンレス 表面処理なし (M4×6)</t>
    <phoneticPr fontId="10"/>
  </si>
  <si>
    <t>SETB-0012-Z01とSETB-0023-Z25と26固定用　</t>
    <phoneticPr fontId="10"/>
  </si>
  <si>
    <t>1日目</t>
    <rPh sb="1" eb="2">
      <t>ヒ</t>
    </rPh>
    <rPh sb="2" eb="3">
      <t>メ</t>
    </rPh>
    <phoneticPr fontId="17"/>
  </si>
  <si>
    <t>CSHELH-SUS-M4-10</t>
    <phoneticPr fontId="10"/>
  </si>
  <si>
    <t>極薄NSローヘッド ステンレス 表面処理なし (M4×10)</t>
    <phoneticPr fontId="10"/>
  </si>
  <si>
    <t>SETB-0023-Z24-1とSETB-0031-Z01 　ロボット固定</t>
    <rPh sb="35" eb="37">
      <t>コテイ</t>
    </rPh>
    <phoneticPr fontId="10"/>
  </si>
  <si>
    <t>5日目</t>
    <rPh sb="1" eb="2">
      <t>ヒ</t>
    </rPh>
    <rPh sb="2" eb="3">
      <t>メ</t>
    </rPh>
    <phoneticPr fontId="17"/>
  </si>
  <si>
    <t xml:space="preserve">FWZAA-D20-V8-P4.5-H4.5-T7 </t>
    <phoneticPr fontId="10"/>
  </si>
  <si>
    <t>金属ワッシャ　－ザグリ穴タイプ－</t>
    <phoneticPr fontId="10"/>
  </si>
  <si>
    <t>六角穴付きﾎﾞﾙﾄ　 (M4×5)　3本</t>
    <rPh sb="19" eb="20">
      <t>ホン</t>
    </rPh>
    <phoneticPr fontId="10"/>
  </si>
  <si>
    <t>SETB-0023-Z27へ7FWZAA-D20-V8-P4.5-H4.5-T7 　固定用</t>
    <phoneticPr fontId="10"/>
  </si>
  <si>
    <t>3日目</t>
    <rPh sb="1" eb="2">
      <t>ヒ</t>
    </rPh>
    <rPh sb="2" eb="3">
      <t>メ</t>
    </rPh>
    <phoneticPr fontId="17"/>
  </si>
  <si>
    <t>MVSHM-3N02052021023-2LM-DB43G</t>
    <phoneticPr fontId="10"/>
  </si>
  <si>
    <r>
      <t>SETB-0023-Z24</t>
    </r>
    <r>
      <rPr>
        <b/>
        <sz val="11"/>
        <rFont val="ＭＳ Ｐゴシック"/>
        <family val="3"/>
        <charset val="128"/>
      </rPr>
      <t>-1</t>
    </r>
    <r>
      <rPr>
        <sz val="11"/>
        <rFont val="ＭＳ Ｐゴシック"/>
        <family val="3"/>
        <charset val="128"/>
      </rPr>
      <t>　ケーブルベアヘッド横板金</t>
    </r>
    <phoneticPr fontId="10"/>
  </si>
  <si>
    <t>MVSHM-3N03058005012-JPA291K6N111AA</t>
    <phoneticPr fontId="10"/>
  </si>
  <si>
    <t>SETB-0023-Z25　ケーブルベア下板左側</t>
    <rPh sb="22" eb="23">
      <t>ヒダリ</t>
    </rPh>
    <rPh sb="23" eb="24">
      <t>ガワ</t>
    </rPh>
    <phoneticPr fontId="10"/>
  </si>
  <si>
    <t>MVSHM-3N03058005012-JPA291EG4111AA</t>
    <phoneticPr fontId="10"/>
  </si>
  <si>
    <t>SETB-0023-Z26　ケーブルベア下板右側</t>
    <rPh sb="22" eb="23">
      <t>ミギ</t>
    </rPh>
    <phoneticPr fontId="10"/>
  </si>
  <si>
    <t>SFB5-8</t>
    <phoneticPr fontId="10"/>
  </si>
  <si>
    <t>六角穴付皿ボルト　M5×8mm</t>
    <phoneticPr fontId="10"/>
  </si>
  <si>
    <t xml:space="preserve">SZ16F-3-075-25 </t>
    <phoneticPr fontId="10"/>
  </si>
  <si>
    <t>ケーブルキャリア　スリットタイプ</t>
    <phoneticPr fontId="10"/>
  </si>
  <si>
    <t>SLBNR5</t>
    <phoneticPr fontId="10"/>
  </si>
  <si>
    <t>M5ﾅｯﾄ</t>
    <phoneticPr fontId="10"/>
  </si>
  <si>
    <t>SBCB4-15</t>
    <phoneticPr fontId="10"/>
  </si>
  <si>
    <t xml:space="preserve">SPWF4 </t>
    <phoneticPr fontId="10"/>
  </si>
  <si>
    <t>平座金－単品販売－　M4用</t>
    <rPh sb="12" eb="13">
      <t>ヨウ</t>
    </rPh>
    <phoneticPr fontId="10"/>
  </si>
  <si>
    <t>SLBNR4</t>
    <phoneticPr fontId="10"/>
  </si>
  <si>
    <t>M4ﾅｯﾄ　　在庫使用　4個</t>
    <rPh sb="7" eb="9">
      <t>ザイコ</t>
    </rPh>
    <rPh sb="9" eb="11">
      <t>シヨウ</t>
    </rPh>
    <rPh sb="13" eb="14">
      <t>コ</t>
    </rPh>
    <phoneticPr fontId="10"/>
  </si>
  <si>
    <t>ﾉｽﾞﾙ位置合わせ冶具　</t>
    <phoneticPr fontId="9"/>
  </si>
  <si>
    <t>JTDA-SUD-A27-B12-T2-X6-Y6-M4-L15-MA4</t>
    <phoneticPr fontId="10"/>
  </si>
  <si>
    <t>押え板</t>
    <phoneticPr fontId="10"/>
  </si>
  <si>
    <t>ASFCS-A27-B14-T0.3-D4.5-E6-C6-P15</t>
    <phoneticPr fontId="10"/>
  </si>
  <si>
    <t>シム</t>
    <phoneticPr fontId="10"/>
  </si>
  <si>
    <t>六角穴付きﾎﾞﾙﾄ　M4×5mm　　　　6本</t>
    <rPh sb="21" eb="22">
      <t>ホン</t>
    </rPh>
    <phoneticPr fontId="10"/>
  </si>
  <si>
    <t>ワッシャ　　平座金　　M4×8mm　　　4個</t>
    <rPh sb="21" eb="22">
      <t>コ</t>
    </rPh>
    <phoneticPr fontId="10"/>
  </si>
  <si>
    <t>SETB-0031-Z01  ＳＶＥＭ取付ﾌﾞﾗｹｯﾄ</t>
    <phoneticPr fontId="9"/>
  </si>
  <si>
    <t>六角穴付ボタンボルト　 (M4×15)</t>
    <phoneticPr fontId="10"/>
  </si>
  <si>
    <t>SETB-0023-Z25と26ﾛﾎﾞｯﾄ固定用　、SETB-0031-Z01固定</t>
    <rPh sb="21" eb="23">
      <t>コテイ</t>
    </rPh>
    <rPh sb="23" eb="24">
      <t>ヨウ</t>
    </rPh>
    <rPh sb="39" eb="41">
      <t>コテイ</t>
    </rPh>
    <phoneticPr fontId="10"/>
  </si>
  <si>
    <t>MVSHM-3N02002007016-2LU-F6R7Z</t>
    <phoneticPr fontId="10"/>
  </si>
  <si>
    <r>
      <t>浸け置きﾕﾆｯﾄ　</t>
    </r>
    <r>
      <rPr>
        <b/>
        <sz val="16"/>
        <color indexed="8"/>
        <rFont val="ＭＳ Ｐゴシック"/>
        <family val="3"/>
        <charset val="128"/>
      </rPr>
      <t>　SETB-0091-A02</t>
    </r>
    <phoneticPr fontId="10"/>
  </si>
  <si>
    <t>Dsub9　オス　コネクタハーネス　#4-40ショートねじ</t>
    <phoneticPr fontId="10"/>
  </si>
  <si>
    <t>PDDU-PT-MS-9-3</t>
    <phoneticPr fontId="10"/>
  </si>
  <si>
    <t>Dsubコネクタハーネス　M2.6ショートネジ</t>
    <phoneticPr fontId="10"/>
  </si>
  <si>
    <t>PDDJ-PS-JS-37-3</t>
    <phoneticPr fontId="10"/>
  </si>
  <si>
    <t>液面レベルセンサ（アンプ内蔵パイプ取りつけタイプ） EE-SPX613</t>
    <phoneticPr fontId="9"/>
  </si>
  <si>
    <t>EE-SPX613 1M</t>
    <phoneticPr fontId="9"/>
  </si>
  <si>
    <t>ｵﾑﾛﾝ</t>
    <phoneticPr fontId="9"/>
  </si>
  <si>
    <t>蛇の目</t>
    <rPh sb="0" eb="1">
      <t>ジャ</t>
    </rPh>
    <rPh sb="2" eb="3">
      <t>メ</t>
    </rPh>
    <phoneticPr fontId="10"/>
  </si>
  <si>
    <t>特注ﾊｰﾈｽ　　IO-M　4m　MWS-MDR50-HT50用</t>
    <rPh sb="0" eb="2">
      <t>トクチュウ</t>
    </rPh>
    <rPh sb="30" eb="31">
      <t>ヨウ</t>
    </rPh>
    <phoneticPr fontId="10"/>
  </si>
  <si>
    <t>KCC7-18600-210226-405</t>
    <phoneticPr fontId="10"/>
  </si>
  <si>
    <t>FSC10-C-3</t>
    <phoneticPr fontId="10"/>
  </si>
  <si>
    <t>M8丸型防水コネクタハーネス  ＳＶＥＭﾛﾝｸﾞ3m　TYPE</t>
    <phoneticPr fontId="10"/>
  </si>
  <si>
    <t>CSHSM-SUS-M3-5</t>
    <phoneticPr fontId="10"/>
  </si>
  <si>
    <t>横手精工株式会社</t>
    <rPh sb="0" eb="2">
      <t>ヨコテ</t>
    </rPh>
    <rPh sb="2" eb="4">
      <t>セイコウ</t>
    </rPh>
    <rPh sb="4" eb="8">
      <t>カブシキガイシャ</t>
    </rPh>
    <phoneticPr fontId="10"/>
  </si>
  <si>
    <t>NO.216952</t>
    <phoneticPr fontId="10"/>
  </si>
  <si>
    <t>岸</t>
    <rPh sb="0" eb="1">
      <t>キシ</t>
    </rPh>
    <phoneticPr fontId="9"/>
  </si>
  <si>
    <t>SETB-0230-A01 JR3504+SV70チルドモーター+捨て射ち+配電BOX+圧送タンク  20240805</t>
    <phoneticPr fontId="9"/>
  </si>
  <si>
    <t>SKTGLK6-1</t>
    <phoneticPr fontId="10"/>
  </si>
  <si>
    <t>MVBLK-AMW-3SB-TBRRG</t>
    <phoneticPr fontId="9"/>
  </si>
  <si>
    <t>MVSHM-3N02050-3T2-J8B5C</t>
    <phoneticPr fontId="10"/>
  </si>
  <si>
    <r>
      <t>SETA0010-Z04</t>
    </r>
    <r>
      <rPr>
        <b/>
        <sz val="11"/>
        <color indexed="10"/>
        <rFont val="ＭＳ Ｐゴシック"/>
        <family val="3"/>
        <charset val="128"/>
      </rPr>
      <t>-1</t>
    </r>
    <r>
      <rPr>
        <sz val="11"/>
        <rFont val="ＭＳ Ｐゴシック"/>
        <family val="3"/>
        <charset val="128"/>
      </rPr>
      <t>位置決めベース</t>
    </r>
    <phoneticPr fontId="10"/>
  </si>
  <si>
    <t>MVSHM-3N03002-3T2-EXPLE</t>
    <phoneticPr fontId="10"/>
  </si>
  <si>
    <r>
      <t>SETA0010-Z02</t>
    </r>
    <r>
      <rPr>
        <b/>
        <sz val="11"/>
        <color indexed="10"/>
        <rFont val="ＭＳ Ｐゴシック"/>
        <family val="3"/>
        <charset val="128"/>
      </rPr>
      <t>-1</t>
    </r>
    <r>
      <rPr>
        <sz val="11"/>
        <rFont val="ＭＳ Ｐゴシック"/>
        <family val="3"/>
        <charset val="128"/>
      </rPr>
      <t>角度切替ベース</t>
    </r>
    <phoneticPr fontId="10"/>
  </si>
  <si>
    <t>MVSHM-ZZ99000-3SZ-7ELAD</t>
    <phoneticPr fontId="10"/>
  </si>
  <si>
    <r>
      <t>SETA0010-Z03</t>
    </r>
    <r>
      <rPr>
        <b/>
        <sz val="11"/>
        <color indexed="10"/>
        <rFont val="ＭＳ Ｐゴシック"/>
        <family val="3"/>
        <charset val="128"/>
      </rPr>
      <t>-1</t>
    </r>
    <r>
      <rPr>
        <sz val="11"/>
        <rFont val="ＭＳ Ｐゴシック"/>
        <family val="3"/>
        <charset val="128"/>
      </rPr>
      <t>角度切替ブラケット</t>
    </r>
    <phoneticPr fontId="10"/>
  </si>
  <si>
    <t>AWSS-D-D6-V4-T1.9</t>
    <phoneticPr fontId="10"/>
  </si>
  <si>
    <t>金属ワッシャ　－Ｔ寸公差選択タイプ－</t>
    <phoneticPr fontId="10"/>
  </si>
  <si>
    <t>MS2-6</t>
    <phoneticPr fontId="10"/>
  </si>
  <si>
    <t>ノックピン　ストレート</t>
    <phoneticPr fontId="10"/>
  </si>
  <si>
    <t>3日目</t>
    <rPh sb="1" eb="2">
      <t>ヒ</t>
    </rPh>
    <rPh sb="2" eb="3">
      <t>メ</t>
    </rPh>
    <phoneticPr fontId="1"/>
  </si>
  <si>
    <t>6日目</t>
    <rPh sb="1" eb="2">
      <t>ヒ</t>
    </rPh>
    <rPh sb="2" eb="3">
      <t>メ</t>
    </rPh>
    <phoneticPr fontId="1"/>
  </si>
  <si>
    <t>2日目</t>
    <rPh sb="1" eb="2">
      <t>ヒ</t>
    </rPh>
    <rPh sb="2" eb="3">
      <t>メ</t>
    </rPh>
    <phoneticPr fontId="1"/>
  </si>
  <si>
    <t>1日目</t>
    <rPh sb="1" eb="2">
      <t>ヒ</t>
    </rPh>
    <rPh sb="2" eb="3">
      <t>メ</t>
    </rPh>
    <phoneticPr fontId="1"/>
  </si>
  <si>
    <t>SETB0178-Z06　30ccｶｯﾌﾟsus材　20230803</t>
    <phoneticPr fontId="10"/>
  </si>
  <si>
    <t>6日目</t>
    <rPh sb="1" eb="2">
      <t>ヒ</t>
    </rPh>
    <rPh sb="2" eb="3">
      <t>メ</t>
    </rPh>
    <phoneticPr fontId="10"/>
  </si>
  <si>
    <t>MVTUP-SUB-3GK-HD2S8</t>
    <phoneticPr fontId="9"/>
  </si>
  <si>
    <t>MS3-6</t>
    <phoneticPr fontId="9"/>
  </si>
  <si>
    <t>MVSHM-3N02052-3G9-NFSDF</t>
    <phoneticPr fontId="9"/>
  </si>
  <si>
    <t>SETB0177-Z03　カップ受け板金2</t>
    <phoneticPr fontId="9"/>
  </si>
  <si>
    <t>蝶ﾅｯﾄ　　1本</t>
    <rPh sb="7" eb="8">
      <t>ホン</t>
    </rPh>
    <phoneticPr fontId="10"/>
  </si>
  <si>
    <t>日産ﾈｼﾞ</t>
    <phoneticPr fontId="10"/>
  </si>
  <si>
    <t>小頭ﾈｼﾞ　　2個</t>
    <rPh sb="8" eb="9">
      <t>コ</t>
    </rPh>
    <phoneticPr fontId="10"/>
  </si>
  <si>
    <t>袋ﾅｯﾄ　2個</t>
    <rPh sb="6" eb="7">
      <t>コ</t>
    </rPh>
    <phoneticPr fontId="10"/>
  </si>
  <si>
    <t>六角ﾎﾞﾙﾄ　1本</t>
    <rPh sb="8" eb="9">
      <t>ホン</t>
    </rPh>
    <phoneticPr fontId="10"/>
  </si>
  <si>
    <t>MVSHM-3N02052-3G9-MWJ92</t>
    <phoneticPr fontId="9"/>
  </si>
  <si>
    <t>SETB0177-Z04　金属BOX受け板金3</t>
    <phoneticPr fontId="9"/>
  </si>
  <si>
    <t>ノックピン　プラス公差　4本</t>
    <rPh sb="13" eb="14">
      <t>ホン</t>
    </rPh>
    <phoneticPr fontId="9"/>
  </si>
  <si>
    <t>UNST5-40</t>
    <phoneticPr fontId="9"/>
  </si>
  <si>
    <t>低弾性ラバー付ボルト</t>
    <phoneticPr fontId="9"/>
  </si>
  <si>
    <t>MVSHM-3N02052-3G9-4UB36</t>
    <phoneticPr fontId="9"/>
  </si>
  <si>
    <t>SETB0177-Z07　カップ受け板金</t>
    <phoneticPr fontId="9"/>
  </si>
  <si>
    <t>タキゲン製造</t>
    <rPh sb="4" eb="6">
      <t>セイゾウ</t>
    </rPh>
    <phoneticPr fontId="9"/>
  </si>
  <si>
    <t>ﾐｽﾐ</t>
    <phoneticPr fontId="9"/>
  </si>
  <si>
    <t>B-1100-3</t>
    <phoneticPr fontId="9"/>
  </si>
  <si>
    <t>平型蝶番（B-1100・ステンレス製） 長さ:38mm 幅:26mm</t>
    <phoneticPr fontId="9"/>
  </si>
  <si>
    <t>SFB3-5</t>
    <phoneticPr fontId="9"/>
  </si>
  <si>
    <t>六角穴付皿ボルト　－ステンレス　4本</t>
    <rPh sb="17" eb="18">
      <t>ホン</t>
    </rPh>
    <phoneticPr fontId="9"/>
  </si>
  <si>
    <t>CRKB4-8</t>
    <phoneticPr fontId="10"/>
  </si>
  <si>
    <t>樹脂付ローレットボルト</t>
    <rPh sb="0" eb="2">
      <t>ジュシ</t>
    </rPh>
    <rPh sb="2" eb="3">
      <t>ツキ</t>
    </rPh>
    <phoneticPr fontId="10"/>
  </si>
  <si>
    <t>MSC2-4</t>
    <phoneticPr fontId="9"/>
  </si>
  <si>
    <t>ノックピン　プラス公差　端部形状　3本</t>
    <rPh sb="18" eb="19">
      <t>ホン</t>
    </rPh>
    <phoneticPr fontId="9"/>
  </si>
  <si>
    <t>MVSHM-3N02002-3G9-312CX</t>
    <phoneticPr fontId="9"/>
  </si>
  <si>
    <t>SETB0177-Z08　カップ受け板金</t>
    <phoneticPr fontId="9"/>
  </si>
  <si>
    <t>MVTUP-ACN-3G9-8HXH9</t>
    <phoneticPr fontId="9"/>
  </si>
  <si>
    <t>SETB0177-Z09　カップ受け板金4</t>
    <phoneticPr fontId="9"/>
  </si>
  <si>
    <t>CSHCS-SUS-M4-5</t>
    <phoneticPr fontId="10"/>
  </si>
  <si>
    <t>皿ﾈｼﾞ　　2個</t>
    <rPh sb="7" eb="8">
      <t>コ</t>
    </rPh>
    <phoneticPr fontId="10"/>
  </si>
  <si>
    <t>MVSHM-3N03054-3AM-PACME</t>
    <phoneticPr fontId="10"/>
  </si>
  <si>
    <t>SETB0134-Z02　金属BOX受皿</t>
    <phoneticPr fontId="10"/>
  </si>
  <si>
    <t>3日間</t>
    <rPh sb="1" eb="2">
      <t>ヒ</t>
    </rPh>
    <rPh sb="2" eb="3">
      <t>カン</t>
    </rPh>
    <phoneticPr fontId="9"/>
  </si>
  <si>
    <t>MVSHM-3N03002006064-JPA29144M111AB</t>
    <phoneticPr fontId="9"/>
  </si>
  <si>
    <t>SETB-0023-Z27　ケーブルベア下板　JR3504用</t>
    <phoneticPr fontId="9"/>
  </si>
  <si>
    <t>SCB4-20</t>
    <phoneticPr fontId="10"/>
  </si>
  <si>
    <t>六角穴付ボルト　 (M4×20)　2本</t>
    <rPh sb="18" eb="19">
      <t>ホン</t>
    </rPh>
    <phoneticPr fontId="10"/>
  </si>
  <si>
    <t>日本ピスコ</t>
    <rPh sb="0" eb="2">
      <t>ニホン</t>
    </rPh>
    <phoneticPr fontId="10"/>
  </si>
  <si>
    <t>PAW6-01</t>
    <phoneticPr fontId="10"/>
  </si>
  <si>
    <t>一般配管用 チューブフィッティング ダブルブランチエイ</t>
    <phoneticPr fontId="10"/>
  </si>
  <si>
    <t>RSAU-PS-550-370-270-K-WB2404030163</t>
    <phoneticPr fontId="10"/>
  </si>
  <si>
    <t>3日間</t>
    <rPh sb="1" eb="2">
      <t>ヒ</t>
    </rPh>
    <rPh sb="2" eb="3">
      <t>カン</t>
    </rPh>
    <phoneticPr fontId="10"/>
  </si>
  <si>
    <t>ADR-361-JP</t>
    <phoneticPr fontId="10"/>
  </si>
  <si>
    <t>MRB-480</t>
    <phoneticPr fontId="10"/>
  </si>
  <si>
    <t>元厚ｼﾘﾝｼﾞレギュレーター</t>
    <rPh sb="0" eb="2">
      <t>モトアツ</t>
    </rPh>
    <phoneticPr fontId="10"/>
  </si>
  <si>
    <t>③</t>
    <phoneticPr fontId="9"/>
  </si>
  <si>
    <t>AB239FDAD3</t>
    <phoneticPr fontId="9"/>
  </si>
  <si>
    <r>
      <t>ﾐｽﾐ品受注NO.</t>
    </r>
    <r>
      <rPr>
        <b/>
        <sz val="12"/>
        <color theme="9" tint="-0.499984740745262"/>
        <rFont val="ＭＳ Ｐゴシック"/>
        <family val="3"/>
        <charset val="128"/>
        <scheme val="minor"/>
      </rPr>
      <t>AB239FDAD3</t>
    </r>
    <r>
      <rPr>
        <b/>
        <sz val="12"/>
        <color theme="9" tint="-0.249977111117893"/>
        <rFont val="ＭＳ Ｐゴシック"/>
        <family val="3"/>
        <charset val="128"/>
        <scheme val="minor"/>
      </rPr>
      <t>にて発注済み</t>
    </r>
    <rPh sb="3" eb="4">
      <t>ヒン</t>
    </rPh>
    <rPh sb="4" eb="6">
      <t>ジュチュウ</t>
    </rPh>
    <rPh sb="21" eb="23">
      <t>ハッチュウ</t>
    </rPh>
    <rPh sb="23" eb="24">
      <t>ズ</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</si>
</sst>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quot;¥&quot;\-#,##0"/>
    <numFmt numFmtId="176" formatCode="#,##0_);[Red]\(#,##0\)"/>
    <numFmt numFmtId="177" formatCode="yyyy&quot;年&quot;m&quot;月&quot;d&quot;日&quot;;@"/>
    <numFmt numFmtId="178" formatCode="m/d;@"/>
    <numFmt numFmtId="179" formatCode="m&quot;月&quot;d&quot;日&quot;;@"/>
    <numFmt numFmtId="180" formatCode="#,##0_ "/>
    <numFmt numFmtId="181" formatCode="0_ "/>
    <numFmt numFmtId="182" formatCode="0_);[Red]\(0\)"/>
    <numFmt numFmtId="183" formatCode="0_ ;[Red]\-0\ "/>
  </numFmts>
  <fonts count="36" x14ac:knownFonts="1">
    <font>
      <sz val="11"/>
      <color theme="1"/>
      <name val="ＭＳ Ｐゴシック"/>
      <scheme val="minor"/>
    </font>
    <font>
      <u/>
      <sz val="11"/>
      <name val="ＭＳ Ｐゴシック"/>
      <family val="3"/>
      <charset val="128"/>
      <scheme val="minor"/>
    </font>
    <font>
      <b/>
      <sz val="11"/>
      <color theme="1"/>
      <name val="ＭＳ Ｐゴシック"/>
      <family val="3"/>
      <charset val="128"/>
      <scheme val="minor"/>
    </font>
    <font>
      <b/>
      <sz val="13.95"/>
      <color rgb="FF000000"/>
      <name val="ＭＳ Ｐゴシック"/>
      <family val="3"/>
      <charset val="128"/>
    </font>
    <font>
      <b/>
      <sz val="11"/>
      <color rgb="FF000000"/>
      <name val="ＭＳ Ｐゴシック"/>
      <family val="3"/>
      <charset val="128"/>
    </font>
    <font>
      <sz val="11"/>
      <color rgb="FF000000"/>
      <name val="ＭＳ Ｐゴシック"/>
      <family val="3"/>
      <charset val="128"/>
    </font>
    <font>
      <b/>
      <sz val="13.95"/>
      <color theme="1"/>
      <name val="ＭＳ Ｐゴシック"/>
      <family val="3"/>
      <charset val="128"/>
      <scheme val="minor"/>
    </font>
    <font>
      <sz val="19.95"/>
      <color theme="1"/>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3"/>
      <charset val="128"/>
    </font>
    <font>
      <sz val="11"/>
      <color theme="1"/>
      <name val="ＭＳ Ｐゴシック"/>
      <family val="3"/>
      <charset val="128"/>
    </font>
    <font>
      <sz val="11"/>
      <name val="ＭＳ Ｐゴシック"/>
      <family val="3"/>
      <charset val="128"/>
    </font>
    <font>
      <sz val="11"/>
      <color rgb="FFFF0000"/>
      <name val="ＭＳ Ｐゴシック"/>
      <family val="3"/>
      <charset val="128"/>
      <scheme val="minor"/>
    </font>
    <font>
      <sz val="10"/>
      <color indexed="8"/>
      <name val="ＭＳ Ｐゴシック"/>
      <family val="3"/>
      <charset val="128"/>
    </font>
    <font>
      <b/>
      <sz val="11"/>
      <color indexed="10"/>
      <name val="ＭＳ Ｐゴシック"/>
      <family val="3"/>
      <charset val="128"/>
    </font>
    <font>
      <b/>
      <sz val="16"/>
      <color theme="1"/>
      <name val="ＭＳ Ｐゴシック"/>
      <family val="3"/>
      <charset val="128"/>
      <scheme val="minor"/>
    </font>
    <font>
      <b/>
      <sz val="11"/>
      <name val="ＭＳ Ｐゴシック"/>
      <family val="3"/>
      <charset val="128"/>
    </font>
    <font>
      <b/>
      <sz val="11"/>
      <color indexed="8"/>
      <name val="ＭＳ Ｐゴシック"/>
      <family val="3"/>
      <charset val="128"/>
    </font>
    <font>
      <sz val="11"/>
      <name val="ＭＳ Ｐゴシック"/>
      <family val="3"/>
      <charset val="128"/>
      <scheme val="minor"/>
    </font>
    <font>
      <sz val="16"/>
      <color theme="1"/>
      <name val="ＭＳ Ｐゴシック"/>
      <family val="3"/>
      <charset val="128"/>
      <scheme val="minor"/>
    </font>
    <font>
      <b/>
      <sz val="14"/>
      <color theme="1"/>
      <name val="ＭＳ Ｐゴシック"/>
      <family val="3"/>
      <charset val="128"/>
      <scheme val="minor"/>
    </font>
    <font>
      <sz val="20"/>
      <color theme="1"/>
      <name val="ＭＳ Ｐゴシック"/>
      <family val="3"/>
      <charset val="128"/>
      <scheme val="minor"/>
    </font>
    <font>
      <sz val="11"/>
      <color indexed="8"/>
      <name val="ＭＳ Ｐゴシック"/>
      <family val="3"/>
      <charset val="128"/>
    </font>
    <font>
      <b/>
      <sz val="11"/>
      <color theme="9" tint="-0.249977111117893"/>
      <name val="ＭＳ Ｐゴシック"/>
      <family val="3"/>
      <charset val="128"/>
      <scheme val="minor"/>
    </font>
    <font>
      <sz val="9"/>
      <name val="ＭＳ Ｐゴシック"/>
      <family val="3"/>
      <charset val="128"/>
      <scheme val="minor"/>
    </font>
    <font>
      <sz val="9.9499999999999993"/>
      <color rgb="FF000000"/>
      <name val="ＭＳ Ｐゴシック"/>
      <family val="3"/>
      <charset val="128"/>
    </font>
    <font>
      <b/>
      <sz val="16"/>
      <color indexed="8"/>
      <name val="ＭＳ Ｐゴシック"/>
      <family val="3"/>
      <charset val="128"/>
    </font>
    <font>
      <b/>
      <sz val="12"/>
      <color theme="9" tint="-0.249977111117893"/>
      <name val="ＭＳ Ｐゴシック"/>
      <family val="3"/>
      <charset val="128"/>
      <scheme val="minor"/>
    </font>
    <font>
      <b/>
      <sz val="11"/>
      <color rgb="FF0070C0"/>
      <name val="ＭＳ Ｐゴシック"/>
      <family val="3"/>
      <charset val="128"/>
      <scheme val="minor"/>
    </font>
    <font>
      <b/>
      <sz val="12"/>
      <name val="ＭＳ Ｐゴシック"/>
      <family val="3"/>
      <charset val="128"/>
    </font>
    <font>
      <strike/>
      <sz val="11"/>
      <color theme="1"/>
      <name val="ＭＳ Ｐゴシック"/>
      <family val="3"/>
      <charset val="128"/>
    </font>
    <font>
      <b/>
      <sz val="14"/>
      <color indexed="8"/>
      <name val="ＭＳ Ｐゴシック"/>
      <family val="3"/>
      <charset val="128"/>
    </font>
    <font>
      <sz val="10"/>
      <name val="ＭＳ Ｐゴシック"/>
      <family val="3"/>
      <charset val="128"/>
    </font>
    <font>
      <b/>
      <sz val="14"/>
      <color theme="9" tint="-0.499984740745262"/>
      <name val="ＭＳ Ｐゴシック"/>
      <family val="3"/>
      <charset val="128"/>
      <scheme val="minor"/>
    </font>
    <font>
      <b/>
      <sz val="12"/>
      <color theme="9" tint="-0.499984740745262"/>
      <name val="ＭＳ Ｐゴシック"/>
      <family val="3"/>
      <charset val="128"/>
      <scheme val="minor"/>
    </font>
  </fonts>
  <fills count="18">
    <fill>
      <patternFill patternType="none"/>
    </fill>
    <fill>
      <patternFill patternType="gray125"/>
    </fill>
    <fill>
      <patternFill patternType="solid">
        <fgColor rgb="FFFFFF99"/>
      </patternFill>
    </fill>
    <fill>
      <patternFill patternType="solid">
        <fgColor rgb="FF92D05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8" tint="0.5899838251899777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FFFF99"/>
        <bgColor indexed="64"/>
      </patternFill>
    </fill>
    <fill>
      <patternFill patternType="solid">
        <fgColor theme="0" tint="-0.249977111117893"/>
        <bgColor indexed="64"/>
      </patternFill>
    </fill>
    <fill>
      <patternFill patternType="solid">
        <fgColor rgb="FFFFFF00"/>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theme="0"/>
      </right>
      <top style="thin">
        <color indexed="64"/>
      </top>
      <bottom style="thin">
        <color indexed="64"/>
      </bottom>
      <diagonal/>
    </border>
    <border>
      <left style="thin">
        <color indexed="64"/>
      </left>
      <right style="thin">
        <color rgb="FF000000"/>
      </right>
      <top style="thin">
        <color rgb="FF000000"/>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6">
    <xf numFmtId="0" fontId="0" fillId="0" borderId="0">
      <alignment vertical="center"/>
    </xf>
    <xf numFmtId="0" fontId="1" fillId="0" borderId="0">
      <alignment vertical="center"/>
    </xf>
    <xf numFmtId="0" fontId="1" fillId="0" borderId="0">
      <alignment vertical="center"/>
    </xf>
    <xf numFmtId="0" fontId="12" fillId="0" borderId="0"/>
    <xf numFmtId="0" fontId="8" fillId="0" borderId="0">
      <alignment vertical="center"/>
    </xf>
    <xf numFmtId="0" fontId="12" fillId="0" borderId="0">
      <alignment vertical="center"/>
    </xf>
  </cellStyleXfs>
  <cellXfs count="292">
    <xf numFmtId="0" fontId="0" fillId="0" borderId="0" xfId="0">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horizontal="center" vertical="center" shrinkToFit="1"/>
    </xf>
    <xf numFmtId="0" fontId="0" fillId="0" borderId="1" xfId="0" applyBorder="1" applyAlignment="1">
      <alignment vertical="center" shrinkToFit="1"/>
    </xf>
    <xf numFmtId="176" fontId="0" fillId="0" borderId="1" xfId="0" applyNumberFormat="1" applyBorder="1">
      <alignment vertical="center"/>
    </xf>
    <xf numFmtId="176" fontId="4" fillId="0" borderId="1" xfId="0" applyNumberFormat="1" applyFont="1" applyBorder="1">
      <alignment vertical="center"/>
    </xf>
    <xf numFmtId="0" fontId="0" fillId="0" borderId="0" xfId="0" applyAlignment="1">
      <alignment horizontal="right" vertical="center"/>
    </xf>
    <xf numFmtId="176" fontId="0" fillId="0" borderId="1" xfId="0" applyNumberFormat="1" applyBorder="1" applyAlignment="1"/>
    <xf numFmtId="179" fontId="0" fillId="0" borderId="1" xfId="0" applyNumberForma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0" fillId="0" borderId="1" xfId="0" applyBorder="1" applyAlignment="1">
      <alignment horizontal="left" vertical="center"/>
    </xf>
    <xf numFmtId="176" fontId="0" fillId="0" borderId="1" xfId="0" applyNumberFormat="1" applyBorder="1" applyAlignment="1">
      <alignment horizontal="center" vertical="center"/>
    </xf>
    <xf numFmtId="0" fontId="0" fillId="0" borderId="1" xfId="0" applyBorder="1" applyAlignment="1">
      <alignment horizontal="left" vertical="center" shrinkToFit="1"/>
    </xf>
    <xf numFmtId="0" fontId="0" fillId="0" borderId="1" xfId="0" applyBorder="1">
      <alignment vertical="center"/>
    </xf>
    <xf numFmtId="0" fontId="0" fillId="0" borderId="5" xfId="0" applyBorder="1">
      <alignment vertical="center"/>
    </xf>
    <xf numFmtId="0" fontId="0" fillId="0" borderId="5" xfId="0" applyBorder="1" applyAlignment="1">
      <alignment horizontal="center" vertical="center"/>
    </xf>
    <xf numFmtId="0" fontId="0" fillId="0" borderId="7" xfId="0" applyBorder="1" applyAlignment="1">
      <alignment horizontal="center" vertical="center"/>
    </xf>
    <xf numFmtId="3" fontId="0" fillId="0" borderId="5" xfId="0" applyNumberFormat="1" applyBorder="1" applyAlignment="1">
      <alignment horizontal="center" vertical="center"/>
    </xf>
    <xf numFmtId="178" fontId="0" fillId="0" borderId="5" xfId="0" applyNumberFormat="1" applyBorder="1" applyAlignment="1">
      <alignment horizontal="center" vertical="center"/>
    </xf>
    <xf numFmtId="56" fontId="0" fillId="0" borderId="5" xfId="0" applyNumberFormat="1" applyBorder="1" applyAlignment="1">
      <alignment horizontal="center" vertical="center"/>
    </xf>
    <xf numFmtId="177" fontId="0" fillId="0" borderId="0" xfId="0" applyNumberFormat="1" applyAlignment="1">
      <alignment horizontal="center" vertical="center"/>
    </xf>
    <xf numFmtId="0" fontId="12" fillId="0" borderId="5" xfId="3" applyBorder="1" applyAlignment="1">
      <alignment horizontal="center" vertical="center"/>
    </xf>
    <xf numFmtId="176" fontId="0" fillId="0" borderId="5" xfId="0" applyNumberFormat="1" applyBorder="1" applyAlignment="1"/>
    <xf numFmtId="0" fontId="8" fillId="0" borderId="0" xfId="0" applyFont="1">
      <alignment vertical="center"/>
    </xf>
    <xf numFmtId="0" fontId="13" fillId="0" borderId="0" xfId="0" applyFont="1" applyAlignment="1">
      <alignment horizontal="center" vertical="center"/>
    </xf>
    <xf numFmtId="176" fontId="0" fillId="0" borderId="4" xfId="0" applyNumberFormat="1" applyBorder="1" applyAlignment="1">
      <alignment horizontal="center" vertical="center"/>
    </xf>
    <xf numFmtId="0" fontId="0" fillId="0" borderId="5" xfId="0" applyBorder="1" applyAlignment="1">
      <alignment vertical="center" shrinkToFit="1"/>
    </xf>
    <xf numFmtId="3" fontId="8" fillId="0" borderId="5" xfId="0" applyNumberFormat="1" applyFont="1" applyBorder="1" applyAlignment="1">
      <alignment horizontal="center" vertical="center"/>
    </xf>
    <xf numFmtId="3" fontId="0" fillId="0" borderId="4" xfId="0" applyNumberFormat="1" applyBorder="1" applyAlignment="1">
      <alignment horizontal="center" vertical="center"/>
    </xf>
    <xf numFmtId="0" fontId="2" fillId="0" borderId="5" xfId="0" applyFont="1" applyBorder="1" applyAlignment="1">
      <alignment horizontal="center" vertical="center"/>
    </xf>
    <xf numFmtId="179" fontId="0" fillId="0" borderId="5" xfId="0" applyNumberFormat="1" applyBorder="1" applyAlignment="1">
      <alignment horizontal="center" vertical="center"/>
    </xf>
    <xf numFmtId="3" fontId="14" fillId="0" borderId="5" xfId="0" applyNumberFormat="1" applyFont="1" applyBorder="1" applyAlignment="1">
      <alignment horizontal="center" vertical="center"/>
    </xf>
    <xf numFmtId="0" fontId="8" fillId="0" borderId="7" xfId="0" applyFont="1" applyBorder="1" applyAlignment="1">
      <alignment horizontal="left" vertical="center"/>
    </xf>
    <xf numFmtId="3" fontId="0" fillId="0" borderId="8" xfId="0" applyNumberFormat="1" applyBorder="1" applyAlignment="1">
      <alignment horizontal="center" vertical="center"/>
    </xf>
    <xf numFmtId="177" fontId="0" fillId="0" borderId="5" xfId="0" applyNumberFormat="1" applyBorder="1" applyAlignment="1">
      <alignment horizontal="center" vertical="center"/>
    </xf>
    <xf numFmtId="0" fontId="8" fillId="0" borderId="5" xfId="0" applyFont="1" applyBorder="1" applyAlignment="1">
      <alignment horizontal="left" vertical="center"/>
    </xf>
    <xf numFmtId="176" fontId="0" fillId="0" borderId="5" xfId="0" applyNumberFormat="1" applyBorder="1" applyAlignment="1">
      <alignment horizontal="center" vertical="center"/>
    </xf>
    <xf numFmtId="0" fontId="12" fillId="0" borderId="9" xfId="3" applyBorder="1" applyAlignment="1">
      <alignment horizontal="left" vertical="center"/>
    </xf>
    <xf numFmtId="5" fontId="11" fillId="0" borderId="7" xfId="0" applyNumberFormat="1" applyFont="1" applyBorder="1" applyAlignment="1">
      <alignment horizontal="center" vertical="center"/>
    </xf>
    <xf numFmtId="0" fontId="0" fillId="6" borderId="5" xfId="0" applyFill="1" applyBorder="1" applyAlignment="1">
      <alignment horizontal="center" vertical="center"/>
    </xf>
    <xf numFmtId="0" fontId="0" fillId="0" borderId="5" xfId="0" applyBorder="1" applyAlignment="1">
      <alignment horizontal="left" vertical="center"/>
    </xf>
    <xf numFmtId="0" fontId="19" fillId="0" borderId="5" xfId="0" applyFont="1" applyBorder="1" applyAlignment="1">
      <alignment horizontal="center" vertical="center"/>
    </xf>
    <xf numFmtId="38" fontId="0" fillId="0" borderId="5" xfId="0" applyNumberFormat="1" applyBorder="1" applyAlignment="1">
      <alignment horizontal="center" vertical="center"/>
    </xf>
    <xf numFmtId="0" fontId="19" fillId="0" borderId="5" xfId="0" applyFont="1" applyBorder="1" applyAlignment="1">
      <alignment horizontal="left" vertical="center"/>
    </xf>
    <xf numFmtId="181" fontId="19" fillId="0" borderId="5" xfId="0" applyNumberFormat="1" applyFont="1" applyBorder="1" applyAlignment="1">
      <alignment horizontal="center" vertical="center"/>
    </xf>
    <xf numFmtId="38" fontId="19" fillId="0" borderId="5" xfId="0" applyNumberFormat="1" applyFont="1" applyBorder="1" applyAlignment="1">
      <alignment horizontal="center" vertical="center"/>
    </xf>
    <xf numFmtId="0" fontId="0" fillId="0" borderId="7" xfId="0" applyBorder="1" applyAlignment="1">
      <alignment horizontal="left" vertical="center"/>
    </xf>
    <xf numFmtId="3" fontId="0" fillId="5" borderId="5" xfId="0" applyNumberFormat="1" applyFill="1" applyBorder="1" applyAlignment="1">
      <alignment horizontal="center" vertical="center"/>
    </xf>
    <xf numFmtId="3" fontId="20" fillId="3" borderId="7" xfId="0" applyNumberFormat="1" applyFont="1" applyFill="1" applyBorder="1" applyAlignment="1">
      <alignment horizontal="center" vertical="center"/>
    </xf>
    <xf numFmtId="3" fontId="20" fillId="3" borderId="10" xfId="0" applyNumberFormat="1" applyFont="1" applyFill="1" applyBorder="1" applyAlignment="1">
      <alignment horizontal="center" vertical="center"/>
    </xf>
    <xf numFmtId="3" fontId="0" fillId="7" borderId="5" xfId="0" applyNumberFormat="1" applyFill="1" applyBorder="1" applyAlignment="1">
      <alignment horizontal="center" vertical="center"/>
    </xf>
    <xf numFmtId="0" fontId="12" fillId="0" borderId="5" xfId="3" applyBorder="1" applyAlignment="1">
      <alignment horizontal="left" vertical="center"/>
    </xf>
    <xf numFmtId="176" fontId="0" fillId="0" borderId="5" xfId="0" applyNumberFormat="1" applyBorder="1">
      <alignment vertical="center"/>
    </xf>
    <xf numFmtId="0" fontId="0" fillId="5" borderId="5" xfId="0" applyFill="1" applyBorder="1" applyAlignment="1">
      <alignment horizontal="center" vertical="center"/>
    </xf>
    <xf numFmtId="0" fontId="19" fillId="0" borderId="7" xfId="0" applyFont="1" applyBorder="1">
      <alignment vertical="center"/>
    </xf>
    <xf numFmtId="176" fontId="16" fillId="8" borderId="7" xfId="0" applyNumberFormat="1" applyFont="1" applyFill="1" applyBorder="1" applyAlignment="1">
      <alignment horizontal="center" vertical="center"/>
    </xf>
    <xf numFmtId="176" fontId="21" fillId="0" borderId="5" xfId="0" applyNumberFormat="1" applyFont="1" applyBorder="1" applyAlignment="1">
      <alignment horizontal="center" vertical="center"/>
    </xf>
    <xf numFmtId="0" fontId="8" fillId="0" borderId="5" xfId="0" applyFont="1" applyBorder="1">
      <alignment vertical="center"/>
    </xf>
    <xf numFmtId="182" fontId="19" fillId="0" borderId="5" xfId="0" applyNumberFormat="1" applyFont="1" applyBorder="1" applyAlignment="1">
      <alignment horizontal="center" vertical="center"/>
    </xf>
    <xf numFmtId="0" fontId="19" fillId="0" borderId="7" xfId="0" applyFont="1" applyBorder="1" applyAlignment="1">
      <alignment horizontal="left" vertical="center"/>
    </xf>
    <xf numFmtId="0" fontId="19" fillId="0" borderId="5" xfId="0" applyFont="1" applyBorder="1">
      <alignment vertical="center"/>
    </xf>
    <xf numFmtId="0" fontId="23" fillId="0" borderId="5" xfId="0" applyFont="1" applyBorder="1" applyAlignment="1">
      <alignment horizontal="center" vertical="center"/>
    </xf>
    <xf numFmtId="0" fontId="23" fillId="0" borderId="5" xfId="0" applyFont="1" applyBorder="1">
      <alignment vertical="center"/>
    </xf>
    <xf numFmtId="176" fontId="23" fillId="0" borderId="7" xfId="0" applyNumberFormat="1" applyFont="1" applyBorder="1" applyAlignment="1">
      <alignment horizontal="left" vertical="center"/>
    </xf>
    <xf numFmtId="0" fontId="23" fillId="0" borderId="5" xfId="0" applyFont="1" applyBorder="1" applyAlignment="1">
      <alignment horizontal="left" vertical="center"/>
    </xf>
    <xf numFmtId="0" fontId="14" fillId="0" borderId="5" xfId="0" applyFont="1" applyBorder="1" applyAlignment="1">
      <alignment horizontal="center" vertical="center"/>
    </xf>
    <xf numFmtId="0" fontId="0" fillId="7" borderId="5" xfId="0" applyFill="1" applyBorder="1" applyAlignment="1">
      <alignment horizontal="left" vertical="center"/>
    </xf>
    <xf numFmtId="0" fontId="0" fillId="7" borderId="5" xfId="0" applyFill="1" applyBorder="1">
      <alignment vertical="center"/>
    </xf>
    <xf numFmtId="3" fontId="19" fillId="0" borderId="5" xfId="0" applyNumberFormat="1" applyFont="1" applyBorder="1" applyAlignment="1">
      <alignment horizontal="center" vertical="center"/>
    </xf>
    <xf numFmtId="0" fontId="19" fillId="0" borderId="7" xfId="0" applyFont="1" applyBorder="1" applyAlignment="1">
      <alignment horizontal="center" vertical="center"/>
    </xf>
    <xf numFmtId="176" fontId="16" fillId="8" borderId="5" xfId="0" applyNumberFormat="1" applyFont="1" applyFill="1" applyBorder="1" applyAlignment="1">
      <alignment horizontal="center" vertical="center"/>
    </xf>
    <xf numFmtId="176" fontId="0" fillId="0" borderId="5" xfId="0" applyNumberFormat="1" applyBorder="1" applyAlignment="1">
      <alignment horizontal="left" vertical="center"/>
    </xf>
    <xf numFmtId="0" fontId="0" fillId="5" borderId="0" xfId="0" applyFill="1" applyAlignment="1">
      <alignment horizontal="center" vertical="center"/>
    </xf>
    <xf numFmtId="0" fontId="14" fillId="5" borderId="5" xfId="0" applyFont="1" applyFill="1" applyBorder="1" applyAlignment="1">
      <alignment horizontal="center" vertical="center"/>
    </xf>
    <xf numFmtId="0" fontId="0" fillId="0" borderId="5" xfId="0" applyBorder="1" applyAlignment="1">
      <alignment horizontal="left" vertical="center" shrinkToFit="1"/>
    </xf>
    <xf numFmtId="3" fontId="19" fillId="5" borderId="5" xfId="0" applyNumberFormat="1" applyFont="1" applyFill="1" applyBorder="1" applyAlignment="1">
      <alignment horizontal="center" vertical="center"/>
    </xf>
    <xf numFmtId="176" fontId="19" fillId="0" borderId="7" xfId="0" applyNumberFormat="1" applyFont="1" applyBorder="1" applyAlignment="1">
      <alignment horizontal="center" vertical="center"/>
    </xf>
    <xf numFmtId="176" fontId="0" fillId="0" borderId="7" xfId="0" applyNumberFormat="1" applyBorder="1" applyAlignment="1">
      <alignment horizontal="left" vertical="center"/>
    </xf>
    <xf numFmtId="3" fontId="0" fillId="0" borderId="13" xfId="0" applyNumberFormat="1" applyBorder="1" applyAlignment="1">
      <alignment horizontal="center" vertical="center"/>
    </xf>
    <xf numFmtId="3" fontId="20" fillId="3" borderId="9" xfId="0" applyNumberFormat="1" applyFont="1" applyFill="1" applyBorder="1" applyAlignment="1">
      <alignment horizontal="left" vertical="center"/>
    </xf>
    <xf numFmtId="178" fontId="0" fillId="0" borderId="13" xfId="0" applyNumberFormat="1" applyBorder="1" applyAlignment="1">
      <alignment horizontal="center" vertical="center"/>
    </xf>
    <xf numFmtId="0" fontId="0" fillId="0" borderId="12" xfId="0" applyBorder="1" applyAlignment="1">
      <alignment horizontal="left" vertical="center"/>
    </xf>
    <xf numFmtId="176" fontId="19" fillId="0" borderId="5" xfId="0" applyNumberFormat="1" applyFont="1" applyBorder="1" applyAlignment="1">
      <alignment horizontal="left" vertical="center"/>
    </xf>
    <xf numFmtId="176" fontId="19" fillId="0" borderId="7" xfId="0" applyNumberFormat="1" applyFont="1" applyBorder="1" applyAlignment="1">
      <alignment horizontal="left" vertical="center"/>
    </xf>
    <xf numFmtId="0" fontId="13" fillId="0" borderId="5" xfId="0" applyFont="1" applyBorder="1" applyAlignment="1">
      <alignment horizontal="left" vertical="center"/>
    </xf>
    <xf numFmtId="0" fontId="0" fillId="9" borderId="5" xfId="0" applyFill="1" applyBorder="1" applyAlignment="1">
      <alignment horizontal="center" vertical="center"/>
    </xf>
    <xf numFmtId="0" fontId="25" fillId="0" borderId="5" xfId="0" applyFont="1" applyBorder="1" applyAlignment="1">
      <alignment horizontal="left" vertical="center"/>
    </xf>
    <xf numFmtId="0" fontId="23" fillId="0" borderId="7" xfId="0" applyFont="1" applyBorder="1" applyAlignment="1">
      <alignment horizontal="center" vertical="center"/>
    </xf>
    <xf numFmtId="3" fontId="12" fillId="0" borderId="5" xfId="0" applyNumberFormat="1" applyFont="1" applyBorder="1" applyAlignment="1">
      <alignment horizontal="center" vertical="center"/>
    </xf>
    <xf numFmtId="0" fontId="0" fillId="7" borderId="5" xfId="0" applyFill="1" applyBorder="1" applyAlignment="1">
      <alignment horizontal="center" vertical="center"/>
    </xf>
    <xf numFmtId="181" fontId="19" fillId="7" borderId="5" xfId="0" applyNumberFormat="1" applyFont="1" applyFill="1" applyBorder="1" applyAlignment="1">
      <alignment horizontal="center" vertical="center"/>
    </xf>
    <xf numFmtId="0" fontId="0" fillId="7" borderId="7" xfId="0" applyFill="1" applyBorder="1" applyAlignment="1">
      <alignment horizontal="left" vertical="center"/>
    </xf>
    <xf numFmtId="0" fontId="19" fillId="7" borderId="5" xfId="0" applyFont="1" applyFill="1" applyBorder="1">
      <alignment vertical="center"/>
    </xf>
    <xf numFmtId="0" fontId="0" fillId="5" borderId="8" xfId="0" applyFill="1" applyBorder="1" applyAlignment="1">
      <alignment horizontal="center" vertical="center"/>
    </xf>
    <xf numFmtId="0" fontId="8" fillId="0" borderId="12" xfId="0" applyFont="1" applyBorder="1" applyAlignment="1">
      <alignment horizontal="left" vertical="center"/>
    </xf>
    <xf numFmtId="177" fontId="0" fillId="0" borderId="13" xfId="0" applyNumberFormat="1" applyBorder="1" applyAlignment="1">
      <alignment horizontal="center" vertical="center"/>
    </xf>
    <xf numFmtId="0" fontId="0" fillId="0" borderId="5" xfId="0" applyBorder="1" applyAlignment="1">
      <alignment horizontal="left" vertical="center" wrapText="1"/>
    </xf>
    <xf numFmtId="0" fontId="0" fillId="0" borderId="14" xfId="0" applyBorder="1" applyAlignment="1">
      <alignment horizontal="left" vertical="center"/>
    </xf>
    <xf numFmtId="0" fontId="19" fillId="0" borderId="5" xfId="0" applyFont="1" applyBorder="1" applyAlignment="1">
      <alignment vertical="center" wrapText="1"/>
    </xf>
    <xf numFmtId="0" fontId="0" fillId="0" borderId="14" xfId="0" applyBorder="1" applyAlignment="1">
      <alignment horizontal="center" vertical="center"/>
    </xf>
    <xf numFmtId="176" fontId="23" fillId="0" borderId="5" xfId="0" applyNumberFormat="1" applyFont="1" applyBorder="1" applyAlignment="1">
      <alignment horizontal="left"/>
    </xf>
    <xf numFmtId="181" fontId="0" fillId="0" borderId="5" xfId="0" applyNumberFormat="1" applyBorder="1" applyAlignment="1">
      <alignment horizontal="center" vertical="center"/>
    </xf>
    <xf numFmtId="0" fontId="26" fillId="0" borderId="2"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xf>
    <xf numFmtId="3" fontId="0" fillId="0" borderId="2" xfId="0" applyNumberFormat="1" applyBorder="1" applyAlignment="1">
      <alignment horizontal="center" vertical="center"/>
    </xf>
    <xf numFmtId="49" fontId="5" fillId="0" borderId="5" xfId="0" applyNumberFormat="1" applyFont="1" applyBorder="1" applyAlignment="1">
      <alignment vertical="center" shrinkToFit="1"/>
    </xf>
    <xf numFmtId="176" fontId="0" fillId="0" borderId="3" xfId="0" applyNumberFormat="1" applyBorder="1" applyAlignment="1"/>
    <xf numFmtId="176" fontId="6" fillId="0" borderId="5" xfId="0" applyNumberFormat="1" applyFont="1" applyBorder="1">
      <alignment vertical="center"/>
    </xf>
    <xf numFmtId="176" fontId="0" fillId="0" borderId="4" xfId="0" applyNumberFormat="1" applyBorder="1">
      <alignment vertical="center"/>
    </xf>
    <xf numFmtId="176" fontId="6" fillId="0" borderId="5" xfId="0" applyNumberFormat="1" applyFont="1" applyBorder="1" applyAlignment="1">
      <alignment horizontal="center" vertical="center"/>
    </xf>
    <xf numFmtId="176" fontId="16" fillId="8" borderId="11" xfId="0" applyNumberFormat="1" applyFont="1" applyFill="1" applyBorder="1" applyAlignment="1">
      <alignment horizontal="center" vertical="center"/>
    </xf>
    <xf numFmtId="0" fontId="19" fillId="0" borderId="8" xfId="0" applyFont="1" applyBorder="1" applyAlignment="1">
      <alignment horizontal="left" vertical="center"/>
    </xf>
    <xf numFmtId="0" fontId="19" fillId="0" borderId="12" xfId="0" applyFont="1" applyBorder="1" applyAlignment="1">
      <alignment horizontal="center" vertical="center"/>
    </xf>
    <xf numFmtId="3" fontId="12" fillId="5" borderId="8" xfId="0" applyNumberFormat="1" applyFont="1" applyFill="1" applyBorder="1" applyAlignment="1">
      <alignment horizontal="center" vertical="center"/>
    </xf>
    <xf numFmtId="0" fontId="8" fillId="5" borderId="5" xfId="0" applyFont="1" applyFill="1" applyBorder="1" applyAlignment="1">
      <alignment horizontal="center" vertical="center"/>
    </xf>
    <xf numFmtId="14" fontId="8" fillId="0" borderId="1" xfId="0" applyNumberFormat="1" applyFont="1" applyBorder="1" applyAlignment="1">
      <alignment horizontal="left" vertical="center"/>
    </xf>
    <xf numFmtId="3" fontId="0" fillId="11" borderId="5" xfId="0" applyNumberFormat="1" applyFill="1" applyBorder="1" applyAlignment="1">
      <alignment horizontal="center" vertical="center"/>
    </xf>
    <xf numFmtId="3" fontId="5" fillId="11" borderId="2" xfId="0" applyNumberFormat="1" applyFont="1" applyFill="1" applyBorder="1" applyAlignment="1">
      <alignment horizontal="center" vertical="center"/>
    </xf>
    <xf numFmtId="0" fontId="5" fillId="11" borderId="2" xfId="0" applyFont="1" applyFill="1" applyBorder="1" applyAlignment="1">
      <alignment horizontal="center" vertical="center"/>
    </xf>
    <xf numFmtId="49" fontId="19" fillId="0" borderId="5" xfId="0" applyNumberFormat="1" applyFont="1" applyBorder="1" applyAlignment="1">
      <alignment horizontal="left" vertical="center"/>
    </xf>
    <xf numFmtId="0" fontId="0" fillId="12" borderId="5" xfId="0" applyFill="1" applyBorder="1" applyAlignment="1">
      <alignment horizontal="center" vertical="center"/>
    </xf>
    <xf numFmtId="0" fontId="0" fillId="13" borderId="8" xfId="0" applyFill="1" applyBorder="1" applyAlignment="1">
      <alignment horizontal="center" vertical="center"/>
    </xf>
    <xf numFmtId="0" fontId="0" fillId="6" borderId="8" xfId="0" applyFill="1" applyBorder="1" applyAlignment="1">
      <alignment horizontal="center" vertical="center"/>
    </xf>
    <xf numFmtId="3" fontId="8" fillId="0" borderId="8" xfId="0" applyNumberFormat="1" applyFont="1" applyBorder="1" applyAlignment="1">
      <alignment horizontal="center" vertical="center"/>
    </xf>
    <xf numFmtId="3" fontId="8" fillId="5" borderId="5" xfId="0" applyNumberFormat="1" applyFont="1" applyFill="1" applyBorder="1" applyAlignment="1">
      <alignment horizontal="center" vertical="center"/>
    </xf>
    <xf numFmtId="0" fontId="29" fillId="0" borderId="0" xfId="0" applyFont="1">
      <alignment vertical="center"/>
    </xf>
    <xf numFmtId="0" fontId="8" fillId="0" borderId="0" xfId="4" applyAlignment="1">
      <alignment horizontal="center" vertical="center"/>
    </xf>
    <xf numFmtId="177" fontId="8" fillId="0" borderId="5" xfId="4" applyNumberFormat="1" applyBorder="1" applyAlignment="1">
      <alignment horizontal="center" vertical="center"/>
    </xf>
    <xf numFmtId="0" fontId="8" fillId="0" borderId="2" xfId="4" applyBorder="1" applyAlignment="1">
      <alignment horizontal="center" vertical="center"/>
    </xf>
    <xf numFmtId="0" fontId="8" fillId="0" borderId="1" xfId="4" applyBorder="1" applyAlignment="1">
      <alignment horizontal="center" vertical="center"/>
    </xf>
    <xf numFmtId="3" fontId="8" fillId="0" borderId="1" xfId="4" applyNumberFormat="1" applyBorder="1" applyAlignment="1">
      <alignment horizontal="center" vertical="center"/>
    </xf>
    <xf numFmtId="0" fontId="8" fillId="0" borderId="5" xfId="4" applyBorder="1" applyAlignment="1">
      <alignment horizontal="center" vertical="center"/>
    </xf>
    <xf numFmtId="176" fontId="8" fillId="0" borderId="1" xfId="4" applyNumberFormat="1" applyBorder="1" applyAlignment="1"/>
    <xf numFmtId="176" fontId="8" fillId="0" borderId="1" xfId="4" applyNumberFormat="1" applyBorder="1" applyAlignment="1">
      <alignment horizontal="center" vertical="center"/>
    </xf>
    <xf numFmtId="179" fontId="8" fillId="0" borderId="5" xfId="4" applyNumberFormat="1" applyBorder="1" applyAlignment="1">
      <alignment horizontal="center" vertical="center"/>
    </xf>
    <xf numFmtId="179" fontId="8" fillId="0" borderId="1" xfId="4" applyNumberFormat="1" applyBorder="1" applyAlignment="1">
      <alignment horizontal="center" vertical="center"/>
    </xf>
    <xf numFmtId="178" fontId="8" fillId="0" borderId="5" xfId="4" applyNumberFormat="1" applyBorder="1" applyAlignment="1">
      <alignment horizontal="center" vertical="center"/>
    </xf>
    <xf numFmtId="0" fontId="8" fillId="0" borderId="5" xfId="4" applyBorder="1" applyAlignment="1">
      <alignment vertical="center" shrinkToFit="1"/>
    </xf>
    <xf numFmtId="3" fontId="8" fillId="0" borderId="5" xfId="4" applyNumberFormat="1" applyBorder="1" applyAlignment="1">
      <alignment horizontal="center" vertical="center"/>
    </xf>
    <xf numFmtId="0" fontId="8" fillId="0" borderId="5" xfId="4" applyBorder="1">
      <alignment vertical="center"/>
    </xf>
    <xf numFmtId="0" fontId="8" fillId="0" borderId="7" xfId="4" applyBorder="1" applyAlignment="1">
      <alignment horizontal="center" vertical="center"/>
    </xf>
    <xf numFmtId="0" fontId="8" fillId="0" borderId="7" xfId="4" applyBorder="1" applyAlignment="1">
      <alignment horizontal="left" vertical="center"/>
    </xf>
    <xf numFmtId="3" fontId="8" fillId="14" borderId="5" xfId="4" applyNumberFormat="1" applyFill="1" applyBorder="1" applyAlignment="1">
      <alignment horizontal="center" vertical="center"/>
    </xf>
    <xf numFmtId="176" fontId="8" fillId="0" borderId="5" xfId="4" applyNumberFormat="1" applyBorder="1">
      <alignment vertical="center"/>
    </xf>
    <xf numFmtId="3" fontId="8" fillId="0" borderId="7" xfId="4" applyNumberFormat="1" applyBorder="1" applyAlignment="1">
      <alignment horizontal="center" vertical="center"/>
    </xf>
    <xf numFmtId="56" fontId="8" fillId="0" borderId="5" xfId="4" applyNumberFormat="1" applyBorder="1" applyAlignment="1">
      <alignment horizontal="center" vertical="center"/>
    </xf>
    <xf numFmtId="38" fontId="8" fillId="0" borderId="5" xfId="4" applyNumberFormat="1" applyBorder="1">
      <alignment vertical="center"/>
    </xf>
    <xf numFmtId="180" fontId="8" fillId="0" borderId="5" xfId="4" applyNumberFormat="1" applyBorder="1">
      <alignment vertical="center"/>
    </xf>
    <xf numFmtId="38" fontId="8" fillId="0" borderId="5" xfId="4" applyNumberFormat="1" applyBorder="1" applyAlignment="1">
      <alignment horizontal="right" vertical="center"/>
    </xf>
    <xf numFmtId="5" fontId="16" fillId="15" borderId="5" xfId="4" applyNumberFormat="1" applyFont="1" applyFill="1" applyBorder="1">
      <alignment vertical="center"/>
    </xf>
    <xf numFmtId="3" fontId="2" fillId="0" borderId="5" xfId="4" applyNumberFormat="1" applyFont="1" applyBorder="1" applyAlignment="1">
      <alignment horizontal="center" vertical="center"/>
    </xf>
    <xf numFmtId="178" fontId="8" fillId="0" borderId="8" xfId="4" applyNumberFormat="1" applyBorder="1" applyAlignment="1">
      <alignment horizontal="center" vertical="center"/>
    </xf>
    <xf numFmtId="176" fontId="11" fillId="0" borderId="5" xfId="4" applyNumberFormat="1" applyFont="1" applyBorder="1" applyAlignment="1"/>
    <xf numFmtId="5" fontId="11" fillId="0" borderId="7" xfId="4" applyNumberFormat="1" applyFont="1" applyBorder="1" applyAlignment="1">
      <alignment horizontal="center" vertical="center"/>
    </xf>
    <xf numFmtId="3" fontId="14" fillId="0" borderId="5" xfId="4" applyNumberFormat="1" applyFont="1" applyBorder="1" applyAlignment="1">
      <alignment horizontal="center" vertical="center"/>
    </xf>
    <xf numFmtId="3" fontId="8" fillId="5" borderId="5" xfId="4" applyNumberFormat="1" applyFill="1" applyBorder="1" applyAlignment="1">
      <alignment horizontal="center" vertical="center"/>
    </xf>
    <xf numFmtId="0" fontId="12" fillId="0" borderId="5" xfId="3" applyBorder="1" applyAlignment="1">
      <alignment vertical="center"/>
    </xf>
    <xf numFmtId="0" fontId="24" fillId="0" borderId="1" xfId="4" applyFont="1" applyBorder="1" applyAlignment="1">
      <alignment horizontal="center" vertical="center"/>
    </xf>
    <xf numFmtId="0" fontId="8" fillId="0" borderId="15" xfId="4" applyBorder="1" applyAlignment="1">
      <alignment horizontal="center" vertical="center"/>
    </xf>
    <xf numFmtId="3" fontId="0" fillId="0" borderId="7" xfId="0" applyNumberFormat="1" applyBorder="1" applyAlignment="1">
      <alignment horizontal="center" vertical="center"/>
    </xf>
    <xf numFmtId="3" fontId="0" fillId="0" borderId="10" xfId="0" applyNumberFormat="1" applyBorder="1" applyAlignment="1">
      <alignment horizontal="center" vertical="center"/>
    </xf>
    <xf numFmtId="0" fontId="0" fillId="0" borderId="9" xfId="0" applyBorder="1" applyAlignment="1">
      <alignment vertical="center" shrinkToFit="1"/>
    </xf>
    <xf numFmtId="176" fontId="0" fillId="0" borderId="7" xfId="0" applyNumberFormat="1" applyBorder="1" applyAlignment="1"/>
    <xf numFmtId="0" fontId="8" fillId="6" borderId="5" xfId="4" applyFill="1" applyBorder="1" applyAlignment="1">
      <alignment horizontal="center" vertical="center"/>
    </xf>
    <xf numFmtId="0" fontId="32" fillId="0" borderId="5" xfId="0" applyFont="1" applyBorder="1" applyAlignment="1">
      <alignment horizontal="center" vertical="center" shrinkToFit="1"/>
    </xf>
    <xf numFmtId="0" fontId="32" fillId="0" borderId="5" xfId="0" applyFont="1" applyBorder="1" applyAlignment="1">
      <alignment horizontal="center" vertical="center"/>
    </xf>
    <xf numFmtId="177" fontId="32" fillId="0" borderId="5" xfId="0" applyNumberFormat="1" applyFont="1" applyBorder="1" applyAlignment="1">
      <alignment horizontal="center" vertical="center"/>
    </xf>
    <xf numFmtId="0" fontId="12" fillId="6" borderId="5" xfId="0" applyFont="1" applyFill="1" applyBorder="1">
      <alignment vertical="center"/>
    </xf>
    <xf numFmtId="0" fontId="0" fillId="6" borderId="5" xfId="0" applyFill="1" applyBorder="1" applyAlignment="1">
      <alignment horizontal="left" vertical="center"/>
    </xf>
    <xf numFmtId="0" fontId="19" fillId="6" borderId="5" xfId="0" applyFont="1" applyFill="1" applyBorder="1">
      <alignment vertical="center"/>
    </xf>
    <xf numFmtId="0" fontId="8" fillId="6" borderId="5" xfId="0" applyFont="1" applyFill="1" applyBorder="1" applyAlignment="1">
      <alignment horizontal="left" vertical="center"/>
    </xf>
    <xf numFmtId="0" fontId="19" fillId="6" borderId="5" xfId="0" applyFont="1" applyFill="1" applyBorder="1" applyAlignment="1">
      <alignment horizontal="left" vertical="center"/>
    </xf>
    <xf numFmtId="0" fontId="8" fillId="6" borderId="8" xfId="0" applyFont="1" applyFill="1" applyBorder="1" applyAlignment="1">
      <alignment horizontal="left" vertical="center"/>
    </xf>
    <xf numFmtId="49" fontId="19" fillId="6" borderId="5" xfId="0" applyNumberFormat="1" applyFont="1" applyFill="1" applyBorder="1" applyAlignment="1">
      <alignment horizontal="left" vertical="center"/>
    </xf>
    <xf numFmtId="49" fontId="8" fillId="6" borderId="5" xfId="0" applyNumberFormat="1" applyFont="1" applyFill="1" applyBorder="1" applyAlignment="1">
      <alignment horizontal="left" vertical="center"/>
    </xf>
    <xf numFmtId="0" fontId="8" fillId="0" borderId="5" xfId="0" applyFont="1" applyBorder="1" applyAlignment="1">
      <alignment horizontal="center" vertical="center"/>
    </xf>
    <xf numFmtId="0" fontId="8" fillId="6" borderId="5" xfId="0" applyFont="1" applyFill="1" applyBorder="1" applyAlignment="1">
      <alignment horizontal="center" vertical="center"/>
    </xf>
    <xf numFmtId="0" fontId="8" fillId="6" borderId="8" xfId="0" applyFont="1" applyFill="1" applyBorder="1" applyAlignment="1">
      <alignment horizontal="center" vertical="center"/>
    </xf>
    <xf numFmtId="183" fontId="19" fillId="0" borderId="5" xfId="0" applyNumberFormat="1" applyFont="1" applyBorder="1" applyAlignment="1">
      <alignment horizontal="center" vertical="center"/>
    </xf>
    <xf numFmtId="0" fontId="8" fillId="0" borderId="5" xfId="0" applyFont="1" applyBorder="1" applyAlignment="1">
      <alignment horizontal="left" vertical="center" shrinkToFit="1"/>
    </xf>
    <xf numFmtId="49" fontId="23" fillId="6" borderId="5" xfId="0" applyNumberFormat="1" applyFont="1" applyFill="1" applyBorder="1" applyAlignment="1">
      <alignment horizontal="left" vertical="center"/>
    </xf>
    <xf numFmtId="0" fontId="12" fillId="6" borderId="5" xfId="3" applyFill="1" applyBorder="1" applyAlignment="1">
      <alignment vertical="center"/>
    </xf>
    <xf numFmtId="176" fontId="23" fillId="0" borderId="5" xfId="0" applyNumberFormat="1" applyFont="1" applyBorder="1" applyAlignment="1">
      <alignment horizontal="center" vertical="center"/>
    </xf>
    <xf numFmtId="176" fontId="19" fillId="6" borderId="5" xfId="0" applyNumberFormat="1" applyFont="1" applyFill="1" applyBorder="1" applyAlignment="1">
      <alignment horizontal="left" vertical="center"/>
    </xf>
    <xf numFmtId="0" fontId="0" fillId="6" borderId="5" xfId="0" applyFill="1" applyBorder="1">
      <alignment vertical="center"/>
    </xf>
    <xf numFmtId="0" fontId="19" fillId="6" borderId="5" xfId="0" applyFont="1" applyFill="1" applyBorder="1" applyAlignment="1">
      <alignment vertical="center" wrapText="1"/>
    </xf>
    <xf numFmtId="176" fontId="0" fillId="6" borderId="5" xfId="0" applyNumberFormat="1" applyFill="1" applyBorder="1" applyAlignment="1">
      <alignment horizontal="left" vertical="center"/>
    </xf>
    <xf numFmtId="0" fontId="0" fillId="6" borderId="0" xfId="0" applyFill="1" applyAlignment="1">
      <alignment horizontal="center" vertical="center"/>
    </xf>
    <xf numFmtId="0" fontId="23" fillId="5" borderId="5" xfId="0" applyFont="1" applyFill="1" applyBorder="1" applyAlignment="1">
      <alignment horizontal="center" vertical="center"/>
    </xf>
    <xf numFmtId="0" fontId="12" fillId="6" borderId="7" xfId="0" applyFont="1" applyFill="1" applyBorder="1">
      <alignment vertical="center"/>
    </xf>
    <xf numFmtId="0" fontId="23" fillId="6" borderId="5" xfId="0" applyFont="1" applyFill="1" applyBorder="1">
      <alignment vertical="center"/>
    </xf>
    <xf numFmtId="0" fontId="23" fillId="6" borderId="5" xfId="3" applyFont="1" applyFill="1" applyBorder="1" applyAlignment="1">
      <alignment horizontal="left" vertical="center"/>
    </xf>
    <xf numFmtId="49" fontId="0" fillId="6" borderId="5" xfId="0" applyNumberFormat="1" applyFill="1" applyBorder="1" applyAlignment="1">
      <alignment horizontal="left" vertical="center"/>
    </xf>
    <xf numFmtId="0" fontId="19" fillId="6" borderId="8" xfId="0" applyFont="1" applyFill="1" applyBorder="1" applyAlignment="1">
      <alignment horizontal="left" vertical="center"/>
    </xf>
    <xf numFmtId="3" fontId="8" fillId="6" borderId="9" xfId="4" applyNumberFormat="1" applyFill="1" applyBorder="1" applyAlignment="1">
      <alignment horizontal="left" vertical="center"/>
    </xf>
    <xf numFmtId="0" fontId="19" fillId="6" borderId="5" xfId="4" applyFont="1" applyFill="1" applyBorder="1" applyAlignment="1">
      <alignment horizontal="left" vertical="center"/>
    </xf>
    <xf numFmtId="0" fontId="12" fillId="6" borderId="5" xfId="4" applyFont="1" applyFill="1" applyBorder="1" applyAlignment="1">
      <alignment horizontal="left" vertical="center"/>
    </xf>
    <xf numFmtId="0" fontId="0" fillId="6" borderId="5" xfId="0" applyFill="1" applyBorder="1" applyAlignment="1">
      <alignment horizontal="left" vertical="center" wrapText="1"/>
    </xf>
    <xf numFmtId="0" fontId="0" fillId="6" borderId="7" xfId="0" applyFill="1" applyBorder="1">
      <alignment vertical="center"/>
    </xf>
    <xf numFmtId="0" fontId="8" fillId="6" borderId="0" xfId="4" applyFill="1" applyAlignment="1">
      <alignment horizontal="center" vertical="center"/>
    </xf>
    <xf numFmtId="176" fontId="8" fillId="6" borderId="5" xfId="0" applyNumberFormat="1" applyFont="1" applyFill="1" applyBorder="1" applyAlignment="1">
      <alignment horizontal="left" vertical="center"/>
    </xf>
    <xf numFmtId="0" fontId="0" fillId="16" borderId="8" xfId="0" applyFill="1" applyBorder="1" applyAlignment="1">
      <alignment horizontal="center" vertical="center"/>
    </xf>
    <xf numFmtId="0" fontId="8" fillId="0" borderId="2" xfId="4" applyBorder="1" applyAlignment="1">
      <alignment horizontal="left" vertical="center" shrinkToFit="1"/>
    </xf>
    <xf numFmtId="0" fontId="31" fillId="0" borderId="7" xfId="4" applyFont="1" applyBorder="1" applyAlignment="1">
      <alignment horizontal="left" vertical="center" shrinkToFit="1"/>
    </xf>
    <xf numFmtId="0" fontId="8" fillId="0" borderId="7" xfId="4" applyBorder="1">
      <alignment vertical="center"/>
    </xf>
    <xf numFmtId="0" fontId="0" fillId="0" borderId="7" xfId="0" applyBorder="1" applyAlignment="1">
      <alignment horizontal="left" vertical="center" shrinkToFit="1"/>
    </xf>
    <xf numFmtId="56" fontId="8" fillId="0" borderId="16" xfId="4" applyNumberFormat="1" applyBorder="1" applyAlignment="1">
      <alignment horizontal="center" vertical="center"/>
    </xf>
    <xf numFmtId="56" fontId="8" fillId="0" borderId="9" xfId="4" applyNumberFormat="1" applyBorder="1" applyAlignment="1">
      <alignment horizontal="center" vertical="center"/>
    </xf>
    <xf numFmtId="179" fontId="0" fillId="0" borderId="17" xfId="0" applyNumberFormat="1" applyBorder="1" applyAlignment="1">
      <alignment horizontal="center" vertical="center"/>
    </xf>
    <xf numFmtId="0" fontId="0" fillId="0" borderId="6" xfId="0" applyBorder="1" applyAlignment="1">
      <alignment horizontal="center" vertical="center"/>
    </xf>
    <xf numFmtId="179" fontId="0" fillId="0" borderId="6" xfId="0" applyNumberFormat="1" applyBorder="1" applyAlignment="1">
      <alignment horizontal="center" vertical="center"/>
    </xf>
    <xf numFmtId="3" fontId="0" fillId="0" borderId="6" xfId="0" applyNumberFormat="1" applyBorder="1" applyAlignment="1">
      <alignment horizontal="center" vertical="center"/>
    </xf>
    <xf numFmtId="0" fontId="30" fillId="0" borderId="5" xfId="3" applyFont="1" applyBorder="1" applyAlignment="1">
      <alignment vertical="center"/>
    </xf>
    <xf numFmtId="176" fontId="19" fillId="0" borderId="5" xfId="0" applyNumberFormat="1" applyFont="1" applyBorder="1" applyAlignment="1"/>
    <xf numFmtId="181" fontId="19" fillId="11" borderId="5" xfId="4" applyNumberFormat="1" applyFont="1" applyFill="1" applyBorder="1" applyAlignment="1">
      <alignment horizontal="center" vertical="center"/>
    </xf>
    <xf numFmtId="0" fontId="0" fillId="11" borderId="8" xfId="0" applyFill="1" applyBorder="1" applyAlignment="1">
      <alignment horizontal="center" vertical="center"/>
    </xf>
    <xf numFmtId="0" fontId="0" fillId="11" borderId="5" xfId="0" applyFill="1" applyBorder="1" applyAlignment="1">
      <alignment horizontal="center" vertical="center"/>
    </xf>
    <xf numFmtId="0" fontId="19" fillId="11" borderId="5" xfId="0" applyFont="1" applyFill="1" applyBorder="1" applyAlignment="1">
      <alignment horizontal="center" vertical="center"/>
    </xf>
    <xf numFmtId="0" fontId="12" fillId="11" borderId="5" xfId="0" applyFont="1" applyFill="1" applyBorder="1" applyAlignment="1">
      <alignment horizontal="center" vertical="center"/>
    </xf>
    <xf numFmtId="0" fontId="19" fillId="11" borderId="7" xfId="0" applyFont="1" applyFill="1" applyBorder="1" applyAlignment="1">
      <alignment horizontal="center" vertical="center"/>
    </xf>
    <xf numFmtId="176" fontId="8" fillId="11" borderId="5" xfId="0" applyNumberFormat="1" applyFont="1" applyFill="1" applyBorder="1" applyAlignment="1">
      <alignment horizontal="center" vertical="center"/>
    </xf>
    <xf numFmtId="181" fontId="23" fillId="11" borderId="5" xfId="0" applyNumberFormat="1" applyFont="1" applyFill="1" applyBorder="1" applyAlignment="1">
      <alignment horizontal="center" vertical="center"/>
    </xf>
    <xf numFmtId="176" fontId="19" fillId="11" borderId="5" xfId="0" applyNumberFormat="1" applyFont="1" applyFill="1" applyBorder="1" applyAlignment="1">
      <alignment horizontal="center" vertical="center"/>
    </xf>
    <xf numFmtId="0" fontId="14" fillId="11" borderId="5" xfId="0" applyFont="1" applyFill="1" applyBorder="1" applyAlignment="1">
      <alignment horizontal="center" vertical="center"/>
    </xf>
    <xf numFmtId="181" fontId="19" fillId="11" borderId="5" xfId="0" applyNumberFormat="1" applyFont="1" applyFill="1" applyBorder="1" applyAlignment="1">
      <alignment horizontal="center" vertical="center"/>
    </xf>
    <xf numFmtId="181" fontId="19" fillId="11" borderId="7" xfId="0" applyNumberFormat="1" applyFont="1" applyFill="1" applyBorder="1" applyAlignment="1">
      <alignment horizontal="center" vertical="center"/>
    </xf>
    <xf numFmtId="0" fontId="0" fillId="11" borderId="14" xfId="0" applyFill="1" applyBorder="1" applyAlignment="1">
      <alignment horizontal="center" vertical="center"/>
    </xf>
    <xf numFmtId="176" fontId="23" fillId="11" borderId="5" xfId="0" applyNumberFormat="1" applyFont="1" applyFill="1" applyBorder="1" applyAlignment="1">
      <alignment horizontal="center" vertical="center"/>
    </xf>
    <xf numFmtId="181" fontId="0" fillId="11" borderId="5" xfId="0" applyNumberFormat="1" applyFill="1" applyBorder="1" applyAlignment="1">
      <alignment horizontal="center" vertical="center"/>
    </xf>
    <xf numFmtId="0" fontId="23" fillId="11" borderId="5" xfId="0" applyFont="1" applyFill="1" applyBorder="1" applyAlignment="1">
      <alignment horizontal="center" vertical="center"/>
    </xf>
    <xf numFmtId="176" fontId="0" fillId="11" borderId="5" xfId="0" applyNumberFormat="1" applyFill="1" applyBorder="1" applyAlignment="1">
      <alignment horizontal="center" vertical="center"/>
    </xf>
    <xf numFmtId="181" fontId="19" fillId="11" borderId="8" xfId="0" applyNumberFormat="1" applyFont="1" applyFill="1" applyBorder="1" applyAlignment="1">
      <alignment horizontal="center" vertical="center"/>
    </xf>
    <xf numFmtId="0" fontId="12" fillId="11" borderId="5" xfId="3" applyFill="1" applyBorder="1" applyAlignment="1">
      <alignment horizontal="center" vertical="center"/>
    </xf>
    <xf numFmtId="0" fontId="19" fillId="11" borderId="5" xfId="4" applyFont="1" applyFill="1" applyBorder="1" applyAlignment="1">
      <alignment horizontal="center" vertical="center"/>
    </xf>
    <xf numFmtId="0" fontId="12" fillId="17" borderId="5" xfId="3" applyFill="1" applyBorder="1" applyAlignment="1">
      <alignment horizontal="left"/>
    </xf>
    <xf numFmtId="3" fontId="34" fillId="0" borderId="5" xfId="4" applyNumberFormat="1" applyFont="1" applyBorder="1" applyAlignment="1">
      <alignment horizontal="center" vertical="center"/>
    </xf>
    <xf numFmtId="179" fontId="8" fillId="0" borderId="18" xfId="4" applyNumberFormat="1" applyBorder="1" applyAlignment="1">
      <alignment horizontal="center" vertical="center"/>
    </xf>
    <xf numFmtId="56" fontId="8" fillId="0" borderId="7" xfId="4" applyNumberFormat="1" applyBorder="1" applyAlignment="1">
      <alignment horizontal="center" vertical="center"/>
    </xf>
    <xf numFmtId="177" fontId="0" fillId="0" borderId="6" xfId="0" applyNumberFormat="1" applyBorder="1" applyAlignment="1">
      <alignment horizontal="center" vertical="center"/>
    </xf>
    <xf numFmtId="0" fontId="0" fillId="7" borderId="7" xfId="0" applyFill="1" applyBorder="1" applyAlignment="1">
      <alignment horizontal="center" vertical="center"/>
    </xf>
    <xf numFmtId="0" fontId="0" fillId="0" borderId="19" xfId="0" applyBorder="1" applyAlignment="1">
      <alignment horizontal="center" vertical="center"/>
    </xf>
    <xf numFmtId="179" fontId="0" fillId="0" borderId="19" xfId="0" applyNumberFormat="1" applyBorder="1" applyAlignment="1">
      <alignment horizontal="center" vertical="center"/>
    </xf>
    <xf numFmtId="3" fontId="0" fillId="0" borderId="19" xfId="0" applyNumberFormat="1" applyBorder="1" applyAlignment="1">
      <alignment horizontal="center" vertical="center"/>
    </xf>
    <xf numFmtId="0" fontId="0" fillId="0" borderId="20" xfId="0" applyBorder="1" applyAlignment="1">
      <alignment horizontal="center" vertical="center"/>
    </xf>
    <xf numFmtId="179" fontId="0" fillId="0" borderId="8" xfId="0" applyNumberFormat="1" applyBorder="1" applyAlignment="1">
      <alignment horizontal="center" vertical="center"/>
    </xf>
    <xf numFmtId="177" fontId="0" fillId="0" borderId="8" xfId="0" applyNumberFormat="1" applyBorder="1" applyAlignment="1">
      <alignment horizontal="center" vertical="center"/>
    </xf>
    <xf numFmtId="3" fontId="34" fillId="17" borderId="5" xfId="4" applyNumberFormat="1" applyFont="1" applyFill="1" applyBorder="1" applyAlignment="1">
      <alignment horizontal="center" vertical="center"/>
    </xf>
    <xf numFmtId="179" fontId="8" fillId="17" borderId="5" xfId="4" applyNumberFormat="1" applyFill="1" applyBorder="1" applyAlignment="1">
      <alignment horizontal="center" vertical="center"/>
    </xf>
    <xf numFmtId="3" fontId="8" fillId="17" borderId="5" xfId="4" applyNumberFormat="1" applyFill="1" applyBorder="1" applyAlignment="1">
      <alignment horizontal="center" vertical="center"/>
    </xf>
    <xf numFmtId="56" fontId="8" fillId="17" borderId="5" xfId="4" applyNumberFormat="1" applyFill="1" applyBorder="1" applyAlignment="1">
      <alignment horizontal="center" vertical="center"/>
    </xf>
    <xf numFmtId="56" fontId="8" fillId="17" borderId="7" xfId="4" applyNumberFormat="1" applyFill="1" applyBorder="1" applyAlignment="1">
      <alignment horizontal="center" vertical="center"/>
    </xf>
    <xf numFmtId="0" fontId="0" fillId="17" borderId="7" xfId="0" applyFill="1" applyBorder="1" applyAlignment="1">
      <alignment horizontal="center" vertical="center"/>
    </xf>
    <xf numFmtId="38" fontId="8" fillId="11" borderId="5" xfId="4" applyNumberFormat="1" applyFill="1" applyBorder="1" applyAlignment="1">
      <alignment horizontal="center" vertical="center"/>
    </xf>
    <xf numFmtId="0" fontId="19" fillId="11" borderId="12" xfId="0" applyFont="1" applyFill="1" applyBorder="1" applyAlignment="1">
      <alignment horizontal="center" vertical="center"/>
    </xf>
    <xf numFmtId="0" fontId="0" fillId="11" borderId="7" xfId="0" applyFill="1" applyBorder="1" applyAlignment="1">
      <alignment horizontal="center" vertical="center"/>
    </xf>
    <xf numFmtId="38" fontId="19" fillId="11" borderId="5" xfId="0" applyNumberFormat="1" applyFont="1" applyFill="1" applyBorder="1" applyAlignment="1">
      <alignment horizontal="center" vertical="center"/>
    </xf>
    <xf numFmtId="176" fontId="19" fillId="11" borderId="7" xfId="0" applyNumberFormat="1" applyFont="1" applyFill="1" applyBorder="1" applyAlignment="1">
      <alignment horizontal="center" vertical="center"/>
    </xf>
    <xf numFmtId="38" fontId="0" fillId="11" borderId="5" xfId="0" applyNumberFormat="1" applyFill="1" applyBorder="1" applyAlignment="1">
      <alignment horizontal="center" vertical="center"/>
    </xf>
    <xf numFmtId="38" fontId="19" fillId="11" borderId="9" xfId="0" applyNumberFormat="1" applyFont="1" applyFill="1" applyBorder="1" applyAlignment="1">
      <alignment horizontal="center" vertical="center"/>
    </xf>
    <xf numFmtId="38" fontId="23" fillId="11" borderId="7" xfId="0" applyNumberFormat="1" applyFont="1" applyFill="1" applyBorder="1" applyAlignment="1">
      <alignment horizontal="center" vertical="center"/>
    </xf>
    <xf numFmtId="176" fontId="12" fillId="11" borderId="5" xfId="0" applyNumberFormat="1" applyFont="1" applyFill="1" applyBorder="1" applyAlignment="1">
      <alignment horizontal="center" vertical="center"/>
    </xf>
    <xf numFmtId="180" fontId="0" fillId="11" borderId="5" xfId="0" applyNumberFormat="1" applyFill="1" applyBorder="1" applyAlignment="1">
      <alignment horizontal="center" vertical="center"/>
    </xf>
    <xf numFmtId="176" fontId="19" fillId="11" borderId="8" xfId="0" applyNumberFormat="1" applyFont="1" applyFill="1" applyBorder="1" applyAlignment="1">
      <alignment horizontal="center" vertical="center"/>
    </xf>
    <xf numFmtId="176" fontId="8" fillId="11" borderId="5" xfId="4" applyNumberFormat="1" applyFill="1" applyBorder="1" applyAlignment="1">
      <alignment horizontal="center" vertical="center"/>
    </xf>
    <xf numFmtId="38" fontId="19" fillId="11" borderId="5" xfId="4" applyNumberFormat="1" applyFont="1" applyFill="1" applyBorder="1" applyAlignment="1">
      <alignment horizontal="center" vertical="center"/>
    </xf>
    <xf numFmtId="183" fontId="19" fillId="11" borderId="5" xfId="0" applyNumberFormat="1" applyFont="1" applyFill="1" applyBorder="1" applyAlignment="1">
      <alignment horizontal="center" vertical="center"/>
    </xf>
    <xf numFmtId="183" fontId="0" fillId="11" borderId="5" xfId="0" applyNumberFormat="1" applyFill="1" applyBorder="1" applyAlignment="1">
      <alignment horizontal="center" vertical="center"/>
    </xf>
    <xf numFmtId="38" fontId="23" fillId="11" borderId="5" xfId="0" applyNumberFormat="1" applyFont="1" applyFill="1" applyBorder="1" applyAlignment="1">
      <alignment horizontal="center" vertical="center"/>
    </xf>
    <xf numFmtId="0" fontId="33" fillId="11" borderId="5" xfId="3" applyFont="1" applyFill="1" applyBorder="1" applyAlignment="1">
      <alignment horizontal="center" vertical="center"/>
    </xf>
    <xf numFmtId="0" fontId="19" fillId="11" borderId="8" xfId="0" applyFont="1" applyFill="1" applyBorder="1" applyAlignment="1">
      <alignment horizontal="center" vertical="center"/>
    </xf>
    <xf numFmtId="3" fontId="16" fillId="3" borderId="7" xfId="0" applyNumberFormat="1" applyFont="1" applyFill="1" applyBorder="1" applyAlignment="1">
      <alignment horizontal="center" vertical="center"/>
    </xf>
    <xf numFmtId="3" fontId="16" fillId="3" borderId="10" xfId="0" applyNumberFormat="1" applyFont="1" applyFill="1" applyBorder="1" applyAlignment="1">
      <alignment horizontal="center" vertical="center"/>
    </xf>
    <xf numFmtId="3" fontId="16" fillId="3" borderId="9" xfId="0" applyNumberFormat="1" applyFont="1" applyFill="1" applyBorder="1" applyAlignment="1">
      <alignment horizontal="center" vertical="center"/>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176" fontId="6" fillId="0" borderId="4" xfId="0" applyNumberFormat="1" applyFont="1" applyBorder="1" applyAlignment="1">
      <alignment horizontal="center" vertical="center"/>
    </xf>
    <xf numFmtId="49" fontId="28" fillId="0" borderId="0" xfId="0" applyNumberFormat="1" applyFont="1" applyAlignment="1">
      <alignment horizontal="left" vertical="center" shrinkToFit="1"/>
    </xf>
    <xf numFmtId="3" fontId="20" fillId="3" borderId="7" xfId="4" applyNumberFormat="1" applyFont="1" applyFill="1" applyBorder="1" applyAlignment="1">
      <alignment horizontal="center" vertical="center"/>
    </xf>
    <xf numFmtId="3" fontId="20" fillId="3" borderId="10" xfId="4" applyNumberFormat="1" applyFont="1" applyFill="1" applyBorder="1" applyAlignment="1">
      <alignment horizontal="center" vertical="center"/>
    </xf>
    <xf numFmtId="3" fontId="20" fillId="3" borderId="9" xfId="4" applyNumberFormat="1" applyFont="1" applyFill="1" applyBorder="1" applyAlignment="1">
      <alignment horizontal="center" vertical="center"/>
    </xf>
    <xf numFmtId="3" fontId="2" fillId="10" borderId="5"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7" fillId="4" borderId="5" xfId="0" applyFont="1" applyFill="1" applyBorder="1" applyAlignment="1">
      <alignment horizontal="center" vertical="center" shrinkToFit="1"/>
    </xf>
    <xf numFmtId="0" fontId="22" fillId="0" borderId="11" xfId="0" applyFont="1" applyBorder="1" applyAlignment="1">
      <alignment horizontal="center" vertical="center"/>
    </xf>
  </cellXfs>
  <cellStyles count="6">
    <cellStyle name="ハイパーリンク" xfId="2" xr:uid="{00000000-0005-0000-0000-000000000000}"/>
    <cellStyle name="標準" xfId="0" builtinId="0"/>
    <cellStyle name="標準 2" xfId="5" xr:uid="{C2CBC382-4BC1-4D3B-B64A-4DC2C10C5618}"/>
    <cellStyle name="標準 3" xfId="4" xr:uid="{1B9717F3-D5E1-4047-8E84-2BA2544C8F2B}"/>
    <cellStyle name="標準_発注管理表" xfId="3" xr:uid="{00000000-0005-0000-0000-000002000000}"/>
    <cellStyle name="表示済みのハイパーリンク" xfId="1" xr:uid="{00000000-0005-0000-0000-000003000000}"/>
  </cellStyles>
  <dxfs count="0"/>
  <tableStyles count="0" defaultTableStyle="TableStyleMedium9" defaultPivotStyle="PivotStyleMedium9"/>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1B5BE-BA05-422D-AC4B-C8E8B71B3407}">
  <sheetPr>
    <tabColor rgb="FF92D050"/>
  </sheetPr>
  <dimension ref="A2:S191"/>
  <sheetViews>
    <sheetView tabSelected="1" topLeftCell="C1" zoomScale="70" zoomScaleNormal="70" workbookViewId="0">
      <pane ySplit="10" topLeftCell="A137" activePane="bottomLeft" state="frozen"/>
      <selection pane="bottomLeft" activeCell="S151" sqref="S151"/>
    </sheetView>
  </sheetViews>
  <sheetFormatPr defaultColWidth="11.875" defaultRowHeight="13.5" customHeight="1" x14ac:dyDescent="0.15"/>
  <cols>
    <col min="1" max="2" width="8.5" customWidth="1"/>
    <col min="3" max="3" width="9.375" customWidth="1"/>
    <col min="4" max="4" width="6.125" style="3" customWidth="1"/>
    <col min="5" max="5" width="15.125" customWidth="1"/>
    <col min="6" max="6" width="15.5" customWidth="1"/>
    <col min="7" max="7" width="59.75" customWidth="1"/>
    <col min="8" max="8" width="14.5" style="3" customWidth="1"/>
    <col min="9" max="10" width="12.125" style="3" customWidth="1"/>
    <col min="11" max="11" width="7.125" style="9" customWidth="1"/>
    <col min="12" max="12" width="50.5" customWidth="1"/>
    <col min="13" max="13" width="28.375" customWidth="1"/>
    <col min="14" max="14" width="22.5" style="3" customWidth="1"/>
    <col min="15" max="15" width="17" style="3" customWidth="1"/>
    <col min="16" max="16" width="7.875" customWidth="1"/>
    <col min="17" max="17" width="16.375" style="3" customWidth="1"/>
    <col min="18" max="18" width="17.875" style="24" customWidth="1"/>
    <col min="19" max="19" width="19.375" style="24" customWidth="1"/>
  </cols>
  <sheetData>
    <row r="2" spans="1:19" ht="20.100000000000001" customHeight="1" x14ac:dyDescent="0.15">
      <c r="D2" s="286" t="s">
        <v>0</v>
      </c>
      <c r="E2" s="286"/>
      <c r="F2" s="286"/>
      <c r="G2" s="169" t="s">
        <v>213</v>
      </c>
      <c r="I2" s="287" t="s">
        <v>1</v>
      </c>
      <c r="J2" s="288"/>
      <c r="K2" s="289"/>
      <c r="L2" s="8">
        <f>SUM(J:J)</f>
        <v>262652</v>
      </c>
    </row>
    <row r="3" spans="1:19" ht="20.100000000000001" customHeight="1" x14ac:dyDescent="0.15">
      <c r="D3" s="286" t="s">
        <v>2</v>
      </c>
      <c r="E3" s="286"/>
      <c r="F3" s="286"/>
      <c r="G3" s="170" t="s">
        <v>215</v>
      </c>
    </row>
    <row r="4" spans="1:19" ht="20.100000000000001" customHeight="1" x14ac:dyDescent="0.15">
      <c r="D4" s="286" t="s">
        <v>3</v>
      </c>
      <c r="E4" s="286"/>
      <c r="F4" s="286"/>
      <c r="G4" s="170" t="s">
        <v>214</v>
      </c>
      <c r="I4" s="290" t="s">
        <v>216</v>
      </c>
      <c r="J4" s="290"/>
      <c r="K4" s="290"/>
      <c r="L4" s="290"/>
      <c r="M4" s="27"/>
    </row>
    <row r="5" spans="1:19" ht="20.100000000000001" customHeight="1" x14ac:dyDescent="0.15">
      <c r="D5" s="286" t="s">
        <v>4</v>
      </c>
      <c r="E5" s="286"/>
      <c r="F5" s="286"/>
      <c r="G5" s="171">
        <v>45553</v>
      </c>
      <c r="H5" s="291" t="s">
        <v>282</v>
      </c>
      <c r="I5" s="290"/>
      <c r="J5" s="290"/>
      <c r="K5" s="290"/>
      <c r="L5" s="290"/>
    </row>
    <row r="6" spans="1:19" ht="20.100000000000001" customHeight="1" x14ac:dyDescent="0.15">
      <c r="D6" s="286" t="s">
        <v>5</v>
      </c>
      <c r="E6" s="286"/>
      <c r="F6" s="286"/>
      <c r="G6" s="171">
        <v>45554</v>
      </c>
      <c r="H6" s="291"/>
      <c r="J6" s="28"/>
    </row>
    <row r="7" spans="1:19" ht="19.899999999999999" customHeight="1" x14ac:dyDescent="0.15">
      <c r="L7" s="281" t="s">
        <v>284</v>
      </c>
      <c r="M7" s="281"/>
    </row>
    <row r="8" spans="1:19" ht="16.899999999999999" customHeight="1" x14ac:dyDescent="0.15">
      <c r="L8" s="130"/>
    </row>
    <row r="10" spans="1:19" s="3" customFormat="1" ht="19.5" customHeight="1" x14ac:dyDescent="0.15">
      <c r="C10" s="33" t="s">
        <v>25</v>
      </c>
      <c r="D10" s="32" t="s">
        <v>6</v>
      </c>
      <c r="E10" s="4" t="s">
        <v>7</v>
      </c>
      <c r="F10" s="4" t="s">
        <v>8</v>
      </c>
      <c r="G10" s="1" t="s">
        <v>9</v>
      </c>
      <c r="H10" s="1" t="s">
        <v>10</v>
      </c>
      <c r="I10" s="1" t="s">
        <v>11</v>
      </c>
      <c r="J10" s="2" t="s">
        <v>12</v>
      </c>
      <c r="K10" s="2" t="s">
        <v>13</v>
      </c>
      <c r="L10" s="1" t="s">
        <v>14</v>
      </c>
      <c r="M10" s="214" t="s">
        <v>15</v>
      </c>
      <c r="N10" s="214" t="s">
        <v>16</v>
      </c>
      <c r="O10" s="215" t="s">
        <v>17</v>
      </c>
      <c r="P10" s="216" t="s">
        <v>18</v>
      </c>
      <c r="Q10" s="214" t="s">
        <v>19</v>
      </c>
      <c r="R10" s="11" t="s">
        <v>20</v>
      </c>
      <c r="S10" s="243" t="s">
        <v>21</v>
      </c>
    </row>
    <row r="11" spans="1:19" s="131" customFormat="1" ht="19.5" customHeight="1" x14ac:dyDescent="0.15">
      <c r="D11" s="135"/>
      <c r="E11" s="282" t="s">
        <v>207</v>
      </c>
      <c r="F11" s="283"/>
      <c r="G11" s="284"/>
      <c r="H11" s="138"/>
      <c r="I11" s="138"/>
      <c r="J11" s="138"/>
      <c r="K11" s="137"/>
      <c r="L11" s="207"/>
      <c r="M11" s="136"/>
      <c r="N11" s="136"/>
      <c r="O11" s="139"/>
      <c r="P11" s="143"/>
      <c r="Q11" s="136"/>
      <c r="R11" s="241"/>
      <c r="S11" s="132"/>
    </row>
    <row r="12" spans="1:19" s="131" customFormat="1" ht="19.5" customHeight="1" x14ac:dyDescent="0.15">
      <c r="A12" s="57" t="s">
        <v>106</v>
      </c>
      <c r="B12" s="204"/>
      <c r="C12" s="136">
        <v>13</v>
      </c>
      <c r="D12" s="160">
        <v>1</v>
      </c>
      <c r="E12" s="143" t="s">
        <v>26</v>
      </c>
      <c r="F12" s="143" t="s">
        <v>26</v>
      </c>
      <c r="G12" s="200" t="s">
        <v>209</v>
      </c>
      <c r="H12" s="219">
        <v>1</v>
      </c>
      <c r="I12" s="269">
        <v>19600</v>
      </c>
      <c r="J12" s="257">
        <f t="shared" ref="J12" si="0">H12*I12</f>
        <v>19600</v>
      </c>
      <c r="K12" s="146"/>
      <c r="L12" s="146" t="s">
        <v>208</v>
      </c>
      <c r="M12" s="217"/>
      <c r="N12" s="240" t="s">
        <v>283</v>
      </c>
      <c r="O12" s="139">
        <v>45513</v>
      </c>
      <c r="P12" s="143"/>
      <c r="Q12" s="150">
        <v>45553</v>
      </c>
      <c r="R12" s="242">
        <v>45555</v>
      </c>
      <c r="S12" s="141"/>
    </row>
    <row r="13" spans="1:19" s="131" customFormat="1" ht="19.5" customHeight="1" x14ac:dyDescent="0.15">
      <c r="C13" s="136"/>
      <c r="D13" s="143"/>
      <c r="E13" s="159"/>
      <c r="F13" s="159"/>
      <c r="G13" s="41"/>
      <c r="H13" s="25"/>
      <c r="I13" s="25"/>
      <c r="J13" s="158"/>
      <c r="K13" s="157"/>
      <c r="L13" s="208"/>
      <c r="M13" s="217"/>
      <c r="N13" s="143"/>
      <c r="O13" s="139"/>
      <c r="P13" s="143"/>
      <c r="Q13" s="150"/>
      <c r="R13" s="211"/>
      <c r="S13" s="156"/>
    </row>
    <row r="14" spans="1:19" s="131" customFormat="1" ht="19.5" customHeight="1" x14ac:dyDescent="0.15">
      <c r="C14" s="136"/>
      <c r="D14" s="143"/>
      <c r="E14" s="143"/>
      <c r="F14" s="155"/>
      <c r="G14" s="154">
        <f>SUM(J12:J13)</f>
        <v>19600</v>
      </c>
      <c r="H14" s="136"/>
      <c r="I14" s="153"/>
      <c r="J14" s="152"/>
      <c r="K14" s="145"/>
      <c r="L14" s="209"/>
      <c r="M14" s="151"/>
      <c r="N14" s="143"/>
      <c r="O14" s="139"/>
      <c r="P14" s="143"/>
      <c r="Q14" s="150"/>
      <c r="R14" s="212"/>
      <c r="S14" s="141"/>
    </row>
    <row r="15" spans="1:19" s="3" customFormat="1" ht="19.5" customHeight="1" x14ac:dyDescent="0.15">
      <c r="C15" s="19"/>
      <c r="D15" s="82"/>
      <c r="E15" s="164"/>
      <c r="F15" s="165"/>
      <c r="G15" s="166"/>
      <c r="H15" s="40"/>
      <c r="I15" s="40"/>
      <c r="J15" s="40"/>
      <c r="K15" s="167"/>
      <c r="L15" s="210"/>
      <c r="M15" s="19"/>
      <c r="N15" s="19"/>
      <c r="O15" s="34"/>
      <c r="P15" s="21"/>
      <c r="Q15" s="19"/>
      <c r="R15" s="213"/>
      <c r="S15" s="99"/>
    </row>
    <row r="16" spans="1:19" s="3" customFormat="1" ht="19.5" customHeight="1" x14ac:dyDescent="0.15">
      <c r="C16" s="19"/>
      <c r="D16" s="82"/>
      <c r="E16" s="164"/>
      <c r="F16" s="165"/>
      <c r="G16" s="166"/>
      <c r="H16" s="40"/>
      <c r="I16" s="40"/>
      <c r="J16" s="40"/>
      <c r="K16" s="167"/>
      <c r="L16" s="210"/>
      <c r="M16" s="19"/>
      <c r="N16" s="19"/>
      <c r="O16" s="34"/>
      <c r="P16" s="21"/>
      <c r="Q16" s="19"/>
      <c r="R16" s="213"/>
      <c r="S16" s="99"/>
    </row>
    <row r="17" spans="1:19" s="3" customFormat="1" ht="19.7" customHeight="1" x14ac:dyDescent="0.15">
      <c r="A17" s="19"/>
      <c r="B17" s="19"/>
      <c r="C17" s="19"/>
      <c r="D17" s="21"/>
      <c r="E17" s="52"/>
      <c r="F17" s="53"/>
      <c r="G17" s="83" t="s">
        <v>105</v>
      </c>
      <c r="H17" s="19"/>
      <c r="I17" s="19"/>
      <c r="J17" s="19"/>
      <c r="K17" s="50"/>
      <c r="L17" s="20"/>
      <c r="M17" s="19"/>
      <c r="N17" s="19"/>
      <c r="O17" s="34"/>
      <c r="P17" s="21"/>
      <c r="Q17" s="19"/>
      <c r="R17" s="213"/>
      <c r="S17" s="84"/>
    </row>
    <row r="18" spans="1:19" s="3" customFormat="1" ht="19.7" customHeight="1" x14ac:dyDescent="0.15">
      <c r="A18" s="57" t="s">
        <v>106</v>
      </c>
      <c r="B18" s="127"/>
      <c r="C18" s="206">
        <v>9</v>
      </c>
      <c r="D18" s="121">
        <f>+D12+1</f>
        <v>2</v>
      </c>
      <c r="E18" s="37" t="s">
        <v>31</v>
      </c>
      <c r="F18" s="128" t="s">
        <v>26</v>
      </c>
      <c r="G18" s="177" t="s">
        <v>153</v>
      </c>
      <c r="H18" s="220">
        <v>1</v>
      </c>
      <c r="I18" s="220">
        <v>10120</v>
      </c>
      <c r="J18" s="258">
        <f t="shared" ref="J18:J23" si="1">H18*I18</f>
        <v>10120</v>
      </c>
      <c r="K18" s="85"/>
      <c r="L18" s="98" t="s">
        <v>150</v>
      </c>
      <c r="M18" s="19"/>
      <c r="N18" s="240" t="s">
        <v>283</v>
      </c>
      <c r="O18" s="139">
        <v>45513</v>
      </c>
      <c r="P18" s="143"/>
      <c r="Q18" s="150">
        <v>45553</v>
      </c>
      <c r="R18" s="242">
        <v>45555</v>
      </c>
      <c r="S18" s="22"/>
    </row>
    <row r="19" spans="1:19" s="3" customFormat="1" ht="19.7" customHeight="1" x14ac:dyDescent="0.15">
      <c r="A19" s="57" t="s">
        <v>28</v>
      </c>
      <c r="B19" s="127"/>
      <c r="C19" s="206">
        <v>9</v>
      </c>
      <c r="D19" s="121">
        <f t="shared" ref="D19:D23" si="2">+D18+1</f>
        <v>3</v>
      </c>
      <c r="E19" s="21" t="s">
        <v>26</v>
      </c>
      <c r="F19" s="21" t="s">
        <v>26</v>
      </c>
      <c r="G19" s="175" t="s">
        <v>107</v>
      </c>
      <c r="H19" s="221">
        <v>1</v>
      </c>
      <c r="I19" s="221">
        <v>161</v>
      </c>
      <c r="J19" s="259">
        <f t="shared" si="1"/>
        <v>161</v>
      </c>
      <c r="K19" s="50"/>
      <c r="L19" s="50" t="s">
        <v>108</v>
      </c>
      <c r="M19" s="44" t="s">
        <v>109</v>
      </c>
      <c r="N19" s="240" t="s">
        <v>283</v>
      </c>
      <c r="O19" s="139">
        <v>45513</v>
      </c>
      <c r="P19" s="143"/>
      <c r="Q19" s="150">
        <v>45553</v>
      </c>
      <c r="R19" s="242">
        <v>45555</v>
      </c>
      <c r="S19" s="22"/>
    </row>
    <row r="20" spans="1:19" s="3" customFormat="1" ht="19.7" customHeight="1" x14ac:dyDescent="0.15">
      <c r="A20" s="57" t="s">
        <v>28</v>
      </c>
      <c r="B20" s="127"/>
      <c r="C20" s="206">
        <v>9</v>
      </c>
      <c r="D20" s="121">
        <f t="shared" si="2"/>
        <v>4</v>
      </c>
      <c r="E20" s="72" t="s">
        <v>26</v>
      </c>
      <c r="F20" s="72" t="s">
        <v>26</v>
      </c>
      <c r="G20" s="175" t="s">
        <v>151</v>
      </c>
      <c r="H20" s="221">
        <v>4</v>
      </c>
      <c r="I20" s="221">
        <v>155</v>
      </c>
      <c r="J20" s="224">
        <f>H20*I20</f>
        <v>620</v>
      </c>
      <c r="K20" s="50"/>
      <c r="L20" s="50" t="s">
        <v>111</v>
      </c>
      <c r="M20" s="44"/>
      <c r="N20" s="240" t="s">
        <v>283</v>
      </c>
      <c r="O20" s="139">
        <v>45513</v>
      </c>
      <c r="P20" s="143"/>
      <c r="Q20" s="150">
        <v>45553</v>
      </c>
      <c r="R20" s="242">
        <v>45555</v>
      </c>
      <c r="S20" s="22"/>
    </row>
    <row r="21" spans="1:19" s="3" customFormat="1" ht="19.7" customHeight="1" x14ac:dyDescent="0.15">
      <c r="A21" s="57" t="s">
        <v>28</v>
      </c>
      <c r="B21" s="127"/>
      <c r="C21" s="206">
        <v>9</v>
      </c>
      <c r="D21" s="121">
        <f>+D20+1</f>
        <v>5</v>
      </c>
      <c r="E21" s="72" t="s">
        <v>26</v>
      </c>
      <c r="F21" s="72" t="s">
        <v>26</v>
      </c>
      <c r="G21" s="176" t="s">
        <v>115</v>
      </c>
      <c r="H21" s="222">
        <v>1</v>
      </c>
      <c r="I21" s="222">
        <v>76</v>
      </c>
      <c r="J21" s="224">
        <f t="shared" si="1"/>
        <v>76</v>
      </c>
      <c r="K21" s="63"/>
      <c r="L21" s="63" t="s">
        <v>116</v>
      </c>
      <c r="M21" s="19"/>
      <c r="N21" s="240" t="s">
        <v>283</v>
      </c>
      <c r="O21" s="139">
        <v>45513</v>
      </c>
      <c r="P21" s="143"/>
      <c r="Q21" s="150">
        <v>45553</v>
      </c>
      <c r="R21" s="242">
        <v>45555</v>
      </c>
      <c r="S21" s="22"/>
    </row>
    <row r="22" spans="1:19" s="3" customFormat="1" ht="19.7" customHeight="1" x14ac:dyDescent="0.15">
      <c r="A22" s="57" t="s">
        <v>28</v>
      </c>
      <c r="B22" s="127"/>
      <c r="C22" s="206">
        <v>9</v>
      </c>
      <c r="D22" s="121">
        <f t="shared" si="2"/>
        <v>6</v>
      </c>
      <c r="E22" s="72" t="s">
        <v>117</v>
      </c>
      <c r="F22" s="72" t="s">
        <v>26</v>
      </c>
      <c r="G22" s="173" t="s">
        <v>118</v>
      </c>
      <c r="H22" s="221">
        <v>1</v>
      </c>
      <c r="I22" s="221">
        <v>421</v>
      </c>
      <c r="J22" s="227">
        <f t="shared" si="1"/>
        <v>421</v>
      </c>
      <c r="K22" s="50"/>
      <c r="L22" s="50" t="s">
        <v>119</v>
      </c>
      <c r="M22" s="19"/>
      <c r="N22" s="240" t="s">
        <v>283</v>
      </c>
      <c r="O22" s="139">
        <v>45513</v>
      </c>
      <c r="P22" s="143"/>
      <c r="Q22" s="150">
        <v>45553</v>
      </c>
      <c r="R22" s="242">
        <v>45555</v>
      </c>
      <c r="S22" s="22"/>
    </row>
    <row r="23" spans="1:19" s="3" customFormat="1" ht="19.7" customHeight="1" x14ac:dyDescent="0.15">
      <c r="A23" s="57" t="s">
        <v>28</v>
      </c>
      <c r="B23" s="127"/>
      <c r="C23" s="206">
        <v>9</v>
      </c>
      <c r="D23" s="121">
        <f t="shared" si="2"/>
        <v>7</v>
      </c>
      <c r="E23" s="21" t="s">
        <v>26</v>
      </c>
      <c r="F23" s="21" t="s">
        <v>26</v>
      </c>
      <c r="G23" s="173" t="s">
        <v>120</v>
      </c>
      <c r="H23" s="221">
        <v>1</v>
      </c>
      <c r="I23" s="221">
        <v>210</v>
      </c>
      <c r="J23" s="259">
        <f t="shared" si="1"/>
        <v>210</v>
      </c>
      <c r="K23" s="50"/>
      <c r="L23" s="50" t="s">
        <v>121</v>
      </c>
      <c r="M23" s="44" t="s">
        <v>122</v>
      </c>
      <c r="N23" s="240" t="s">
        <v>283</v>
      </c>
      <c r="O23" s="139">
        <v>45513</v>
      </c>
      <c r="P23" s="143"/>
      <c r="Q23" s="150">
        <v>45553</v>
      </c>
      <c r="R23" s="242">
        <v>45555</v>
      </c>
      <c r="S23" s="22"/>
    </row>
    <row r="24" spans="1:19" s="3" customFormat="1" ht="19.7" customHeight="1" x14ac:dyDescent="0.15">
      <c r="A24" s="57" t="s">
        <v>106</v>
      </c>
      <c r="B24" s="127"/>
      <c r="C24" s="206">
        <v>9</v>
      </c>
      <c r="D24" s="121">
        <f t="shared" ref="D24:D36" si="3">+D23+1</f>
        <v>8</v>
      </c>
      <c r="E24" s="21" t="s">
        <v>31</v>
      </c>
      <c r="F24" s="21" t="s">
        <v>26</v>
      </c>
      <c r="G24" s="175" t="s">
        <v>154</v>
      </c>
      <c r="H24" s="221">
        <v>1</v>
      </c>
      <c r="I24" s="221">
        <v>8913</v>
      </c>
      <c r="J24" s="224">
        <f>H24*I24</f>
        <v>8913</v>
      </c>
      <c r="K24" s="50"/>
      <c r="L24" s="36" t="s">
        <v>149</v>
      </c>
      <c r="M24" s="19"/>
      <c r="N24" s="240" t="s">
        <v>283</v>
      </c>
      <c r="O24" s="139">
        <v>45513</v>
      </c>
      <c r="P24" s="143"/>
      <c r="Q24" s="150">
        <v>45553</v>
      </c>
      <c r="R24" s="242">
        <v>45555</v>
      </c>
      <c r="S24" s="22"/>
    </row>
    <row r="25" spans="1:19" s="3" customFormat="1" ht="19.7" customHeight="1" x14ac:dyDescent="0.15">
      <c r="A25" s="57" t="s">
        <v>28</v>
      </c>
      <c r="B25" s="127"/>
      <c r="C25" s="206">
        <v>9</v>
      </c>
      <c r="D25" s="121">
        <f t="shared" si="3"/>
        <v>9</v>
      </c>
      <c r="E25" s="72" t="s">
        <v>26</v>
      </c>
      <c r="F25" s="72" t="s">
        <v>26</v>
      </c>
      <c r="G25" s="173" t="s">
        <v>123</v>
      </c>
      <c r="H25" s="221">
        <v>2</v>
      </c>
      <c r="I25" s="221">
        <v>156</v>
      </c>
      <c r="J25" s="224">
        <f>H25*I25</f>
        <v>312</v>
      </c>
      <c r="K25" s="50"/>
      <c r="L25" s="50" t="s">
        <v>124</v>
      </c>
      <c r="M25" s="44" t="s">
        <v>125</v>
      </c>
      <c r="N25" s="240" t="s">
        <v>283</v>
      </c>
      <c r="O25" s="139">
        <v>45513</v>
      </c>
      <c r="P25" s="143"/>
      <c r="Q25" s="150">
        <v>45553</v>
      </c>
      <c r="R25" s="242">
        <v>45555</v>
      </c>
      <c r="S25" s="22"/>
    </row>
    <row r="26" spans="1:19" s="3" customFormat="1" ht="19.7" customHeight="1" x14ac:dyDescent="0.15">
      <c r="A26" s="57" t="s">
        <v>28</v>
      </c>
      <c r="B26" s="127"/>
      <c r="C26" s="206">
        <v>9</v>
      </c>
      <c r="D26" s="121">
        <f t="shared" si="3"/>
        <v>10</v>
      </c>
      <c r="E26" s="72" t="s">
        <v>26</v>
      </c>
      <c r="F26" s="72" t="s">
        <v>26</v>
      </c>
      <c r="G26" s="172" t="s">
        <v>113</v>
      </c>
      <c r="H26" s="222">
        <v>10</v>
      </c>
      <c r="I26" s="227">
        <v>29</v>
      </c>
      <c r="J26" s="224">
        <f>H26*I26</f>
        <v>290</v>
      </c>
      <c r="K26" s="86"/>
      <c r="L26" s="86" t="s">
        <v>126</v>
      </c>
      <c r="M26" s="47" t="s">
        <v>114</v>
      </c>
      <c r="N26" s="240" t="s">
        <v>283</v>
      </c>
      <c r="O26" s="139">
        <v>45513</v>
      </c>
      <c r="P26" s="143"/>
      <c r="Q26" s="150">
        <v>45553</v>
      </c>
      <c r="R26" s="242">
        <v>45555</v>
      </c>
      <c r="S26" s="22"/>
    </row>
    <row r="27" spans="1:19" s="3" customFormat="1" ht="19.7" customHeight="1" x14ac:dyDescent="0.15">
      <c r="A27" s="57" t="s">
        <v>28</v>
      </c>
      <c r="B27" s="127"/>
      <c r="C27" s="206">
        <v>9</v>
      </c>
      <c r="D27" s="121">
        <f t="shared" si="3"/>
        <v>11</v>
      </c>
      <c r="E27" s="72" t="s">
        <v>26</v>
      </c>
      <c r="F27" s="72" t="s">
        <v>26</v>
      </c>
      <c r="G27" s="174" t="s">
        <v>127</v>
      </c>
      <c r="H27" s="222">
        <v>10</v>
      </c>
      <c r="I27" s="222">
        <v>25</v>
      </c>
      <c r="J27" s="260">
        <f>H27*I27</f>
        <v>250</v>
      </c>
      <c r="K27" s="47"/>
      <c r="L27" s="47" t="s">
        <v>128</v>
      </c>
      <c r="M27" s="64" t="s">
        <v>129</v>
      </c>
      <c r="N27" s="240" t="s">
        <v>283</v>
      </c>
      <c r="O27" s="139">
        <v>45513</v>
      </c>
      <c r="P27" s="143"/>
      <c r="Q27" s="150">
        <v>45553</v>
      </c>
      <c r="R27" s="242">
        <v>45555</v>
      </c>
      <c r="S27" s="22"/>
    </row>
    <row r="28" spans="1:19" s="3" customFormat="1" ht="19.5" customHeight="1" x14ac:dyDescent="0.15">
      <c r="A28" s="57" t="s">
        <v>28</v>
      </c>
      <c r="B28" s="127"/>
      <c r="C28" s="206">
        <v>9</v>
      </c>
      <c r="D28" s="121">
        <f t="shared" si="3"/>
        <v>12</v>
      </c>
      <c r="E28" s="72" t="s">
        <v>26</v>
      </c>
      <c r="F28" s="72" t="s">
        <v>26</v>
      </c>
      <c r="G28" s="173" t="s">
        <v>130</v>
      </c>
      <c r="H28" s="223">
        <v>1</v>
      </c>
      <c r="I28" s="227">
        <v>250</v>
      </c>
      <c r="J28" s="224">
        <f>H28*I28</f>
        <v>250</v>
      </c>
      <c r="K28" s="86"/>
      <c r="L28" s="86" t="s">
        <v>121</v>
      </c>
      <c r="M28" s="44" t="s">
        <v>114</v>
      </c>
      <c r="N28" s="240" t="s">
        <v>283</v>
      </c>
      <c r="O28" s="139">
        <v>45513</v>
      </c>
      <c r="P28" s="143"/>
      <c r="Q28" s="150">
        <v>45553</v>
      </c>
      <c r="R28" s="242">
        <v>45555</v>
      </c>
      <c r="S28" s="22"/>
    </row>
    <row r="29" spans="1:19" s="3" customFormat="1" ht="19.7" customHeight="1" x14ac:dyDescent="0.15">
      <c r="A29" s="57" t="s">
        <v>106</v>
      </c>
      <c r="B29" s="127"/>
      <c r="C29" s="206">
        <v>9</v>
      </c>
      <c r="D29" s="121">
        <f t="shared" si="3"/>
        <v>13</v>
      </c>
      <c r="E29" s="21" t="s">
        <v>31</v>
      </c>
      <c r="F29" s="21" t="s">
        <v>26</v>
      </c>
      <c r="G29" s="175" t="s">
        <v>218</v>
      </c>
      <c r="H29" s="221">
        <v>1</v>
      </c>
      <c r="I29" s="221">
        <v>11996</v>
      </c>
      <c r="J29" s="259">
        <f t="shared" ref="J29:J34" si="4">H29*I29</f>
        <v>11996</v>
      </c>
      <c r="K29" s="50"/>
      <c r="L29" s="36" t="s">
        <v>155</v>
      </c>
      <c r="M29" s="19"/>
      <c r="N29" s="240" t="s">
        <v>283</v>
      </c>
      <c r="O29" s="139">
        <v>45513</v>
      </c>
      <c r="P29" s="143"/>
      <c r="Q29" s="150">
        <v>45553</v>
      </c>
      <c r="R29" s="242">
        <v>45555</v>
      </c>
      <c r="S29" s="22"/>
    </row>
    <row r="30" spans="1:19" s="3" customFormat="1" ht="19.7" customHeight="1" x14ac:dyDescent="0.15">
      <c r="A30" s="57" t="s">
        <v>30</v>
      </c>
      <c r="B30" s="127"/>
      <c r="C30" s="206">
        <v>9</v>
      </c>
      <c r="D30" s="121">
        <f t="shared" si="3"/>
        <v>14</v>
      </c>
      <c r="E30" s="21" t="s">
        <v>26</v>
      </c>
      <c r="F30" s="21" t="s">
        <v>26</v>
      </c>
      <c r="G30" s="173" t="s">
        <v>131</v>
      </c>
      <c r="H30" s="221">
        <v>1</v>
      </c>
      <c r="I30" s="221">
        <v>1290</v>
      </c>
      <c r="J30" s="259">
        <f t="shared" si="4"/>
        <v>1290</v>
      </c>
      <c r="K30" s="50"/>
      <c r="L30" s="50" t="s">
        <v>132</v>
      </c>
      <c r="M30" s="44" t="s">
        <v>133</v>
      </c>
      <c r="N30" s="240" t="s">
        <v>283</v>
      </c>
      <c r="O30" s="139">
        <v>45513</v>
      </c>
      <c r="P30" s="143"/>
      <c r="Q30" s="150">
        <v>45553</v>
      </c>
      <c r="R30" s="242">
        <v>45555</v>
      </c>
      <c r="S30" s="22"/>
    </row>
    <row r="31" spans="1:19" s="3" customFormat="1" ht="19.7" customHeight="1" x14ac:dyDescent="0.15">
      <c r="A31" s="57" t="s">
        <v>28</v>
      </c>
      <c r="B31" s="127"/>
      <c r="C31" s="206">
        <v>9</v>
      </c>
      <c r="D31" s="121">
        <f t="shared" si="3"/>
        <v>15</v>
      </c>
      <c r="E31" s="21" t="s">
        <v>26</v>
      </c>
      <c r="F31" s="21" t="s">
        <v>26</v>
      </c>
      <c r="G31" s="173" t="s">
        <v>134</v>
      </c>
      <c r="H31" s="221">
        <v>1</v>
      </c>
      <c r="I31" s="221">
        <v>1950</v>
      </c>
      <c r="J31" s="259">
        <f t="shared" si="4"/>
        <v>1950</v>
      </c>
      <c r="K31" s="50"/>
      <c r="L31" s="50" t="s">
        <v>135</v>
      </c>
      <c r="M31" s="44" t="s">
        <v>133</v>
      </c>
      <c r="N31" s="240" t="s">
        <v>283</v>
      </c>
      <c r="O31" s="139">
        <v>45513</v>
      </c>
      <c r="P31" s="143"/>
      <c r="Q31" s="150">
        <v>45553</v>
      </c>
      <c r="R31" s="242">
        <v>45555</v>
      </c>
      <c r="S31" s="22"/>
    </row>
    <row r="32" spans="1:19" s="3" customFormat="1" ht="19.7" customHeight="1" x14ac:dyDescent="0.15">
      <c r="A32" s="57" t="s">
        <v>28</v>
      </c>
      <c r="B32" s="127"/>
      <c r="C32" s="206">
        <v>9</v>
      </c>
      <c r="D32" s="121">
        <f t="shared" si="3"/>
        <v>16</v>
      </c>
      <c r="E32" s="72" t="s">
        <v>26</v>
      </c>
      <c r="F32" s="72" t="s">
        <v>26</v>
      </c>
      <c r="G32" s="173" t="s">
        <v>110</v>
      </c>
      <c r="H32" s="221">
        <v>8</v>
      </c>
      <c r="I32" s="221">
        <v>94</v>
      </c>
      <c r="J32" s="224">
        <f t="shared" si="4"/>
        <v>752</v>
      </c>
      <c r="K32" s="50"/>
      <c r="L32" s="50" t="s">
        <v>136</v>
      </c>
      <c r="M32" s="19"/>
      <c r="N32" s="240" t="s">
        <v>283</v>
      </c>
      <c r="O32" s="139">
        <v>45513</v>
      </c>
      <c r="P32" s="143"/>
      <c r="Q32" s="150">
        <v>45553</v>
      </c>
      <c r="R32" s="242">
        <v>45555</v>
      </c>
      <c r="S32" s="22"/>
    </row>
    <row r="33" spans="1:19" s="3" customFormat="1" ht="19.7" customHeight="1" x14ac:dyDescent="0.15">
      <c r="A33" s="57" t="s">
        <v>28</v>
      </c>
      <c r="B33" s="127"/>
      <c r="C33" s="206">
        <v>9</v>
      </c>
      <c r="D33" s="121">
        <f t="shared" si="3"/>
        <v>17</v>
      </c>
      <c r="E33" s="72" t="s">
        <v>26</v>
      </c>
      <c r="F33" s="72" t="s">
        <v>26</v>
      </c>
      <c r="G33" s="172" t="s">
        <v>137</v>
      </c>
      <c r="H33" s="223">
        <v>10</v>
      </c>
      <c r="I33" s="227">
        <v>34</v>
      </c>
      <c r="J33" s="261">
        <f t="shared" si="4"/>
        <v>340</v>
      </c>
      <c r="K33" s="87"/>
      <c r="L33" s="87" t="s">
        <v>138</v>
      </c>
      <c r="M33" s="88"/>
      <c r="N33" s="240" t="s">
        <v>283</v>
      </c>
      <c r="O33" s="139">
        <v>45513</v>
      </c>
      <c r="P33" s="143"/>
      <c r="Q33" s="150">
        <v>45553</v>
      </c>
      <c r="R33" s="242">
        <v>45555</v>
      </c>
      <c r="S33" s="22"/>
    </row>
    <row r="34" spans="1:19" s="3" customFormat="1" ht="19.7" customHeight="1" x14ac:dyDescent="0.15">
      <c r="A34" s="57" t="s">
        <v>28</v>
      </c>
      <c r="B34" s="127"/>
      <c r="C34" s="206">
        <v>9</v>
      </c>
      <c r="D34" s="121">
        <f t="shared" si="3"/>
        <v>18</v>
      </c>
      <c r="E34" s="72" t="s">
        <v>26</v>
      </c>
      <c r="F34" s="72" t="s">
        <v>26</v>
      </c>
      <c r="G34" s="172" t="s">
        <v>112</v>
      </c>
      <c r="H34" s="223">
        <v>10</v>
      </c>
      <c r="I34" s="227">
        <v>29</v>
      </c>
      <c r="J34" s="227">
        <f t="shared" si="4"/>
        <v>290</v>
      </c>
      <c r="K34" s="86"/>
      <c r="L34" s="86" t="s">
        <v>139</v>
      </c>
      <c r="M34" s="47" t="s">
        <v>140</v>
      </c>
      <c r="N34" s="240" t="s">
        <v>283</v>
      </c>
      <c r="O34" s="139">
        <v>45513</v>
      </c>
      <c r="P34" s="143"/>
      <c r="Q34" s="150">
        <v>45553</v>
      </c>
      <c r="R34" s="242">
        <v>45555</v>
      </c>
      <c r="S34" s="22"/>
    </row>
    <row r="35" spans="1:19" s="3" customFormat="1" ht="19.7" customHeight="1" x14ac:dyDescent="0.15">
      <c r="A35" s="57" t="s">
        <v>28</v>
      </c>
      <c r="B35" s="127"/>
      <c r="C35" s="206">
        <v>9</v>
      </c>
      <c r="D35" s="121">
        <f t="shared" si="3"/>
        <v>19</v>
      </c>
      <c r="E35" s="21" t="s">
        <v>26</v>
      </c>
      <c r="F35" s="21" t="s">
        <v>26</v>
      </c>
      <c r="G35" s="176" t="s">
        <v>152</v>
      </c>
      <c r="H35" s="222">
        <v>1</v>
      </c>
      <c r="I35" s="222">
        <v>1070</v>
      </c>
      <c r="J35" s="224">
        <f>H35*I35</f>
        <v>1070</v>
      </c>
      <c r="K35" s="63"/>
      <c r="L35" s="47" t="s">
        <v>141</v>
      </c>
      <c r="M35" s="44"/>
      <c r="N35" s="240" t="s">
        <v>283</v>
      </c>
      <c r="O35" s="139">
        <v>45513</v>
      </c>
      <c r="P35" s="143"/>
      <c r="Q35" s="150">
        <v>45553</v>
      </c>
      <c r="R35" s="242">
        <v>45555</v>
      </c>
      <c r="S35" s="22"/>
    </row>
    <row r="36" spans="1:19" s="3" customFormat="1" ht="19.7" customHeight="1" x14ac:dyDescent="0.15">
      <c r="A36" s="57" t="s">
        <v>28</v>
      </c>
      <c r="B36" s="127"/>
      <c r="C36" s="206">
        <v>9</v>
      </c>
      <c r="D36" s="121">
        <f t="shared" si="3"/>
        <v>20</v>
      </c>
      <c r="E36" s="21" t="s">
        <v>26</v>
      </c>
      <c r="F36" s="21" t="s">
        <v>26</v>
      </c>
      <c r="G36" s="176" t="s">
        <v>217</v>
      </c>
      <c r="H36" s="222">
        <v>1</v>
      </c>
      <c r="I36" s="222">
        <v>1830</v>
      </c>
      <c r="J36" s="224">
        <f>H36*I36</f>
        <v>1830</v>
      </c>
      <c r="K36" s="63"/>
      <c r="L36" s="90" t="s">
        <v>142</v>
      </c>
      <c r="M36" s="44"/>
      <c r="N36" s="240" t="s">
        <v>283</v>
      </c>
      <c r="O36" s="139">
        <v>45513</v>
      </c>
      <c r="P36" s="143"/>
      <c r="Q36" s="150">
        <v>45553</v>
      </c>
      <c r="R36" s="242">
        <v>45555</v>
      </c>
      <c r="S36" s="22"/>
    </row>
    <row r="37" spans="1:19" s="3" customFormat="1" ht="19.7" customHeight="1" x14ac:dyDescent="0.15">
      <c r="A37" s="19"/>
      <c r="B37" s="19"/>
      <c r="C37" s="19"/>
      <c r="D37" s="21"/>
      <c r="E37" s="35"/>
      <c r="F37" s="35"/>
      <c r="G37" s="41"/>
      <c r="H37" s="25"/>
      <c r="I37" s="25"/>
      <c r="J37" s="42"/>
      <c r="K37" s="87"/>
      <c r="L37" s="86"/>
      <c r="M37" s="88"/>
      <c r="N37" s="19"/>
      <c r="O37" s="34"/>
      <c r="P37" s="21"/>
      <c r="Q37" s="19"/>
      <c r="R37" s="34"/>
      <c r="S37" s="22"/>
    </row>
    <row r="38" spans="1:19" s="3" customFormat="1" ht="19.7" customHeight="1" x14ac:dyDescent="0.15">
      <c r="A38" s="19"/>
      <c r="B38" s="19"/>
      <c r="C38" s="19"/>
      <c r="D38" s="21"/>
      <c r="E38" s="21"/>
      <c r="F38" s="21"/>
      <c r="G38" s="74">
        <f>SUM(J18:J37)</f>
        <v>41141</v>
      </c>
      <c r="H38" s="19"/>
      <c r="I38" s="19"/>
      <c r="J38" s="20"/>
      <c r="K38" s="50"/>
      <c r="L38" s="19"/>
      <c r="M38" s="19"/>
      <c r="N38" s="19"/>
      <c r="O38" s="34"/>
      <c r="P38" s="21"/>
      <c r="Q38" s="19"/>
      <c r="R38" s="34"/>
      <c r="S38" s="22"/>
    </row>
    <row r="39" spans="1:19" s="3" customFormat="1" ht="19.5" customHeight="1" x14ac:dyDescent="0.15">
      <c r="A39" s="19"/>
      <c r="B39" s="19"/>
      <c r="C39" s="19"/>
      <c r="D39" s="21"/>
      <c r="E39" s="21"/>
      <c r="F39" s="21"/>
      <c r="G39" s="30"/>
      <c r="H39" s="29"/>
      <c r="I39" s="15"/>
      <c r="J39" s="15"/>
      <c r="K39" s="10"/>
      <c r="L39" s="16"/>
      <c r="M39" s="1"/>
      <c r="N39" s="1"/>
      <c r="O39" s="11"/>
      <c r="P39" s="4"/>
      <c r="Q39" s="2"/>
      <c r="R39" s="34"/>
      <c r="S39" s="38"/>
    </row>
    <row r="40" spans="1:19" s="3" customFormat="1" ht="19.5" customHeight="1" x14ac:dyDescent="0.15">
      <c r="A40" s="19"/>
      <c r="B40" s="19"/>
      <c r="C40" s="19"/>
      <c r="D40" s="21"/>
      <c r="E40" s="21"/>
      <c r="F40" s="21"/>
      <c r="G40" s="30"/>
      <c r="H40" s="29"/>
      <c r="I40" s="15"/>
      <c r="J40" s="15"/>
      <c r="K40" s="10"/>
      <c r="L40" s="16"/>
      <c r="M40" s="1"/>
      <c r="N40" s="1"/>
      <c r="O40" s="11"/>
      <c r="P40" s="4"/>
      <c r="Q40" s="2"/>
      <c r="R40" s="34"/>
      <c r="S40" s="38"/>
    </row>
    <row r="41" spans="1:19" s="3" customFormat="1" ht="19.5" customHeight="1" x14ac:dyDescent="0.15">
      <c r="A41" s="19"/>
      <c r="B41" s="19"/>
      <c r="C41" s="19"/>
      <c r="D41" s="106"/>
      <c r="E41" s="285" t="s">
        <v>188</v>
      </c>
      <c r="F41" s="285"/>
      <c r="G41" s="285"/>
      <c r="H41" s="107"/>
      <c r="I41" s="15"/>
      <c r="J41" s="15"/>
      <c r="K41" s="7"/>
      <c r="L41" s="14"/>
      <c r="M41" s="1"/>
      <c r="N41" s="1"/>
      <c r="O41" s="11"/>
      <c r="P41" s="4"/>
      <c r="Q41" s="2"/>
      <c r="R41" s="34"/>
      <c r="S41" s="38"/>
    </row>
    <row r="42" spans="1:19" s="3" customFormat="1" ht="19.5" customHeight="1" x14ac:dyDescent="0.15">
      <c r="A42" s="180" t="s">
        <v>229</v>
      </c>
      <c r="B42" s="181"/>
      <c r="C42" s="206">
        <v>9</v>
      </c>
      <c r="D42" s="122">
        <f>+D36+1</f>
        <v>21</v>
      </c>
      <c r="E42" s="21" t="s">
        <v>26</v>
      </c>
      <c r="F42" s="21" t="s">
        <v>26</v>
      </c>
      <c r="G42" s="178" t="s">
        <v>219</v>
      </c>
      <c r="H42" s="222">
        <v>1</v>
      </c>
      <c r="I42" s="260">
        <v>2484</v>
      </c>
      <c r="J42" s="260">
        <f t="shared" ref="J42:J50" si="5">H42*I42</f>
        <v>2484</v>
      </c>
      <c r="K42" s="73"/>
      <c r="L42" s="64" t="s">
        <v>220</v>
      </c>
      <c r="M42" s="120"/>
      <c r="N42" s="240" t="s">
        <v>283</v>
      </c>
      <c r="O42" s="139">
        <v>45513</v>
      </c>
      <c r="P42" s="143"/>
      <c r="Q42" s="150">
        <v>45553</v>
      </c>
      <c r="R42" s="242">
        <v>45555</v>
      </c>
      <c r="S42" s="38"/>
    </row>
    <row r="43" spans="1:19" s="3" customFormat="1" ht="19.5" customHeight="1" x14ac:dyDescent="0.15">
      <c r="A43" s="180" t="s">
        <v>229</v>
      </c>
      <c r="B43" s="182"/>
      <c r="C43" s="206">
        <v>9</v>
      </c>
      <c r="D43" s="123">
        <f t="shared" ref="D43:D50" si="6">+D42+1</f>
        <v>22</v>
      </c>
      <c r="E43" s="21" t="s">
        <v>26</v>
      </c>
      <c r="F43" s="21" t="s">
        <v>26</v>
      </c>
      <c r="G43" s="178" t="s">
        <v>221</v>
      </c>
      <c r="H43" s="222">
        <v>1</v>
      </c>
      <c r="I43" s="260">
        <v>2581</v>
      </c>
      <c r="J43" s="260">
        <f t="shared" si="5"/>
        <v>2581</v>
      </c>
      <c r="K43" s="73"/>
      <c r="L43" s="64" t="s">
        <v>222</v>
      </c>
      <c r="M43" s="120"/>
      <c r="N43" s="240" t="s">
        <v>283</v>
      </c>
      <c r="O43" s="139">
        <v>45513</v>
      </c>
      <c r="P43" s="143"/>
      <c r="Q43" s="150">
        <v>45553</v>
      </c>
      <c r="R43" s="242">
        <v>45555</v>
      </c>
      <c r="S43" s="38"/>
    </row>
    <row r="44" spans="1:19" s="3" customFormat="1" ht="19.5" customHeight="1" x14ac:dyDescent="0.15">
      <c r="A44" s="180" t="s">
        <v>230</v>
      </c>
      <c r="B44" s="182"/>
      <c r="C44" s="206">
        <v>9</v>
      </c>
      <c r="D44" s="123">
        <f t="shared" si="6"/>
        <v>23</v>
      </c>
      <c r="E44" s="21" t="s">
        <v>26</v>
      </c>
      <c r="F44" s="21" t="s">
        <v>26</v>
      </c>
      <c r="G44" s="178" t="s">
        <v>223</v>
      </c>
      <c r="H44" s="222">
        <v>1</v>
      </c>
      <c r="I44" s="260">
        <v>6480</v>
      </c>
      <c r="J44" s="260">
        <f t="shared" si="5"/>
        <v>6480</v>
      </c>
      <c r="K44" s="73"/>
      <c r="L44" s="64" t="s">
        <v>224</v>
      </c>
      <c r="M44" s="120"/>
      <c r="N44" s="240" t="s">
        <v>283</v>
      </c>
      <c r="O44" s="139">
        <v>45513</v>
      </c>
      <c r="P44" s="143"/>
      <c r="Q44" s="150">
        <v>45553</v>
      </c>
      <c r="R44" s="242">
        <v>45555</v>
      </c>
      <c r="S44" s="38"/>
    </row>
    <row r="45" spans="1:19" s="3" customFormat="1" ht="19.5" customHeight="1" x14ac:dyDescent="0.15">
      <c r="A45" s="180" t="s">
        <v>231</v>
      </c>
      <c r="B45" s="182"/>
      <c r="C45" s="206">
        <v>9</v>
      </c>
      <c r="D45" s="123">
        <f t="shared" si="6"/>
        <v>24</v>
      </c>
      <c r="E45" s="21" t="s">
        <v>26</v>
      </c>
      <c r="F45" s="21" t="s">
        <v>26</v>
      </c>
      <c r="G45" s="178" t="s">
        <v>225</v>
      </c>
      <c r="H45" s="222">
        <v>2</v>
      </c>
      <c r="I45" s="260">
        <v>360</v>
      </c>
      <c r="J45" s="260">
        <f t="shared" si="5"/>
        <v>720</v>
      </c>
      <c r="K45" s="73"/>
      <c r="L45" s="64" t="s">
        <v>226</v>
      </c>
      <c r="M45" s="2"/>
      <c r="N45" s="240" t="s">
        <v>283</v>
      </c>
      <c r="O45" s="139">
        <v>45513</v>
      </c>
      <c r="P45" s="143"/>
      <c r="Q45" s="150">
        <v>45553</v>
      </c>
      <c r="R45" s="242">
        <v>45555</v>
      </c>
      <c r="S45" s="38"/>
    </row>
    <row r="46" spans="1:19" s="3" customFormat="1" ht="19.5" customHeight="1" x14ac:dyDescent="0.15">
      <c r="A46" s="180" t="s">
        <v>232</v>
      </c>
      <c r="B46" s="182"/>
      <c r="C46" s="206">
        <v>9</v>
      </c>
      <c r="D46" s="123">
        <f t="shared" si="6"/>
        <v>25</v>
      </c>
      <c r="E46" s="21" t="s">
        <v>26</v>
      </c>
      <c r="F46" s="21" t="s">
        <v>26</v>
      </c>
      <c r="G46" s="178" t="s">
        <v>227</v>
      </c>
      <c r="H46" s="222">
        <v>12</v>
      </c>
      <c r="I46" s="260">
        <v>69</v>
      </c>
      <c r="J46" s="260">
        <f t="shared" si="5"/>
        <v>828</v>
      </c>
      <c r="K46" s="73"/>
      <c r="L46" s="64" t="s">
        <v>228</v>
      </c>
      <c r="M46" s="2"/>
      <c r="N46" s="240" t="s">
        <v>283</v>
      </c>
      <c r="O46" s="139">
        <v>45513</v>
      </c>
      <c r="P46" s="143"/>
      <c r="Q46" s="150">
        <v>45553</v>
      </c>
      <c r="R46" s="242">
        <v>45555</v>
      </c>
      <c r="S46" s="38"/>
    </row>
    <row r="47" spans="1:19" s="3" customFormat="1" ht="19.5" customHeight="1" x14ac:dyDescent="0.15">
      <c r="A47" s="19" t="s">
        <v>28</v>
      </c>
      <c r="B47" s="127"/>
      <c r="C47" s="206">
        <v>9</v>
      </c>
      <c r="D47" s="123">
        <f>+D46+1</f>
        <v>26</v>
      </c>
      <c r="E47" s="21" t="s">
        <v>26</v>
      </c>
      <c r="F47" s="21" t="s">
        <v>26</v>
      </c>
      <c r="G47" s="179" t="s">
        <v>189</v>
      </c>
      <c r="H47" s="221">
        <v>1</v>
      </c>
      <c r="I47" s="262">
        <v>930</v>
      </c>
      <c r="J47" s="262">
        <f t="shared" si="5"/>
        <v>930</v>
      </c>
      <c r="K47" s="20"/>
      <c r="L47" s="61" t="s">
        <v>190</v>
      </c>
      <c r="M47" s="1"/>
      <c r="N47" s="240" t="s">
        <v>283</v>
      </c>
      <c r="O47" s="139">
        <v>45513</v>
      </c>
      <c r="P47" s="143"/>
      <c r="Q47" s="150">
        <v>45553</v>
      </c>
      <c r="R47" s="242">
        <v>45555</v>
      </c>
      <c r="S47" s="38"/>
    </row>
    <row r="48" spans="1:19" s="3" customFormat="1" ht="19.5" customHeight="1" x14ac:dyDescent="0.15">
      <c r="A48" s="19" t="s">
        <v>28</v>
      </c>
      <c r="B48" s="127"/>
      <c r="C48" s="206">
        <v>9</v>
      </c>
      <c r="D48" s="123">
        <f t="shared" si="6"/>
        <v>27</v>
      </c>
      <c r="E48" s="21" t="s">
        <v>26</v>
      </c>
      <c r="F48" s="21" t="s">
        <v>26</v>
      </c>
      <c r="G48" s="179" t="s">
        <v>191</v>
      </c>
      <c r="H48" s="221">
        <v>1</v>
      </c>
      <c r="I48" s="262">
        <v>750</v>
      </c>
      <c r="J48" s="262">
        <f t="shared" si="5"/>
        <v>750</v>
      </c>
      <c r="K48" s="20"/>
      <c r="L48" s="18" t="s">
        <v>192</v>
      </c>
      <c r="M48" s="1"/>
      <c r="N48" s="240" t="s">
        <v>283</v>
      </c>
      <c r="O48" s="139">
        <v>45513</v>
      </c>
      <c r="P48" s="143"/>
      <c r="Q48" s="150">
        <v>45553</v>
      </c>
      <c r="R48" s="242">
        <v>45555</v>
      </c>
      <c r="S48" s="38"/>
    </row>
    <row r="49" spans="1:19" s="3" customFormat="1" ht="19.5" customHeight="1" x14ac:dyDescent="0.15">
      <c r="A49" s="19" t="s">
        <v>28</v>
      </c>
      <c r="B49" s="127"/>
      <c r="C49" s="206">
        <v>9</v>
      </c>
      <c r="D49" s="123">
        <f t="shared" si="6"/>
        <v>28</v>
      </c>
      <c r="E49" s="72" t="s">
        <v>26</v>
      </c>
      <c r="F49" s="72" t="s">
        <v>26</v>
      </c>
      <c r="G49" s="174" t="s">
        <v>148</v>
      </c>
      <c r="H49" s="224">
        <v>10</v>
      </c>
      <c r="I49" s="260">
        <v>35</v>
      </c>
      <c r="J49" s="260">
        <f t="shared" si="5"/>
        <v>350</v>
      </c>
      <c r="K49" s="73"/>
      <c r="L49" s="64" t="s">
        <v>193</v>
      </c>
      <c r="M49" s="1"/>
      <c r="N49" s="240" t="s">
        <v>283</v>
      </c>
      <c r="O49" s="139">
        <v>45513</v>
      </c>
      <c r="P49" s="143"/>
      <c r="Q49" s="150">
        <v>45553</v>
      </c>
      <c r="R49" s="242">
        <v>45555</v>
      </c>
      <c r="S49" s="38"/>
    </row>
    <row r="50" spans="1:19" s="3" customFormat="1" ht="19.5" customHeight="1" x14ac:dyDescent="0.15">
      <c r="A50" s="19" t="s">
        <v>28</v>
      </c>
      <c r="B50" s="127"/>
      <c r="C50" s="206">
        <v>9</v>
      </c>
      <c r="D50" s="123">
        <f t="shared" si="6"/>
        <v>29</v>
      </c>
      <c r="E50" s="72" t="s">
        <v>26</v>
      </c>
      <c r="F50" s="72" t="s">
        <v>26</v>
      </c>
      <c r="G50" s="174" t="s">
        <v>184</v>
      </c>
      <c r="H50" s="224">
        <v>6</v>
      </c>
      <c r="I50" s="260">
        <v>92</v>
      </c>
      <c r="J50" s="263">
        <f t="shared" si="5"/>
        <v>552</v>
      </c>
      <c r="K50" s="73"/>
      <c r="L50" s="64" t="s">
        <v>194</v>
      </c>
      <c r="M50" s="1"/>
      <c r="N50" s="240" t="s">
        <v>283</v>
      </c>
      <c r="O50" s="139">
        <v>45513</v>
      </c>
      <c r="P50" s="143"/>
      <c r="Q50" s="150">
        <v>45553</v>
      </c>
      <c r="R50" s="242">
        <v>45555</v>
      </c>
      <c r="S50" s="38"/>
    </row>
    <row r="51" spans="1:19" s="3" customFormat="1" ht="19.5" customHeight="1" x14ac:dyDescent="0.15">
      <c r="C51" s="19"/>
      <c r="D51" s="108"/>
      <c r="E51" s="4"/>
      <c r="F51" s="109"/>
      <c r="G51" s="110"/>
      <c r="H51" s="40"/>
      <c r="I51" s="40"/>
      <c r="J51" s="40"/>
      <c r="K51" s="111"/>
      <c r="L51" s="16"/>
      <c r="M51" s="1"/>
      <c r="N51" s="1"/>
      <c r="O51" s="11"/>
      <c r="P51" s="4"/>
      <c r="Q51" s="2"/>
      <c r="R51" s="34"/>
      <c r="S51" s="38"/>
    </row>
    <row r="52" spans="1:19" s="3" customFormat="1" ht="19.5" customHeight="1" x14ac:dyDescent="0.15">
      <c r="C52" s="19"/>
      <c r="D52" s="1"/>
      <c r="E52" s="4"/>
      <c r="F52" s="4"/>
      <c r="G52" s="115">
        <f>SUM(J42:J50)</f>
        <v>15675</v>
      </c>
      <c r="H52" s="114"/>
      <c r="I52" s="112"/>
      <c r="J52" s="112"/>
      <c r="K52" s="113"/>
      <c r="L52" s="14"/>
      <c r="M52" s="1"/>
      <c r="N52" s="1"/>
      <c r="O52" s="11"/>
      <c r="P52" s="4"/>
      <c r="Q52" s="2"/>
      <c r="R52" s="34"/>
      <c r="S52" s="38"/>
    </row>
    <row r="53" spans="1:19" s="3" customFormat="1" ht="19.5" customHeight="1" x14ac:dyDescent="0.15">
      <c r="C53" s="19"/>
      <c r="D53" s="21"/>
      <c r="E53" s="21"/>
      <c r="F53" s="21"/>
      <c r="G53" s="30"/>
      <c r="H53" s="29"/>
      <c r="I53" s="15"/>
      <c r="J53" s="15"/>
      <c r="K53" s="10"/>
      <c r="L53" s="16"/>
      <c r="M53" s="1"/>
      <c r="N53" s="1"/>
      <c r="O53" s="11"/>
      <c r="P53" s="4"/>
      <c r="Q53" s="2"/>
      <c r="R53" s="34"/>
      <c r="S53" s="38"/>
    </row>
    <row r="54" spans="1:19" s="3" customFormat="1" ht="19.5" customHeight="1" x14ac:dyDescent="0.15">
      <c r="C54" s="19"/>
      <c r="D54" s="21"/>
      <c r="E54" s="21"/>
      <c r="F54" s="21"/>
      <c r="G54" s="30"/>
      <c r="H54" s="29"/>
      <c r="I54" s="15"/>
      <c r="J54" s="15"/>
      <c r="K54" s="10"/>
      <c r="L54" s="16"/>
      <c r="M54" s="1"/>
      <c r="N54" s="1"/>
      <c r="O54" s="11"/>
      <c r="P54" s="4"/>
      <c r="Q54" s="2"/>
      <c r="R54" s="34"/>
      <c r="S54" s="38"/>
    </row>
    <row r="55" spans="1:19" s="3" customFormat="1" ht="19.7" customHeight="1" x14ac:dyDescent="0.15">
      <c r="A55" s="19"/>
      <c r="B55" s="19"/>
      <c r="C55" s="19"/>
      <c r="D55" s="21"/>
      <c r="E55" s="275" t="s">
        <v>199</v>
      </c>
      <c r="F55" s="276"/>
      <c r="G55" s="277"/>
      <c r="H55" s="19"/>
      <c r="I55" s="19"/>
      <c r="J55" s="20"/>
      <c r="K55" s="50"/>
      <c r="L55" s="19"/>
      <c r="M55" s="19"/>
      <c r="N55" s="19"/>
      <c r="O55" s="34"/>
      <c r="P55" s="21"/>
      <c r="Q55" s="19"/>
      <c r="R55" s="34"/>
      <c r="S55" s="22"/>
    </row>
    <row r="56" spans="1:19" s="3" customFormat="1" ht="19.7" customHeight="1" x14ac:dyDescent="0.15">
      <c r="A56" s="119" t="s">
        <v>234</v>
      </c>
      <c r="B56" s="127"/>
      <c r="C56" s="126">
        <v>10</v>
      </c>
      <c r="D56" s="121">
        <f>+D50+1</f>
        <v>30</v>
      </c>
      <c r="E56" s="21" t="s">
        <v>31</v>
      </c>
      <c r="F56" s="21" t="s">
        <v>26</v>
      </c>
      <c r="G56" s="178" t="s">
        <v>235</v>
      </c>
      <c r="H56" s="222">
        <v>1</v>
      </c>
      <c r="I56" s="270">
        <v>3897</v>
      </c>
      <c r="J56" s="260">
        <f t="shared" ref="J56:J75" si="7">H56*I56</f>
        <v>3897</v>
      </c>
      <c r="K56" s="63"/>
      <c r="L56" s="124" t="s">
        <v>233</v>
      </c>
      <c r="M56" s="19"/>
      <c r="N56" s="240" t="s">
        <v>283</v>
      </c>
      <c r="O56" s="139">
        <v>45513</v>
      </c>
      <c r="P56" s="143"/>
      <c r="Q56" s="150">
        <v>45553</v>
      </c>
      <c r="R56" s="242">
        <v>45555</v>
      </c>
      <c r="S56" s="22"/>
    </row>
    <row r="57" spans="1:19" s="3" customFormat="1" ht="19.7" customHeight="1" x14ac:dyDescent="0.15">
      <c r="A57" s="119" t="s">
        <v>29</v>
      </c>
      <c r="B57" s="43"/>
      <c r="C57" s="126">
        <v>10</v>
      </c>
      <c r="D57" s="121">
        <f>+D56+1</f>
        <v>31</v>
      </c>
      <c r="E57" s="121" t="s">
        <v>31</v>
      </c>
      <c r="F57" s="121" t="s">
        <v>26</v>
      </c>
      <c r="G57" s="179" t="s">
        <v>237</v>
      </c>
      <c r="H57" s="225">
        <v>1</v>
      </c>
      <c r="I57" s="235">
        <v>2900</v>
      </c>
      <c r="J57" s="262">
        <f t="shared" si="7"/>
        <v>2900</v>
      </c>
      <c r="K57" s="26"/>
      <c r="L57" s="184" t="s">
        <v>238</v>
      </c>
      <c r="M57" s="19"/>
      <c r="N57" s="240" t="s">
        <v>283</v>
      </c>
      <c r="O57" s="139">
        <v>45513</v>
      </c>
      <c r="P57" s="143"/>
      <c r="Q57" s="150">
        <v>45553</v>
      </c>
      <c r="R57" s="242">
        <v>45555</v>
      </c>
      <c r="S57" s="22"/>
    </row>
    <row r="58" spans="1:19" s="3" customFormat="1" ht="19.7" customHeight="1" x14ac:dyDescent="0.15">
      <c r="A58" s="57" t="s">
        <v>28</v>
      </c>
      <c r="B58" s="43"/>
      <c r="C58" s="126">
        <v>10</v>
      </c>
      <c r="D58" s="121">
        <f t="shared" ref="D58:D78" si="8">+D57+1</f>
        <v>32</v>
      </c>
      <c r="E58" s="21" t="s">
        <v>26</v>
      </c>
      <c r="F58" s="21" t="s">
        <v>26</v>
      </c>
      <c r="G58" s="179" t="s">
        <v>36</v>
      </c>
      <c r="H58" s="221">
        <v>1</v>
      </c>
      <c r="I58" s="271">
        <v>72</v>
      </c>
      <c r="J58" s="262">
        <f t="shared" si="7"/>
        <v>72</v>
      </c>
      <c r="K58" s="20"/>
      <c r="L58" s="61" t="s">
        <v>239</v>
      </c>
      <c r="M58" s="19"/>
      <c r="N58" s="240" t="s">
        <v>283</v>
      </c>
      <c r="O58" s="139">
        <v>45513</v>
      </c>
      <c r="P58" s="143"/>
      <c r="Q58" s="150">
        <v>45553</v>
      </c>
      <c r="R58" s="242">
        <v>45555</v>
      </c>
      <c r="S58" s="22"/>
    </row>
    <row r="59" spans="1:19" s="3" customFormat="1" ht="19.7" customHeight="1" x14ac:dyDescent="0.15">
      <c r="A59" s="57" t="s">
        <v>28</v>
      </c>
      <c r="B59" s="43"/>
      <c r="C59" s="126">
        <v>10</v>
      </c>
      <c r="D59" s="121">
        <f t="shared" si="8"/>
        <v>33</v>
      </c>
      <c r="E59" s="31" t="s">
        <v>240</v>
      </c>
      <c r="F59" s="21" t="s">
        <v>144</v>
      </c>
      <c r="G59" s="185" t="s">
        <v>212</v>
      </c>
      <c r="H59" s="226">
        <v>2</v>
      </c>
      <c r="I59" s="272">
        <v>183</v>
      </c>
      <c r="J59" s="264">
        <f t="shared" si="7"/>
        <v>366</v>
      </c>
      <c r="K59" s="91"/>
      <c r="L59" s="68" t="s">
        <v>241</v>
      </c>
      <c r="M59" s="19"/>
      <c r="N59" s="240" t="s">
        <v>283</v>
      </c>
      <c r="O59" s="139">
        <v>45513</v>
      </c>
      <c r="P59" s="143"/>
      <c r="Q59" s="150">
        <v>45553</v>
      </c>
      <c r="R59" s="242">
        <v>45555</v>
      </c>
      <c r="S59" s="22"/>
    </row>
    <row r="60" spans="1:19" s="3" customFormat="1" ht="19.7" customHeight="1" x14ac:dyDescent="0.15">
      <c r="A60" s="57" t="s">
        <v>28</v>
      </c>
      <c r="B60" s="43"/>
      <c r="C60" s="126">
        <v>10</v>
      </c>
      <c r="D60" s="121">
        <f t="shared" si="8"/>
        <v>34</v>
      </c>
      <c r="E60" s="21" t="s">
        <v>144</v>
      </c>
      <c r="F60" s="21" t="s">
        <v>144</v>
      </c>
      <c r="G60" s="185" t="s">
        <v>145</v>
      </c>
      <c r="H60" s="226">
        <v>2</v>
      </c>
      <c r="I60" s="272">
        <v>51</v>
      </c>
      <c r="J60" s="264">
        <f t="shared" si="7"/>
        <v>102</v>
      </c>
      <c r="K60" s="91"/>
      <c r="L60" s="68" t="s">
        <v>242</v>
      </c>
      <c r="M60" s="19"/>
      <c r="N60" s="240" t="s">
        <v>283</v>
      </c>
      <c r="O60" s="139">
        <v>45513</v>
      </c>
      <c r="P60" s="143"/>
      <c r="Q60" s="150">
        <v>45553</v>
      </c>
      <c r="R60" s="242">
        <v>45555</v>
      </c>
      <c r="S60" s="22"/>
    </row>
    <row r="61" spans="1:19" s="3" customFormat="1" ht="19.7" customHeight="1" x14ac:dyDescent="0.15">
      <c r="A61" s="57" t="s">
        <v>28</v>
      </c>
      <c r="B61" s="43"/>
      <c r="C61" s="126">
        <v>10</v>
      </c>
      <c r="D61" s="121">
        <f t="shared" si="8"/>
        <v>35</v>
      </c>
      <c r="E61" s="21" t="s">
        <v>26</v>
      </c>
      <c r="F61" s="21" t="s">
        <v>26</v>
      </c>
      <c r="G61" s="179" t="s">
        <v>38</v>
      </c>
      <c r="H61" s="221">
        <v>1</v>
      </c>
      <c r="I61" s="271">
        <v>31</v>
      </c>
      <c r="J61" s="262">
        <f t="shared" si="7"/>
        <v>31</v>
      </c>
      <c r="K61" s="20"/>
      <c r="L61" s="61" t="s">
        <v>243</v>
      </c>
      <c r="M61" s="19"/>
      <c r="N61" s="240" t="s">
        <v>283</v>
      </c>
      <c r="O61" s="139">
        <v>45513</v>
      </c>
      <c r="P61" s="143"/>
      <c r="Q61" s="150">
        <v>45553</v>
      </c>
      <c r="R61" s="242">
        <v>45555</v>
      </c>
      <c r="S61" s="22"/>
    </row>
    <row r="62" spans="1:19" s="3" customFormat="1" ht="19.7" customHeight="1" x14ac:dyDescent="0.15">
      <c r="A62" s="119" t="s">
        <v>29</v>
      </c>
      <c r="B62" s="43"/>
      <c r="C62" s="126">
        <v>10</v>
      </c>
      <c r="D62" s="121">
        <f t="shared" si="8"/>
        <v>36</v>
      </c>
      <c r="E62" s="121" t="s">
        <v>31</v>
      </c>
      <c r="F62" s="121" t="s">
        <v>26</v>
      </c>
      <c r="G62" s="179" t="s">
        <v>244</v>
      </c>
      <c r="H62" s="225">
        <v>1</v>
      </c>
      <c r="I62" s="235">
        <v>4340</v>
      </c>
      <c r="J62" s="262">
        <f t="shared" si="7"/>
        <v>4340</v>
      </c>
      <c r="K62" s="26"/>
      <c r="L62" s="184" t="s">
        <v>245</v>
      </c>
      <c r="M62" s="19"/>
      <c r="N62" s="240" t="s">
        <v>283</v>
      </c>
      <c r="O62" s="139">
        <v>45513</v>
      </c>
      <c r="P62" s="143"/>
      <c r="Q62" s="150">
        <v>45553</v>
      </c>
      <c r="R62" s="242">
        <v>45555</v>
      </c>
      <c r="S62" s="22"/>
    </row>
    <row r="63" spans="1:19" s="3" customFormat="1" ht="19.7" customHeight="1" x14ac:dyDescent="0.15">
      <c r="A63" s="57" t="s">
        <v>28</v>
      </c>
      <c r="B63" s="43"/>
      <c r="C63" s="126">
        <v>10</v>
      </c>
      <c r="D63" s="121">
        <f t="shared" si="8"/>
        <v>37</v>
      </c>
      <c r="E63" s="21" t="s">
        <v>26</v>
      </c>
      <c r="F63" s="21" t="s">
        <v>26</v>
      </c>
      <c r="G63" s="179" t="s">
        <v>36</v>
      </c>
      <c r="H63" s="221">
        <v>1</v>
      </c>
      <c r="I63" s="271">
        <v>72</v>
      </c>
      <c r="J63" s="262">
        <f t="shared" si="7"/>
        <v>72</v>
      </c>
      <c r="K63" s="20"/>
      <c r="L63" s="61" t="s">
        <v>239</v>
      </c>
      <c r="M63" s="19"/>
      <c r="N63" s="240" t="s">
        <v>283</v>
      </c>
      <c r="O63" s="139">
        <v>45513</v>
      </c>
      <c r="P63" s="143"/>
      <c r="Q63" s="150">
        <v>45553</v>
      </c>
      <c r="R63" s="242">
        <v>45555</v>
      </c>
      <c r="S63" s="22"/>
    </row>
    <row r="64" spans="1:19" s="3" customFormat="1" ht="19.7" customHeight="1" x14ac:dyDescent="0.15">
      <c r="A64" s="57" t="s">
        <v>28</v>
      </c>
      <c r="B64" s="43"/>
      <c r="C64" s="126">
        <v>10</v>
      </c>
      <c r="D64" s="121">
        <f t="shared" si="8"/>
        <v>38</v>
      </c>
      <c r="E64" s="21" t="s">
        <v>240</v>
      </c>
      <c r="F64" s="21" t="s">
        <v>144</v>
      </c>
      <c r="G64" s="185" t="s">
        <v>212</v>
      </c>
      <c r="H64" s="226">
        <v>2</v>
      </c>
      <c r="I64" s="272">
        <v>183</v>
      </c>
      <c r="J64" s="264">
        <f t="shared" si="7"/>
        <v>366</v>
      </c>
      <c r="K64" s="91"/>
      <c r="L64" s="68" t="s">
        <v>241</v>
      </c>
      <c r="M64" s="19"/>
      <c r="N64" s="240" t="s">
        <v>283</v>
      </c>
      <c r="O64" s="139">
        <v>45513</v>
      </c>
      <c r="P64" s="143"/>
      <c r="Q64" s="150">
        <v>45553</v>
      </c>
      <c r="R64" s="242">
        <v>45555</v>
      </c>
      <c r="S64" s="22"/>
    </row>
    <row r="65" spans="1:19" s="3" customFormat="1" ht="19.7" customHeight="1" x14ac:dyDescent="0.15">
      <c r="A65" s="57" t="s">
        <v>28</v>
      </c>
      <c r="B65" s="43"/>
      <c r="C65" s="126">
        <v>10</v>
      </c>
      <c r="D65" s="121">
        <f t="shared" si="8"/>
        <v>39</v>
      </c>
      <c r="E65" s="21" t="s">
        <v>144</v>
      </c>
      <c r="F65" s="21" t="s">
        <v>144</v>
      </c>
      <c r="G65" s="185" t="s">
        <v>145</v>
      </c>
      <c r="H65" s="226">
        <v>2</v>
      </c>
      <c r="I65" s="272">
        <v>51</v>
      </c>
      <c r="J65" s="264">
        <f t="shared" si="7"/>
        <v>102</v>
      </c>
      <c r="K65" s="91"/>
      <c r="L65" s="68" t="s">
        <v>242</v>
      </c>
      <c r="M65" s="19"/>
      <c r="N65" s="240" t="s">
        <v>283</v>
      </c>
      <c r="O65" s="139">
        <v>45513</v>
      </c>
      <c r="P65" s="143"/>
      <c r="Q65" s="150">
        <v>45553</v>
      </c>
      <c r="R65" s="242">
        <v>45555</v>
      </c>
      <c r="S65" s="22"/>
    </row>
    <row r="66" spans="1:19" s="3" customFormat="1" ht="19.7" customHeight="1" x14ac:dyDescent="0.15">
      <c r="A66" s="57" t="s">
        <v>28</v>
      </c>
      <c r="B66" s="43"/>
      <c r="C66" s="126">
        <v>10</v>
      </c>
      <c r="D66" s="121">
        <f t="shared" si="8"/>
        <v>40</v>
      </c>
      <c r="E66" s="21" t="s">
        <v>26</v>
      </c>
      <c r="F66" s="21" t="s">
        <v>26</v>
      </c>
      <c r="G66" s="179" t="s">
        <v>38</v>
      </c>
      <c r="H66" s="221">
        <v>1</v>
      </c>
      <c r="I66" s="271">
        <v>31</v>
      </c>
      <c r="J66" s="262">
        <f t="shared" si="7"/>
        <v>31</v>
      </c>
      <c r="K66" s="20"/>
      <c r="L66" s="61" t="s">
        <v>243</v>
      </c>
      <c r="M66" s="19"/>
      <c r="N66" s="240" t="s">
        <v>283</v>
      </c>
      <c r="O66" s="139">
        <v>45513</v>
      </c>
      <c r="P66" s="143"/>
      <c r="Q66" s="150">
        <v>45553</v>
      </c>
      <c r="R66" s="242">
        <v>45555</v>
      </c>
      <c r="S66" s="22"/>
    </row>
    <row r="67" spans="1:19" s="3" customFormat="1" ht="19.7" customHeight="1" x14ac:dyDescent="0.15">
      <c r="A67" s="57" t="s">
        <v>28</v>
      </c>
      <c r="B67" s="43"/>
      <c r="C67" s="126">
        <v>10</v>
      </c>
      <c r="D67" s="121">
        <f t="shared" si="8"/>
        <v>41</v>
      </c>
      <c r="E67" s="72" t="s">
        <v>26</v>
      </c>
      <c r="F67" s="72" t="s">
        <v>26</v>
      </c>
      <c r="G67" s="178" t="s">
        <v>236</v>
      </c>
      <c r="H67" s="227">
        <v>6</v>
      </c>
      <c r="I67" s="227">
        <v>155</v>
      </c>
      <c r="J67" s="260">
        <f t="shared" si="7"/>
        <v>930</v>
      </c>
      <c r="K67" s="218"/>
      <c r="L67" s="184" t="s">
        <v>246</v>
      </c>
      <c r="M67" s="19"/>
      <c r="N67" s="240" t="s">
        <v>283</v>
      </c>
      <c r="O67" s="139">
        <v>45513</v>
      </c>
      <c r="P67" s="143"/>
      <c r="Q67" s="150">
        <v>45553</v>
      </c>
      <c r="R67" s="242">
        <v>45555</v>
      </c>
      <c r="S67" s="22"/>
    </row>
    <row r="68" spans="1:19" s="3" customFormat="1" ht="19.7" customHeight="1" x14ac:dyDescent="0.15">
      <c r="A68" s="57" t="s">
        <v>28</v>
      </c>
      <c r="B68" s="43"/>
      <c r="C68" s="126">
        <v>10</v>
      </c>
      <c r="D68" s="121">
        <f t="shared" si="8"/>
        <v>42</v>
      </c>
      <c r="E68" s="21" t="s">
        <v>26</v>
      </c>
      <c r="F68" s="21" t="s">
        <v>26</v>
      </c>
      <c r="G68" s="179" t="s">
        <v>247</v>
      </c>
      <c r="H68" s="225">
        <v>2</v>
      </c>
      <c r="I68" s="235">
        <v>562</v>
      </c>
      <c r="J68" s="262">
        <f t="shared" si="7"/>
        <v>1124</v>
      </c>
      <c r="K68" s="26"/>
      <c r="L68" s="184" t="s">
        <v>248</v>
      </c>
      <c r="M68" s="19"/>
      <c r="N68" s="240" t="s">
        <v>283</v>
      </c>
      <c r="O68" s="139">
        <v>45513</v>
      </c>
      <c r="P68" s="143"/>
      <c r="Q68" s="150">
        <v>45553</v>
      </c>
      <c r="R68" s="242">
        <v>45555</v>
      </c>
      <c r="S68" s="22"/>
    </row>
    <row r="69" spans="1:19" s="3" customFormat="1" ht="19.7" customHeight="1" x14ac:dyDescent="0.15">
      <c r="A69" s="119" t="s">
        <v>29</v>
      </c>
      <c r="B69" s="43"/>
      <c r="C69" s="126">
        <v>10</v>
      </c>
      <c r="D69" s="121">
        <f>+D68+1</f>
        <v>43</v>
      </c>
      <c r="E69" s="121" t="s">
        <v>31</v>
      </c>
      <c r="F69" s="121" t="s">
        <v>26</v>
      </c>
      <c r="G69" s="179" t="s">
        <v>249</v>
      </c>
      <c r="H69" s="225">
        <v>1</v>
      </c>
      <c r="I69" s="235">
        <v>3210</v>
      </c>
      <c r="J69" s="262">
        <f t="shared" si="7"/>
        <v>3210</v>
      </c>
      <c r="K69" s="26"/>
      <c r="L69" s="184" t="s">
        <v>250</v>
      </c>
      <c r="M69" s="19"/>
      <c r="N69" s="240" t="s">
        <v>283</v>
      </c>
      <c r="O69" s="139">
        <v>45513</v>
      </c>
      <c r="P69" s="143"/>
      <c r="Q69" s="150">
        <v>45553</v>
      </c>
      <c r="R69" s="242">
        <v>45555</v>
      </c>
      <c r="S69" s="22"/>
    </row>
    <row r="70" spans="1:19" s="3" customFormat="1" ht="19.7" customHeight="1" x14ac:dyDescent="0.15">
      <c r="A70" s="119" t="s">
        <v>28</v>
      </c>
      <c r="B70" s="43"/>
      <c r="C70" s="126">
        <v>10</v>
      </c>
      <c r="D70" s="121">
        <f t="shared" si="8"/>
        <v>44</v>
      </c>
      <c r="E70" s="31" t="s">
        <v>251</v>
      </c>
      <c r="F70" s="31" t="s">
        <v>252</v>
      </c>
      <c r="G70" s="179" t="s">
        <v>253</v>
      </c>
      <c r="H70" s="225">
        <v>1</v>
      </c>
      <c r="I70" s="235">
        <v>167</v>
      </c>
      <c r="J70" s="262">
        <f t="shared" si="7"/>
        <v>167</v>
      </c>
      <c r="K70" s="26"/>
      <c r="L70" s="184" t="s">
        <v>254</v>
      </c>
      <c r="M70" s="19"/>
      <c r="N70" s="240" t="s">
        <v>283</v>
      </c>
      <c r="O70" s="139">
        <v>45513</v>
      </c>
      <c r="P70" s="143"/>
      <c r="Q70" s="150">
        <v>45553</v>
      </c>
      <c r="R70" s="242">
        <v>45555</v>
      </c>
      <c r="S70" s="22"/>
    </row>
    <row r="71" spans="1:19" s="3" customFormat="1" ht="19.7" customHeight="1" x14ac:dyDescent="0.15">
      <c r="A71" s="57" t="s">
        <v>28</v>
      </c>
      <c r="B71" s="43"/>
      <c r="C71" s="126">
        <v>10</v>
      </c>
      <c r="D71" s="121">
        <f t="shared" si="8"/>
        <v>45</v>
      </c>
      <c r="E71" s="19" t="s">
        <v>26</v>
      </c>
      <c r="F71" s="19" t="s">
        <v>26</v>
      </c>
      <c r="G71" s="179" t="s">
        <v>255</v>
      </c>
      <c r="H71" s="225">
        <v>6</v>
      </c>
      <c r="I71" s="235">
        <v>93</v>
      </c>
      <c r="J71" s="262">
        <f t="shared" si="7"/>
        <v>558</v>
      </c>
      <c r="K71" s="26"/>
      <c r="L71" s="184" t="s">
        <v>256</v>
      </c>
      <c r="M71" s="19"/>
      <c r="N71" s="240" t="s">
        <v>283</v>
      </c>
      <c r="O71" s="139">
        <v>45513</v>
      </c>
      <c r="P71" s="143"/>
      <c r="Q71" s="150">
        <v>45553</v>
      </c>
      <c r="R71" s="242">
        <v>45555</v>
      </c>
      <c r="S71" s="22"/>
    </row>
    <row r="72" spans="1:19" s="3" customFormat="1" ht="19.7" customHeight="1" x14ac:dyDescent="0.15">
      <c r="A72" s="57" t="s">
        <v>28</v>
      </c>
      <c r="B72" s="43"/>
      <c r="C72" s="126">
        <v>10</v>
      </c>
      <c r="D72" s="121">
        <f t="shared" si="8"/>
        <v>46</v>
      </c>
      <c r="E72" s="19" t="s">
        <v>26</v>
      </c>
      <c r="F72" s="19" t="s">
        <v>26</v>
      </c>
      <c r="G72" s="186" t="s">
        <v>257</v>
      </c>
      <c r="H72" s="228">
        <v>1</v>
      </c>
      <c r="I72" s="273">
        <v>70</v>
      </c>
      <c r="J72" s="262">
        <f t="shared" si="7"/>
        <v>70</v>
      </c>
      <c r="K72" s="20"/>
      <c r="L72" s="161" t="s">
        <v>258</v>
      </c>
      <c r="M72" s="19"/>
      <c r="N72" s="240" t="s">
        <v>283</v>
      </c>
      <c r="O72" s="139">
        <v>45513</v>
      </c>
      <c r="P72" s="143"/>
      <c r="Q72" s="150">
        <v>45553</v>
      </c>
      <c r="R72" s="242">
        <v>45555</v>
      </c>
      <c r="S72" s="22"/>
    </row>
    <row r="73" spans="1:19" s="3" customFormat="1" ht="19.7" customHeight="1" x14ac:dyDescent="0.15">
      <c r="A73" s="57" t="s">
        <v>28</v>
      </c>
      <c r="B73" s="43"/>
      <c r="C73" s="126">
        <v>10</v>
      </c>
      <c r="D73" s="121">
        <f>+D72+1</f>
        <v>47</v>
      </c>
      <c r="E73" s="19" t="s">
        <v>26</v>
      </c>
      <c r="F73" s="19" t="s">
        <v>26</v>
      </c>
      <c r="G73" s="179" t="s">
        <v>259</v>
      </c>
      <c r="H73" s="225">
        <v>6</v>
      </c>
      <c r="I73" s="235">
        <v>130</v>
      </c>
      <c r="J73" s="262">
        <f t="shared" si="7"/>
        <v>780</v>
      </c>
      <c r="K73" s="26"/>
      <c r="L73" s="184" t="s">
        <v>260</v>
      </c>
      <c r="M73" s="19"/>
      <c r="N73" s="240" t="s">
        <v>283</v>
      </c>
      <c r="O73" s="139">
        <v>45513</v>
      </c>
      <c r="P73" s="143"/>
      <c r="Q73" s="150">
        <v>45553</v>
      </c>
      <c r="R73" s="242">
        <v>45555</v>
      </c>
      <c r="S73" s="22"/>
    </row>
    <row r="74" spans="1:19" s="3" customFormat="1" ht="19.7" customHeight="1" x14ac:dyDescent="0.15">
      <c r="A74" s="119" t="s">
        <v>29</v>
      </c>
      <c r="B74" s="43"/>
      <c r="C74" s="126">
        <v>10</v>
      </c>
      <c r="D74" s="121">
        <f t="shared" si="8"/>
        <v>48</v>
      </c>
      <c r="E74" s="121" t="s">
        <v>31</v>
      </c>
      <c r="F74" s="121" t="s">
        <v>26</v>
      </c>
      <c r="G74" s="179" t="s">
        <v>261</v>
      </c>
      <c r="H74" s="225">
        <v>1</v>
      </c>
      <c r="I74" s="235">
        <v>2110</v>
      </c>
      <c r="J74" s="235">
        <f t="shared" si="7"/>
        <v>2110</v>
      </c>
      <c r="K74" s="26"/>
      <c r="L74" s="184" t="s">
        <v>262</v>
      </c>
      <c r="M74" s="19"/>
      <c r="N74" s="240" t="s">
        <v>283</v>
      </c>
      <c r="O74" s="139">
        <v>45513</v>
      </c>
      <c r="P74" s="143"/>
      <c r="Q74" s="150">
        <v>45553</v>
      </c>
      <c r="R74" s="242">
        <v>45555</v>
      </c>
      <c r="S74" s="22"/>
    </row>
    <row r="75" spans="1:19" s="3" customFormat="1" ht="19.7" customHeight="1" x14ac:dyDescent="0.15">
      <c r="A75" s="119" t="s">
        <v>106</v>
      </c>
      <c r="B75" s="43"/>
      <c r="C75" s="126">
        <v>10</v>
      </c>
      <c r="D75" s="121">
        <f>+D74+1</f>
        <v>49</v>
      </c>
      <c r="E75" s="121" t="s">
        <v>31</v>
      </c>
      <c r="F75" s="121" t="s">
        <v>26</v>
      </c>
      <c r="G75" s="179" t="s">
        <v>263</v>
      </c>
      <c r="H75" s="225">
        <v>1</v>
      </c>
      <c r="I75" s="235">
        <v>4729</v>
      </c>
      <c r="J75" s="235">
        <f t="shared" si="7"/>
        <v>4729</v>
      </c>
      <c r="K75" s="26"/>
      <c r="L75" s="184" t="s">
        <v>264</v>
      </c>
      <c r="M75" s="20"/>
      <c r="N75" s="240" t="s">
        <v>283</v>
      </c>
      <c r="O75" s="139">
        <v>45513</v>
      </c>
      <c r="P75" s="143"/>
      <c r="Q75" s="150">
        <v>45553</v>
      </c>
      <c r="R75" s="242">
        <v>45555</v>
      </c>
      <c r="S75" s="22"/>
    </row>
    <row r="76" spans="1:19" s="3" customFormat="1" ht="19.7" customHeight="1" x14ac:dyDescent="0.15">
      <c r="A76" s="57" t="s">
        <v>28</v>
      </c>
      <c r="B76" s="43"/>
      <c r="C76" s="126">
        <v>10</v>
      </c>
      <c r="D76" s="121">
        <f>+D75+1</f>
        <v>50</v>
      </c>
      <c r="E76" s="31" t="s">
        <v>143</v>
      </c>
      <c r="F76" s="21" t="s">
        <v>144</v>
      </c>
      <c r="G76" s="185" t="s">
        <v>265</v>
      </c>
      <c r="H76" s="226">
        <v>6</v>
      </c>
      <c r="I76" s="272">
        <v>47</v>
      </c>
      <c r="J76" s="264">
        <f t="shared" ref="J76:J77" si="9">H76*I76</f>
        <v>282</v>
      </c>
      <c r="K76" s="91"/>
      <c r="L76" s="68" t="s">
        <v>266</v>
      </c>
      <c r="M76" s="20"/>
      <c r="N76" s="240" t="s">
        <v>283</v>
      </c>
      <c r="O76" s="139">
        <v>45513</v>
      </c>
      <c r="P76" s="143"/>
      <c r="Q76" s="150">
        <v>45553</v>
      </c>
      <c r="R76" s="242">
        <v>45555</v>
      </c>
      <c r="S76" s="22"/>
    </row>
    <row r="77" spans="1:19" s="3" customFormat="1" ht="19.7" customHeight="1" x14ac:dyDescent="0.15">
      <c r="A77" s="57" t="s">
        <v>28</v>
      </c>
      <c r="B77" s="43"/>
      <c r="C77" s="126">
        <v>10</v>
      </c>
      <c r="D77" s="121">
        <f t="shared" si="8"/>
        <v>51</v>
      </c>
      <c r="E77" s="21" t="s">
        <v>144</v>
      </c>
      <c r="F77" s="21" t="s">
        <v>144</v>
      </c>
      <c r="G77" s="185" t="s">
        <v>146</v>
      </c>
      <c r="H77" s="226">
        <v>1</v>
      </c>
      <c r="I77" s="272">
        <v>5500</v>
      </c>
      <c r="J77" s="264">
        <f t="shared" si="9"/>
        <v>5500</v>
      </c>
      <c r="K77" s="91"/>
      <c r="L77" s="68" t="s">
        <v>147</v>
      </c>
      <c r="M77" s="20"/>
      <c r="N77" s="240" t="s">
        <v>283</v>
      </c>
      <c r="O77" s="139">
        <v>45513</v>
      </c>
      <c r="P77" s="143"/>
      <c r="Q77" s="150">
        <v>45553</v>
      </c>
      <c r="R77" s="242">
        <v>45555</v>
      </c>
      <c r="S77" s="22"/>
    </row>
    <row r="78" spans="1:19" s="3" customFormat="1" ht="19.7" customHeight="1" x14ac:dyDescent="0.15">
      <c r="A78" s="119" t="s">
        <v>269</v>
      </c>
      <c r="B78" s="43"/>
      <c r="C78" s="126">
        <v>10</v>
      </c>
      <c r="D78" s="121">
        <f t="shared" si="8"/>
        <v>52</v>
      </c>
      <c r="E78" s="121" t="s">
        <v>31</v>
      </c>
      <c r="F78" s="121" t="s">
        <v>26</v>
      </c>
      <c r="G78" s="178" t="s">
        <v>267</v>
      </c>
      <c r="H78" s="229">
        <v>1</v>
      </c>
      <c r="I78" s="260">
        <v>4870</v>
      </c>
      <c r="J78" s="264">
        <f>H78*I78</f>
        <v>4870</v>
      </c>
      <c r="K78" s="91"/>
      <c r="L78" s="47" t="s">
        <v>268</v>
      </c>
      <c r="M78" s="20"/>
      <c r="N78" s="240" t="s">
        <v>283</v>
      </c>
      <c r="O78" s="139">
        <v>45513</v>
      </c>
      <c r="P78" s="143"/>
      <c r="Q78" s="150">
        <v>45553</v>
      </c>
      <c r="R78" s="242">
        <v>45555</v>
      </c>
      <c r="S78" s="22"/>
    </row>
    <row r="79" spans="1:19" s="3" customFormat="1" ht="19.7" customHeight="1" x14ac:dyDescent="0.15">
      <c r="A79" s="19"/>
      <c r="B79" s="19"/>
      <c r="C79" s="19"/>
      <c r="D79" s="21"/>
      <c r="E79" s="72"/>
      <c r="F79" s="72"/>
      <c r="G79" s="124"/>
      <c r="H79" s="45"/>
      <c r="I79" s="183"/>
      <c r="J79" s="49"/>
      <c r="K79" s="63"/>
      <c r="L79" s="124"/>
      <c r="M79" s="20"/>
      <c r="N79" s="19"/>
      <c r="O79" s="34"/>
      <c r="P79" s="21"/>
      <c r="Q79" s="23"/>
      <c r="R79" s="34"/>
      <c r="S79" s="22"/>
    </row>
    <row r="80" spans="1:19" s="3" customFormat="1" ht="19.7" customHeight="1" x14ac:dyDescent="0.15">
      <c r="A80" s="19"/>
      <c r="B80" s="19"/>
      <c r="C80" s="19"/>
      <c r="D80" s="21"/>
      <c r="E80" s="54"/>
      <c r="F80" s="54"/>
      <c r="G80" s="74">
        <f>SUM(J56:J79)</f>
        <v>36609</v>
      </c>
      <c r="H80" s="94"/>
      <c r="I80" s="93"/>
      <c r="J80" s="40"/>
      <c r="K80" s="95"/>
      <c r="L80" s="96"/>
      <c r="M80" s="244"/>
      <c r="N80" s="19"/>
      <c r="O80" s="34"/>
      <c r="P80" s="21"/>
      <c r="Q80" s="19"/>
      <c r="R80" s="34"/>
      <c r="S80" s="22"/>
    </row>
    <row r="81" spans="1:19" s="3" customFormat="1" ht="19.5" customHeight="1" x14ac:dyDescent="0.15">
      <c r="A81" s="19"/>
      <c r="B81" s="19"/>
      <c r="C81" s="19"/>
      <c r="D81" s="21"/>
      <c r="E81" s="21"/>
      <c r="F81" s="21"/>
      <c r="G81" s="30"/>
      <c r="H81" s="29"/>
      <c r="I81" s="15"/>
      <c r="J81" s="15"/>
      <c r="K81" s="10"/>
      <c r="L81" s="16"/>
      <c r="M81" s="2"/>
      <c r="N81" s="19"/>
      <c r="O81" s="34"/>
      <c r="P81" s="21"/>
      <c r="Q81" s="19"/>
      <c r="R81" s="34"/>
      <c r="S81" s="38"/>
    </row>
    <row r="82" spans="1:19" s="3" customFormat="1" ht="19.5" customHeight="1" x14ac:dyDescent="0.15">
      <c r="A82" s="19"/>
      <c r="B82" s="19"/>
      <c r="C82" s="19"/>
      <c r="D82" s="21"/>
      <c r="E82" s="21"/>
      <c r="F82" s="21"/>
      <c r="G82" s="30"/>
      <c r="H82" s="29"/>
      <c r="I82" s="15"/>
      <c r="J82" s="15"/>
      <c r="K82" s="10"/>
      <c r="L82" s="16"/>
      <c r="M82" s="2"/>
      <c r="N82" s="19"/>
      <c r="O82" s="34"/>
      <c r="P82" s="21"/>
      <c r="Q82" s="19"/>
      <c r="R82" s="34"/>
      <c r="S82" s="38"/>
    </row>
    <row r="83" spans="1:19" s="3" customFormat="1" ht="19.5" customHeight="1" x14ac:dyDescent="0.15">
      <c r="A83" s="19"/>
      <c r="B83" s="19"/>
      <c r="C83" s="19"/>
      <c r="D83" s="21"/>
      <c r="E83" s="21"/>
      <c r="F83" s="21"/>
      <c r="G83" s="30"/>
      <c r="H83" s="29"/>
      <c r="I83" s="15"/>
      <c r="J83" s="15"/>
      <c r="K83" s="10"/>
      <c r="L83" s="16"/>
      <c r="M83" s="2"/>
      <c r="N83" s="19"/>
      <c r="O83" s="34"/>
      <c r="P83" s="21"/>
      <c r="Q83" s="19"/>
      <c r="R83" s="34"/>
      <c r="S83" s="38"/>
    </row>
    <row r="84" spans="1:19" s="3" customFormat="1" ht="19.7" customHeight="1" x14ac:dyDescent="0.15">
      <c r="A84" s="19"/>
      <c r="B84" s="19"/>
      <c r="C84" s="19"/>
      <c r="D84" s="21"/>
      <c r="E84" s="275" t="s">
        <v>156</v>
      </c>
      <c r="F84" s="276"/>
      <c r="G84" s="277"/>
      <c r="H84" s="25"/>
      <c r="I84" s="25"/>
      <c r="J84" s="40"/>
      <c r="K84" s="50"/>
      <c r="L84" s="55"/>
      <c r="M84" s="20"/>
      <c r="N84" s="19"/>
      <c r="O84" s="34"/>
      <c r="P84" s="21"/>
      <c r="Q84" s="19"/>
      <c r="R84" s="34"/>
      <c r="S84" s="22"/>
    </row>
    <row r="85" spans="1:19" s="3" customFormat="1" ht="19.7" customHeight="1" x14ac:dyDescent="0.15">
      <c r="A85" s="19" t="s">
        <v>157</v>
      </c>
      <c r="B85" s="127"/>
      <c r="C85" s="97">
        <v>11</v>
      </c>
      <c r="D85" s="121">
        <f>+D78+1</f>
        <v>53</v>
      </c>
      <c r="E85" s="21" t="s">
        <v>143</v>
      </c>
      <c r="F85" s="21" t="s">
        <v>26</v>
      </c>
      <c r="G85" s="172" t="s">
        <v>158</v>
      </c>
      <c r="H85" s="223">
        <v>4</v>
      </c>
      <c r="I85" s="235">
        <v>69</v>
      </c>
      <c r="J85" s="235">
        <f t="shared" ref="J85:J100" si="10">H85*I85</f>
        <v>276</v>
      </c>
      <c r="K85" s="75"/>
      <c r="L85" s="100" t="s">
        <v>159</v>
      </c>
      <c r="M85" s="50" t="s">
        <v>160</v>
      </c>
      <c r="N85" s="240" t="s">
        <v>283</v>
      </c>
      <c r="O85" s="139">
        <v>45513</v>
      </c>
      <c r="P85" s="143"/>
      <c r="Q85" s="150">
        <v>45553</v>
      </c>
      <c r="R85" s="242">
        <v>45555</v>
      </c>
      <c r="S85" s="22"/>
    </row>
    <row r="86" spans="1:19" s="3" customFormat="1" ht="19.7" customHeight="1" x14ac:dyDescent="0.15">
      <c r="A86" s="19" t="s">
        <v>161</v>
      </c>
      <c r="B86" s="127"/>
      <c r="C86" s="97">
        <v>11</v>
      </c>
      <c r="D86" s="121">
        <f>+D85+1</f>
        <v>54</v>
      </c>
      <c r="E86" s="21" t="s">
        <v>143</v>
      </c>
      <c r="F86" s="21" t="s">
        <v>26</v>
      </c>
      <c r="G86" s="172" t="s">
        <v>162</v>
      </c>
      <c r="H86" s="223">
        <v>4</v>
      </c>
      <c r="I86" s="235">
        <v>116</v>
      </c>
      <c r="J86" s="235">
        <f t="shared" si="10"/>
        <v>464</v>
      </c>
      <c r="K86" s="75"/>
      <c r="L86" s="100" t="s">
        <v>163</v>
      </c>
      <c r="M86" s="50" t="s">
        <v>164</v>
      </c>
      <c r="N86" s="240" t="s">
        <v>283</v>
      </c>
      <c r="O86" s="139">
        <v>45513</v>
      </c>
      <c r="P86" s="143"/>
      <c r="Q86" s="150">
        <v>45553</v>
      </c>
      <c r="R86" s="242">
        <v>45555</v>
      </c>
      <c r="S86" s="22"/>
    </row>
    <row r="87" spans="1:19" s="3" customFormat="1" ht="19.7" customHeight="1" x14ac:dyDescent="0.15">
      <c r="A87" s="19" t="s">
        <v>165</v>
      </c>
      <c r="B87" s="127"/>
      <c r="C87" s="97">
        <v>11</v>
      </c>
      <c r="D87" s="121">
        <f t="shared" ref="D87:D100" si="11">+D86+1</f>
        <v>55</v>
      </c>
      <c r="E87" s="92" t="s">
        <v>26</v>
      </c>
      <c r="F87" s="92" t="s">
        <v>26</v>
      </c>
      <c r="G87" s="191" t="s">
        <v>166</v>
      </c>
      <c r="H87" s="229">
        <v>3</v>
      </c>
      <c r="I87" s="221">
        <v>680</v>
      </c>
      <c r="J87" s="265">
        <f t="shared" si="10"/>
        <v>2040</v>
      </c>
      <c r="K87" s="101"/>
      <c r="L87" s="102" t="s">
        <v>167</v>
      </c>
      <c r="M87" s="20"/>
      <c r="N87" s="240" t="s">
        <v>283</v>
      </c>
      <c r="O87" s="139">
        <v>45513</v>
      </c>
      <c r="P87" s="143"/>
      <c r="Q87" s="150">
        <v>45553</v>
      </c>
      <c r="R87" s="242">
        <v>45555</v>
      </c>
      <c r="S87" s="22"/>
    </row>
    <row r="88" spans="1:19" s="3" customFormat="1" ht="19.7" customHeight="1" x14ac:dyDescent="0.15">
      <c r="A88" s="19" t="s">
        <v>161</v>
      </c>
      <c r="B88" s="127"/>
      <c r="C88" s="97">
        <v>11</v>
      </c>
      <c r="D88" s="121">
        <f t="shared" si="11"/>
        <v>56</v>
      </c>
      <c r="E88" s="72" t="s">
        <v>26</v>
      </c>
      <c r="F88" s="72" t="s">
        <v>26</v>
      </c>
      <c r="G88" s="172" t="s">
        <v>148</v>
      </c>
      <c r="H88" s="223">
        <v>10</v>
      </c>
      <c r="I88" s="227">
        <v>35</v>
      </c>
      <c r="J88" s="227">
        <f t="shared" si="10"/>
        <v>350</v>
      </c>
      <c r="K88" s="86"/>
      <c r="L88" s="47" t="s">
        <v>168</v>
      </c>
      <c r="M88" s="20" t="s">
        <v>169</v>
      </c>
      <c r="N88" s="240" t="s">
        <v>283</v>
      </c>
      <c r="O88" s="139">
        <v>45513</v>
      </c>
      <c r="P88" s="143"/>
      <c r="Q88" s="150">
        <v>45553</v>
      </c>
      <c r="R88" s="242">
        <v>45555</v>
      </c>
      <c r="S88" s="22"/>
    </row>
    <row r="89" spans="1:19" s="3" customFormat="1" ht="19.7" customHeight="1" x14ac:dyDescent="0.15">
      <c r="A89" s="19" t="s">
        <v>170</v>
      </c>
      <c r="B89" s="127"/>
      <c r="C89" s="97">
        <v>11</v>
      </c>
      <c r="D89" s="121">
        <f t="shared" si="11"/>
        <v>57</v>
      </c>
      <c r="E89" s="21" t="s">
        <v>31</v>
      </c>
      <c r="F89" s="21" t="s">
        <v>26</v>
      </c>
      <c r="G89" s="205" t="s">
        <v>171</v>
      </c>
      <c r="H89" s="229">
        <v>1</v>
      </c>
      <c r="I89" s="221">
        <v>3690</v>
      </c>
      <c r="J89" s="232">
        <f t="shared" si="10"/>
        <v>3690</v>
      </c>
      <c r="K89" s="101"/>
      <c r="L89" s="64" t="s">
        <v>172</v>
      </c>
      <c r="M89" s="20"/>
      <c r="N89" s="240" t="s">
        <v>283</v>
      </c>
      <c r="O89" s="139">
        <v>45513</v>
      </c>
      <c r="P89" s="143"/>
      <c r="Q89" s="150">
        <v>45553</v>
      </c>
      <c r="R89" s="242">
        <v>45555</v>
      </c>
      <c r="S89" s="22"/>
    </row>
    <row r="90" spans="1:19" s="3" customFormat="1" ht="19.7" customHeight="1" x14ac:dyDescent="0.15">
      <c r="A90" s="19" t="s">
        <v>170</v>
      </c>
      <c r="B90" s="127"/>
      <c r="C90" s="97">
        <v>11</v>
      </c>
      <c r="D90" s="121">
        <f t="shared" si="11"/>
        <v>58</v>
      </c>
      <c r="E90" s="21" t="s">
        <v>31</v>
      </c>
      <c r="F90" s="21" t="s">
        <v>26</v>
      </c>
      <c r="G90" s="191" t="s">
        <v>173</v>
      </c>
      <c r="H90" s="229">
        <v>1</v>
      </c>
      <c r="I90" s="221">
        <v>2150</v>
      </c>
      <c r="J90" s="232">
        <f t="shared" si="10"/>
        <v>2150</v>
      </c>
      <c r="K90" s="101"/>
      <c r="L90" s="64" t="s">
        <v>174</v>
      </c>
      <c r="M90" s="20"/>
      <c r="N90" s="240" t="s">
        <v>283</v>
      </c>
      <c r="O90" s="139">
        <v>45513</v>
      </c>
      <c r="P90" s="143"/>
      <c r="Q90" s="150">
        <v>45553</v>
      </c>
      <c r="R90" s="242">
        <v>45555</v>
      </c>
      <c r="S90" s="22"/>
    </row>
    <row r="91" spans="1:19" s="3" customFormat="1" ht="19.7" customHeight="1" x14ac:dyDescent="0.15">
      <c r="A91" s="19" t="s">
        <v>170</v>
      </c>
      <c r="B91" s="127"/>
      <c r="C91" s="97">
        <v>11</v>
      </c>
      <c r="D91" s="121">
        <f t="shared" si="11"/>
        <v>59</v>
      </c>
      <c r="E91" s="21" t="s">
        <v>31</v>
      </c>
      <c r="F91" s="21" t="s">
        <v>26</v>
      </c>
      <c r="G91" s="191" t="s">
        <v>175</v>
      </c>
      <c r="H91" s="229">
        <v>1</v>
      </c>
      <c r="I91" s="221">
        <v>2150</v>
      </c>
      <c r="J91" s="232">
        <f t="shared" si="10"/>
        <v>2150</v>
      </c>
      <c r="K91" s="101"/>
      <c r="L91" s="64" t="s">
        <v>176</v>
      </c>
      <c r="M91" s="20"/>
      <c r="N91" s="240" t="s">
        <v>283</v>
      </c>
      <c r="O91" s="139">
        <v>45513</v>
      </c>
      <c r="P91" s="143"/>
      <c r="Q91" s="150">
        <v>45553</v>
      </c>
      <c r="R91" s="242">
        <v>45555</v>
      </c>
      <c r="S91" s="22"/>
    </row>
    <row r="92" spans="1:19" s="3" customFormat="1" ht="19.7" customHeight="1" x14ac:dyDescent="0.15">
      <c r="A92" s="19" t="s">
        <v>170</v>
      </c>
      <c r="B92" s="127"/>
      <c r="C92" s="97">
        <v>11</v>
      </c>
      <c r="D92" s="121">
        <f>+D91+1</f>
        <v>60</v>
      </c>
      <c r="E92" s="65" t="s">
        <v>26</v>
      </c>
      <c r="F92" s="65" t="s">
        <v>26</v>
      </c>
      <c r="G92" s="188" t="s">
        <v>270</v>
      </c>
      <c r="H92" s="230">
        <v>1</v>
      </c>
      <c r="I92" s="221">
        <v>4660</v>
      </c>
      <c r="J92" s="232">
        <f t="shared" si="10"/>
        <v>4660</v>
      </c>
      <c r="K92" s="103"/>
      <c r="L92" s="64" t="s">
        <v>271</v>
      </c>
      <c r="M92" s="20"/>
      <c r="N92" s="240" t="s">
        <v>283</v>
      </c>
      <c r="O92" s="139">
        <v>45513</v>
      </c>
      <c r="P92" s="143"/>
      <c r="Q92" s="150">
        <v>45553</v>
      </c>
      <c r="R92" s="242">
        <v>45555</v>
      </c>
      <c r="S92" s="22"/>
    </row>
    <row r="93" spans="1:19" s="3" customFormat="1" ht="19.7" customHeight="1" x14ac:dyDescent="0.15">
      <c r="A93" s="19" t="s">
        <v>161</v>
      </c>
      <c r="B93" s="127"/>
      <c r="C93" s="97">
        <v>11</v>
      </c>
      <c r="D93" s="121">
        <f t="shared" si="11"/>
        <v>61</v>
      </c>
      <c r="E93" s="19" t="s">
        <v>26</v>
      </c>
      <c r="F93" s="19" t="s">
        <v>26</v>
      </c>
      <c r="G93" s="189" t="s">
        <v>177</v>
      </c>
      <c r="H93" s="231">
        <v>4</v>
      </c>
      <c r="I93" s="221">
        <v>96</v>
      </c>
      <c r="J93" s="221">
        <f t="shared" si="10"/>
        <v>384</v>
      </c>
      <c r="K93" s="101"/>
      <c r="L93" s="18" t="s">
        <v>178</v>
      </c>
      <c r="M93" s="20"/>
      <c r="N93" s="240" t="s">
        <v>283</v>
      </c>
      <c r="O93" s="139">
        <v>45513</v>
      </c>
      <c r="P93" s="143"/>
      <c r="Q93" s="150">
        <v>45553</v>
      </c>
      <c r="R93" s="242">
        <v>45555</v>
      </c>
      <c r="S93" s="22"/>
    </row>
    <row r="94" spans="1:19" s="3" customFormat="1" ht="19.7" customHeight="1" x14ac:dyDescent="0.15">
      <c r="A94" s="19" t="s">
        <v>161</v>
      </c>
      <c r="B94" s="127"/>
      <c r="C94" s="97">
        <v>11</v>
      </c>
      <c r="D94" s="121">
        <f t="shared" si="11"/>
        <v>62</v>
      </c>
      <c r="E94" s="65" t="s">
        <v>26</v>
      </c>
      <c r="F94" s="65" t="s">
        <v>26</v>
      </c>
      <c r="G94" s="239" t="s">
        <v>179</v>
      </c>
      <c r="H94" s="232">
        <v>1</v>
      </c>
      <c r="I94" s="25">
        <v>5930</v>
      </c>
      <c r="J94" s="187">
        <f t="shared" si="10"/>
        <v>5930</v>
      </c>
      <c r="K94" s="104"/>
      <c r="L94" s="239" t="s">
        <v>180</v>
      </c>
      <c r="M94" s="256"/>
      <c r="N94" s="251" t="s">
        <v>283</v>
      </c>
      <c r="O94" s="252">
        <v>45513</v>
      </c>
      <c r="P94" s="253"/>
      <c r="Q94" s="254">
        <v>45553</v>
      </c>
      <c r="R94" s="255">
        <v>45555</v>
      </c>
      <c r="S94" s="22"/>
    </row>
    <row r="95" spans="1:19" s="3" customFormat="1" ht="19.7" customHeight="1" x14ac:dyDescent="0.15">
      <c r="A95" s="19" t="s">
        <v>161</v>
      </c>
      <c r="B95" s="127"/>
      <c r="C95" s="97">
        <v>11</v>
      </c>
      <c r="D95" s="121">
        <f t="shared" si="11"/>
        <v>63</v>
      </c>
      <c r="E95" s="21" t="s">
        <v>26</v>
      </c>
      <c r="F95" s="21" t="s">
        <v>26</v>
      </c>
      <c r="G95" s="178" t="s">
        <v>181</v>
      </c>
      <c r="H95" s="231">
        <v>4</v>
      </c>
      <c r="I95" s="262">
        <v>76</v>
      </c>
      <c r="J95" s="221">
        <f t="shared" si="10"/>
        <v>304</v>
      </c>
      <c r="K95" s="101"/>
      <c r="L95" s="18" t="s">
        <v>182</v>
      </c>
      <c r="M95" s="20"/>
      <c r="N95" s="240" t="s">
        <v>283</v>
      </c>
      <c r="O95" s="139">
        <v>45513</v>
      </c>
      <c r="P95" s="143"/>
      <c r="Q95" s="150">
        <v>45553</v>
      </c>
      <c r="R95" s="242">
        <v>45555</v>
      </c>
      <c r="S95" s="22"/>
    </row>
    <row r="96" spans="1:19" s="3" customFormat="1" ht="19.7" customHeight="1" x14ac:dyDescent="0.15">
      <c r="A96" s="19" t="s">
        <v>161</v>
      </c>
      <c r="B96" s="127"/>
      <c r="C96" s="97">
        <v>11</v>
      </c>
      <c r="D96" s="121">
        <f t="shared" si="11"/>
        <v>64</v>
      </c>
      <c r="E96" s="92" t="s">
        <v>86</v>
      </c>
      <c r="F96" s="92" t="s">
        <v>86</v>
      </c>
      <c r="G96" s="173" t="s">
        <v>183</v>
      </c>
      <c r="H96" s="233">
        <v>6</v>
      </c>
      <c r="I96" s="221">
        <v>29</v>
      </c>
      <c r="J96" s="235">
        <f t="shared" si="10"/>
        <v>174</v>
      </c>
      <c r="K96" s="101"/>
      <c r="L96" s="39" t="s">
        <v>196</v>
      </c>
      <c r="M96" s="36" t="s">
        <v>197</v>
      </c>
      <c r="N96" s="240" t="s">
        <v>283</v>
      </c>
      <c r="O96" s="139">
        <v>45513</v>
      </c>
      <c r="P96" s="143"/>
      <c r="Q96" s="150">
        <v>45553</v>
      </c>
      <c r="R96" s="242">
        <v>45555</v>
      </c>
      <c r="S96" s="22"/>
    </row>
    <row r="97" spans="1:19" s="3" customFormat="1" ht="19.7" customHeight="1" x14ac:dyDescent="0.15">
      <c r="A97" s="19" t="s">
        <v>161</v>
      </c>
      <c r="B97" s="127"/>
      <c r="C97" s="97">
        <v>11</v>
      </c>
      <c r="D97" s="121">
        <f t="shared" si="11"/>
        <v>65</v>
      </c>
      <c r="E97" s="21" t="s">
        <v>26</v>
      </c>
      <c r="F97" s="21" t="s">
        <v>26</v>
      </c>
      <c r="G97" s="172" t="s">
        <v>184</v>
      </c>
      <c r="H97" s="223">
        <v>6</v>
      </c>
      <c r="I97" s="235">
        <v>92</v>
      </c>
      <c r="J97" s="235">
        <f t="shared" si="10"/>
        <v>552</v>
      </c>
      <c r="K97" s="75"/>
      <c r="L97" s="44" t="s">
        <v>185</v>
      </c>
      <c r="M97" s="50" t="s">
        <v>164</v>
      </c>
      <c r="N97" s="240" t="s">
        <v>283</v>
      </c>
      <c r="O97" s="139">
        <v>45513</v>
      </c>
      <c r="P97" s="143"/>
      <c r="Q97" s="150">
        <v>45553</v>
      </c>
      <c r="R97" s="242">
        <v>45555</v>
      </c>
      <c r="S97" s="22"/>
    </row>
    <row r="98" spans="1:19" s="3" customFormat="1" ht="19.7" customHeight="1" x14ac:dyDescent="0.15">
      <c r="A98" s="19" t="s">
        <v>161</v>
      </c>
      <c r="B98" s="127"/>
      <c r="C98" s="97">
        <v>11</v>
      </c>
      <c r="D98" s="121">
        <f t="shared" si="11"/>
        <v>66</v>
      </c>
      <c r="E98" s="21" t="s">
        <v>26</v>
      </c>
      <c r="F98" s="21" t="s">
        <v>26</v>
      </c>
      <c r="G98" s="190" t="s">
        <v>186</v>
      </c>
      <c r="H98" s="222">
        <v>4</v>
      </c>
      <c r="I98" s="227">
        <v>76</v>
      </c>
      <c r="J98" s="227">
        <f t="shared" si="10"/>
        <v>304</v>
      </c>
      <c r="K98" s="86"/>
      <c r="L98" s="64" t="s">
        <v>187</v>
      </c>
      <c r="M98" s="50" t="s">
        <v>164</v>
      </c>
      <c r="N98" s="240" t="s">
        <v>283</v>
      </c>
      <c r="O98" s="139">
        <v>45513</v>
      </c>
      <c r="P98" s="143"/>
      <c r="Q98" s="150">
        <v>45553</v>
      </c>
      <c r="R98" s="242">
        <v>45555</v>
      </c>
      <c r="S98" s="22"/>
    </row>
    <row r="99" spans="1:19" s="3" customFormat="1" ht="19.7" customHeight="1" x14ac:dyDescent="0.15">
      <c r="A99" s="19" t="s">
        <v>161</v>
      </c>
      <c r="B99" s="127"/>
      <c r="C99" s="97">
        <v>11</v>
      </c>
      <c r="D99" s="121">
        <f t="shared" si="11"/>
        <v>67</v>
      </c>
      <c r="E99" s="92" t="s">
        <v>86</v>
      </c>
      <c r="F99" s="92" t="s">
        <v>86</v>
      </c>
      <c r="G99" s="175" t="s">
        <v>272</v>
      </c>
      <c r="H99" s="233">
        <v>6</v>
      </c>
      <c r="I99" s="221">
        <v>240</v>
      </c>
      <c r="J99" s="235">
        <f t="shared" si="10"/>
        <v>1440</v>
      </c>
      <c r="K99" s="101"/>
      <c r="L99" s="39" t="s">
        <v>273</v>
      </c>
      <c r="M99" s="20"/>
      <c r="N99" s="240" t="s">
        <v>283</v>
      </c>
      <c r="O99" s="139">
        <v>45513</v>
      </c>
      <c r="P99" s="143"/>
      <c r="Q99" s="150">
        <v>45553</v>
      </c>
      <c r="R99" s="242">
        <v>45555</v>
      </c>
      <c r="S99" s="22"/>
    </row>
    <row r="100" spans="1:19" s="3" customFormat="1" ht="19.7" customHeight="1" x14ac:dyDescent="0.15">
      <c r="A100" s="19" t="s">
        <v>170</v>
      </c>
      <c r="B100" s="127"/>
      <c r="C100" s="97">
        <v>11</v>
      </c>
      <c r="D100" s="121">
        <f t="shared" si="11"/>
        <v>68</v>
      </c>
      <c r="E100" s="21" t="s">
        <v>31</v>
      </c>
      <c r="F100" s="21" t="s">
        <v>26</v>
      </c>
      <c r="G100" s="175" t="s">
        <v>198</v>
      </c>
      <c r="H100" s="229">
        <v>1</v>
      </c>
      <c r="I100" s="221">
        <v>2550</v>
      </c>
      <c r="J100" s="262">
        <f t="shared" si="10"/>
        <v>2550</v>
      </c>
      <c r="K100" s="81"/>
      <c r="L100" s="39" t="s">
        <v>195</v>
      </c>
      <c r="M100" s="20"/>
      <c r="N100" s="240" t="s">
        <v>283</v>
      </c>
      <c r="O100" s="139">
        <v>45513</v>
      </c>
      <c r="P100" s="143"/>
      <c r="Q100" s="150">
        <v>45553</v>
      </c>
      <c r="R100" s="242">
        <v>45555</v>
      </c>
      <c r="S100" s="22"/>
    </row>
    <row r="101" spans="1:19" s="3" customFormat="1" ht="19.7" customHeight="1" x14ac:dyDescent="0.15">
      <c r="A101" s="19"/>
      <c r="B101" s="19"/>
      <c r="C101" s="19"/>
      <c r="D101" s="21"/>
      <c r="E101" s="21"/>
      <c r="F101" s="21"/>
      <c r="G101" s="44"/>
      <c r="H101" s="105"/>
      <c r="I101" s="40"/>
      <c r="J101" s="40"/>
      <c r="K101" s="81"/>
      <c r="L101" s="44"/>
      <c r="M101" s="20"/>
      <c r="N101" s="19"/>
      <c r="O101" s="34"/>
      <c r="P101" s="21"/>
      <c r="Q101" s="19"/>
      <c r="R101" s="34"/>
      <c r="S101" s="22"/>
    </row>
    <row r="102" spans="1:19" s="3" customFormat="1" ht="19.7" customHeight="1" x14ac:dyDescent="0.15">
      <c r="A102" s="19"/>
      <c r="B102" s="19"/>
      <c r="C102" s="19"/>
      <c r="D102" s="21"/>
      <c r="E102" s="21"/>
      <c r="F102" s="21"/>
      <c r="G102" s="74">
        <f>SUM(J85:J101)</f>
        <v>27418</v>
      </c>
      <c r="H102" s="19"/>
      <c r="I102" s="40"/>
      <c r="J102" s="40"/>
      <c r="K102" s="81"/>
      <c r="L102" s="18"/>
      <c r="M102" s="20"/>
      <c r="N102" s="19"/>
      <c r="O102" s="34"/>
      <c r="P102" s="21"/>
      <c r="Q102" s="19"/>
      <c r="R102" s="34"/>
      <c r="S102" s="22"/>
    </row>
    <row r="103" spans="1:19" s="3" customFormat="1" ht="19.5" customHeight="1" x14ac:dyDescent="0.15">
      <c r="C103" s="19"/>
      <c r="D103" s="21"/>
      <c r="E103" s="21"/>
      <c r="F103" s="21"/>
      <c r="G103" s="30"/>
      <c r="H103" s="29"/>
      <c r="I103" s="15"/>
      <c r="J103" s="15"/>
      <c r="K103" s="10"/>
      <c r="L103" s="16"/>
      <c r="M103" s="2"/>
      <c r="N103" s="19"/>
      <c r="O103" s="34"/>
      <c r="P103" s="21"/>
      <c r="Q103" s="19"/>
      <c r="R103" s="34"/>
      <c r="S103" s="38"/>
    </row>
    <row r="104" spans="1:19" s="3" customFormat="1" ht="19.5" customHeight="1" x14ac:dyDescent="0.15">
      <c r="C104" s="19"/>
      <c r="D104" s="21"/>
      <c r="E104" s="21"/>
      <c r="F104" s="21"/>
      <c r="G104" s="30"/>
      <c r="H104" s="29"/>
      <c r="I104" s="15"/>
      <c r="J104" s="15"/>
      <c r="K104" s="10"/>
      <c r="L104" s="16"/>
      <c r="M104" s="2"/>
      <c r="N104" s="19"/>
      <c r="O104" s="34"/>
      <c r="P104" s="21"/>
      <c r="Q104" s="19"/>
      <c r="R104" s="34"/>
      <c r="S104" s="38"/>
    </row>
    <row r="105" spans="1:19" s="3" customFormat="1" ht="19.5" customHeight="1" x14ac:dyDescent="0.15">
      <c r="C105" s="19"/>
      <c r="D105" s="21"/>
      <c r="E105" s="21"/>
      <c r="F105" s="21"/>
      <c r="G105" s="30"/>
      <c r="H105" s="29"/>
      <c r="I105" s="15"/>
      <c r="J105" s="15"/>
      <c r="K105" s="10"/>
      <c r="L105" s="16"/>
      <c r="M105" s="2"/>
      <c r="N105" s="19"/>
      <c r="O105" s="34"/>
      <c r="P105" s="21"/>
      <c r="Q105" s="19"/>
      <c r="R105" s="34"/>
      <c r="S105" s="38"/>
    </row>
    <row r="106" spans="1:19" s="3" customFormat="1" ht="19.5" customHeight="1" x14ac:dyDescent="0.15">
      <c r="C106" s="19"/>
      <c r="D106" s="21"/>
      <c r="E106" s="275" t="s">
        <v>281</v>
      </c>
      <c r="F106" s="276"/>
      <c r="G106" s="277"/>
      <c r="H106" s="62"/>
      <c r="I106" s="49"/>
      <c r="J106" s="56"/>
      <c r="K106" s="63"/>
      <c r="L106" s="64"/>
      <c r="M106" s="2"/>
      <c r="N106" s="19"/>
      <c r="O106" s="34"/>
      <c r="P106" s="21"/>
      <c r="Q106" s="19"/>
      <c r="R106" s="34"/>
      <c r="S106" s="38"/>
    </row>
    <row r="107" spans="1:19" s="3" customFormat="1" ht="19.5" customHeight="1" x14ac:dyDescent="0.15">
      <c r="A107" s="76" t="s">
        <v>29</v>
      </c>
      <c r="B107" s="192"/>
      <c r="C107" s="89">
        <v>12</v>
      </c>
      <c r="D107" s="121">
        <f>+D100+1</f>
        <v>69</v>
      </c>
      <c r="E107" s="51" t="s">
        <v>31</v>
      </c>
      <c r="F107" s="21" t="s">
        <v>26</v>
      </c>
      <c r="G107" s="175" t="s">
        <v>32</v>
      </c>
      <c r="H107" s="221">
        <v>1</v>
      </c>
      <c r="I107" s="221">
        <v>2320</v>
      </c>
      <c r="J107" s="235">
        <f t="shared" ref="J107:J113" si="12">H107*I107</f>
        <v>2320</v>
      </c>
      <c r="K107" s="50"/>
      <c r="L107" s="44" t="s">
        <v>33</v>
      </c>
      <c r="M107" s="2"/>
      <c r="N107" s="240" t="s">
        <v>283</v>
      </c>
      <c r="O107" s="139">
        <v>45513</v>
      </c>
      <c r="P107" s="143"/>
      <c r="Q107" s="150">
        <v>45553</v>
      </c>
      <c r="R107" s="242">
        <v>45555</v>
      </c>
      <c r="S107" s="38"/>
    </row>
    <row r="108" spans="1:19" s="3" customFormat="1" ht="19.5" customHeight="1" x14ac:dyDescent="0.15">
      <c r="A108" s="57" t="s">
        <v>28</v>
      </c>
      <c r="B108" s="43"/>
      <c r="C108" s="89">
        <v>12</v>
      </c>
      <c r="D108" s="121">
        <f t="shared" ref="D108:D114" si="13">+D107+1</f>
        <v>70</v>
      </c>
      <c r="E108" s="19" t="s">
        <v>26</v>
      </c>
      <c r="F108" s="19" t="s">
        <v>26</v>
      </c>
      <c r="G108" s="189" t="s">
        <v>34</v>
      </c>
      <c r="H108" s="221">
        <v>1</v>
      </c>
      <c r="I108" s="221">
        <v>990</v>
      </c>
      <c r="J108" s="266">
        <f>H108*I108</f>
        <v>990</v>
      </c>
      <c r="K108" s="44"/>
      <c r="L108" s="18" t="s">
        <v>35</v>
      </c>
      <c r="M108" s="2"/>
      <c r="N108" s="240" t="s">
        <v>283</v>
      </c>
      <c r="O108" s="139">
        <v>45513</v>
      </c>
      <c r="P108" s="143"/>
      <c r="Q108" s="150">
        <v>45553</v>
      </c>
      <c r="R108" s="242">
        <v>45555</v>
      </c>
      <c r="S108" s="38"/>
    </row>
    <row r="109" spans="1:19" s="3" customFormat="1" ht="19.5" customHeight="1" x14ac:dyDescent="0.15">
      <c r="A109" s="57" t="s">
        <v>28</v>
      </c>
      <c r="B109" s="43"/>
      <c r="C109" s="89">
        <v>12</v>
      </c>
      <c r="D109" s="121">
        <f t="shared" si="13"/>
        <v>71</v>
      </c>
      <c r="E109" s="21" t="s">
        <v>26</v>
      </c>
      <c r="F109" s="21" t="s">
        <v>26</v>
      </c>
      <c r="G109" s="197" t="s">
        <v>36</v>
      </c>
      <c r="H109" s="221">
        <v>2</v>
      </c>
      <c r="I109" s="271">
        <v>72</v>
      </c>
      <c r="J109" s="262">
        <f t="shared" si="12"/>
        <v>144</v>
      </c>
      <c r="K109" s="50"/>
      <c r="L109" s="18" t="s">
        <v>37</v>
      </c>
      <c r="M109" s="2"/>
      <c r="N109" s="240" t="s">
        <v>283</v>
      </c>
      <c r="O109" s="139">
        <v>45513</v>
      </c>
      <c r="P109" s="143"/>
      <c r="Q109" s="150">
        <v>45553</v>
      </c>
      <c r="R109" s="242">
        <v>45555</v>
      </c>
      <c r="S109" s="38"/>
    </row>
    <row r="110" spans="1:19" s="3" customFormat="1" ht="19.5" customHeight="1" x14ac:dyDescent="0.15">
      <c r="A110" s="57" t="s">
        <v>28</v>
      </c>
      <c r="B110" s="43"/>
      <c r="C110" s="89">
        <v>12</v>
      </c>
      <c r="D110" s="121">
        <f>+D109+1</f>
        <v>72</v>
      </c>
      <c r="E110" s="193" t="s">
        <v>274</v>
      </c>
      <c r="F110" s="77" t="s">
        <v>26</v>
      </c>
      <c r="G110" s="194" t="s">
        <v>275</v>
      </c>
      <c r="H110" s="234">
        <v>1</v>
      </c>
      <c r="I110" s="232">
        <v>999</v>
      </c>
      <c r="J110" s="266">
        <f t="shared" ref="J110" si="14">H110*I110</f>
        <v>999</v>
      </c>
      <c r="K110" s="67"/>
      <c r="L110" s="66" t="s">
        <v>276</v>
      </c>
      <c r="M110" s="2"/>
      <c r="N110" s="240" t="s">
        <v>283</v>
      </c>
      <c r="O110" s="139">
        <v>45513</v>
      </c>
      <c r="P110" s="143"/>
      <c r="Q110" s="150">
        <v>45553</v>
      </c>
      <c r="R110" s="242">
        <v>45555</v>
      </c>
      <c r="S110" s="38"/>
    </row>
    <row r="111" spans="1:19" s="3" customFormat="1" ht="19.5" customHeight="1" x14ac:dyDescent="0.15">
      <c r="A111" s="57" t="s">
        <v>28</v>
      </c>
      <c r="B111" s="43"/>
      <c r="C111" s="89">
        <v>12</v>
      </c>
      <c r="D111" s="121">
        <f>+D110+1</f>
        <v>73</v>
      </c>
      <c r="E111" s="21" t="s">
        <v>26</v>
      </c>
      <c r="F111" s="21" t="s">
        <v>26</v>
      </c>
      <c r="G111" s="197" t="s">
        <v>38</v>
      </c>
      <c r="H111" s="221">
        <v>2</v>
      </c>
      <c r="I111" s="271">
        <v>31</v>
      </c>
      <c r="J111" s="262">
        <f t="shared" si="12"/>
        <v>62</v>
      </c>
      <c r="K111" s="50"/>
      <c r="L111" s="18" t="s">
        <v>39</v>
      </c>
      <c r="M111" s="2"/>
      <c r="N111" s="240" t="s">
        <v>283</v>
      </c>
      <c r="O111" s="139">
        <v>45513</v>
      </c>
      <c r="P111" s="143"/>
      <c r="Q111" s="150">
        <v>45553</v>
      </c>
      <c r="R111" s="242">
        <v>45555</v>
      </c>
      <c r="S111" s="38"/>
    </row>
    <row r="112" spans="1:19" s="3" customFormat="1" ht="19.5" customHeight="1" x14ac:dyDescent="0.15">
      <c r="A112" s="57" t="s">
        <v>28</v>
      </c>
      <c r="B112" s="43"/>
      <c r="C112" s="89">
        <v>12</v>
      </c>
      <c r="D112" s="121">
        <f>+D111+1</f>
        <v>74</v>
      </c>
      <c r="E112" s="65" t="s">
        <v>26</v>
      </c>
      <c r="F112" s="65" t="s">
        <v>26</v>
      </c>
      <c r="G112" s="189" t="s">
        <v>40</v>
      </c>
      <c r="H112" s="221">
        <v>1</v>
      </c>
      <c r="I112" s="221">
        <v>290</v>
      </c>
      <c r="J112" s="232">
        <f t="shared" si="12"/>
        <v>290</v>
      </c>
      <c r="K112" s="70"/>
      <c r="L112" s="71" t="s">
        <v>41</v>
      </c>
      <c r="M112" s="2"/>
      <c r="N112" s="240" t="s">
        <v>283</v>
      </c>
      <c r="O112" s="139">
        <v>45513</v>
      </c>
      <c r="P112" s="143"/>
      <c r="Q112" s="150">
        <v>45553</v>
      </c>
      <c r="R112" s="242">
        <v>45555</v>
      </c>
      <c r="S112" s="38"/>
    </row>
    <row r="113" spans="1:19" s="3" customFormat="1" ht="19.5" customHeight="1" x14ac:dyDescent="0.15">
      <c r="A113" s="57" t="s">
        <v>28</v>
      </c>
      <c r="B113" s="43"/>
      <c r="C113" s="89">
        <v>12</v>
      </c>
      <c r="D113" s="121">
        <f>+D112+1</f>
        <v>75</v>
      </c>
      <c r="E113" s="69" t="s">
        <v>26</v>
      </c>
      <c r="F113" s="72" t="s">
        <v>26</v>
      </c>
      <c r="G113" s="194" t="s">
        <v>42</v>
      </c>
      <c r="H113" s="234">
        <v>2</v>
      </c>
      <c r="I113" s="232">
        <v>130</v>
      </c>
      <c r="J113" s="266">
        <f t="shared" si="12"/>
        <v>260</v>
      </c>
      <c r="K113" s="67"/>
      <c r="L113" s="66" t="s">
        <v>43</v>
      </c>
      <c r="M113" s="2"/>
      <c r="N113" s="240" t="s">
        <v>283</v>
      </c>
      <c r="O113" s="139">
        <v>45513</v>
      </c>
      <c r="P113" s="143"/>
      <c r="Q113" s="150">
        <v>45553</v>
      </c>
      <c r="R113" s="242">
        <v>45555</v>
      </c>
      <c r="S113" s="38"/>
    </row>
    <row r="114" spans="1:19" s="3" customFormat="1" ht="19.5" customHeight="1" x14ac:dyDescent="0.15">
      <c r="A114" s="57" t="s">
        <v>28</v>
      </c>
      <c r="B114" s="43"/>
      <c r="C114" s="89">
        <v>12</v>
      </c>
      <c r="D114" s="121">
        <f t="shared" si="13"/>
        <v>76</v>
      </c>
      <c r="E114" s="72" t="s">
        <v>26</v>
      </c>
      <c r="F114" s="72" t="s">
        <v>26</v>
      </c>
      <c r="G114" s="174" t="s">
        <v>44</v>
      </c>
      <c r="H114" s="224">
        <v>10</v>
      </c>
      <c r="I114" s="260">
        <v>25</v>
      </c>
      <c r="J114" s="260">
        <f>H114*I114</f>
        <v>250</v>
      </c>
      <c r="K114" s="73"/>
      <c r="L114" s="64" t="s">
        <v>45</v>
      </c>
      <c r="M114" s="2"/>
      <c r="N114" s="240" t="s">
        <v>283</v>
      </c>
      <c r="O114" s="139">
        <v>45513</v>
      </c>
      <c r="P114" s="143"/>
      <c r="Q114" s="150">
        <v>45553</v>
      </c>
      <c r="R114" s="242">
        <v>45555</v>
      </c>
      <c r="S114" s="38"/>
    </row>
    <row r="115" spans="1:19" s="3" customFormat="1" ht="19.5" customHeight="1" x14ac:dyDescent="0.15">
      <c r="C115" s="19"/>
      <c r="D115" s="21"/>
      <c r="E115" s="72"/>
      <c r="F115" s="72"/>
      <c r="G115" s="44"/>
      <c r="H115" s="48"/>
      <c r="I115" s="19"/>
      <c r="J115" s="40"/>
      <c r="K115" s="50"/>
      <c r="L115" s="64"/>
      <c r="M115" s="1"/>
      <c r="N115" s="245"/>
      <c r="O115" s="246"/>
      <c r="P115" s="247"/>
      <c r="Q115" s="248"/>
      <c r="R115" s="249"/>
      <c r="S115" s="250"/>
    </row>
    <row r="116" spans="1:19" s="3" customFormat="1" ht="19.5" customHeight="1" x14ac:dyDescent="0.15">
      <c r="C116" s="19"/>
      <c r="D116" s="21"/>
      <c r="E116" s="21"/>
      <c r="F116" s="21"/>
      <c r="G116" s="74">
        <f>SUM(J107:J115)</f>
        <v>5315</v>
      </c>
      <c r="H116" s="60"/>
      <c r="I116" s="60"/>
      <c r="J116" s="60"/>
      <c r="K116" s="75"/>
      <c r="L116" s="18"/>
      <c r="M116" s="1"/>
      <c r="N116" s="1"/>
      <c r="O116" s="11"/>
      <c r="P116" s="4"/>
      <c r="Q116" s="2"/>
      <c r="R116" s="34"/>
      <c r="S116" s="38"/>
    </row>
    <row r="117" spans="1:19" s="3" customFormat="1" ht="19.5" customHeight="1" x14ac:dyDescent="0.15">
      <c r="C117" s="19"/>
      <c r="D117" s="21"/>
      <c r="E117" s="21"/>
      <c r="F117" s="21"/>
      <c r="G117" s="30"/>
      <c r="H117" s="29"/>
      <c r="I117" s="15"/>
      <c r="J117" s="15"/>
      <c r="K117" s="10"/>
      <c r="L117" s="16"/>
      <c r="M117" s="1"/>
      <c r="N117" s="1"/>
      <c r="O117" s="11"/>
      <c r="P117" s="4"/>
      <c r="Q117" s="2"/>
      <c r="R117" s="34"/>
      <c r="S117" s="38"/>
    </row>
    <row r="118" spans="1:19" s="3" customFormat="1" ht="19.5" customHeight="1" x14ac:dyDescent="0.15">
      <c r="C118" s="19"/>
      <c r="D118" s="21"/>
      <c r="E118" s="21"/>
      <c r="F118" s="21"/>
      <c r="G118" s="30"/>
      <c r="H118" s="29"/>
      <c r="I118" s="15"/>
      <c r="J118" s="15"/>
      <c r="K118" s="10"/>
      <c r="L118" s="16"/>
      <c r="M118" s="1"/>
      <c r="N118" s="1"/>
      <c r="O118" s="11"/>
      <c r="P118" s="4"/>
      <c r="Q118" s="2"/>
      <c r="R118" s="34"/>
      <c r="S118" s="38"/>
    </row>
    <row r="119" spans="1:19" s="3" customFormat="1" ht="19.5" customHeight="1" x14ac:dyDescent="0.15">
      <c r="C119" s="19"/>
      <c r="D119" s="54"/>
      <c r="E119" s="275" t="s">
        <v>27</v>
      </c>
      <c r="F119" s="276"/>
      <c r="G119" s="277"/>
      <c r="H119" s="25"/>
      <c r="I119" s="25"/>
      <c r="J119" s="40"/>
      <c r="K119" s="20"/>
      <c r="L119" s="55"/>
      <c r="M119" s="1"/>
      <c r="N119" s="1"/>
      <c r="O119" s="11"/>
      <c r="P119" s="4"/>
      <c r="Q119" s="2"/>
      <c r="R119" s="34"/>
      <c r="S119" s="38"/>
    </row>
    <row r="120" spans="1:19" s="3" customFormat="1" ht="19.5" customHeight="1" x14ac:dyDescent="0.15">
      <c r="A120" s="57" t="s">
        <v>104</v>
      </c>
      <c r="B120" s="43"/>
      <c r="C120" s="125">
        <v>14</v>
      </c>
      <c r="D120" s="121">
        <f>+D114+1</f>
        <v>77</v>
      </c>
      <c r="E120" s="77" t="s">
        <v>26</v>
      </c>
      <c r="F120" s="77" t="s">
        <v>26</v>
      </c>
      <c r="G120" s="195" t="s">
        <v>46</v>
      </c>
      <c r="H120" s="235">
        <v>1</v>
      </c>
      <c r="I120" s="235">
        <v>1989</v>
      </c>
      <c r="J120" s="235">
        <f t="shared" ref="J120:J147" si="15">H120*I120</f>
        <v>1989</v>
      </c>
      <c r="K120" s="26"/>
      <c r="L120" s="78" t="s">
        <v>47</v>
      </c>
      <c r="M120" s="1"/>
      <c r="N120" s="240" t="s">
        <v>283</v>
      </c>
      <c r="O120" s="139">
        <v>45513</v>
      </c>
      <c r="P120" s="143"/>
      <c r="Q120" s="150">
        <v>45553</v>
      </c>
      <c r="R120" s="242">
        <v>45555</v>
      </c>
      <c r="S120" s="38"/>
    </row>
    <row r="121" spans="1:19" s="3" customFormat="1" ht="19.5" customHeight="1" x14ac:dyDescent="0.15">
      <c r="A121" s="57" t="s">
        <v>104</v>
      </c>
      <c r="B121" s="43"/>
      <c r="C121" s="125">
        <v>14</v>
      </c>
      <c r="D121" s="121">
        <f>+D120+1</f>
        <v>78</v>
      </c>
      <c r="E121" s="79" t="s">
        <v>48</v>
      </c>
      <c r="F121" s="79" t="s">
        <v>26</v>
      </c>
      <c r="G121" s="174" t="s">
        <v>279</v>
      </c>
      <c r="H121" s="221">
        <v>1</v>
      </c>
      <c r="I121" s="222">
        <v>1611</v>
      </c>
      <c r="J121" s="227">
        <f t="shared" si="15"/>
        <v>1611</v>
      </c>
      <c r="K121" s="63"/>
      <c r="L121" s="64" t="s">
        <v>49</v>
      </c>
      <c r="N121" s="240" t="s">
        <v>283</v>
      </c>
      <c r="O121" s="139">
        <v>45513</v>
      </c>
      <c r="P121" s="143"/>
      <c r="Q121" s="150">
        <v>45553</v>
      </c>
      <c r="R121" s="242">
        <v>45555</v>
      </c>
      <c r="S121" s="38"/>
    </row>
    <row r="122" spans="1:19" s="3" customFormat="1" ht="19.5" customHeight="1" x14ac:dyDescent="0.15">
      <c r="A122" s="57" t="s">
        <v>104</v>
      </c>
      <c r="B122" s="43"/>
      <c r="C122" s="125">
        <v>14</v>
      </c>
      <c r="D122" s="121">
        <f>+D121+1</f>
        <v>79</v>
      </c>
      <c r="E122" s="51" t="s">
        <v>26</v>
      </c>
      <c r="F122" s="51" t="s">
        <v>26</v>
      </c>
      <c r="G122" s="196" t="s">
        <v>50</v>
      </c>
      <c r="H122" s="221">
        <v>1</v>
      </c>
      <c r="I122" s="235">
        <v>6070</v>
      </c>
      <c r="J122" s="235">
        <f t="shared" si="15"/>
        <v>6070</v>
      </c>
      <c r="K122" s="20"/>
      <c r="L122" s="44" t="s">
        <v>51</v>
      </c>
      <c r="M122" s="1"/>
      <c r="N122" s="240" t="s">
        <v>283</v>
      </c>
      <c r="O122" s="139">
        <v>45513</v>
      </c>
      <c r="P122" s="143"/>
      <c r="Q122" s="150">
        <v>45553</v>
      </c>
      <c r="R122" s="242">
        <v>45555</v>
      </c>
      <c r="S122" s="38"/>
    </row>
    <row r="123" spans="1:19" s="3" customFormat="1" ht="19.5" customHeight="1" x14ac:dyDescent="0.15">
      <c r="A123" s="57" t="s">
        <v>104</v>
      </c>
      <c r="B123" s="43"/>
      <c r="C123" s="125">
        <v>14</v>
      </c>
      <c r="D123" s="121">
        <f t="shared" ref="D123:D137" si="16">+D122+1</f>
        <v>80</v>
      </c>
      <c r="E123" s="79" t="s">
        <v>26</v>
      </c>
      <c r="F123" s="79" t="s">
        <v>26</v>
      </c>
      <c r="G123" s="178" t="s">
        <v>52</v>
      </c>
      <c r="H123" s="222">
        <v>1</v>
      </c>
      <c r="I123" s="260">
        <v>237</v>
      </c>
      <c r="J123" s="227">
        <f t="shared" si="15"/>
        <v>237</v>
      </c>
      <c r="K123" s="73"/>
      <c r="L123" s="64" t="s">
        <v>53</v>
      </c>
      <c r="M123" s="1"/>
      <c r="N123" s="240" t="s">
        <v>283</v>
      </c>
      <c r="O123" s="139">
        <v>45513</v>
      </c>
      <c r="P123" s="143"/>
      <c r="Q123" s="150">
        <v>45553</v>
      </c>
      <c r="R123" s="242">
        <v>45555</v>
      </c>
      <c r="S123" s="38"/>
    </row>
    <row r="124" spans="1:19" s="3" customFormat="1" ht="19.5" customHeight="1" x14ac:dyDescent="0.15">
      <c r="A124" s="57" t="s">
        <v>104</v>
      </c>
      <c r="B124" s="43"/>
      <c r="C124" s="125">
        <v>14</v>
      </c>
      <c r="D124" s="121">
        <f t="shared" si="16"/>
        <v>81</v>
      </c>
      <c r="E124" s="51" t="s">
        <v>26</v>
      </c>
      <c r="F124" s="51" t="s">
        <v>26</v>
      </c>
      <c r="G124" s="190" t="s">
        <v>54</v>
      </c>
      <c r="H124" s="222">
        <v>1</v>
      </c>
      <c r="I124" s="227">
        <v>839</v>
      </c>
      <c r="J124" s="262">
        <f t="shared" si="15"/>
        <v>839</v>
      </c>
      <c r="K124" s="80"/>
      <c r="L124" s="64" t="s">
        <v>55</v>
      </c>
      <c r="M124" s="1"/>
      <c r="N124" s="240" t="s">
        <v>283</v>
      </c>
      <c r="O124" s="139">
        <v>45513</v>
      </c>
      <c r="P124" s="143"/>
      <c r="Q124" s="150">
        <v>45553</v>
      </c>
      <c r="R124" s="242">
        <v>45555</v>
      </c>
      <c r="S124" s="38"/>
    </row>
    <row r="125" spans="1:19" s="3" customFormat="1" ht="19.5" customHeight="1" x14ac:dyDescent="0.15">
      <c r="A125" s="57" t="s">
        <v>104</v>
      </c>
      <c r="B125" s="43"/>
      <c r="C125" s="125">
        <v>14</v>
      </c>
      <c r="D125" s="121">
        <f t="shared" si="16"/>
        <v>82</v>
      </c>
      <c r="E125" s="51" t="s">
        <v>26</v>
      </c>
      <c r="F125" s="51" t="s">
        <v>26</v>
      </c>
      <c r="G125" s="197" t="s">
        <v>56</v>
      </c>
      <c r="H125" s="233">
        <v>1</v>
      </c>
      <c r="I125" s="262">
        <v>4724</v>
      </c>
      <c r="J125" s="262">
        <f t="shared" si="15"/>
        <v>4724</v>
      </c>
      <c r="K125" s="50"/>
      <c r="L125" s="44" t="s">
        <v>57</v>
      </c>
      <c r="M125" s="1"/>
      <c r="N125" s="240" t="s">
        <v>283</v>
      </c>
      <c r="O125" s="139">
        <v>45513</v>
      </c>
      <c r="P125" s="143"/>
      <c r="Q125" s="150">
        <v>45553</v>
      </c>
      <c r="R125" s="242">
        <v>45555</v>
      </c>
      <c r="S125" s="38"/>
    </row>
    <row r="126" spans="1:19" s="3" customFormat="1" ht="19.5" customHeight="1" x14ac:dyDescent="0.15">
      <c r="A126" s="57" t="s">
        <v>104</v>
      </c>
      <c r="B126" s="43"/>
      <c r="C126" s="125">
        <v>14</v>
      </c>
      <c r="D126" s="121">
        <f t="shared" si="16"/>
        <v>83</v>
      </c>
      <c r="E126" s="51" t="s">
        <v>26</v>
      </c>
      <c r="F126" s="51" t="s">
        <v>26</v>
      </c>
      <c r="G126" s="197" t="s">
        <v>58</v>
      </c>
      <c r="H126" s="233">
        <v>1</v>
      </c>
      <c r="I126" s="262">
        <v>5117</v>
      </c>
      <c r="J126" s="262">
        <f t="shared" si="15"/>
        <v>5117</v>
      </c>
      <c r="K126" s="50"/>
      <c r="L126" s="44" t="s">
        <v>59</v>
      </c>
      <c r="M126" s="1"/>
      <c r="N126" s="240" t="s">
        <v>283</v>
      </c>
      <c r="O126" s="139">
        <v>45513</v>
      </c>
      <c r="P126" s="143"/>
      <c r="Q126" s="150">
        <v>45553</v>
      </c>
      <c r="R126" s="242">
        <v>45555</v>
      </c>
      <c r="S126" s="38"/>
    </row>
    <row r="127" spans="1:19" s="3" customFormat="1" ht="19.5" customHeight="1" x14ac:dyDescent="0.15">
      <c r="A127" s="57" t="s">
        <v>28</v>
      </c>
      <c r="B127" s="43"/>
      <c r="C127" s="125">
        <v>14</v>
      </c>
      <c r="D127" s="121">
        <f>+D126+1</f>
        <v>84</v>
      </c>
      <c r="E127" s="79" t="s">
        <v>26</v>
      </c>
      <c r="F127" s="79" t="s">
        <v>26</v>
      </c>
      <c r="G127" s="178" t="s">
        <v>60</v>
      </c>
      <c r="H127" s="222">
        <v>1</v>
      </c>
      <c r="I127" s="260">
        <v>894</v>
      </c>
      <c r="J127" s="260">
        <f t="shared" si="15"/>
        <v>894</v>
      </c>
      <c r="K127" s="73"/>
      <c r="L127" s="64" t="s">
        <v>61</v>
      </c>
      <c r="M127" s="1"/>
      <c r="N127" s="240" t="s">
        <v>283</v>
      </c>
      <c r="O127" s="139">
        <v>45513</v>
      </c>
      <c r="P127" s="143"/>
      <c r="Q127" s="150">
        <v>45553</v>
      </c>
      <c r="R127" s="242">
        <v>45555</v>
      </c>
      <c r="S127" s="38"/>
    </row>
    <row r="128" spans="1:19" s="3" customFormat="1" ht="19.5" customHeight="1" x14ac:dyDescent="0.15">
      <c r="A128" s="57" t="s">
        <v>29</v>
      </c>
      <c r="B128" s="43"/>
      <c r="C128" s="125">
        <v>14</v>
      </c>
      <c r="D128" s="121">
        <f t="shared" si="16"/>
        <v>85</v>
      </c>
      <c r="E128" s="51" t="s">
        <v>26</v>
      </c>
      <c r="F128" s="51" t="s">
        <v>26</v>
      </c>
      <c r="G128" s="176" t="s">
        <v>280</v>
      </c>
      <c r="H128" s="221">
        <v>2</v>
      </c>
      <c r="I128" s="237">
        <v>1474</v>
      </c>
      <c r="J128" s="235">
        <f t="shared" si="15"/>
        <v>2948</v>
      </c>
      <c r="K128" s="81"/>
      <c r="L128" s="18" t="s">
        <v>62</v>
      </c>
      <c r="M128" s="1"/>
      <c r="N128" s="240" t="s">
        <v>283</v>
      </c>
      <c r="O128" s="139">
        <v>45513</v>
      </c>
      <c r="P128" s="143"/>
      <c r="Q128" s="150">
        <v>45553</v>
      </c>
      <c r="R128" s="242">
        <v>45555</v>
      </c>
      <c r="S128" s="38"/>
    </row>
    <row r="129" spans="1:19" s="3" customFormat="1" ht="19.5" customHeight="1" x14ac:dyDescent="0.15">
      <c r="A129" s="57" t="s">
        <v>104</v>
      </c>
      <c r="B129" s="43"/>
      <c r="C129" s="125">
        <v>14</v>
      </c>
      <c r="D129" s="121">
        <f t="shared" si="16"/>
        <v>86</v>
      </c>
      <c r="E129" s="129" t="s">
        <v>63</v>
      </c>
      <c r="F129" s="51" t="s">
        <v>26</v>
      </c>
      <c r="G129" s="202" t="s">
        <v>64</v>
      </c>
      <c r="H129" s="221">
        <v>1</v>
      </c>
      <c r="I129" s="222">
        <v>2380</v>
      </c>
      <c r="J129" s="235">
        <f t="shared" si="15"/>
        <v>2380</v>
      </c>
      <c r="K129" s="81"/>
      <c r="L129" s="18" t="s">
        <v>65</v>
      </c>
      <c r="M129" s="1"/>
      <c r="N129" s="240" t="s">
        <v>283</v>
      </c>
      <c r="O129" s="139">
        <v>45513</v>
      </c>
      <c r="P129" s="143"/>
      <c r="Q129" s="150">
        <v>45553</v>
      </c>
      <c r="R129" s="242">
        <v>45555</v>
      </c>
      <c r="S129" s="38"/>
    </row>
    <row r="130" spans="1:19" s="3" customFormat="1" ht="19.5" customHeight="1" x14ac:dyDescent="0.15">
      <c r="A130" s="57" t="s">
        <v>104</v>
      </c>
      <c r="B130" s="43"/>
      <c r="C130" s="125">
        <v>14</v>
      </c>
      <c r="D130" s="121">
        <f t="shared" si="16"/>
        <v>87</v>
      </c>
      <c r="E130" s="51" t="s">
        <v>63</v>
      </c>
      <c r="F130" s="51" t="s">
        <v>26</v>
      </c>
      <c r="G130" s="173" t="s">
        <v>66</v>
      </c>
      <c r="H130" s="233">
        <v>1</v>
      </c>
      <c r="I130" s="222">
        <v>2700</v>
      </c>
      <c r="J130" s="235">
        <f t="shared" si="15"/>
        <v>2700</v>
      </c>
      <c r="K130" s="81"/>
      <c r="L130" s="18" t="s">
        <v>67</v>
      </c>
      <c r="M130" s="1"/>
      <c r="N130" s="240" t="s">
        <v>283</v>
      </c>
      <c r="O130" s="139">
        <v>45513</v>
      </c>
      <c r="P130" s="143"/>
      <c r="Q130" s="150">
        <v>45553</v>
      </c>
      <c r="R130" s="242">
        <v>45555</v>
      </c>
      <c r="S130" s="38"/>
    </row>
    <row r="131" spans="1:19" s="3" customFormat="1" ht="19.5" customHeight="1" x14ac:dyDescent="0.15">
      <c r="A131" s="57" t="s">
        <v>104</v>
      </c>
      <c r="B131" s="43"/>
      <c r="C131" s="125">
        <v>14</v>
      </c>
      <c r="D131" s="121">
        <f t="shared" si="16"/>
        <v>88</v>
      </c>
      <c r="E131" s="51" t="s">
        <v>63</v>
      </c>
      <c r="F131" s="51" t="s">
        <v>26</v>
      </c>
      <c r="G131" s="173" t="s">
        <v>68</v>
      </c>
      <c r="H131" s="233">
        <v>1</v>
      </c>
      <c r="I131" s="222">
        <v>2700</v>
      </c>
      <c r="J131" s="235">
        <f t="shared" si="15"/>
        <v>2700</v>
      </c>
      <c r="K131" s="81"/>
      <c r="L131" s="18" t="s">
        <v>69</v>
      </c>
      <c r="M131" s="1"/>
      <c r="N131" s="240" t="s">
        <v>283</v>
      </c>
      <c r="O131" s="139">
        <v>45513</v>
      </c>
      <c r="P131" s="143"/>
      <c r="Q131" s="150">
        <v>45553</v>
      </c>
      <c r="R131" s="242">
        <v>45555</v>
      </c>
      <c r="S131" s="38"/>
    </row>
    <row r="132" spans="1:19" s="3" customFormat="1" ht="19.5" customHeight="1" x14ac:dyDescent="0.15">
      <c r="A132" s="57" t="s">
        <v>104</v>
      </c>
      <c r="B132" s="43"/>
      <c r="C132" s="125">
        <v>14</v>
      </c>
      <c r="D132" s="121">
        <f t="shared" si="16"/>
        <v>89</v>
      </c>
      <c r="E132" s="51" t="s">
        <v>63</v>
      </c>
      <c r="F132" s="51" t="s">
        <v>26</v>
      </c>
      <c r="G132" s="173" t="s">
        <v>70</v>
      </c>
      <c r="H132" s="221">
        <v>1</v>
      </c>
      <c r="I132" s="222">
        <v>2700</v>
      </c>
      <c r="J132" s="235">
        <f t="shared" si="15"/>
        <v>2700</v>
      </c>
      <c r="K132" s="81"/>
      <c r="L132" s="18" t="s">
        <v>71</v>
      </c>
      <c r="M132" s="1"/>
      <c r="N132" s="240" t="s">
        <v>283</v>
      </c>
      <c r="O132" s="139">
        <v>45513</v>
      </c>
      <c r="P132" s="143"/>
      <c r="Q132" s="150">
        <v>45553</v>
      </c>
      <c r="R132" s="242">
        <v>45555</v>
      </c>
      <c r="S132" s="38"/>
    </row>
    <row r="133" spans="1:19" s="3" customFormat="1" ht="19.5" customHeight="1" x14ac:dyDescent="0.15">
      <c r="A133" s="57" t="s">
        <v>104</v>
      </c>
      <c r="B133" s="43"/>
      <c r="C133" s="125">
        <v>14</v>
      </c>
      <c r="D133" s="121">
        <f t="shared" si="16"/>
        <v>90</v>
      </c>
      <c r="E133" s="51" t="s">
        <v>63</v>
      </c>
      <c r="F133" s="51" t="s">
        <v>26</v>
      </c>
      <c r="G133" s="173" t="s">
        <v>72</v>
      </c>
      <c r="H133" s="221">
        <v>1</v>
      </c>
      <c r="I133" s="222">
        <v>2700</v>
      </c>
      <c r="J133" s="235">
        <f>H133*I133</f>
        <v>2700</v>
      </c>
      <c r="K133" s="81"/>
      <c r="L133" s="18" t="s">
        <v>73</v>
      </c>
      <c r="M133" s="1"/>
      <c r="N133" s="240" t="s">
        <v>283</v>
      </c>
      <c r="O133" s="139">
        <v>45513</v>
      </c>
      <c r="P133" s="143"/>
      <c r="Q133" s="150">
        <v>45553</v>
      </c>
      <c r="R133" s="242">
        <v>45555</v>
      </c>
      <c r="S133" s="38"/>
    </row>
    <row r="134" spans="1:19" s="3" customFormat="1" ht="19.5" customHeight="1" x14ac:dyDescent="0.15">
      <c r="A134" s="57" t="s">
        <v>104</v>
      </c>
      <c r="B134" s="43"/>
      <c r="C134" s="125">
        <v>14</v>
      </c>
      <c r="D134" s="121">
        <f t="shared" si="16"/>
        <v>91</v>
      </c>
      <c r="E134" s="51" t="s">
        <v>63</v>
      </c>
      <c r="F134" s="51" t="s">
        <v>26</v>
      </c>
      <c r="G134" s="173" t="s">
        <v>74</v>
      </c>
      <c r="H134" s="221">
        <v>1</v>
      </c>
      <c r="I134" s="222">
        <v>3650</v>
      </c>
      <c r="J134" s="235">
        <f>H134*I134</f>
        <v>3650</v>
      </c>
      <c r="K134" s="81"/>
      <c r="L134" s="18" t="s">
        <v>75</v>
      </c>
      <c r="M134" s="1"/>
      <c r="N134" s="240" t="s">
        <v>283</v>
      </c>
      <c r="O134" s="139">
        <v>45513</v>
      </c>
      <c r="P134" s="143"/>
      <c r="Q134" s="150">
        <v>45553</v>
      </c>
      <c r="R134" s="242">
        <v>45555</v>
      </c>
      <c r="S134" s="38"/>
    </row>
    <row r="135" spans="1:19" s="3" customFormat="1" ht="19.5" customHeight="1" x14ac:dyDescent="0.15">
      <c r="A135" s="57" t="s">
        <v>104</v>
      </c>
      <c r="B135" s="43"/>
      <c r="C135" s="125">
        <v>14</v>
      </c>
      <c r="D135" s="121">
        <f t="shared" si="16"/>
        <v>92</v>
      </c>
      <c r="E135" s="51" t="s">
        <v>63</v>
      </c>
      <c r="F135" s="51" t="s">
        <v>26</v>
      </c>
      <c r="G135" s="173" t="s">
        <v>76</v>
      </c>
      <c r="H135" s="221">
        <v>1</v>
      </c>
      <c r="I135" s="222">
        <v>3650</v>
      </c>
      <c r="J135" s="235">
        <f>H135*I135</f>
        <v>3650</v>
      </c>
      <c r="K135" s="81"/>
      <c r="L135" s="18" t="s">
        <v>77</v>
      </c>
      <c r="M135" s="1"/>
      <c r="N135" s="240" t="s">
        <v>283</v>
      </c>
      <c r="O135" s="139">
        <v>45513</v>
      </c>
      <c r="P135" s="143"/>
      <c r="Q135" s="150">
        <v>45553</v>
      </c>
      <c r="R135" s="242">
        <v>45555</v>
      </c>
      <c r="S135" s="38"/>
    </row>
    <row r="136" spans="1:19" s="3" customFormat="1" ht="19.5" customHeight="1" x14ac:dyDescent="0.15">
      <c r="A136" s="57" t="s">
        <v>104</v>
      </c>
      <c r="B136" s="43"/>
      <c r="C136" s="125">
        <v>14</v>
      </c>
      <c r="D136" s="121">
        <f t="shared" si="16"/>
        <v>93</v>
      </c>
      <c r="E136" s="51" t="s">
        <v>26</v>
      </c>
      <c r="F136" s="51" t="s">
        <v>26</v>
      </c>
      <c r="G136" s="203" t="s">
        <v>78</v>
      </c>
      <c r="H136" s="221">
        <v>1</v>
      </c>
      <c r="I136" s="235">
        <v>12895</v>
      </c>
      <c r="J136" s="235">
        <f t="shared" si="15"/>
        <v>12895</v>
      </c>
      <c r="K136" s="50"/>
      <c r="L136" s="44" t="s">
        <v>79</v>
      </c>
      <c r="M136" s="1"/>
      <c r="N136" s="240" t="s">
        <v>283</v>
      </c>
      <c r="O136" s="139">
        <v>45513</v>
      </c>
      <c r="P136" s="143"/>
      <c r="Q136" s="150">
        <v>45553</v>
      </c>
      <c r="R136" s="242">
        <v>45555</v>
      </c>
      <c r="S136" s="38"/>
    </row>
    <row r="137" spans="1:19" s="3" customFormat="1" ht="19.5" customHeight="1" x14ac:dyDescent="0.15">
      <c r="A137" s="119" t="s">
        <v>278</v>
      </c>
      <c r="B137" s="43"/>
      <c r="C137" s="125">
        <v>14</v>
      </c>
      <c r="D137" s="121">
        <f t="shared" si="16"/>
        <v>94</v>
      </c>
      <c r="E137" s="51" t="s">
        <v>26</v>
      </c>
      <c r="F137" s="51" t="s">
        <v>26</v>
      </c>
      <c r="G137" s="174" t="s">
        <v>277</v>
      </c>
      <c r="H137" s="221">
        <v>1</v>
      </c>
      <c r="I137" s="235">
        <v>30506</v>
      </c>
      <c r="J137" s="235">
        <f t="shared" si="15"/>
        <v>30506</v>
      </c>
      <c r="K137" s="20"/>
      <c r="L137" s="44" t="s">
        <v>80</v>
      </c>
      <c r="M137" s="1"/>
      <c r="N137" s="240" t="s">
        <v>283</v>
      </c>
      <c r="O137" s="139">
        <v>45513</v>
      </c>
      <c r="P137" s="143"/>
      <c r="Q137" s="150">
        <v>45553</v>
      </c>
      <c r="R137" s="242">
        <v>45555</v>
      </c>
      <c r="S137" s="38"/>
    </row>
    <row r="138" spans="1:19" s="3" customFormat="1" ht="19.5" customHeight="1" x14ac:dyDescent="0.15">
      <c r="A138" s="57" t="s">
        <v>104</v>
      </c>
      <c r="B138" s="43"/>
      <c r="C138" s="125">
        <v>14</v>
      </c>
      <c r="D138" s="121">
        <f>+D137+1</f>
        <v>95</v>
      </c>
      <c r="E138" s="79" t="s">
        <v>81</v>
      </c>
      <c r="F138" s="79" t="s">
        <v>26</v>
      </c>
      <c r="G138" s="178" t="s">
        <v>82</v>
      </c>
      <c r="H138" s="222">
        <v>5</v>
      </c>
      <c r="I138" s="260">
        <v>177</v>
      </c>
      <c r="J138" s="260">
        <f t="shared" si="15"/>
        <v>885</v>
      </c>
      <c r="K138" s="73"/>
      <c r="L138" s="64" t="s">
        <v>83</v>
      </c>
      <c r="M138" s="1"/>
      <c r="N138" s="240" t="s">
        <v>283</v>
      </c>
      <c r="O138" s="139">
        <v>45513</v>
      </c>
      <c r="P138" s="143"/>
      <c r="Q138" s="150">
        <v>45553</v>
      </c>
      <c r="R138" s="242">
        <v>45555</v>
      </c>
      <c r="S138" s="38"/>
    </row>
    <row r="139" spans="1:19" s="3" customFormat="1" ht="19.5" customHeight="1" x14ac:dyDescent="0.15">
      <c r="A139" s="57" t="s">
        <v>29</v>
      </c>
      <c r="B139" s="43"/>
      <c r="C139" s="125">
        <v>14</v>
      </c>
      <c r="D139" s="121">
        <f t="shared" ref="D139:D147" si="17">+D138+1</f>
        <v>96</v>
      </c>
      <c r="E139" s="51" t="s">
        <v>26</v>
      </c>
      <c r="F139" s="51" t="s">
        <v>26</v>
      </c>
      <c r="G139" s="197" t="s">
        <v>84</v>
      </c>
      <c r="H139" s="221">
        <v>4</v>
      </c>
      <c r="I139" s="262">
        <v>280</v>
      </c>
      <c r="J139" s="262">
        <f t="shared" si="15"/>
        <v>1120</v>
      </c>
      <c r="K139" s="20"/>
      <c r="L139" s="18" t="s">
        <v>85</v>
      </c>
      <c r="M139" s="1"/>
      <c r="N139" s="240" t="s">
        <v>283</v>
      </c>
      <c r="O139" s="139">
        <v>45513</v>
      </c>
      <c r="P139" s="143"/>
      <c r="Q139" s="150">
        <v>45553</v>
      </c>
      <c r="R139" s="242">
        <v>45555</v>
      </c>
      <c r="S139" s="38"/>
    </row>
    <row r="140" spans="1:19" s="3" customFormat="1" ht="19.5" customHeight="1" x14ac:dyDescent="0.15">
      <c r="A140" s="57" t="s">
        <v>28</v>
      </c>
      <c r="B140" s="43"/>
      <c r="C140" s="125">
        <v>14</v>
      </c>
      <c r="D140" s="121">
        <f t="shared" si="17"/>
        <v>97</v>
      </c>
      <c r="E140" s="118" t="s">
        <v>86</v>
      </c>
      <c r="F140" s="118" t="s">
        <v>86</v>
      </c>
      <c r="G140" s="198" t="s">
        <v>87</v>
      </c>
      <c r="H140" s="236">
        <v>10</v>
      </c>
      <c r="I140" s="274">
        <v>25</v>
      </c>
      <c r="J140" s="267">
        <f t="shared" si="15"/>
        <v>250</v>
      </c>
      <c r="K140" s="117"/>
      <c r="L140" s="116" t="s">
        <v>88</v>
      </c>
      <c r="M140" s="1"/>
      <c r="N140" s="240" t="s">
        <v>283</v>
      </c>
      <c r="O140" s="139">
        <v>45513</v>
      </c>
      <c r="P140" s="143"/>
      <c r="Q140" s="150">
        <v>45553</v>
      </c>
      <c r="R140" s="242">
        <v>45555</v>
      </c>
      <c r="S140" s="38"/>
    </row>
    <row r="141" spans="1:19" s="3" customFormat="1" ht="19.5" customHeight="1" x14ac:dyDescent="0.15">
      <c r="A141" s="57" t="s">
        <v>104</v>
      </c>
      <c r="B141" s="43"/>
      <c r="C141" s="125">
        <v>14</v>
      </c>
      <c r="D141" s="121">
        <f t="shared" si="17"/>
        <v>98</v>
      </c>
      <c r="E141" s="129" t="s">
        <v>89</v>
      </c>
      <c r="F141" s="51" t="s">
        <v>86</v>
      </c>
      <c r="G141" s="176" t="s">
        <v>90</v>
      </c>
      <c r="H141" s="221">
        <v>16</v>
      </c>
      <c r="I141" s="221">
        <v>125</v>
      </c>
      <c r="J141" s="262">
        <f>H141*I141</f>
        <v>2000</v>
      </c>
      <c r="K141" s="50"/>
      <c r="L141" s="44" t="s">
        <v>91</v>
      </c>
      <c r="M141" s="1"/>
      <c r="N141" s="240" t="s">
        <v>283</v>
      </c>
      <c r="O141" s="139">
        <v>45513</v>
      </c>
      <c r="P141" s="143"/>
      <c r="Q141" s="150">
        <v>45553</v>
      </c>
      <c r="R141" s="242">
        <v>45555</v>
      </c>
      <c r="S141" s="38"/>
    </row>
    <row r="142" spans="1:19" s="3" customFormat="1" ht="19.5" customHeight="1" x14ac:dyDescent="0.15">
      <c r="A142" s="57" t="s">
        <v>104</v>
      </c>
      <c r="B142" s="43"/>
      <c r="C142" s="125">
        <v>14</v>
      </c>
      <c r="D142" s="121">
        <f t="shared" si="17"/>
        <v>99</v>
      </c>
      <c r="E142" s="51" t="s">
        <v>89</v>
      </c>
      <c r="F142" s="51" t="s">
        <v>86</v>
      </c>
      <c r="G142" s="176" t="s">
        <v>92</v>
      </c>
      <c r="H142" s="221">
        <v>4</v>
      </c>
      <c r="I142" s="221">
        <v>54</v>
      </c>
      <c r="J142" s="262">
        <f>H142*I142</f>
        <v>216</v>
      </c>
      <c r="K142" s="19"/>
      <c r="L142" s="44" t="s">
        <v>93</v>
      </c>
      <c r="M142" s="1"/>
      <c r="N142" s="240" t="s">
        <v>283</v>
      </c>
      <c r="O142" s="139">
        <v>45513</v>
      </c>
      <c r="P142" s="143"/>
      <c r="Q142" s="150">
        <v>45553</v>
      </c>
      <c r="R142" s="242">
        <v>45555</v>
      </c>
      <c r="S142" s="38"/>
    </row>
    <row r="143" spans="1:19" s="3" customFormat="1" ht="19.5" customHeight="1" x14ac:dyDescent="0.15">
      <c r="A143" s="57" t="s">
        <v>104</v>
      </c>
      <c r="B143" s="43"/>
      <c r="C143" s="125">
        <v>14</v>
      </c>
      <c r="D143" s="121">
        <f t="shared" si="17"/>
        <v>100</v>
      </c>
      <c r="E143" s="51" t="s">
        <v>89</v>
      </c>
      <c r="F143" s="51" t="s">
        <v>86</v>
      </c>
      <c r="G143" s="176" t="s">
        <v>94</v>
      </c>
      <c r="H143" s="221">
        <v>4</v>
      </c>
      <c r="I143" s="221">
        <v>194</v>
      </c>
      <c r="J143" s="262">
        <f>H143*I143</f>
        <v>776</v>
      </c>
      <c r="K143" s="50"/>
      <c r="L143" s="44" t="s">
        <v>95</v>
      </c>
      <c r="M143" s="1"/>
      <c r="N143" s="240" t="s">
        <v>283</v>
      </c>
      <c r="O143" s="139">
        <v>45513</v>
      </c>
      <c r="P143" s="143"/>
      <c r="Q143" s="150">
        <v>45553</v>
      </c>
      <c r="R143" s="242">
        <v>45555</v>
      </c>
      <c r="S143" s="38"/>
    </row>
    <row r="144" spans="1:19" s="3" customFormat="1" ht="19.5" customHeight="1" x14ac:dyDescent="0.15">
      <c r="A144" s="57" t="s">
        <v>104</v>
      </c>
      <c r="B144" s="43"/>
      <c r="C144" s="125">
        <v>14</v>
      </c>
      <c r="D144" s="121">
        <f t="shared" si="17"/>
        <v>101</v>
      </c>
      <c r="E144" s="51" t="s">
        <v>89</v>
      </c>
      <c r="F144" s="51" t="s">
        <v>86</v>
      </c>
      <c r="G144" s="176" t="s">
        <v>96</v>
      </c>
      <c r="H144" s="221">
        <v>6</v>
      </c>
      <c r="I144" s="221">
        <v>138</v>
      </c>
      <c r="J144" s="262">
        <f t="shared" si="15"/>
        <v>828</v>
      </c>
      <c r="K144" s="19"/>
      <c r="L144" s="44" t="s">
        <v>97</v>
      </c>
      <c r="M144" s="1"/>
      <c r="N144" s="240" t="s">
        <v>283</v>
      </c>
      <c r="O144" s="139">
        <v>45513</v>
      </c>
      <c r="P144" s="143"/>
      <c r="Q144" s="150">
        <v>45553</v>
      </c>
      <c r="R144" s="242">
        <v>45555</v>
      </c>
      <c r="S144" s="38"/>
    </row>
    <row r="145" spans="1:19" s="3" customFormat="1" ht="19.5" customHeight="1" x14ac:dyDescent="0.15">
      <c r="A145" s="57" t="s">
        <v>104</v>
      </c>
      <c r="B145" s="43"/>
      <c r="C145" s="125">
        <v>14</v>
      </c>
      <c r="D145" s="121">
        <f t="shared" si="17"/>
        <v>102</v>
      </c>
      <c r="E145" s="51" t="s">
        <v>89</v>
      </c>
      <c r="F145" s="51" t="s">
        <v>86</v>
      </c>
      <c r="G145" s="176" t="s">
        <v>98</v>
      </c>
      <c r="H145" s="221">
        <v>3</v>
      </c>
      <c r="I145" s="221">
        <v>464</v>
      </c>
      <c r="J145" s="262">
        <f t="shared" si="15"/>
        <v>1392</v>
      </c>
      <c r="K145" s="19"/>
      <c r="L145" s="44" t="s">
        <v>99</v>
      </c>
      <c r="M145" s="1"/>
      <c r="N145" s="240" t="s">
        <v>283</v>
      </c>
      <c r="O145" s="139">
        <v>45513</v>
      </c>
      <c r="P145" s="143"/>
      <c r="Q145" s="150">
        <v>45553</v>
      </c>
      <c r="R145" s="242">
        <v>45555</v>
      </c>
      <c r="S145" s="38"/>
    </row>
    <row r="146" spans="1:19" s="3" customFormat="1" ht="19.5" customHeight="1" x14ac:dyDescent="0.15">
      <c r="A146" s="57" t="s">
        <v>104</v>
      </c>
      <c r="B146" s="43"/>
      <c r="C146" s="125">
        <v>14</v>
      </c>
      <c r="D146" s="121">
        <f t="shared" si="17"/>
        <v>103</v>
      </c>
      <c r="E146" s="51" t="s">
        <v>89</v>
      </c>
      <c r="F146" s="51" t="s">
        <v>86</v>
      </c>
      <c r="G146" s="176" t="s">
        <v>100</v>
      </c>
      <c r="H146" s="221">
        <v>5</v>
      </c>
      <c r="I146" s="221">
        <v>141</v>
      </c>
      <c r="J146" s="262">
        <f t="shared" si="15"/>
        <v>705</v>
      </c>
      <c r="K146" s="19"/>
      <c r="L146" s="44" t="s">
        <v>101</v>
      </c>
      <c r="M146" s="1"/>
      <c r="N146" s="240" t="s">
        <v>283</v>
      </c>
      <c r="O146" s="139">
        <v>45513</v>
      </c>
      <c r="P146" s="143"/>
      <c r="Q146" s="150">
        <v>45553</v>
      </c>
      <c r="R146" s="242">
        <v>45555</v>
      </c>
      <c r="S146" s="38"/>
    </row>
    <row r="147" spans="1:19" s="3" customFormat="1" ht="19.5" customHeight="1" x14ac:dyDescent="0.15">
      <c r="A147" s="57" t="s">
        <v>104</v>
      </c>
      <c r="B147" s="43"/>
      <c r="C147" s="125">
        <v>14</v>
      </c>
      <c r="D147" s="121">
        <f t="shared" si="17"/>
        <v>104</v>
      </c>
      <c r="E147" s="51" t="s">
        <v>89</v>
      </c>
      <c r="F147" s="51" t="s">
        <v>86</v>
      </c>
      <c r="G147" s="176" t="s">
        <v>102</v>
      </c>
      <c r="H147" s="221">
        <v>5</v>
      </c>
      <c r="I147" s="221">
        <v>104</v>
      </c>
      <c r="J147" s="262">
        <f t="shared" si="15"/>
        <v>520</v>
      </c>
      <c r="K147" s="19"/>
      <c r="L147" s="44" t="s">
        <v>103</v>
      </c>
      <c r="M147" s="1"/>
      <c r="N147" s="240" t="s">
        <v>283</v>
      </c>
      <c r="O147" s="139">
        <v>45513</v>
      </c>
      <c r="P147" s="143"/>
      <c r="Q147" s="150">
        <v>45553</v>
      </c>
      <c r="R147" s="242">
        <v>45555</v>
      </c>
      <c r="S147" s="38"/>
    </row>
    <row r="148" spans="1:19" s="3" customFormat="1" ht="19.5" customHeight="1" x14ac:dyDescent="0.15">
      <c r="A148" s="136" t="s">
        <v>28</v>
      </c>
      <c r="B148" s="168"/>
      <c r="C148" s="125">
        <v>14</v>
      </c>
      <c r="D148" s="147">
        <f>+D147+1</f>
        <v>105</v>
      </c>
      <c r="E148" s="149" t="s">
        <v>206</v>
      </c>
      <c r="F148" s="143" t="s">
        <v>26</v>
      </c>
      <c r="G148" s="199" t="s">
        <v>205</v>
      </c>
      <c r="H148" s="237">
        <v>1</v>
      </c>
      <c r="I148" s="237">
        <v>8989</v>
      </c>
      <c r="J148" s="257">
        <f>H148*I148</f>
        <v>8989</v>
      </c>
      <c r="K148" s="145"/>
      <c r="L148" s="55" t="s">
        <v>204</v>
      </c>
      <c r="M148" s="134"/>
      <c r="N148" s="240" t="s">
        <v>283</v>
      </c>
      <c r="O148" s="139">
        <v>45513</v>
      </c>
      <c r="P148" s="143"/>
      <c r="Q148" s="150">
        <v>45553</v>
      </c>
      <c r="R148" s="242">
        <v>45555</v>
      </c>
      <c r="S148" s="132"/>
    </row>
    <row r="149" spans="1:19" s="3" customFormat="1" ht="19.5" customHeight="1" x14ac:dyDescent="0.15">
      <c r="A149" s="136" t="s">
        <v>30</v>
      </c>
      <c r="B149" s="168"/>
      <c r="C149" s="19">
        <v>13</v>
      </c>
      <c r="D149" s="147">
        <f>+D148+1</f>
        <v>106</v>
      </c>
      <c r="E149" s="143" t="s">
        <v>26</v>
      </c>
      <c r="F149" s="143" t="s">
        <v>26</v>
      </c>
      <c r="G149" s="200" t="s">
        <v>203</v>
      </c>
      <c r="H149" s="238">
        <v>1</v>
      </c>
      <c r="I149" s="237">
        <v>5600</v>
      </c>
      <c r="J149" s="268">
        <f>H149*I149</f>
        <v>5600</v>
      </c>
      <c r="K149" s="148"/>
      <c r="L149" s="144" t="s">
        <v>202</v>
      </c>
      <c r="M149" s="134"/>
      <c r="N149" s="240" t="s">
        <v>283</v>
      </c>
      <c r="O149" s="139">
        <v>45513</v>
      </c>
      <c r="P149" s="143"/>
      <c r="Q149" s="150">
        <v>45553</v>
      </c>
      <c r="R149" s="242">
        <v>45555</v>
      </c>
      <c r="S149" s="132"/>
    </row>
    <row r="150" spans="1:19" s="3" customFormat="1" ht="19.5" customHeight="1" x14ac:dyDescent="0.15">
      <c r="A150" s="136" t="s">
        <v>30</v>
      </c>
      <c r="B150" s="168"/>
      <c r="C150" s="19">
        <v>13</v>
      </c>
      <c r="D150" s="147">
        <f>+D149+1</f>
        <v>107</v>
      </c>
      <c r="E150" s="143" t="s">
        <v>26</v>
      </c>
      <c r="F150" s="143" t="s">
        <v>26</v>
      </c>
      <c r="G150" s="201" t="s">
        <v>201</v>
      </c>
      <c r="H150" s="238">
        <v>1</v>
      </c>
      <c r="I150" s="237">
        <v>2040</v>
      </c>
      <c r="J150" s="268">
        <f>H150*I150</f>
        <v>2040</v>
      </c>
      <c r="K150" s="148"/>
      <c r="L150" s="142" t="s">
        <v>200</v>
      </c>
      <c r="M150" s="134"/>
      <c r="N150" s="240" t="s">
        <v>283</v>
      </c>
      <c r="O150" s="139">
        <v>45513</v>
      </c>
      <c r="P150" s="143"/>
      <c r="Q150" s="150">
        <v>45553</v>
      </c>
      <c r="R150" s="242">
        <v>45555</v>
      </c>
      <c r="S150" s="132"/>
    </row>
    <row r="151" spans="1:19" s="3" customFormat="1" ht="19.5" customHeight="1" x14ac:dyDescent="0.15">
      <c r="A151" s="136" t="s">
        <v>29</v>
      </c>
      <c r="B151" s="168"/>
      <c r="C151" s="19">
        <v>13</v>
      </c>
      <c r="D151" s="147">
        <f>+D150+1</f>
        <v>108</v>
      </c>
      <c r="E151" s="21" t="s">
        <v>86</v>
      </c>
      <c r="F151" s="21" t="s">
        <v>86</v>
      </c>
      <c r="G151" s="175" t="s">
        <v>210</v>
      </c>
      <c r="H151" s="229">
        <v>1</v>
      </c>
      <c r="I151" s="221">
        <v>3263</v>
      </c>
      <c r="J151" s="262">
        <f>H151*I151</f>
        <v>3263</v>
      </c>
      <c r="K151" s="50"/>
      <c r="L151" s="64" t="s">
        <v>211</v>
      </c>
      <c r="M151" s="162"/>
      <c r="N151" s="240" t="s">
        <v>283</v>
      </c>
      <c r="O151" s="139">
        <v>45513</v>
      </c>
      <c r="P151" s="143"/>
      <c r="Q151" s="150">
        <v>45553</v>
      </c>
      <c r="R151" s="242">
        <v>45555</v>
      </c>
      <c r="S151" s="141">
        <v>45554</v>
      </c>
    </row>
    <row r="152" spans="1:19" s="3" customFormat="1" ht="19.5" customHeight="1" x14ac:dyDescent="0.15">
      <c r="A152" s="131"/>
      <c r="B152" s="131"/>
      <c r="C152" s="136"/>
      <c r="D152" s="143"/>
      <c r="E152" s="21"/>
      <c r="F152" s="21"/>
      <c r="G152" s="39"/>
      <c r="H152" s="48"/>
      <c r="I152" s="19"/>
      <c r="J152" s="46"/>
      <c r="K152" s="50"/>
      <c r="L152" s="64"/>
      <c r="M152" s="163"/>
      <c r="N152" s="134"/>
      <c r="O152" s="140"/>
      <c r="P152" s="135"/>
      <c r="Q152" s="133"/>
      <c r="R152" s="139"/>
      <c r="S152" s="132"/>
    </row>
    <row r="153" spans="1:19" s="3" customFormat="1" ht="19.5" customHeight="1" x14ac:dyDescent="0.15">
      <c r="C153" s="19"/>
      <c r="D153" s="54"/>
      <c r="E153" s="21"/>
      <c r="F153" s="21"/>
      <c r="G153" s="58"/>
      <c r="H153" s="45"/>
      <c r="I153" s="49"/>
      <c r="J153" s="46"/>
      <c r="K153" s="20"/>
      <c r="L153" s="18"/>
      <c r="M153" s="1"/>
      <c r="N153" s="1"/>
      <c r="O153" s="11"/>
      <c r="P153" s="4"/>
      <c r="Q153" s="2"/>
      <c r="R153" s="34"/>
      <c r="S153" s="38"/>
    </row>
    <row r="154" spans="1:19" s="3" customFormat="1" ht="19.5" customHeight="1" x14ac:dyDescent="0.15">
      <c r="C154" s="19"/>
      <c r="D154" s="54"/>
      <c r="E154" s="21"/>
      <c r="F154" s="21"/>
      <c r="G154" s="59">
        <f>SUM(J120:J153)</f>
        <v>116894</v>
      </c>
      <c r="H154" s="60"/>
      <c r="I154" s="60"/>
      <c r="J154" s="60"/>
      <c r="K154" s="40"/>
      <c r="L154" s="18"/>
      <c r="M154" s="1"/>
      <c r="N154" s="1"/>
      <c r="O154" s="11"/>
      <c r="P154" s="4"/>
      <c r="Q154" s="2"/>
      <c r="R154" s="34"/>
      <c r="S154" s="38"/>
    </row>
    <row r="155" spans="1:19" s="3" customFormat="1" ht="19.5" customHeight="1" x14ac:dyDescent="0.15">
      <c r="C155" s="19"/>
      <c r="D155" s="21"/>
      <c r="E155" s="21"/>
      <c r="F155" s="21"/>
      <c r="G155" s="30"/>
      <c r="H155" s="29"/>
      <c r="I155" s="15"/>
      <c r="J155" s="15"/>
      <c r="K155" s="10"/>
      <c r="L155" s="16"/>
      <c r="M155" s="1"/>
      <c r="N155" s="1"/>
      <c r="O155" s="11"/>
      <c r="P155" s="4"/>
      <c r="Q155" s="2"/>
      <c r="R155" s="34"/>
      <c r="S155" s="38"/>
    </row>
    <row r="156" spans="1:19" s="3" customFormat="1" ht="19.5" customHeight="1" x14ac:dyDescent="0.15">
      <c r="C156" s="19"/>
      <c r="D156" s="21"/>
      <c r="E156" s="21"/>
      <c r="F156" s="21"/>
      <c r="G156" s="30"/>
      <c r="H156" s="29"/>
      <c r="I156" s="15"/>
      <c r="J156" s="15"/>
      <c r="K156" s="10"/>
      <c r="L156" s="16"/>
      <c r="M156" s="1"/>
      <c r="N156" s="1"/>
      <c r="O156" s="11"/>
      <c r="P156" s="4"/>
      <c r="Q156" s="2"/>
      <c r="R156" s="34"/>
      <c r="S156" s="38"/>
    </row>
    <row r="157" spans="1:19" s="3" customFormat="1" ht="19.5" customHeight="1" x14ac:dyDescent="0.15">
      <c r="C157" s="19"/>
      <c r="D157" s="21"/>
      <c r="E157" s="21"/>
      <c r="F157" s="21"/>
      <c r="G157" s="30"/>
      <c r="H157" s="29"/>
      <c r="I157" s="15"/>
      <c r="J157" s="15"/>
      <c r="K157" s="10"/>
      <c r="L157" s="16"/>
      <c r="M157" s="1"/>
      <c r="N157" s="1"/>
      <c r="O157" s="11"/>
      <c r="P157" s="4"/>
      <c r="Q157" s="2"/>
      <c r="R157" s="34"/>
      <c r="S157" s="38"/>
    </row>
    <row r="158" spans="1:19" s="3" customFormat="1" ht="19.5" customHeight="1" x14ac:dyDescent="0.15">
      <c r="C158" s="19"/>
      <c r="D158" s="21"/>
      <c r="E158" s="21"/>
      <c r="F158" s="21"/>
      <c r="G158" s="30"/>
      <c r="H158" s="29"/>
      <c r="I158" s="15"/>
      <c r="J158" s="15"/>
      <c r="K158" s="10"/>
      <c r="L158" s="16"/>
      <c r="M158" s="1"/>
      <c r="N158" s="1"/>
      <c r="O158" s="11"/>
      <c r="P158" s="4"/>
      <c r="Q158" s="2"/>
      <c r="R158" s="34"/>
      <c r="S158" s="38"/>
    </row>
    <row r="159" spans="1:19" s="3" customFormat="1" ht="19.5" customHeight="1" x14ac:dyDescent="0.15">
      <c r="C159" s="19"/>
      <c r="D159" s="21"/>
      <c r="E159" s="21"/>
      <c r="F159" s="21"/>
      <c r="G159" s="30"/>
      <c r="H159" s="29"/>
      <c r="I159" s="15"/>
      <c r="J159" s="15"/>
      <c r="K159" s="10"/>
      <c r="L159" s="16"/>
      <c r="M159" s="1"/>
      <c r="N159" s="1"/>
      <c r="O159" s="11"/>
      <c r="P159" s="4"/>
      <c r="Q159" s="2"/>
      <c r="R159" s="34"/>
      <c r="S159" s="38"/>
    </row>
    <row r="160" spans="1:19" s="3" customFormat="1" ht="19.5" customHeight="1" x14ac:dyDescent="0.15">
      <c r="C160" s="19"/>
      <c r="D160" s="21"/>
      <c r="E160" s="21"/>
      <c r="F160" s="21"/>
      <c r="G160" s="30"/>
      <c r="H160" s="29"/>
      <c r="I160" s="15"/>
      <c r="J160" s="15"/>
      <c r="K160" s="10"/>
      <c r="L160" s="16"/>
      <c r="M160" s="1"/>
      <c r="N160" s="1"/>
      <c r="O160" s="11"/>
      <c r="P160" s="4"/>
      <c r="Q160" s="2"/>
      <c r="R160" s="34"/>
      <c r="S160" s="38"/>
    </row>
    <row r="161" spans="3:19" s="3" customFormat="1" ht="19.5" customHeight="1" x14ac:dyDescent="0.15">
      <c r="C161" s="19"/>
      <c r="D161" s="21"/>
      <c r="E161" s="21"/>
      <c r="F161" s="21"/>
      <c r="G161" s="30"/>
      <c r="H161" s="29"/>
      <c r="I161" s="15"/>
      <c r="J161" s="15"/>
      <c r="K161" s="10"/>
      <c r="L161" s="16"/>
      <c r="M161" s="1"/>
      <c r="N161" s="1"/>
      <c r="O161" s="11"/>
      <c r="P161" s="4"/>
      <c r="Q161" s="2"/>
      <c r="R161" s="34"/>
      <c r="S161" s="38"/>
    </row>
    <row r="162" spans="3:19" s="3" customFormat="1" ht="19.5" customHeight="1" x14ac:dyDescent="0.15">
      <c r="C162" s="19"/>
      <c r="D162" s="21"/>
      <c r="E162" s="21"/>
      <c r="F162" s="21"/>
      <c r="G162" s="30"/>
      <c r="H162" s="29"/>
      <c r="I162" s="15"/>
      <c r="J162" s="15"/>
      <c r="K162" s="10"/>
      <c r="L162" s="16"/>
      <c r="M162" s="1"/>
      <c r="N162" s="1"/>
      <c r="O162" s="11"/>
      <c r="P162" s="4"/>
      <c r="Q162" s="2"/>
      <c r="R162" s="34"/>
      <c r="S162" s="38"/>
    </row>
    <row r="163" spans="3:19" s="3" customFormat="1" ht="19.5" customHeight="1" x14ac:dyDescent="0.15">
      <c r="C163" s="19"/>
      <c r="D163" s="21"/>
      <c r="E163" s="21"/>
      <c r="F163" s="21"/>
      <c r="G163" s="30"/>
      <c r="H163" s="29"/>
      <c r="I163" s="15"/>
      <c r="J163" s="15"/>
      <c r="K163" s="10"/>
      <c r="L163" s="16"/>
      <c r="M163" s="1"/>
      <c r="N163" s="1"/>
      <c r="O163" s="11"/>
      <c r="P163" s="4"/>
      <c r="Q163" s="2"/>
      <c r="R163" s="34"/>
      <c r="S163" s="38"/>
    </row>
    <row r="164" spans="3:19" s="3" customFormat="1" ht="19.5" customHeight="1" x14ac:dyDescent="0.15">
      <c r="C164" s="19"/>
      <c r="D164" s="21"/>
      <c r="E164" s="21"/>
      <c r="F164" s="21"/>
      <c r="G164" s="30"/>
      <c r="H164" s="29"/>
      <c r="I164" s="15"/>
      <c r="J164" s="15"/>
      <c r="K164" s="10"/>
      <c r="L164" s="16"/>
      <c r="M164" s="1"/>
      <c r="N164" s="1"/>
      <c r="O164" s="11"/>
      <c r="P164" s="4"/>
      <c r="Q164" s="2"/>
      <c r="R164" s="34"/>
      <c r="S164" s="38"/>
    </row>
    <row r="165" spans="3:19" s="3" customFormat="1" ht="19.5" customHeight="1" x14ac:dyDescent="0.15">
      <c r="C165" s="19"/>
      <c r="D165" s="21"/>
      <c r="E165" s="21"/>
      <c r="F165" s="21"/>
      <c r="G165" s="30"/>
      <c r="H165" s="29"/>
      <c r="I165" s="15"/>
      <c r="J165" s="15"/>
      <c r="K165" s="10"/>
      <c r="L165" s="16"/>
      <c r="M165" s="1"/>
      <c r="N165" s="1"/>
      <c r="O165" s="11"/>
      <c r="P165" s="4"/>
      <c r="Q165" s="2"/>
      <c r="R165" s="34"/>
      <c r="S165" s="38"/>
    </row>
    <row r="166" spans="3:19" s="3" customFormat="1" ht="19.5" customHeight="1" x14ac:dyDescent="0.15">
      <c r="C166" s="19"/>
      <c r="D166" s="21"/>
      <c r="E166" s="21"/>
      <c r="F166" s="21"/>
      <c r="G166" s="30"/>
      <c r="H166" s="29"/>
      <c r="I166" s="15"/>
      <c r="J166" s="15"/>
      <c r="K166" s="10"/>
      <c r="L166" s="16"/>
      <c r="M166" s="1"/>
      <c r="N166" s="1"/>
      <c r="O166" s="11"/>
      <c r="P166" s="4"/>
      <c r="Q166" s="2"/>
      <c r="R166" s="34"/>
      <c r="S166" s="38"/>
    </row>
    <row r="167" spans="3:19" s="3" customFormat="1" ht="19.5" customHeight="1" x14ac:dyDescent="0.15">
      <c r="C167" s="19"/>
      <c r="D167" s="21"/>
      <c r="E167" s="21"/>
      <c r="F167" s="21"/>
      <c r="G167" s="30"/>
      <c r="H167" s="29"/>
      <c r="I167" s="15"/>
      <c r="J167" s="15"/>
      <c r="K167" s="10"/>
      <c r="L167" s="16"/>
      <c r="M167" s="1"/>
      <c r="N167" s="1"/>
      <c r="O167" s="11"/>
      <c r="P167" s="4"/>
      <c r="Q167" s="2"/>
      <c r="R167" s="34"/>
      <c r="S167" s="38"/>
    </row>
    <row r="168" spans="3:19" s="3" customFormat="1" ht="19.5" customHeight="1" x14ac:dyDescent="0.15">
      <c r="C168" s="19"/>
      <c r="D168" s="21"/>
      <c r="E168" s="21"/>
      <c r="F168" s="21"/>
      <c r="G168" s="30"/>
      <c r="H168" s="29"/>
      <c r="I168" s="15"/>
      <c r="J168" s="15"/>
      <c r="K168" s="10"/>
      <c r="L168" s="16"/>
      <c r="M168" s="1"/>
      <c r="N168" s="1"/>
      <c r="O168" s="11"/>
      <c r="P168" s="4"/>
      <c r="Q168" s="2"/>
      <c r="R168" s="34"/>
      <c r="S168" s="38"/>
    </row>
    <row r="169" spans="3:19" s="3" customFormat="1" ht="19.5" customHeight="1" x14ac:dyDescent="0.15">
      <c r="C169" s="19"/>
      <c r="D169" s="21"/>
      <c r="E169" s="21"/>
      <c r="F169" s="21"/>
      <c r="G169" s="30"/>
      <c r="H169" s="29"/>
      <c r="I169" s="15"/>
      <c r="J169" s="15"/>
      <c r="K169" s="10"/>
      <c r="L169" s="16"/>
      <c r="M169" s="1"/>
      <c r="N169" s="1"/>
      <c r="O169" s="11"/>
      <c r="P169" s="4"/>
      <c r="Q169" s="2"/>
      <c r="R169" s="34"/>
      <c r="S169" s="38"/>
    </row>
    <row r="170" spans="3:19" s="3" customFormat="1" ht="19.5" customHeight="1" x14ac:dyDescent="0.15">
      <c r="C170" s="19"/>
      <c r="D170" s="21"/>
      <c r="E170" s="21"/>
      <c r="F170" s="21"/>
      <c r="G170" s="30"/>
      <c r="H170" s="29"/>
      <c r="I170" s="15"/>
      <c r="J170" s="15"/>
      <c r="K170" s="10"/>
      <c r="L170" s="16"/>
      <c r="M170" s="1"/>
      <c r="N170" s="1"/>
      <c r="O170" s="11"/>
      <c r="P170" s="4"/>
      <c r="Q170" s="2"/>
      <c r="R170" s="34"/>
      <c r="S170" s="38"/>
    </row>
    <row r="171" spans="3:19" s="3" customFormat="1" ht="19.5" customHeight="1" x14ac:dyDescent="0.15">
      <c r="C171" s="19"/>
      <c r="D171" s="21"/>
      <c r="E171" s="21"/>
      <c r="F171" s="21"/>
      <c r="G171" s="30"/>
      <c r="H171" s="29"/>
      <c r="I171" s="15"/>
      <c r="J171" s="15"/>
      <c r="K171" s="10"/>
      <c r="L171" s="16"/>
      <c r="M171" s="1"/>
      <c r="N171" s="1"/>
      <c r="O171" s="11"/>
      <c r="P171" s="4"/>
      <c r="Q171" s="2"/>
      <c r="R171" s="34"/>
      <c r="S171" s="38"/>
    </row>
    <row r="172" spans="3:19" s="3" customFormat="1" ht="19.5" customHeight="1" x14ac:dyDescent="0.15">
      <c r="C172" s="19"/>
      <c r="D172" s="21"/>
      <c r="E172" s="21"/>
      <c r="F172" s="21"/>
      <c r="G172" s="30"/>
      <c r="H172" s="29"/>
      <c r="I172" s="15"/>
      <c r="J172" s="15"/>
      <c r="K172" s="10"/>
      <c r="L172" s="16"/>
      <c r="M172" s="1"/>
      <c r="N172" s="1"/>
      <c r="O172" s="11"/>
      <c r="P172" s="4"/>
      <c r="Q172" s="2"/>
      <c r="R172" s="34"/>
      <c r="S172" s="38"/>
    </row>
    <row r="173" spans="3:19" s="3" customFormat="1" ht="19.5" customHeight="1" x14ac:dyDescent="0.15">
      <c r="C173" s="19"/>
      <c r="D173" s="21"/>
      <c r="E173" s="21"/>
      <c r="F173" s="21"/>
      <c r="G173" s="30"/>
      <c r="H173" s="29"/>
      <c r="I173" s="15"/>
      <c r="J173" s="15"/>
      <c r="K173" s="10"/>
      <c r="L173" s="16"/>
      <c r="M173" s="1"/>
      <c r="N173" s="1"/>
      <c r="O173" s="11"/>
      <c r="P173" s="4"/>
      <c r="Q173" s="2"/>
      <c r="R173" s="34"/>
      <c r="S173" s="38"/>
    </row>
    <row r="174" spans="3:19" s="3" customFormat="1" ht="19.5" customHeight="1" x14ac:dyDescent="0.15">
      <c r="C174" s="19"/>
      <c r="D174" s="21"/>
      <c r="E174" s="21"/>
      <c r="F174" s="21"/>
      <c r="G174" s="30"/>
      <c r="H174" s="29"/>
      <c r="I174" s="15"/>
      <c r="J174" s="15"/>
      <c r="K174" s="10"/>
      <c r="L174" s="16"/>
      <c r="M174" s="1"/>
      <c r="N174" s="1"/>
      <c r="O174" s="11"/>
      <c r="P174" s="4"/>
      <c r="Q174" s="2"/>
      <c r="R174" s="34"/>
      <c r="S174" s="38"/>
    </row>
    <row r="175" spans="3:19" s="3" customFormat="1" ht="19.5" customHeight="1" x14ac:dyDescent="0.15">
      <c r="C175" s="19"/>
      <c r="D175" s="21"/>
      <c r="E175" s="21"/>
      <c r="F175" s="21"/>
      <c r="G175" s="30"/>
      <c r="H175" s="29"/>
      <c r="I175" s="15"/>
      <c r="J175" s="15"/>
      <c r="K175" s="10"/>
      <c r="L175" s="16"/>
      <c r="M175" s="1"/>
      <c r="N175" s="1"/>
      <c r="O175" s="11"/>
      <c r="P175" s="4"/>
      <c r="Q175" s="2"/>
      <c r="R175" s="34"/>
      <c r="S175" s="38"/>
    </row>
    <row r="176" spans="3:19" s="3" customFormat="1" ht="19.5" customHeight="1" x14ac:dyDescent="0.15">
      <c r="C176" s="19"/>
      <c r="D176" s="21"/>
      <c r="E176" s="21"/>
      <c r="F176" s="21"/>
      <c r="G176" s="30"/>
      <c r="H176" s="29"/>
      <c r="I176" s="15"/>
      <c r="J176" s="15"/>
      <c r="K176" s="10"/>
      <c r="L176" s="16"/>
      <c r="M176" s="1"/>
      <c r="N176" s="1"/>
      <c r="O176" s="11"/>
      <c r="P176" s="4"/>
      <c r="Q176" s="2"/>
      <c r="R176" s="34"/>
      <c r="S176" s="38"/>
    </row>
    <row r="177" spans="3:19" s="3" customFormat="1" ht="19.5" customHeight="1" x14ac:dyDescent="0.15">
      <c r="C177" s="19"/>
      <c r="D177" s="21"/>
      <c r="E177" s="21"/>
      <c r="F177" s="21"/>
      <c r="G177" s="30"/>
      <c r="H177" s="29"/>
      <c r="I177" s="15"/>
      <c r="J177" s="15"/>
      <c r="K177" s="10"/>
      <c r="L177" s="16"/>
      <c r="M177" s="1"/>
      <c r="N177" s="1"/>
      <c r="O177" s="11"/>
      <c r="P177" s="4"/>
      <c r="Q177" s="2"/>
      <c r="R177" s="34"/>
      <c r="S177" s="38"/>
    </row>
    <row r="178" spans="3:19" s="3" customFormat="1" ht="19.5" customHeight="1" x14ac:dyDescent="0.15">
      <c r="C178" s="19"/>
      <c r="D178" s="21"/>
      <c r="E178" s="21"/>
      <c r="F178" s="21"/>
      <c r="G178" s="30"/>
      <c r="H178" s="29"/>
      <c r="I178" s="15"/>
      <c r="J178" s="15"/>
      <c r="K178" s="10"/>
      <c r="L178" s="16"/>
      <c r="M178" s="1"/>
      <c r="N178" s="1"/>
      <c r="O178" s="11"/>
      <c r="P178" s="4"/>
      <c r="Q178" s="2"/>
      <c r="R178" s="34"/>
      <c r="S178" s="38"/>
    </row>
    <row r="179" spans="3:19" s="3" customFormat="1" ht="19.5" customHeight="1" x14ac:dyDescent="0.15">
      <c r="C179" s="19"/>
      <c r="D179" s="21"/>
      <c r="E179" s="21"/>
      <c r="F179" s="21"/>
      <c r="G179" s="30"/>
      <c r="H179" s="29"/>
      <c r="I179" s="15"/>
      <c r="J179" s="15"/>
      <c r="K179" s="10"/>
      <c r="L179" s="16"/>
      <c r="M179" s="1"/>
      <c r="N179" s="1"/>
      <c r="O179" s="11"/>
      <c r="P179" s="4"/>
      <c r="Q179" s="2"/>
      <c r="R179" s="34"/>
      <c r="S179" s="38"/>
    </row>
    <row r="180" spans="3:19" s="3" customFormat="1" ht="19.5" customHeight="1" x14ac:dyDescent="0.15">
      <c r="C180" s="19"/>
      <c r="D180" s="21"/>
      <c r="E180" s="21"/>
      <c r="F180" s="21"/>
      <c r="G180" s="30"/>
      <c r="H180" s="29"/>
      <c r="I180" s="15"/>
      <c r="J180" s="15"/>
      <c r="K180" s="10"/>
      <c r="L180" s="16"/>
      <c r="M180" s="1"/>
      <c r="N180" s="1"/>
      <c r="O180" s="11"/>
      <c r="P180" s="4"/>
      <c r="Q180" s="2"/>
      <c r="R180" s="34"/>
      <c r="S180" s="38"/>
    </row>
    <row r="181" spans="3:19" s="3" customFormat="1" ht="19.5" customHeight="1" x14ac:dyDescent="0.15">
      <c r="C181" s="19"/>
      <c r="D181" s="21"/>
      <c r="E181" s="21"/>
      <c r="F181" s="21"/>
      <c r="G181" s="30"/>
      <c r="H181" s="29"/>
      <c r="I181" s="15"/>
      <c r="J181" s="15"/>
      <c r="K181" s="10"/>
      <c r="L181" s="16"/>
      <c r="M181" s="1"/>
      <c r="N181" s="1"/>
      <c r="O181" s="11"/>
      <c r="P181" s="4"/>
      <c r="Q181" s="2"/>
      <c r="R181" s="34"/>
      <c r="S181" s="38"/>
    </row>
    <row r="182" spans="3:19" s="3" customFormat="1" ht="19.5" customHeight="1" x14ac:dyDescent="0.15">
      <c r="C182" s="19"/>
      <c r="D182" s="21"/>
      <c r="E182" s="21"/>
      <c r="F182" s="21"/>
      <c r="G182" s="30"/>
      <c r="H182" s="29"/>
      <c r="I182" s="15"/>
      <c r="J182" s="15"/>
      <c r="K182" s="10"/>
      <c r="L182" s="16"/>
      <c r="M182" s="1"/>
      <c r="N182" s="1"/>
      <c r="O182" s="11"/>
      <c r="P182" s="4"/>
      <c r="Q182" s="2"/>
      <c r="R182" s="34"/>
      <c r="S182" s="38"/>
    </row>
    <row r="183" spans="3:19" s="3" customFormat="1" ht="19.5" customHeight="1" x14ac:dyDescent="0.15">
      <c r="C183" s="19"/>
      <c r="D183" s="21"/>
      <c r="E183" s="21"/>
      <c r="F183" s="21"/>
      <c r="G183" s="30"/>
      <c r="H183" s="29"/>
      <c r="I183" s="15"/>
      <c r="J183" s="15"/>
      <c r="K183" s="10"/>
      <c r="L183" s="16"/>
      <c r="M183" s="1"/>
      <c r="N183" s="1"/>
      <c r="O183" s="11"/>
      <c r="P183" s="4"/>
      <c r="Q183" s="2"/>
      <c r="R183" s="34"/>
      <c r="S183" s="38"/>
    </row>
    <row r="184" spans="3:19" s="3" customFormat="1" ht="19.5" customHeight="1" x14ac:dyDescent="0.15">
      <c r="C184" s="19"/>
      <c r="D184" s="21"/>
      <c r="E184" s="21"/>
      <c r="F184" s="21"/>
      <c r="G184" s="30"/>
      <c r="H184" s="29"/>
      <c r="I184" s="15"/>
      <c r="J184" s="15"/>
      <c r="K184" s="10"/>
      <c r="L184" s="16"/>
      <c r="M184" s="1"/>
      <c r="N184" s="1"/>
      <c r="O184" s="11"/>
      <c r="P184" s="4"/>
      <c r="Q184" s="2"/>
      <c r="R184" s="34"/>
      <c r="S184" s="38"/>
    </row>
    <row r="185" spans="3:19" ht="18" customHeight="1" x14ac:dyDescent="0.15">
      <c r="C185" s="19"/>
      <c r="D185" s="1"/>
      <c r="E185" s="4"/>
      <c r="F185" s="4"/>
      <c r="G185" s="12"/>
      <c r="H185" s="13"/>
      <c r="I185" s="13"/>
      <c r="J185" s="15"/>
      <c r="K185" s="2"/>
      <c r="L185" s="12"/>
      <c r="M185" s="6"/>
      <c r="N185" s="1"/>
      <c r="O185" s="11"/>
      <c r="P185" s="17"/>
      <c r="Q185" s="2"/>
      <c r="R185" s="34"/>
      <c r="S185" s="22"/>
    </row>
    <row r="186" spans="3:19" ht="18" customHeight="1" x14ac:dyDescent="0.15">
      <c r="C186" s="19"/>
      <c r="D186" s="1"/>
      <c r="E186" s="1"/>
      <c r="F186" s="1"/>
      <c r="G186" s="6" t="s">
        <v>22</v>
      </c>
      <c r="H186" s="15"/>
      <c r="I186" s="15"/>
      <c r="J186" s="15">
        <f>H186*I186</f>
        <v>0</v>
      </c>
      <c r="K186" s="10"/>
      <c r="L186" s="12" t="s">
        <v>23</v>
      </c>
      <c r="M186" s="17"/>
      <c r="N186" s="1"/>
      <c r="O186" s="11"/>
      <c r="P186" s="17"/>
      <c r="Q186" s="2"/>
      <c r="R186" s="34"/>
      <c r="S186" s="38"/>
    </row>
    <row r="187" spans="3:19" ht="18" customHeight="1" x14ac:dyDescent="0.15">
      <c r="C187" s="19"/>
      <c r="D187" s="1"/>
      <c r="E187" s="4"/>
      <c r="F187" s="4"/>
      <c r="G187" s="6" t="s">
        <v>23</v>
      </c>
      <c r="H187" s="15"/>
      <c r="I187" s="15">
        <v>5000</v>
      </c>
      <c r="J187" s="15">
        <f>H187*I187</f>
        <v>0</v>
      </c>
      <c r="K187" s="10"/>
      <c r="L187" s="12" t="s">
        <v>24</v>
      </c>
      <c r="M187" s="17"/>
      <c r="N187" s="1"/>
      <c r="O187" s="1"/>
      <c r="P187" s="17"/>
      <c r="Q187" s="2"/>
      <c r="R187" s="38"/>
      <c r="S187" s="38"/>
    </row>
    <row r="188" spans="3:19" ht="18" customHeight="1" x14ac:dyDescent="0.15">
      <c r="C188" s="19"/>
      <c r="D188" s="1"/>
      <c r="E188" s="4"/>
      <c r="F188" s="4"/>
      <c r="G188" s="6" t="s">
        <v>24</v>
      </c>
      <c r="H188" s="15"/>
      <c r="I188" s="15"/>
      <c r="J188" s="15">
        <f>H188*I188</f>
        <v>0</v>
      </c>
      <c r="K188" s="10"/>
      <c r="L188" s="5"/>
      <c r="M188" s="17"/>
      <c r="N188" s="1"/>
      <c r="O188" s="1"/>
      <c r="P188" s="17"/>
      <c r="Q188" s="2"/>
      <c r="R188" s="38"/>
      <c r="S188" s="38"/>
    </row>
    <row r="189" spans="3:19" ht="18" customHeight="1" x14ac:dyDescent="0.15">
      <c r="C189" s="19"/>
      <c r="D189" s="1"/>
      <c r="E189" s="4"/>
      <c r="F189" s="4"/>
      <c r="G189" s="278"/>
      <c r="H189" s="279"/>
      <c r="I189" s="279"/>
      <c r="J189" s="280"/>
      <c r="K189" s="7"/>
      <c r="L189" s="14"/>
      <c r="M189" s="17"/>
      <c r="N189" s="1"/>
      <c r="O189" s="1"/>
      <c r="P189" s="17"/>
      <c r="Q189" s="2"/>
      <c r="R189" s="38"/>
      <c r="S189" s="38"/>
    </row>
    <row r="190" spans="3:19" ht="18" customHeight="1" x14ac:dyDescent="0.15"/>
    <row r="191" spans="3:19" ht="18" customHeight="1" x14ac:dyDescent="0.15"/>
  </sheetData>
  <autoFilter ref="A10:S154" xr:uid="{45795B11-EA03-4D9F-B7D5-933EB783FCD2}"/>
  <mergeCells count="16">
    <mergeCell ref="D2:F2"/>
    <mergeCell ref="I2:K2"/>
    <mergeCell ref="D3:F3"/>
    <mergeCell ref="D4:F4"/>
    <mergeCell ref="I4:L5"/>
    <mergeCell ref="D5:F5"/>
    <mergeCell ref="H5:H6"/>
    <mergeCell ref="D6:F6"/>
    <mergeCell ref="E119:G119"/>
    <mergeCell ref="G189:J189"/>
    <mergeCell ref="L7:M7"/>
    <mergeCell ref="E11:G11"/>
    <mergeCell ref="E41:G41"/>
    <mergeCell ref="E55:G55"/>
    <mergeCell ref="E84:G84"/>
    <mergeCell ref="E106:G106"/>
  </mergeCells>
  <phoneticPr fontId="9"/>
  <dataValidations count="1">
    <dataValidation imeMode="hiragana" allowBlank="1" showInputMessage="1" showErrorMessage="1" sqref="M33:M34 JI33:JI34 TE33:TE34 ADA33:ADA34 AMW33:AMW34 AWS33:AWS34 BGO33:BGO34 BQK33:BQK34 CAG33:CAG34 CKC33:CKC34 CTY33:CTY34 DDU33:DDU34 DNQ33:DNQ34 DXM33:DXM34 EHI33:EHI34 ERE33:ERE34 FBA33:FBA34 FKW33:FKW34 FUS33:FUS34 GEO33:GEO34 GOK33:GOK34 GYG33:GYG34 HIC33:HIC34 HRY33:HRY34 IBU33:IBU34 ILQ33:ILQ34 IVM33:IVM34 JFI33:JFI34 JPE33:JPE34 JZA33:JZA34 KIW33:KIW34 KSS33:KSS34 LCO33:LCO34 LMK33:LMK34 LWG33:LWG34 MGC33:MGC34 MPY33:MPY34 MZU33:MZU34 NJQ33:NJQ34 NTM33:NTM34 ODI33:ODI34 ONE33:ONE34 OXA33:OXA34 PGW33:PGW34 PQS33:PQS34 QAO33:QAO34 QKK33:QKK34 QUG33:QUG34 REC33:REC34 RNY33:RNY34 RXU33:RXU34 SHQ33:SHQ34 SRM33:SRM34 TBI33:TBI34 TLE33:TLE34 TVA33:TVA34 UEW33:UEW34 UOS33:UOS34 UYO33:UYO34 VIK33:VIK34 VSG33:VSG34 WCC33:WCC34 WLY33:WLY34 WVU33:WVU34 M37 JI37 TE37 ADA37 AMW37 AWS37 BGO37 BQK37 CAG37 CKC37 CTY37 DDU37 DNQ37 DXM37 EHI37 ERE37 FBA37 FKW37 FUS37 GEO37 GOK37 GYG37 HIC37 HRY37 IBU37 ILQ37 IVM37 JFI37 JPE37 JZA37 KIW37 KSS37 LCO37 LMK37 LWG37 MGC37 MPY37 MZU37 NJQ37 NTM37 ODI37 ONE37 OXA37 PGW37 PQS37 QAO37 QKK37 QUG37 REC37 RNY37 RXU37 SHQ37 SRM37 TBI37 TLE37 TVA37 UEW37 UOS37 UYO37 VIK37 VSG37 WCC37 WLY37 WVU37 L85:L86 JH85:JH86 TD85:TD86 ACZ85:ACZ86 AMV85:AMV86 AWR85:AWR86 BGN85:BGN86 BQJ85:BQJ86 CAF85:CAF86 CKB85:CKB86 CTX85:CTX86 DDT85:DDT86 DNP85:DNP86 DXL85:DXL86 EHH85:EHH86 ERD85:ERD86 FAZ85:FAZ86 FKV85:FKV86 FUR85:FUR86 GEN85:GEN86 GOJ85:GOJ86 GYF85:GYF86 HIB85:HIB86 HRX85:HRX86 IBT85:IBT86 ILP85:ILP86 IVL85:IVL86 JFH85:JFH86 JPD85:JPD86 JYZ85:JYZ86 KIV85:KIV86 KSR85:KSR86 LCN85:LCN86 LMJ85:LMJ86 LWF85:LWF86 MGB85:MGB86 MPX85:MPX86 MZT85:MZT86 NJP85:NJP86 NTL85:NTL86 ODH85:ODH86 OND85:OND86 OWZ85:OWZ86 PGV85:PGV86 PQR85:PQR86 QAN85:QAN86 QKJ85:QKJ86 QUF85:QUF86 REB85:REB86 RNX85:RNX86 RXT85:RXT86 SHP85:SHP86 SRL85:SRL86 TBH85:TBH86 TLD85:TLD86 TUZ85:TUZ86 UEV85:UEV86 UOR85:UOR86 UYN85:UYN86 VIJ85:VIJ86 VSF85:VSF86 WCB85:WCB86 WLX85:WLX86 WVT85:WVT86 L88 JH88 TD88 ACZ88 AMV88 AWR88 BGN88 BQJ88 CAF88 CKB88 CTX88 DDT88 DNP88 DXL88 EHH88 ERD88 FAZ88 FKV88 FUR88 GEN88 GOJ88 GYF88 HIB88 HRX88 IBT88 ILP88 IVL88 JFH88 JPD88 JYZ88 KIV88 KSR88 LCN88 LMJ88 LWF88 MGB88 MPX88 MZT88 NJP88 NTL88 ODH88 OND88 OWZ88 PGV88 PQR88 QAN88 QKJ88 QUF88 REB88 RNX88 RXT88 SHP88 SRL88 TBH88 TLD88 TUZ88 UEV88 UOR88 UYN88 VIJ88 VSF88 WCB88 WLX88 WVT88 L97 JH97 TD97 ACZ97 AMV97 AWR97 BGN97 BQJ97 CAF97 CKB97 CTX97 DDT97 DNP97 DXL97 EHH97 ERD97 FAZ97 FKV97 FUR97 GEN97 GOJ97 GYF97 HIB97 HRX97 IBT97 ILP97 IVL97 JFH97 JPD97 JYZ97 KIV97 KSR97 LCN97 LMJ97 LWF97 MGB97 MPX97 MZT97 NJP97 NTL97 ODH97 OND97 OWZ97 PGV97 PQR97 QAN97 QKJ97 QUF97 REB97 RNX97 RXT97 SHP97 SRL97 TBH97 TLD97 TUZ97 UEV97 UOR97 UYN97 VIJ97 VSF97 WCB97 WLX97 WVT97 L72" xr:uid="{C110540A-E68B-4971-93C9-52D20B10C012}"/>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0D593-9FB6-409E-B65F-766E11A67462}">
  <dimension ref="A1"/>
  <sheetViews>
    <sheetView workbookViewId="0"/>
  </sheetViews>
  <sheetFormatPr defaultRowHeight="13.5" x14ac:dyDescent="0.15"/>
  <sheetData/>
  <phoneticPr fontI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7" sqref="D7"/>
    </sheetView>
  </sheetViews>
  <sheetFormatPr defaultColWidth="11.875" defaultRowHeight="13.5" customHeight="1" x14ac:dyDescent="0.15"/>
  <sheetData/>
  <phoneticPr fontId="9"/>
  <printOptions gridLines="1"/>
  <pageMargins left="0.7" right="0.7" top="0.75" bottom="0.75" header="0.3" footer="0.3"/>
  <pageSetup orientation="landscape"/>
  <headerFooter>
    <oddHeader>&amp;L&amp;C&amp;R</oddHeader>
    <oddFooter>&amp;L&amp;C&amp;R</oddFooter>
    <evenHeader>&amp;L&amp;C&amp;R</evenHeader>
    <evenFooter>&amp;L&amp;C&amp;R</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875" defaultRowHeight="13.5" customHeight="1" x14ac:dyDescent="0.15"/>
  <sheetData/>
  <phoneticPr fontId="9"/>
  <printOptions gridLines="1"/>
  <pageMargins left="0.7" right="0.7" top="0.75" bottom="0.75" header="0.3" footer="0.3"/>
  <pageSetup orientation="landscape" r:id="rId1"/>
  <headerFooter>
    <oddHeader>&amp;L&amp;C&amp;R</oddHeader>
    <oddFooter>&amp;L&amp;C&amp;R</oddFooter>
    <evenHeader>&amp;L&amp;C&amp;R</evenHeader>
    <evenFooter>&amp;L&amp;C&amp;R</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SETB0230-A01 (20240807)　③</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h-saito</dc:creator>
  <cp:lastModifiedBy>shinohara</cp:lastModifiedBy>
  <dcterms:created xsi:type="dcterms:W3CDTF">2016-05-16T08:05:24Z</dcterms:created>
  <dcterms:modified xsi:type="dcterms:W3CDTF">2024-09-19T05:37:19Z</dcterms:modified>
</cp:coreProperties>
</file>