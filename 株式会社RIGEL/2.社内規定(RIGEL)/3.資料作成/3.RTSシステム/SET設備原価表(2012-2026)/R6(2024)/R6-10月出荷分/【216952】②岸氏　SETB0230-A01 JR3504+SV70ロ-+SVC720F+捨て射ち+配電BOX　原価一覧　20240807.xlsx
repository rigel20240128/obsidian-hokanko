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57125D8-D8E2-486A-9EA2-27E3967BB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230-A01 (20240807)　②" sheetId="12" r:id="rId1"/>
    <sheet name="Sheet1" sheetId="13" r:id="rId2"/>
    <sheet name="Sheet2" sheetId="2" r:id="rId3"/>
    <sheet name="Sheet3" sheetId="3" r:id="rId4"/>
  </sheets>
  <definedNames>
    <definedName name="_xlnm._FilterDatabase" localSheetId="0" hidden="1">'SETB0230-A01 (20240807)　②'!$A$10:$S$30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2" l="1"/>
  <c r="G14" i="12" s="1"/>
  <c r="J28" i="12" l="1"/>
  <c r="J27" i="12"/>
  <c r="J26" i="12"/>
  <c r="J25" i="12"/>
  <c r="J19" i="12"/>
  <c r="G30" i="12" l="1"/>
  <c r="G20" i="12"/>
  <c r="J64" i="12" l="1"/>
  <c r="J63" i="12"/>
  <c r="J62" i="12"/>
  <c r="L2" i="12" l="1"/>
  <c r="D19" i="12" l="1"/>
  <c r="D25" i="12" s="1"/>
  <c r="D26" i="12" s="1"/>
  <c r="D27" i="12" s="1"/>
  <c r="D28" i="12" s="1"/>
</calcChain>
</file>

<file path=xl/sharedStrings.xml><?xml version="1.0" encoding="utf-8"?>
<sst xmlns="http://schemas.openxmlformats.org/spreadsheetml/2006/main" count="73" uniqueCount="60">
  <si>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</si>
  <si>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</si>
  <si>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</si>
  <si>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</si>
  <si>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</si>
  <si>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</si>
  <si>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</si>
  <si>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</si>
  <si>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</si>
  <si>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</si>
  <si>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</si>
  <si>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</si>
  <si>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</si>
  <si>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</si>
  <si>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</si>
  <si>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</si>
  <si>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</si>
  <si>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</si>
  <si>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</si>
  <si>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</si>
  <si>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</si>
  <si>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</si>
  <si>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</si>
  <si>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</si>
  <si>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</si>
  <si>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</si>
  <si>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10日目</t>
    <rPh sb="2" eb="3">
      <t>ヒ</t>
    </rPh>
    <rPh sb="3" eb="4">
      <t>メ</t>
    </rPh>
    <phoneticPr fontId="10"/>
  </si>
  <si>
    <t>配電BOX　関連</t>
    <rPh sb="0" eb="2">
      <t>ハイデン</t>
    </rPh>
    <rPh sb="6" eb="8">
      <t>カンレン</t>
    </rPh>
    <phoneticPr fontId="10"/>
  </si>
  <si>
    <t>1日目</t>
    <rPh sb="1" eb="2">
      <t>ヒ</t>
    </rPh>
    <rPh sb="2" eb="3">
      <t>メ</t>
    </rPh>
    <phoneticPr fontId="10"/>
  </si>
  <si>
    <t>5日目</t>
    <rPh sb="1" eb="3">
      <t>ヒメ</t>
    </rPh>
    <phoneticPr fontId="10"/>
  </si>
  <si>
    <t>SMC</t>
    <phoneticPr fontId="10"/>
  </si>
  <si>
    <t>制御機材</t>
    <rPh sb="0" eb="1">
      <t>セイ</t>
    </rPh>
    <rPh sb="1" eb="2">
      <t>オ</t>
    </rPh>
    <rPh sb="2" eb="4">
      <t>キザイ</t>
    </rPh>
    <phoneticPr fontId="10"/>
  </si>
  <si>
    <t>富士電機</t>
    <rPh sb="0" eb="2">
      <t>フジ</t>
    </rPh>
    <rPh sb="2" eb="4">
      <t>デンキ</t>
    </rPh>
    <phoneticPr fontId="10"/>
  </si>
  <si>
    <t>制御機材</t>
    <rPh sb="0" eb="4">
      <t>セイギョキザイ</t>
    </rPh>
    <phoneticPr fontId="10"/>
  </si>
  <si>
    <t>CP30FM-2P005 5A</t>
    <phoneticPr fontId="10"/>
  </si>
  <si>
    <t>サーキットプロテクター</t>
    <phoneticPr fontId="10"/>
  </si>
  <si>
    <t>CP30FM-2P007 7A</t>
    <phoneticPr fontId="10"/>
  </si>
  <si>
    <t xml:space="preserve">DR30D0L-H9W </t>
    <phoneticPr fontId="10"/>
  </si>
  <si>
    <t>φ30 コマンドスイッチ DR30 表示灯</t>
    <phoneticPr fontId="10"/>
  </si>
  <si>
    <t>オムロン</t>
    <phoneticPr fontId="10"/>
  </si>
  <si>
    <t>制御機材</t>
    <rPh sb="0" eb="2">
      <t>セイギョ</t>
    </rPh>
    <rPh sb="2" eb="4">
      <t>キザイ</t>
    </rPh>
    <phoneticPr fontId="10"/>
  </si>
  <si>
    <t>S8VS-12024</t>
    <phoneticPr fontId="10"/>
  </si>
  <si>
    <t>パワーサプライ   5A</t>
    <phoneticPr fontId="10"/>
  </si>
  <si>
    <t>6日目</t>
    <rPh sb="1" eb="3">
      <t>ヒメ</t>
    </rPh>
    <phoneticPr fontId="10"/>
  </si>
  <si>
    <t>石鍋</t>
    <rPh sb="0" eb="2">
      <t>イシナベ</t>
    </rPh>
    <phoneticPr fontId="10"/>
  </si>
  <si>
    <t>ｹｰﾌﾞﾙﾍﾞｱ関連</t>
    <phoneticPr fontId="10"/>
  </si>
  <si>
    <t>PLGJ4-6M</t>
    <phoneticPr fontId="9"/>
  </si>
  <si>
    <t>日本ﾋﾟｽｺ</t>
    <rPh sb="0" eb="2">
      <t>ニホン</t>
    </rPh>
    <phoneticPr fontId="9"/>
  </si>
  <si>
    <t>一般配管用 チューブフィッティングミニタイプ 違径ソケットエルボ</t>
    <phoneticPr fontId="9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</si>
  <si>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9"/>
  </si>
  <si>
    <t>横手精工株式会社</t>
    <rPh sb="0" eb="2">
      <t>ヨコテ</t>
    </rPh>
    <rPh sb="2" eb="4">
      <t>セイコウ</t>
    </rPh>
    <rPh sb="4" eb="8">
      <t>カブシキガイシャ</t>
    </rPh>
    <phoneticPr fontId="10"/>
  </si>
  <si>
    <t>NO.216952</t>
    <phoneticPr fontId="10"/>
  </si>
  <si>
    <t>岸</t>
    <rPh sb="0" eb="1">
      <t>キシ</t>
    </rPh>
    <phoneticPr fontId="9"/>
  </si>
  <si>
    <t>SETB-0230-A01 JR3504+SV70チルドモーター+捨て射ち+配電BOX+圧送タンク  20240805</t>
    <phoneticPr fontId="9"/>
  </si>
  <si>
    <t>IR1020-01BEA-A  0.01-0.80Mp</t>
    <phoneticPr fontId="10"/>
  </si>
  <si>
    <t>精密レギュレータ IR1000-A  0.01～0.8MPa</t>
    <phoneticPr fontId="10"/>
  </si>
  <si>
    <t>元厚ｼﾘﾝｼﾞレギュレーター</t>
    <rPh sb="0" eb="2">
      <t>モトアツ</t>
    </rPh>
    <phoneticPr fontId="10"/>
  </si>
  <si>
    <t>②</t>
    <phoneticPr fontId="9"/>
  </si>
  <si>
    <t>340246-1</t>
    <phoneticPr fontId="9"/>
  </si>
  <si>
    <t>見積もりNo.　22-24-00938A</t>
    <rPh sb="0" eb="2">
      <t>ミツ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</si>
</sst>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23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theme="10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38" fontId="15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3" fontId="0" fillId="7" borderId="5" xfId="0" applyNumberFormat="1" applyFill="1" applyBorder="1" applyAlignment="1">
      <alignment horizontal="center" vertical="center"/>
    </xf>
    <xf numFmtId="0" fontId="12" fillId="0" borderId="5" xfId="3" applyBorder="1" applyAlignment="1">
      <alignment horizontal="left" vertical="center"/>
    </xf>
    <xf numFmtId="176" fontId="0" fillId="0" borderId="5" xfId="0" applyNumberFormat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15" fillId="0" borderId="6" xfId="0" applyFont="1" applyBorder="1">
      <alignment vertical="center"/>
    </xf>
    <xf numFmtId="176" fontId="14" fillId="8" borderId="6" xfId="0" applyNumberFormat="1" applyFont="1" applyFill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80" fontId="1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5" xfId="0" applyFont="1" applyBorder="1">
      <alignment vertical="center"/>
    </xf>
    <xf numFmtId="0" fontId="18" fillId="0" borderId="5" xfId="0" applyFont="1" applyBorder="1">
      <alignment vertical="center"/>
    </xf>
    <xf numFmtId="176" fontId="18" fillId="0" borderId="6" xfId="0" applyNumberFormat="1" applyFont="1" applyBorder="1" applyAlignment="1">
      <alignment horizontal="left" vertical="center"/>
    </xf>
    <xf numFmtId="176" fontId="14" fillId="8" borderId="5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/>
    </xf>
    <xf numFmtId="0" fontId="18" fillId="9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176" fontId="0" fillId="0" borderId="6" xfId="0" applyNumberFormat="1" applyBorder="1" applyAlignment="1">
      <alignment horizontal="left" vertical="center"/>
    </xf>
    <xf numFmtId="176" fontId="15" fillId="0" borderId="6" xfId="0" applyNumberFormat="1" applyFont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3" fontId="15" fillId="9" borderId="5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9" fillId="0" borderId="5" xfId="2" applyFont="1" applyBorder="1">
      <alignment vertical="center"/>
    </xf>
    <xf numFmtId="0" fontId="11" fillId="9" borderId="5" xfId="0" applyFont="1" applyFill="1" applyBorder="1" applyAlignment="1">
      <alignment horizontal="center" vertical="center"/>
    </xf>
    <xf numFmtId="0" fontId="18" fillId="9" borderId="5" xfId="0" applyFont="1" applyFill="1" applyBorder="1">
      <alignment vertical="center"/>
    </xf>
    <xf numFmtId="176" fontId="18" fillId="9" borderId="5" xfId="0" applyNumberFormat="1" applyFont="1" applyFill="1" applyBorder="1" applyAlignment="1">
      <alignment horizontal="center" vertical="center"/>
    </xf>
    <xf numFmtId="176" fontId="11" fillId="9" borderId="5" xfId="0" applyNumberFormat="1" applyFont="1" applyFill="1" applyBorder="1" applyAlignment="1">
      <alignment horizontal="center" vertical="center"/>
    </xf>
    <xf numFmtId="3" fontId="0" fillId="11" borderId="5" xfId="0" applyNumberFormat="1" applyFill="1" applyBorder="1" applyAlignment="1">
      <alignment horizontal="center" vertical="center"/>
    </xf>
    <xf numFmtId="0" fontId="12" fillId="9" borderId="5" xfId="0" applyFont="1" applyFill="1" applyBorder="1">
      <alignment vertical="center"/>
    </xf>
    <xf numFmtId="176" fontId="0" fillId="9" borderId="5" xfId="0" applyNumberFormat="1" applyFill="1" applyBorder="1" applyAlignment="1">
      <alignment horizontal="center" vertical="center"/>
    </xf>
    <xf numFmtId="3" fontId="0" fillId="9" borderId="5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left" vertical="center"/>
    </xf>
    <xf numFmtId="0" fontId="0" fillId="9" borderId="5" xfId="0" applyFill="1" applyBorder="1" applyAlignment="1">
      <alignment horizontal="center" vertical="center"/>
    </xf>
    <xf numFmtId="38" fontId="0" fillId="9" borderId="5" xfId="0" applyNumberFormat="1" applyFill="1" applyBorder="1" applyAlignment="1">
      <alignment horizontal="center" vertical="center"/>
    </xf>
    <xf numFmtId="0" fontId="0" fillId="9" borderId="5" xfId="0" applyFill="1" applyBorder="1">
      <alignment vertical="center"/>
    </xf>
    <xf numFmtId="176" fontId="0" fillId="9" borderId="1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9" borderId="0" xfId="0" applyFill="1" applyAlignment="1">
      <alignment horizontal="right" vertical="center"/>
    </xf>
    <xf numFmtId="0" fontId="21" fillId="0" borderId="0" xfId="0" applyFont="1">
      <alignment vertical="center"/>
    </xf>
    <xf numFmtId="0" fontId="22" fillId="0" borderId="5" xfId="0" applyFont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/>
    </xf>
    <xf numFmtId="177" fontId="22" fillId="0" borderId="5" xfId="0" applyNumberFormat="1" applyFont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176" fontId="15" fillId="9" borderId="5" xfId="0" applyNumberFormat="1" applyFont="1" applyFill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8" fontId="0" fillId="13" borderId="5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 shrinkToFit="1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3" fontId="14" fillId="3" borderId="6" xfId="0" applyNumberFormat="1" applyFont="1" applyFill="1" applyBorder="1" applyAlignment="1">
      <alignment horizontal="center" vertical="center"/>
    </xf>
    <xf numFmtId="3" fontId="14" fillId="3" borderId="9" xfId="0" applyNumberFormat="1" applyFont="1" applyFill="1" applyBorder="1" applyAlignment="1">
      <alignment horizontal="center" vertical="center"/>
    </xf>
    <xf numFmtId="3" fontId="14" fillId="3" borderId="8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00B0F0"/>
  </sheetPr>
  <dimension ref="A2:S67"/>
  <sheetViews>
    <sheetView tabSelected="1" topLeftCell="F1" zoomScale="85" zoomScaleNormal="85" workbookViewId="0">
      <pane ySplit="10" topLeftCell="A11" activePane="bottomLeft" state="frozen"/>
      <selection pane="bottomLeft" activeCell="S25" sqref="S25:S28"/>
    </sheetView>
  </sheetViews>
  <sheetFormatPr defaultColWidth="11.875" defaultRowHeight="13.5" customHeight="1" x14ac:dyDescent="0.15"/>
  <cols>
    <col min="1" max="2" width="8.5" customWidth="1"/>
    <col min="3" max="3" width="9.375" customWidth="1"/>
    <col min="4" max="4" width="6.125" style="3" customWidth="1"/>
    <col min="5" max="5" width="15.125" customWidth="1"/>
    <col min="6" max="6" width="15.5" customWidth="1"/>
    <col min="7" max="7" width="59.875" customWidth="1"/>
    <col min="8" max="8" width="14.5" style="3" customWidth="1"/>
    <col min="9" max="10" width="12.125" style="3" customWidth="1"/>
    <col min="11" max="11" width="7.125" style="10" customWidth="1"/>
    <col min="12" max="12" width="50.5" customWidth="1"/>
    <col min="13" max="13" width="28.375" customWidth="1"/>
    <col min="14" max="14" width="22.5" style="3" customWidth="1"/>
    <col min="15" max="15" width="17" style="3" customWidth="1"/>
    <col min="16" max="16" width="7.875" customWidth="1"/>
    <col min="17" max="17" width="16.375" style="3" customWidth="1"/>
    <col min="18" max="18" width="17.875" style="24" customWidth="1"/>
    <col min="19" max="19" width="19.375" style="24" customWidth="1"/>
  </cols>
  <sheetData>
    <row r="2" spans="1:19" ht="20.100000000000001" customHeight="1" x14ac:dyDescent="0.15">
      <c r="D2" s="92" t="s">
        <v>0</v>
      </c>
      <c r="E2" s="92"/>
      <c r="F2" s="92"/>
      <c r="G2" s="80" t="s">
        <v>50</v>
      </c>
      <c r="I2" s="93" t="s">
        <v>1</v>
      </c>
      <c r="J2" s="94"/>
      <c r="K2" s="95"/>
      <c r="L2" s="9">
        <f>SUM(J:J)</f>
        <v>26950</v>
      </c>
    </row>
    <row r="3" spans="1:19" ht="20.100000000000001" customHeight="1" x14ac:dyDescent="0.15">
      <c r="D3" s="92" t="s">
        <v>2</v>
      </c>
      <c r="E3" s="92"/>
      <c r="F3" s="92"/>
      <c r="G3" s="81" t="s">
        <v>52</v>
      </c>
    </row>
    <row r="4" spans="1:19" ht="20.100000000000001" customHeight="1" x14ac:dyDescent="0.15">
      <c r="D4" s="92" t="s">
        <v>3</v>
      </c>
      <c r="E4" s="92"/>
      <c r="F4" s="92"/>
      <c r="G4" s="81" t="s">
        <v>51</v>
      </c>
      <c r="I4" s="96" t="s">
        <v>53</v>
      </c>
      <c r="J4" s="96"/>
      <c r="K4" s="96"/>
      <c r="L4" s="96"/>
      <c r="M4" s="26"/>
    </row>
    <row r="5" spans="1:19" ht="20.100000000000001" customHeight="1" x14ac:dyDescent="0.15">
      <c r="D5" s="92" t="s">
        <v>4</v>
      </c>
      <c r="E5" s="92"/>
      <c r="F5" s="92"/>
      <c r="G5" s="82">
        <v>45545</v>
      </c>
      <c r="H5" s="97" t="s">
        <v>57</v>
      </c>
      <c r="I5" s="96"/>
      <c r="J5" s="96"/>
      <c r="K5" s="96"/>
      <c r="L5" s="96"/>
    </row>
    <row r="6" spans="1:19" ht="20.100000000000001" customHeight="1" x14ac:dyDescent="0.15">
      <c r="D6" s="92" t="s">
        <v>5</v>
      </c>
      <c r="E6" s="92"/>
      <c r="F6" s="92"/>
      <c r="G6" s="82">
        <v>45547</v>
      </c>
      <c r="H6" s="97"/>
      <c r="J6" s="27"/>
    </row>
    <row r="7" spans="1:19" ht="19.7" customHeight="1" x14ac:dyDescent="0.15">
      <c r="L7" s="98"/>
      <c r="M7" s="98"/>
    </row>
    <row r="8" spans="1:19" ht="16.7" customHeight="1" x14ac:dyDescent="0.15">
      <c r="K8" s="78"/>
      <c r="L8" s="79" t="s">
        <v>49</v>
      </c>
    </row>
    <row r="10" spans="1:19" s="3" customFormat="1" ht="19.5" customHeight="1" x14ac:dyDescent="0.15">
      <c r="C10" s="31" t="s">
        <v>25</v>
      </c>
      <c r="D10" s="30" t="s">
        <v>6</v>
      </c>
      <c r="E10" s="4" t="s">
        <v>7</v>
      </c>
      <c r="F10" s="4" t="s">
        <v>8</v>
      </c>
      <c r="G10" s="1" t="s">
        <v>9</v>
      </c>
      <c r="H10" s="1" t="s">
        <v>10</v>
      </c>
      <c r="I10" s="1" t="s">
        <v>11</v>
      </c>
      <c r="J10" s="2" t="s">
        <v>12</v>
      </c>
      <c r="K10" s="2" t="s">
        <v>13</v>
      </c>
      <c r="L10" s="1" t="s">
        <v>14</v>
      </c>
      <c r="M10" s="1" t="s">
        <v>15</v>
      </c>
      <c r="N10" s="1" t="s">
        <v>16</v>
      </c>
      <c r="O10" s="12" t="s">
        <v>17</v>
      </c>
      <c r="P10" s="4" t="s">
        <v>18</v>
      </c>
      <c r="Q10" s="1" t="s">
        <v>19</v>
      </c>
      <c r="R10" s="12" t="s">
        <v>20</v>
      </c>
      <c r="S10" s="8" t="s">
        <v>21</v>
      </c>
    </row>
    <row r="11" spans="1:19" s="3" customFormat="1" ht="19.5" customHeight="1" x14ac:dyDescent="0.15">
      <c r="A11" s="20"/>
      <c r="B11" s="20"/>
      <c r="C11" s="20"/>
      <c r="D11" s="22"/>
      <c r="E11" s="22"/>
      <c r="F11" s="22"/>
      <c r="G11" s="29"/>
      <c r="H11" s="28"/>
      <c r="I11" s="16"/>
      <c r="J11" s="16"/>
      <c r="K11" s="11"/>
      <c r="L11" s="17"/>
      <c r="M11" s="1"/>
      <c r="N11" s="1"/>
      <c r="O11" s="12"/>
      <c r="P11" s="4"/>
      <c r="Q11" s="2"/>
      <c r="R11" s="32"/>
      <c r="S11" s="33"/>
    </row>
    <row r="12" spans="1:19" s="3" customFormat="1" ht="19.7" customHeight="1" x14ac:dyDescent="0.15">
      <c r="A12" s="20"/>
      <c r="B12" s="20"/>
      <c r="C12" s="20"/>
      <c r="D12" s="22"/>
      <c r="E12" s="102" t="s">
        <v>45</v>
      </c>
      <c r="F12" s="103"/>
      <c r="G12" s="104"/>
      <c r="H12" s="25"/>
      <c r="I12" s="25"/>
      <c r="J12" s="35"/>
      <c r="K12" s="40"/>
      <c r="L12" s="42"/>
      <c r="M12" s="20"/>
      <c r="N12" s="20"/>
      <c r="O12" s="32"/>
      <c r="P12" s="22"/>
      <c r="Q12" s="20"/>
      <c r="R12" s="32"/>
      <c r="S12" s="23"/>
    </row>
    <row r="13" spans="1:19" s="3" customFormat="1" ht="19.7" customHeight="1" x14ac:dyDescent="0.15">
      <c r="A13" s="20" t="s">
        <v>28</v>
      </c>
      <c r="B13" s="77"/>
      <c r="C13" s="61">
        <v>11</v>
      </c>
      <c r="D13" s="67">
        <v>1</v>
      </c>
      <c r="E13" s="60" t="s">
        <v>47</v>
      </c>
      <c r="F13" s="60" t="s">
        <v>44</v>
      </c>
      <c r="G13" s="68" t="s">
        <v>46</v>
      </c>
      <c r="H13" s="83">
        <v>10</v>
      </c>
      <c r="I13" s="84">
        <v>158</v>
      </c>
      <c r="J13" s="69">
        <f t="shared" ref="J13" si="0">H13*I13</f>
        <v>1580</v>
      </c>
      <c r="K13" s="58"/>
      <c r="L13" s="34" t="s">
        <v>48</v>
      </c>
      <c r="M13" s="88" t="s">
        <v>58</v>
      </c>
      <c r="N13" s="20"/>
      <c r="O13" s="32">
        <v>45519</v>
      </c>
      <c r="P13" s="22"/>
      <c r="Q13" s="85">
        <v>45548</v>
      </c>
      <c r="R13" s="32"/>
      <c r="S13" s="23">
        <v>45540</v>
      </c>
    </row>
    <row r="14" spans="1:19" s="3" customFormat="1" ht="19.7" customHeight="1" x14ac:dyDescent="0.15">
      <c r="A14" s="20"/>
      <c r="B14" s="20"/>
      <c r="C14" s="20"/>
      <c r="D14" s="22"/>
      <c r="E14" s="22"/>
      <c r="F14" s="22"/>
      <c r="G14" s="53">
        <f>SUM(J13:J13)</f>
        <v>1580</v>
      </c>
      <c r="H14" s="20"/>
      <c r="I14" s="35"/>
      <c r="J14" s="35"/>
      <c r="K14" s="57"/>
      <c r="L14" s="19"/>
      <c r="M14" s="20"/>
      <c r="N14" s="20"/>
      <c r="O14" s="32"/>
      <c r="P14" s="22"/>
      <c r="Q14" s="20"/>
      <c r="R14" s="32"/>
      <c r="S14" s="23"/>
    </row>
    <row r="15" spans="1:19" s="3" customFormat="1" ht="19.5" customHeight="1" x14ac:dyDescent="0.15">
      <c r="C15" s="20"/>
      <c r="D15" s="22"/>
      <c r="E15" s="22"/>
      <c r="F15" s="22"/>
      <c r="G15" s="29"/>
      <c r="H15" s="28"/>
      <c r="I15" s="16"/>
      <c r="J15" s="16"/>
      <c r="K15" s="11"/>
      <c r="L15" s="17"/>
      <c r="M15" s="1"/>
      <c r="N15" s="1"/>
      <c r="O15" s="12"/>
      <c r="P15" s="4"/>
      <c r="Q15" s="2"/>
      <c r="R15" s="32"/>
      <c r="S15" s="33"/>
    </row>
    <row r="16" spans="1:19" s="3" customFormat="1" ht="19.5" customHeight="1" x14ac:dyDescent="0.15">
      <c r="C16" s="20"/>
      <c r="D16" s="22"/>
      <c r="E16" s="22"/>
      <c r="F16" s="22"/>
      <c r="G16" s="29"/>
      <c r="H16" s="28"/>
      <c r="I16" s="16"/>
      <c r="J16" s="16"/>
      <c r="K16" s="11"/>
      <c r="L16" s="17"/>
      <c r="M16" s="1"/>
      <c r="N16" s="1"/>
      <c r="O16" s="12"/>
      <c r="P16" s="4"/>
      <c r="Q16" s="2"/>
      <c r="R16" s="32"/>
      <c r="S16" s="33"/>
    </row>
    <row r="17" spans="1:19" s="3" customFormat="1" ht="19.5" customHeight="1" x14ac:dyDescent="0.15">
      <c r="C17" s="20"/>
      <c r="D17" s="22"/>
      <c r="E17" s="22"/>
      <c r="F17" s="22"/>
      <c r="G17" s="29"/>
      <c r="H17" s="28"/>
      <c r="I17" s="16"/>
      <c r="J17" s="16"/>
      <c r="K17" s="11"/>
      <c r="L17" s="17"/>
      <c r="M17" s="1"/>
      <c r="N17" s="1"/>
      <c r="O17" s="12"/>
      <c r="P17" s="4"/>
      <c r="Q17" s="2"/>
      <c r="R17" s="32"/>
      <c r="S17" s="33"/>
    </row>
    <row r="18" spans="1:19" s="3" customFormat="1" ht="19.5" customHeight="1" x14ac:dyDescent="0.15">
      <c r="C18" s="20"/>
      <c r="D18" s="22"/>
      <c r="E18" s="102" t="s">
        <v>56</v>
      </c>
      <c r="F18" s="103"/>
      <c r="G18" s="104"/>
      <c r="H18" s="48"/>
      <c r="I18" s="39"/>
      <c r="J18" s="43"/>
      <c r="K18" s="49"/>
      <c r="L18" s="50"/>
      <c r="M18" s="1"/>
      <c r="N18" s="1"/>
      <c r="O18" s="12"/>
      <c r="P18" s="4"/>
      <c r="Q18" s="2"/>
      <c r="R18" s="32"/>
      <c r="S18" s="33"/>
    </row>
    <row r="19" spans="1:19" s="3" customFormat="1" ht="19.5" customHeight="1" x14ac:dyDescent="0.15">
      <c r="A19" s="44" t="s">
        <v>26</v>
      </c>
      <c r="B19" s="36"/>
      <c r="C19" s="59">
        <v>12</v>
      </c>
      <c r="D19" s="67">
        <f>+D13+1</f>
        <v>2</v>
      </c>
      <c r="E19" s="55" t="s">
        <v>30</v>
      </c>
      <c r="F19" s="63" t="s">
        <v>31</v>
      </c>
      <c r="G19" s="64" t="s">
        <v>54</v>
      </c>
      <c r="H19" s="55">
        <v>1</v>
      </c>
      <c r="I19" s="65">
        <v>10610</v>
      </c>
      <c r="J19" s="66">
        <f>H19*I19</f>
        <v>10610</v>
      </c>
      <c r="K19" s="52"/>
      <c r="L19" s="51" t="s">
        <v>55</v>
      </c>
      <c r="M19" s="62" t="s">
        <v>59</v>
      </c>
      <c r="N19" s="1"/>
      <c r="O19" s="12">
        <v>45524</v>
      </c>
      <c r="P19" s="4"/>
      <c r="Q19" s="86">
        <v>45553</v>
      </c>
      <c r="R19" s="91">
        <v>45548</v>
      </c>
      <c r="S19" s="23">
        <v>45547</v>
      </c>
    </row>
    <row r="20" spans="1:19" s="3" customFormat="1" ht="19.5" customHeight="1" x14ac:dyDescent="0.15">
      <c r="C20" s="20"/>
      <c r="D20" s="22"/>
      <c r="E20" s="22"/>
      <c r="F20" s="22"/>
      <c r="G20" s="53">
        <f>SUM(J19:J19)</f>
        <v>10610</v>
      </c>
      <c r="H20" s="47"/>
      <c r="I20" s="47"/>
      <c r="J20" s="47"/>
      <c r="K20" s="54"/>
      <c r="L20" s="19"/>
      <c r="M20" s="1"/>
      <c r="N20" s="1"/>
      <c r="O20" s="12"/>
      <c r="P20" s="4"/>
      <c r="Q20" s="2"/>
      <c r="R20" s="32"/>
      <c r="S20" s="33"/>
    </row>
    <row r="21" spans="1:19" s="3" customFormat="1" ht="19.5" customHeight="1" x14ac:dyDescent="0.15">
      <c r="C21" s="20"/>
      <c r="D21" s="22"/>
      <c r="E21" s="22"/>
      <c r="F21" s="22"/>
      <c r="G21" s="29"/>
      <c r="H21" s="28"/>
      <c r="I21" s="16"/>
      <c r="J21" s="16"/>
      <c r="K21" s="11"/>
      <c r="L21" s="17"/>
      <c r="M21" s="1"/>
      <c r="N21" s="1"/>
      <c r="O21" s="12"/>
      <c r="P21" s="4"/>
      <c r="Q21" s="2"/>
      <c r="R21" s="32"/>
      <c r="S21" s="33"/>
    </row>
    <row r="22" spans="1:19" s="3" customFormat="1" ht="19.5" customHeight="1" x14ac:dyDescent="0.15">
      <c r="C22" s="20"/>
      <c r="D22" s="22"/>
      <c r="E22" s="22"/>
      <c r="F22" s="22"/>
      <c r="G22" s="29"/>
      <c r="H22" s="28"/>
      <c r="I22" s="16"/>
      <c r="J22" s="16"/>
      <c r="K22" s="11"/>
      <c r="L22" s="17"/>
      <c r="M22" s="1"/>
      <c r="N22" s="1"/>
      <c r="O22" s="12"/>
      <c r="P22" s="4"/>
      <c r="Q22" s="2"/>
      <c r="R22" s="32"/>
      <c r="S22" s="33"/>
    </row>
    <row r="23" spans="1:19" s="3" customFormat="1" ht="19.5" customHeight="1" x14ac:dyDescent="0.15">
      <c r="C23" s="20"/>
      <c r="D23" s="22"/>
      <c r="E23" s="22"/>
      <c r="F23" s="22"/>
      <c r="G23" s="29"/>
      <c r="H23" s="28"/>
      <c r="I23" s="16"/>
      <c r="J23" s="16"/>
      <c r="K23" s="11"/>
      <c r="L23" s="17"/>
      <c r="M23" s="1"/>
      <c r="N23" s="1"/>
      <c r="O23" s="12"/>
      <c r="P23" s="4"/>
      <c r="Q23" s="2"/>
      <c r="R23" s="32"/>
      <c r="S23" s="33"/>
    </row>
    <row r="24" spans="1:19" s="3" customFormat="1" ht="19.5" customHeight="1" x14ac:dyDescent="0.15">
      <c r="C24" s="20"/>
      <c r="D24" s="41"/>
      <c r="E24" s="102" t="s">
        <v>27</v>
      </c>
      <c r="F24" s="103"/>
      <c r="G24" s="104"/>
      <c r="H24" s="25"/>
      <c r="I24" s="25"/>
      <c r="J24" s="35"/>
      <c r="K24" s="21"/>
      <c r="L24" s="42"/>
      <c r="M24" s="1"/>
      <c r="N24" s="1"/>
      <c r="O24" s="12"/>
      <c r="P24" s="4"/>
      <c r="Q24" s="2"/>
      <c r="R24" s="32"/>
      <c r="S24" s="33"/>
    </row>
    <row r="25" spans="1:19" s="3" customFormat="1" ht="19.5" customHeight="1" x14ac:dyDescent="0.15">
      <c r="A25" s="44" t="s">
        <v>43</v>
      </c>
      <c r="B25" s="36"/>
      <c r="C25" s="76">
        <v>14</v>
      </c>
      <c r="D25" s="67">
        <f>+D19+1</f>
        <v>3</v>
      </c>
      <c r="E25" s="70" t="s">
        <v>32</v>
      </c>
      <c r="F25" s="70" t="s">
        <v>33</v>
      </c>
      <c r="G25" s="71" t="s">
        <v>34</v>
      </c>
      <c r="H25" s="72">
        <v>1</v>
      </c>
      <c r="I25" s="89">
        <v>2100</v>
      </c>
      <c r="J25" s="73">
        <f t="shared" ref="J25:J28" si="1">H25*I25</f>
        <v>2100</v>
      </c>
      <c r="K25" s="21"/>
      <c r="L25" s="19" t="s">
        <v>35</v>
      </c>
      <c r="M25" s="62" t="s">
        <v>59</v>
      </c>
      <c r="N25" s="1"/>
      <c r="O25" s="12">
        <v>45524</v>
      </c>
      <c r="P25" s="4"/>
      <c r="Q25" s="87">
        <v>45553</v>
      </c>
      <c r="R25" s="91">
        <v>45548</v>
      </c>
      <c r="S25" s="23">
        <v>45547</v>
      </c>
    </row>
    <row r="26" spans="1:19" s="3" customFormat="1" ht="19.5" customHeight="1" x14ac:dyDescent="0.15">
      <c r="A26" s="44" t="s">
        <v>43</v>
      </c>
      <c r="B26" s="36"/>
      <c r="C26" s="76">
        <v>14</v>
      </c>
      <c r="D26" s="67">
        <f t="shared" ref="D26:D27" si="2">+D25+1</f>
        <v>4</v>
      </c>
      <c r="E26" s="70" t="s">
        <v>32</v>
      </c>
      <c r="F26" s="70" t="s">
        <v>33</v>
      </c>
      <c r="G26" s="71" t="s">
        <v>36</v>
      </c>
      <c r="H26" s="72">
        <v>1</v>
      </c>
      <c r="I26" s="89">
        <v>2100</v>
      </c>
      <c r="J26" s="73">
        <f t="shared" si="1"/>
        <v>2100</v>
      </c>
      <c r="K26" s="21"/>
      <c r="L26" s="19" t="s">
        <v>35</v>
      </c>
      <c r="M26" s="62" t="s">
        <v>59</v>
      </c>
      <c r="N26" s="1"/>
      <c r="O26" s="12">
        <v>45524</v>
      </c>
      <c r="P26" s="4"/>
      <c r="Q26" s="87">
        <v>45553</v>
      </c>
      <c r="R26" s="91">
        <v>45548</v>
      </c>
      <c r="S26" s="23">
        <v>45547</v>
      </c>
    </row>
    <row r="27" spans="1:19" s="3" customFormat="1" ht="19.5" customHeight="1" x14ac:dyDescent="0.15">
      <c r="A27" s="44" t="s">
        <v>29</v>
      </c>
      <c r="B27" s="36"/>
      <c r="C27" s="76">
        <v>14</v>
      </c>
      <c r="D27" s="67">
        <f t="shared" si="2"/>
        <v>5</v>
      </c>
      <c r="E27" s="55" t="s">
        <v>32</v>
      </c>
      <c r="F27" s="70" t="s">
        <v>33</v>
      </c>
      <c r="G27" s="74" t="s">
        <v>37</v>
      </c>
      <c r="H27" s="72">
        <v>1</v>
      </c>
      <c r="I27" s="90">
        <v>980</v>
      </c>
      <c r="J27" s="75">
        <f t="shared" si="1"/>
        <v>980</v>
      </c>
      <c r="K27" s="56"/>
      <c r="L27" s="19" t="s">
        <v>38</v>
      </c>
      <c r="M27" s="62" t="s">
        <v>59</v>
      </c>
      <c r="N27" s="1"/>
      <c r="O27" s="12">
        <v>45524</v>
      </c>
      <c r="P27" s="4"/>
      <c r="Q27" s="87">
        <v>45553</v>
      </c>
      <c r="R27" s="91">
        <v>45548</v>
      </c>
      <c r="S27" s="23">
        <v>45547</v>
      </c>
    </row>
    <row r="28" spans="1:19" s="3" customFormat="1" ht="19.5" customHeight="1" x14ac:dyDescent="0.15">
      <c r="A28" s="44" t="s">
        <v>43</v>
      </c>
      <c r="B28" s="36"/>
      <c r="C28" s="76">
        <v>14</v>
      </c>
      <c r="D28" s="67">
        <f>+D27+1</f>
        <v>6</v>
      </c>
      <c r="E28" s="70" t="s">
        <v>39</v>
      </c>
      <c r="F28" s="70" t="s">
        <v>40</v>
      </c>
      <c r="G28" s="71" t="s">
        <v>41</v>
      </c>
      <c r="H28" s="72">
        <v>1</v>
      </c>
      <c r="I28" s="73">
        <v>9580</v>
      </c>
      <c r="J28" s="73">
        <f t="shared" si="1"/>
        <v>9580</v>
      </c>
      <c r="K28" s="21"/>
      <c r="L28" s="19" t="s">
        <v>42</v>
      </c>
      <c r="M28" s="62" t="s">
        <v>59</v>
      </c>
      <c r="N28" s="1"/>
      <c r="O28" s="12">
        <v>45524</v>
      </c>
      <c r="P28" s="4"/>
      <c r="Q28" s="87">
        <v>45553</v>
      </c>
      <c r="R28" s="91">
        <v>45548</v>
      </c>
      <c r="S28" s="23">
        <v>45547</v>
      </c>
    </row>
    <row r="29" spans="1:19" s="3" customFormat="1" ht="19.5" customHeight="1" x14ac:dyDescent="0.15">
      <c r="C29" s="20"/>
      <c r="D29" s="41"/>
      <c r="E29" s="22"/>
      <c r="F29" s="22"/>
      <c r="G29" s="45"/>
      <c r="H29" s="37"/>
      <c r="I29" s="39"/>
      <c r="J29" s="38"/>
      <c r="K29" s="21"/>
      <c r="L29" s="19"/>
      <c r="M29" s="1"/>
      <c r="N29" s="1"/>
      <c r="O29" s="12"/>
      <c r="P29" s="4"/>
      <c r="Q29" s="2"/>
      <c r="R29" s="32"/>
      <c r="S29" s="33"/>
    </row>
    <row r="30" spans="1:19" s="3" customFormat="1" ht="19.5" customHeight="1" x14ac:dyDescent="0.15">
      <c r="C30" s="20"/>
      <c r="D30" s="41"/>
      <c r="E30" s="22"/>
      <c r="F30" s="22"/>
      <c r="G30" s="46">
        <f>SUM(J25:J28)</f>
        <v>14760</v>
      </c>
      <c r="H30" s="47"/>
      <c r="I30" s="47"/>
      <c r="J30" s="47"/>
      <c r="K30" s="35"/>
      <c r="L30" s="19"/>
      <c r="M30" s="1"/>
      <c r="N30" s="1"/>
      <c r="O30" s="12"/>
      <c r="P30" s="4"/>
      <c r="Q30" s="2"/>
      <c r="R30" s="32"/>
      <c r="S30" s="33"/>
    </row>
    <row r="31" spans="1:19" s="3" customFormat="1" ht="19.5" customHeight="1" x14ac:dyDescent="0.15">
      <c r="C31" s="20"/>
      <c r="D31" s="22"/>
      <c r="E31" s="22"/>
      <c r="F31" s="22"/>
      <c r="G31" s="29"/>
      <c r="H31" s="28"/>
      <c r="I31" s="16"/>
      <c r="J31" s="16"/>
      <c r="K31" s="11"/>
      <c r="L31" s="17"/>
      <c r="M31" s="1"/>
      <c r="N31" s="1"/>
      <c r="O31" s="12"/>
      <c r="P31" s="4"/>
      <c r="Q31" s="2"/>
      <c r="R31" s="32"/>
      <c r="S31" s="33"/>
    </row>
    <row r="32" spans="1:19" s="3" customFormat="1" ht="19.5" customHeight="1" x14ac:dyDescent="0.15">
      <c r="C32" s="20"/>
      <c r="D32" s="22"/>
      <c r="E32" s="22"/>
      <c r="F32" s="22"/>
      <c r="G32" s="29"/>
      <c r="H32" s="28"/>
      <c r="I32" s="16"/>
      <c r="J32" s="16"/>
      <c r="K32" s="11"/>
      <c r="L32" s="17"/>
      <c r="M32" s="1"/>
      <c r="N32" s="1"/>
      <c r="O32" s="12"/>
      <c r="P32" s="4"/>
      <c r="Q32" s="2"/>
      <c r="R32" s="32"/>
      <c r="S32" s="33"/>
    </row>
    <row r="33" spans="3:19" s="3" customFormat="1" ht="19.5" customHeight="1" x14ac:dyDescent="0.15">
      <c r="C33" s="20"/>
      <c r="D33" s="22"/>
      <c r="E33" s="22"/>
      <c r="F33" s="22"/>
      <c r="G33" s="29"/>
      <c r="H33" s="28"/>
      <c r="I33" s="16"/>
      <c r="J33" s="16"/>
      <c r="K33" s="11"/>
      <c r="L33" s="17"/>
      <c r="M33" s="1"/>
      <c r="N33" s="1"/>
      <c r="O33" s="12"/>
      <c r="P33" s="4"/>
      <c r="Q33" s="2"/>
      <c r="R33" s="32"/>
      <c r="S33" s="33"/>
    </row>
    <row r="34" spans="3:19" s="3" customFormat="1" ht="19.5" customHeight="1" x14ac:dyDescent="0.15">
      <c r="C34" s="20"/>
      <c r="D34" s="22"/>
      <c r="E34" s="22"/>
      <c r="F34" s="22"/>
      <c r="G34" s="29"/>
      <c r="H34" s="28"/>
      <c r="I34" s="16"/>
      <c r="J34" s="16"/>
      <c r="K34" s="11"/>
      <c r="L34" s="17"/>
      <c r="M34" s="1"/>
      <c r="N34" s="1"/>
      <c r="O34" s="12"/>
      <c r="P34" s="4"/>
      <c r="Q34" s="2"/>
      <c r="R34" s="32"/>
      <c r="S34" s="33"/>
    </row>
    <row r="35" spans="3:19" s="3" customFormat="1" ht="19.5" customHeight="1" x14ac:dyDescent="0.15">
      <c r="C35" s="20"/>
      <c r="D35" s="22"/>
      <c r="E35" s="22"/>
      <c r="F35" s="22"/>
      <c r="G35" s="29"/>
      <c r="H35" s="28"/>
      <c r="I35" s="16"/>
      <c r="J35" s="16"/>
      <c r="K35" s="11"/>
      <c r="L35" s="17"/>
      <c r="M35" s="1"/>
      <c r="N35" s="1"/>
      <c r="O35" s="12"/>
      <c r="P35" s="4"/>
      <c r="Q35" s="2"/>
      <c r="R35" s="32"/>
      <c r="S35" s="33"/>
    </row>
    <row r="36" spans="3:19" s="3" customFormat="1" ht="19.5" customHeight="1" x14ac:dyDescent="0.15">
      <c r="C36" s="20"/>
      <c r="D36" s="22"/>
      <c r="E36" s="22"/>
      <c r="F36" s="22"/>
      <c r="G36" s="29"/>
      <c r="H36" s="28"/>
      <c r="I36" s="16"/>
      <c r="J36" s="16"/>
      <c r="K36" s="11"/>
      <c r="L36" s="17"/>
      <c r="M36" s="1"/>
      <c r="N36" s="1"/>
      <c r="O36" s="12"/>
      <c r="P36" s="4"/>
      <c r="Q36" s="2"/>
      <c r="R36" s="32"/>
      <c r="S36" s="33"/>
    </row>
    <row r="37" spans="3:19" s="3" customFormat="1" ht="19.5" customHeight="1" x14ac:dyDescent="0.15">
      <c r="C37" s="20"/>
      <c r="D37" s="22"/>
      <c r="E37" s="22"/>
      <c r="F37" s="22"/>
      <c r="G37" s="29"/>
      <c r="H37" s="28"/>
      <c r="I37" s="16"/>
      <c r="J37" s="16"/>
      <c r="K37" s="11"/>
      <c r="L37" s="17"/>
      <c r="M37" s="1"/>
      <c r="N37" s="1"/>
      <c r="O37" s="12"/>
      <c r="P37" s="4"/>
      <c r="Q37" s="2"/>
      <c r="R37" s="32"/>
      <c r="S37" s="33"/>
    </row>
    <row r="38" spans="3:19" s="3" customFormat="1" ht="19.5" customHeight="1" x14ac:dyDescent="0.15">
      <c r="C38" s="20"/>
      <c r="D38" s="22"/>
      <c r="E38" s="22"/>
      <c r="F38" s="22"/>
      <c r="G38" s="29"/>
      <c r="H38" s="28"/>
      <c r="I38" s="16"/>
      <c r="J38" s="16"/>
      <c r="K38" s="11"/>
      <c r="L38" s="17"/>
      <c r="M38" s="1"/>
      <c r="N38" s="1"/>
      <c r="O38" s="12"/>
      <c r="P38" s="4"/>
      <c r="Q38" s="2"/>
      <c r="R38" s="32"/>
      <c r="S38" s="33"/>
    </row>
    <row r="39" spans="3:19" s="3" customFormat="1" ht="19.5" customHeight="1" x14ac:dyDescent="0.15">
      <c r="C39" s="20"/>
      <c r="D39" s="22"/>
      <c r="E39" s="22"/>
      <c r="F39" s="22"/>
      <c r="G39" s="29"/>
      <c r="H39" s="28"/>
      <c r="I39" s="16"/>
      <c r="J39" s="16"/>
      <c r="K39" s="11"/>
      <c r="L39" s="17"/>
      <c r="M39" s="1"/>
      <c r="N39" s="1"/>
      <c r="O39" s="12"/>
      <c r="P39" s="4"/>
      <c r="Q39" s="2"/>
      <c r="R39" s="32"/>
      <c r="S39" s="33"/>
    </row>
    <row r="40" spans="3:19" s="3" customFormat="1" ht="19.5" customHeight="1" x14ac:dyDescent="0.15">
      <c r="C40" s="20"/>
      <c r="D40" s="22"/>
      <c r="E40" s="22"/>
      <c r="F40" s="22"/>
      <c r="G40" s="29"/>
      <c r="H40" s="28"/>
      <c r="I40" s="16"/>
      <c r="J40" s="16"/>
      <c r="K40" s="11"/>
      <c r="L40" s="17"/>
      <c r="M40" s="1"/>
      <c r="N40" s="1"/>
      <c r="O40" s="12"/>
      <c r="P40" s="4"/>
      <c r="Q40" s="2"/>
      <c r="R40" s="32"/>
      <c r="S40" s="33"/>
    </row>
    <row r="41" spans="3:19" s="3" customFormat="1" ht="19.5" customHeight="1" x14ac:dyDescent="0.15">
      <c r="C41" s="20"/>
      <c r="D41" s="22"/>
      <c r="E41" s="22"/>
      <c r="F41" s="22"/>
      <c r="G41" s="29"/>
      <c r="H41" s="28"/>
      <c r="I41" s="16"/>
      <c r="J41" s="16"/>
      <c r="K41" s="11"/>
      <c r="L41" s="17"/>
      <c r="M41" s="1"/>
      <c r="N41" s="1"/>
      <c r="O41" s="12"/>
      <c r="P41" s="4"/>
      <c r="Q41" s="2"/>
      <c r="R41" s="32"/>
      <c r="S41" s="33"/>
    </row>
    <row r="42" spans="3:19" s="3" customFormat="1" ht="19.5" customHeight="1" x14ac:dyDescent="0.15">
      <c r="C42" s="20"/>
      <c r="D42" s="22"/>
      <c r="E42" s="22"/>
      <c r="F42" s="22"/>
      <c r="G42" s="29"/>
      <c r="H42" s="28"/>
      <c r="I42" s="16"/>
      <c r="J42" s="16"/>
      <c r="K42" s="11"/>
      <c r="L42" s="17"/>
      <c r="M42" s="1"/>
      <c r="N42" s="1"/>
      <c r="O42" s="12"/>
      <c r="P42" s="4"/>
      <c r="Q42" s="2"/>
      <c r="R42" s="32"/>
      <c r="S42" s="33"/>
    </row>
    <row r="43" spans="3:19" s="3" customFormat="1" ht="19.5" customHeight="1" x14ac:dyDescent="0.15">
      <c r="C43" s="20"/>
      <c r="D43" s="22"/>
      <c r="E43" s="22"/>
      <c r="F43" s="22"/>
      <c r="G43" s="29"/>
      <c r="H43" s="28"/>
      <c r="I43" s="16"/>
      <c r="J43" s="16"/>
      <c r="K43" s="11"/>
      <c r="L43" s="17"/>
      <c r="M43" s="1"/>
      <c r="N43" s="1"/>
      <c r="O43" s="12"/>
      <c r="P43" s="4"/>
      <c r="Q43" s="2"/>
      <c r="R43" s="32"/>
      <c r="S43" s="33"/>
    </row>
    <row r="44" spans="3:19" s="3" customFormat="1" ht="19.5" customHeight="1" x14ac:dyDescent="0.15">
      <c r="C44" s="20"/>
      <c r="D44" s="22"/>
      <c r="E44" s="22"/>
      <c r="F44" s="22"/>
      <c r="G44" s="29"/>
      <c r="H44" s="28"/>
      <c r="I44" s="16"/>
      <c r="J44" s="16"/>
      <c r="K44" s="11"/>
      <c r="L44" s="17"/>
      <c r="M44" s="1"/>
      <c r="N44" s="1"/>
      <c r="O44" s="12"/>
      <c r="P44" s="4"/>
      <c r="Q44" s="2"/>
      <c r="R44" s="32"/>
      <c r="S44" s="33"/>
    </row>
    <row r="45" spans="3:19" s="3" customFormat="1" ht="19.5" customHeight="1" x14ac:dyDescent="0.15">
      <c r="C45" s="20"/>
      <c r="D45" s="22"/>
      <c r="E45" s="22"/>
      <c r="F45" s="22"/>
      <c r="G45" s="29"/>
      <c r="H45" s="28"/>
      <c r="I45" s="16"/>
      <c r="J45" s="16"/>
      <c r="K45" s="11"/>
      <c r="L45" s="17"/>
      <c r="M45" s="1"/>
      <c r="N45" s="1"/>
      <c r="O45" s="12"/>
      <c r="P45" s="4"/>
      <c r="Q45" s="2"/>
      <c r="R45" s="32"/>
      <c r="S45" s="33"/>
    </row>
    <row r="46" spans="3:19" s="3" customFormat="1" ht="19.5" customHeight="1" x14ac:dyDescent="0.15">
      <c r="C46" s="20"/>
      <c r="D46" s="22"/>
      <c r="E46" s="22"/>
      <c r="F46" s="22"/>
      <c r="G46" s="29"/>
      <c r="H46" s="28"/>
      <c r="I46" s="16"/>
      <c r="J46" s="16"/>
      <c r="K46" s="11"/>
      <c r="L46" s="17"/>
      <c r="M46" s="1"/>
      <c r="N46" s="1"/>
      <c r="O46" s="12"/>
      <c r="P46" s="4"/>
      <c r="Q46" s="2"/>
      <c r="R46" s="32"/>
      <c r="S46" s="33"/>
    </row>
    <row r="47" spans="3:19" s="3" customFormat="1" ht="19.5" customHeight="1" x14ac:dyDescent="0.15">
      <c r="C47" s="20"/>
      <c r="D47" s="22"/>
      <c r="E47" s="22"/>
      <c r="F47" s="22"/>
      <c r="G47" s="29"/>
      <c r="H47" s="28"/>
      <c r="I47" s="16"/>
      <c r="J47" s="16"/>
      <c r="K47" s="11"/>
      <c r="L47" s="17"/>
      <c r="M47" s="1"/>
      <c r="N47" s="1"/>
      <c r="O47" s="12"/>
      <c r="P47" s="4"/>
      <c r="Q47" s="2"/>
      <c r="R47" s="32"/>
      <c r="S47" s="33"/>
    </row>
    <row r="48" spans="3:19" s="3" customFormat="1" ht="19.5" customHeight="1" x14ac:dyDescent="0.15">
      <c r="C48" s="20"/>
      <c r="D48" s="22"/>
      <c r="E48" s="22"/>
      <c r="F48" s="22"/>
      <c r="G48" s="29"/>
      <c r="H48" s="28"/>
      <c r="I48" s="16"/>
      <c r="J48" s="16"/>
      <c r="K48" s="11"/>
      <c r="L48" s="17"/>
      <c r="M48" s="1"/>
      <c r="N48" s="1"/>
      <c r="O48" s="12"/>
      <c r="P48" s="4"/>
      <c r="Q48" s="2"/>
      <c r="R48" s="32"/>
      <c r="S48" s="33"/>
    </row>
    <row r="49" spans="3:19" s="3" customFormat="1" ht="19.5" customHeight="1" x14ac:dyDescent="0.15">
      <c r="C49" s="20"/>
      <c r="D49" s="22"/>
      <c r="E49" s="22"/>
      <c r="F49" s="22"/>
      <c r="G49" s="29"/>
      <c r="H49" s="28"/>
      <c r="I49" s="16"/>
      <c r="J49" s="16"/>
      <c r="K49" s="11"/>
      <c r="L49" s="17"/>
      <c r="M49" s="1"/>
      <c r="N49" s="1"/>
      <c r="O49" s="12"/>
      <c r="P49" s="4"/>
      <c r="Q49" s="2"/>
      <c r="R49" s="32"/>
      <c r="S49" s="33"/>
    </row>
    <row r="50" spans="3:19" s="3" customFormat="1" ht="19.5" customHeight="1" x14ac:dyDescent="0.15">
      <c r="C50" s="20"/>
      <c r="D50" s="22"/>
      <c r="E50" s="22"/>
      <c r="F50" s="22"/>
      <c r="G50" s="29"/>
      <c r="H50" s="28"/>
      <c r="I50" s="16"/>
      <c r="J50" s="16"/>
      <c r="K50" s="11"/>
      <c r="L50" s="17"/>
      <c r="M50" s="1"/>
      <c r="N50" s="1"/>
      <c r="O50" s="12"/>
      <c r="P50" s="4"/>
      <c r="Q50" s="2"/>
      <c r="R50" s="32"/>
      <c r="S50" s="33"/>
    </row>
    <row r="51" spans="3:19" s="3" customFormat="1" ht="19.5" customHeight="1" x14ac:dyDescent="0.15">
      <c r="C51" s="20"/>
      <c r="D51" s="22"/>
      <c r="E51" s="22"/>
      <c r="F51" s="22"/>
      <c r="G51" s="29"/>
      <c r="H51" s="28"/>
      <c r="I51" s="16"/>
      <c r="J51" s="16"/>
      <c r="K51" s="11"/>
      <c r="L51" s="17"/>
      <c r="M51" s="1"/>
      <c r="N51" s="1"/>
      <c r="O51" s="12"/>
      <c r="P51" s="4"/>
      <c r="Q51" s="2"/>
      <c r="R51" s="32"/>
      <c r="S51" s="33"/>
    </row>
    <row r="52" spans="3:19" s="3" customFormat="1" ht="19.5" customHeight="1" x14ac:dyDescent="0.15">
      <c r="C52" s="20"/>
      <c r="D52" s="22"/>
      <c r="E52" s="22"/>
      <c r="F52" s="22"/>
      <c r="G52" s="29"/>
      <c r="H52" s="28"/>
      <c r="I52" s="16"/>
      <c r="J52" s="16"/>
      <c r="K52" s="11"/>
      <c r="L52" s="17"/>
      <c r="M52" s="1"/>
      <c r="N52" s="1"/>
      <c r="O52" s="12"/>
      <c r="P52" s="4"/>
      <c r="Q52" s="2"/>
      <c r="R52" s="32"/>
      <c r="S52" s="33"/>
    </row>
    <row r="53" spans="3:19" s="3" customFormat="1" ht="19.5" customHeight="1" x14ac:dyDescent="0.15">
      <c r="C53" s="20"/>
      <c r="D53" s="22"/>
      <c r="E53" s="22"/>
      <c r="F53" s="22"/>
      <c r="G53" s="29"/>
      <c r="H53" s="28"/>
      <c r="I53" s="16"/>
      <c r="J53" s="16"/>
      <c r="K53" s="11"/>
      <c r="L53" s="17"/>
      <c r="M53" s="1"/>
      <c r="N53" s="1"/>
      <c r="O53" s="12"/>
      <c r="P53" s="4"/>
      <c r="Q53" s="2"/>
      <c r="R53" s="32"/>
      <c r="S53" s="33"/>
    </row>
    <row r="54" spans="3:19" s="3" customFormat="1" ht="19.5" customHeight="1" x14ac:dyDescent="0.15">
      <c r="C54" s="20"/>
      <c r="D54" s="22"/>
      <c r="E54" s="22"/>
      <c r="F54" s="22"/>
      <c r="G54" s="29"/>
      <c r="H54" s="28"/>
      <c r="I54" s="16"/>
      <c r="J54" s="16"/>
      <c r="K54" s="11"/>
      <c r="L54" s="17"/>
      <c r="M54" s="1"/>
      <c r="N54" s="1"/>
      <c r="O54" s="12"/>
      <c r="P54" s="4"/>
      <c r="Q54" s="2"/>
      <c r="R54" s="32"/>
      <c r="S54" s="33"/>
    </row>
    <row r="55" spans="3:19" s="3" customFormat="1" ht="19.5" customHeight="1" x14ac:dyDescent="0.15">
      <c r="C55" s="20"/>
      <c r="D55" s="22"/>
      <c r="E55" s="22"/>
      <c r="F55" s="22"/>
      <c r="G55" s="29"/>
      <c r="H55" s="28"/>
      <c r="I55" s="16"/>
      <c r="J55" s="16"/>
      <c r="K55" s="11"/>
      <c r="L55" s="17"/>
      <c r="M55" s="1"/>
      <c r="N55" s="1"/>
      <c r="O55" s="12"/>
      <c r="P55" s="4"/>
      <c r="Q55" s="2"/>
      <c r="R55" s="32"/>
      <c r="S55" s="33"/>
    </row>
    <row r="56" spans="3:19" s="3" customFormat="1" ht="19.5" customHeight="1" x14ac:dyDescent="0.15">
      <c r="C56" s="20"/>
      <c r="D56" s="22"/>
      <c r="E56" s="22"/>
      <c r="F56" s="22"/>
      <c r="G56" s="29"/>
      <c r="H56" s="28"/>
      <c r="I56" s="16"/>
      <c r="J56" s="16"/>
      <c r="K56" s="11"/>
      <c r="L56" s="17"/>
      <c r="M56" s="1"/>
      <c r="N56" s="1"/>
      <c r="O56" s="12"/>
      <c r="P56" s="4"/>
      <c r="Q56" s="2"/>
      <c r="R56" s="32"/>
      <c r="S56" s="33"/>
    </row>
    <row r="57" spans="3:19" s="3" customFormat="1" ht="19.5" customHeight="1" x14ac:dyDescent="0.15">
      <c r="C57" s="20"/>
      <c r="D57" s="22"/>
      <c r="E57" s="22"/>
      <c r="F57" s="22"/>
      <c r="G57" s="29"/>
      <c r="H57" s="28"/>
      <c r="I57" s="16"/>
      <c r="J57" s="16"/>
      <c r="K57" s="11"/>
      <c r="L57" s="17"/>
      <c r="M57" s="1"/>
      <c r="N57" s="1"/>
      <c r="O57" s="12"/>
      <c r="P57" s="4"/>
      <c r="Q57" s="2"/>
      <c r="R57" s="32"/>
      <c r="S57" s="33"/>
    </row>
    <row r="58" spans="3:19" s="3" customFormat="1" ht="19.5" customHeight="1" x14ac:dyDescent="0.15">
      <c r="C58" s="20"/>
      <c r="D58" s="22"/>
      <c r="E58" s="22"/>
      <c r="F58" s="22"/>
      <c r="G58" s="29"/>
      <c r="H58" s="28"/>
      <c r="I58" s="16"/>
      <c r="J58" s="16"/>
      <c r="K58" s="11"/>
      <c r="L58" s="17"/>
      <c r="M58" s="1"/>
      <c r="N58" s="1"/>
      <c r="O58" s="12"/>
      <c r="P58" s="4"/>
      <c r="Q58" s="2"/>
      <c r="R58" s="32"/>
      <c r="S58" s="33"/>
    </row>
    <row r="59" spans="3:19" s="3" customFormat="1" ht="19.5" customHeight="1" x14ac:dyDescent="0.15">
      <c r="C59" s="20"/>
      <c r="D59" s="22"/>
      <c r="E59" s="22"/>
      <c r="F59" s="22"/>
      <c r="G59" s="29"/>
      <c r="H59" s="28"/>
      <c r="I59" s="16"/>
      <c r="J59" s="16"/>
      <c r="K59" s="11"/>
      <c r="L59" s="17"/>
      <c r="M59" s="1"/>
      <c r="N59" s="1"/>
      <c r="O59" s="12"/>
      <c r="P59" s="4"/>
      <c r="Q59" s="2"/>
      <c r="R59" s="32"/>
      <c r="S59" s="33"/>
    </row>
    <row r="60" spans="3:19" s="3" customFormat="1" ht="19.5" customHeight="1" x14ac:dyDescent="0.15">
      <c r="C60" s="20"/>
      <c r="D60" s="22"/>
      <c r="E60" s="22"/>
      <c r="F60" s="22"/>
      <c r="G60" s="29"/>
      <c r="H60" s="28"/>
      <c r="I60" s="16"/>
      <c r="J60" s="16"/>
      <c r="K60" s="11"/>
      <c r="L60" s="17"/>
      <c r="M60" s="1"/>
      <c r="N60" s="1"/>
      <c r="O60" s="12"/>
      <c r="P60" s="4"/>
      <c r="Q60" s="2"/>
      <c r="R60" s="32"/>
      <c r="S60" s="33"/>
    </row>
    <row r="61" spans="3:19" ht="18" customHeight="1" x14ac:dyDescent="0.15">
      <c r="C61" s="20"/>
      <c r="D61" s="1"/>
      <c r="E61" s="4"/>
      <c r="F61" s="4"/>
      <c r="G61" s="13"/>
      <c r="H61" s="14"/>
      <c r="I61" s="14"/>
      <c r="J61" s="16"/>
      <c r="K61" s="2"/>
      <c r="L61" s="13"/>
      <c r="M61" s="6"/>
      <c r="N61" s="1"/>
      <c r="O61" s="12"/>
      <c r="P61" s="18"/>
      <c r="Q61" s="2"/>
      <c r="R61" s="32"/>
      <c r="S61" s="23"/>
    </row>
    <row r="62" spans="3:19" ht="18" customHeight="1" x14ac:dyDescent="0.15">
      <c r="C62" s="20"/>
      <c r="D62" s="1"/>
      <c r="E62" s="1"/>
      <c r="F62" s="1"/>
      <c r="G62" s="6" t="s">
        <v>22</v>
      </c>
      <c r="H62" s="16"/>
      <c r="I62" s="16"/>
      <c r="J62" s="16">
        <f>H62*I62</f>
        <v>0</v>
      </c>
      <c r="K62" s="11"/>
      <c r="L62" s="13" t="s">
        <v>23</v>
      </c>
      <c r="M62" s="18"/>
      <c r="N62" s="1"/>
      <c r="O62" s="12"/>
      <c r="P62" s="18"/>
      <c r="Q62" s="2"/>
      <c r="R62" s="32"/>
      <c r="S62" s="33"/>
    </row>
    <row r="63" spans="3:19" ht="18" customHeight="1" x14ac:dyDescent="0.15">
      <c r="C63" s="20"/>
      <c r="D63" s="1"/>
      <c r="E63" s="4"/>
      <c r="F63" s="4"/>
      <c r="G63" s="6" t="s">
        <v>23</v>
      </c>
      <c r="H63" s="16"/>
      <c r="I63" s="16">
        <v>5000</v>
      </c>
      <c r="J63" s="16">
        <f>H63*I63</f>
        <v>0</v>
      </c>
      <c r="K63" s="11"/>
      <c r="L63" s="13" t="s">
        <v>24</v>
      </c>
      <c r="M63" s="18"/>
      <c r="N63" s="1"/>
      <c r="O63" s="1"/>
      <c r="P63" s="18"/>
      <c r="Q63" s="2"/>
      <c r="R63" s="33"/>
      <c r="S63" s="33"/>
    </row>
    <row r="64" spans="3:19" ht="18" customHeight="1" x14ac:dyDescent="0.15">
      <c r="C64" s="20"/>
      <c r="D64" s="1"/>
      <c r="E64" s="4"/>
      <c r="F64" s="4"/>
      <c r="G64" s="6" t="s">
        <v>24</v>
      </c>
      <c r="H64" s="16"/>
      <c r="I64" s="16"/>
      <c r="J64" s="16">
        <f>H64*I64</f>
        <v>0</v>
      </c>
      <c r="K64" s="11"/>
      <c r="L64" s="5"/>
      <c r="M64" s="18"/>
      <c r="N64" s="1"/>
      <c r="O64" s="1"/>
      <c r="P64" s="18"/>
      <c r="Q64" s="2"/>
      <c r="R64" s="33"/>
      <c r="S64" s="33"/>
    </row>
    <row r="65" spans="3:19" ht="18" customHeight="1" x14ac:dyDescent="0.15">
      <c r="C65" s="20"/>
      <c r="D65" s="1"/>
      <c r="E65" s="4"/>
      <c r="F65" s="4"/>
      <c r="G65" s="99"/>
      <c r="H65" s="100"/>
      <c r="I65" s="100"/>
      <c r="J65" s="101"/>
      <c r="K65" s="7"/>
      <c r="L65" s="15"/>
      <c r="M65" s="18"/>
      <c r="N65" s="1"/>
      <c r="O65" s="1"/>
      <c r="P65" s="18"/>
      <c r="Q65" s="2"/>
      <c r="R65" s="33"/>
      <c r="S65" s="33"/>
    </row>
    <row r="66" spans="3:19" ht="18" customHeight="1" x14ac:dyDescent="0.15"/>
    <row r="67" spans="3:19" ht="18" customHeight="1" x14ac:dyDescent="0.15"/>
  </sheetData>
  <autoFilter ref="A10:S30" xr:uid="{45795B11-EA03-4D9F-B7D5-933EB783FCD2}"/>
  <mergeCells count="13">
    <mergeCell ref="L7:M7"/>
    <mergeCell ref="G65:J65"/>
    <mergeCell ref="D6:F6"/>
    <mergeCell ref="E24:G24"/>
    <mergeCell ref="E18:G18"/>
    <mergeCell ref="E12:G12"/>
    <mergeCell ref="D2:F2"/>
    <mergeCell ref="I2:K2"/>
    <mergeCell ref="D3:F3"/>
    <mergeCell ref="D4:F4"/>
    <mergeCell ref="I4:L5"/>
    <mergeCell ref="D5:F5"/>
    <mergeCell ref="H5:H6"/>
  </mergeCells>
  <phoneticPr fontId="9"/>
  <dataValidations count="1">
    <dataValidation imeMode="hiragana" allowBlank="1" showInputMessage="1" showErrorMessage="1" sqref="L13" xr:uid="{ACC76432-6B2F-461D-9427-E0FF277C05C3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E26" sqref="E26"/>
    </sheetView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SETB0230-A01 (20240807)　②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2024-09-12T05:36:56Z</dcterms:modified>
</cp:coreProperties>
</file>