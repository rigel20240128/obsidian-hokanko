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2C64E1C-8AB5-4798-9951-EF8BB12873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16266　①" sheetId="5" r:id="rId1"/>
    <sheet name="Sheet2" sheetId="2" r:id="rId2"/>
    <sheet name="Sheet3" sheetId="3" r:id="rId3"/>
  </sheets>
  <definedNames>
    <definedName name="_xlnm._FilterDatabase" localSheetId="0" hidden="1">'216266　①'!$D$8:$Q$26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1" i="5" s="1"/>
  <c r="D12" i="5" s="1"/>
  <c r="D13" i="5" s="1"/>
  <c r="D14" i="5" s="1"/>
  <c r="D15" i="5" s="1"/>
  <c r="D16" i="5" s="1"/>
  <c r="C10" i="5"/>
  <c r="C11" i="5" s="1"/>
  <c r="C12" i="5" s="1"/>
  <c r="C13" i="5" s="1"/>
  <c r="C14" i="5" s="1"/>
  <c r="C15" i="5" s="1"/>
  <c r="J26" i="5"/>
  <c r="J25" i="5"/>
  <c r="J24" i="5"/>
  <c r="J23" i="5"/>
  <c r="J22" i="5"/>
  <c r="J21" i="5"/>
  <c r="J20" i="5"/>
  <c r="J17" i="5"/>
  <c r="J16" i="5"/>
  <c r="J15" i="5"/>
  <c r="J14" i="5"/>
  <c r="J13" i="5"/>
  <c r="J12" i="5"/>
  <c r="J11" i="5"/>
  <c r="J10" i="5"/>
  <c r="J9" i="5"/>
  <c r="G18" i="5" l="1"/>
  <c r="L2" i="5"/>
</calcChain>
</file>

<file path=xl/sharedStrings.xml><?xml version="1.0" encoding="utf-8"?>
<sst xmlns="http://schemas.openxmlformats.org/spreadsheetml/2006/main" count="56" uniqueCount="38">
  <si>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</si>
  <si>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</si>
  <si>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</si>
  <si>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</si>
  <si>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</si>
  <si>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</si>
  <si>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</si>
  <si>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</si>
  <si>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</si>
  <si>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</si>
  <si>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</si>
  <si>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</si>
  <si>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</si>
  <si>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</si>
  <si>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</si>
  <si>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</si>
  <si>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</si>
  <si>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</si>
  <si>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</si>
  <si>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</si>
  <si>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</si>
  <si>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蛇の目</t>
    <rPh sb="0" eb="1">
      <t>ジャ</t>
    </rPh>
    <rPh sb="2" eb="3">
      <t>メ</t>
    </rPh>
    <phoneticPr fontId="2"/>
  </si>
  <si>
    <t>荷造り運賃</t>
    <rPh sb="0" eb="1">
      <t>ニ</t>
    </rPh>
    <rPh sb="1" eb="2">
      <t>ツク</t>
    </rPh>
    <rPh sb="3" eb="5">
      <t>ウンチン</t>
    </rPh>
    <phoneticPr fontId="2"/>
  </si>
  <si>
    <r>
      <t>卓上型ロボット</t>
    </r>
    <r>
      <rPr>
        <sz val="11"/>
        <color indexed="8"/>
        <rFont val="ＭＳ Ｐゴシック"/>
        <family val="3"/>
        <charset val="128"/>
      </rPr>
      <t>JR3000シリーズ(３軸）</t>
    </r>
    <rPh sb="0" eb="2">
      <t>タクジョウ</t>
    </rPh>
    <rPh sb="2" eb="3">
      <t>ガタ</t>
    </rPh>
    <rPh sb="19" eb="20">
      <t>ジク</t>
    </rPh>
    <phoneticPr fontId="2"/>
  </si>
  <si>
    <t>B仕様 オプションスイッチ付(捨て打ちSW）</t>
    <rPh sb="1" eb="3">
      <t>シヨウ</t>
    </rPh>
    <rPh sb="13" eb="14">
      <t>ツキ</t>
    </rPh>
    <rPh sb="15" eb="16">
      <t>ス</t>
    </rPh>
    <rPh sb="17" eb="18">
      <t>ウ</t>
    </rPh>
    <phoneticPr fontId="2"/>
  </si>
  <si>
    <t>I/O-1増設費用（オプション）</t>
    <rPh sb="5" eb="7">
      <t>ゾウセツ</t>
    </rPh>
    <rPh sb="7" eb="9">
      <t>ヒヨウ</t>
    </rPh>
    <phoneticPr fontId="2"/>
  </si>
  <si>
    <t>I/O-S増設費用（オプション）</t>
    <rPh sb="5" eb="7">
      <t>ゾウセツ</t>
    </rPh>
    <rPh sb="7" eb="9">
      <t>ヒヨウ</t>
    </rPh>
    <phoneticPr fontId="2"/>
  </si>
  <si>
    <t>COM2増設費用（オプション）</t>
    <rPh sb="4" eb="6">
      <t>ゾウセツ</t>
    </rPh>
    <rPh sb="6" eb="8">
      <t>ヒヨウ</t>
    </rPh>
    <phoneticPr fontId="2"/>
  </si>
  <si>
    <t>COM3増設費用（オプション）</t>
    <rPh sb="4" eb="6">
      <t>ゾウセツ</t>
    </rPh>
    <rPh sb="6" eb="8">
      <t>ヒヨウ</t>
    </rPh>
    <phoneticPr fontId="2"/>
  </si>
  <si>
    <t>卓上型ロボット ＪＲ3403 片持ち 外部スイッチ仕様（NPN）</t>
    <rPh sb="0" eb="2">
      <t>タクジョウ</t>
    </rPh>
    <rPh sb="2" eb="3">
      <t>ガタ</t>
    </rPh>
    <rPh sb="15" eb="17">
      <t>カタモ</t>
    </rPh>
    <rPh sb="19" eb="21">
      <t>ガイブ</t>
    </rPh>
    <rPh sb="25" eb="27">
      <t>シヨウ</t>
    </rPh>
    <phoneticPr fontId="2"/>
  </si>
  <si>
    <t>岸</t>
    <rPh sb="0" eb="1">
      <t>キシ</t>
    </rPh>
    <phoneticPr fontId="2"/>
  </si>
  <si>
    <t>TDK（株）　(株式会社 システムインアート）</t>
    <rPh sb="3" eb="6">
      <t>カブ</t>
    </rPh>
    <phoneticPr fontId="2"/>
  </si>
  <si>
    <t>JR3000用ﾃｨｰﾁﾝｸﾞﾎﾞｯｸｽ　</t>
    <phoneticPr fontId="2"/>
  </si>
  <si>
    <t>JR3-TB2</t>
    <phoneticPr fontId="2"/>
  </si>
  <si>
    <t>組立課へ組立指示、在庫引当</t>
    <phoneticPr fontId="2"/>
  </si>
  <si>
    <t>JR3403N+日本パワード2連カート</t>
    <phoneticPr fontId="2"/>
  </si>
  <si>
    <t>①</t>
    <phoneticPr fontId="10"/>
  </si>
  <si>
    <t>SET手配のﾁｬｰﾀｰ便に変更</t>
    <rPh sb="3" eb="5">
      <t>テハイ</t>
    </rPh>
    <rPh sb="11" eb="12">
      <t>ビン</t>
    </rPh>
    <rPh sb="13" eb="15">
      <t>ヘンコウ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</si>
</sst>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7030A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56" fontId="7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176" fontId="0" fillId="3" borderId="1" xfId="0" applyNumberFormat="1" applyFill="1" applyBorder="1">
      <alignment vertical="center"/>
    </xf>
    <xf numFmtId="0" fontId="0" fillId="3" borderId="2" xfId="0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3" fontId="0" fillId="4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3" fontId="0" fillId="0" borderId="2" xfId="0" applyNumberFormat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80" fontId="0" fillId="6" borderId="1" xfId="0" applyNumberFormat="1" applyFill="1" applyBorder="1" applyAlignment="1">
      <alignment horizontal="right" vertical="center"/>
    </xf>
    <xf numFmtId="176" fontId="7" fillId="6" borderId="1" xfId="0" applyNumberFormat="1" applyFont="1" applyFill="1" applyBorder="1" applyAlignment="1">
      <alignment horizontal="right" vertical="center"/>
    </xf>
    <xf numFmtId="176" fontId="7" fillId="6" borderId="1" xfId="0" applyNumberFormat="1" applyFont="1" applyFill="1" applyBorder="1">
      <alignment vertical="center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8B80-EBC2-4501-BCB1-A120F1FF391B}">
  <dimension ref="A2:S65"/>
  <sheetViews>
    <sheetView tabSelected="1" topLeftCell="F1" zoomScale="85" zoomScaleNormal="85" workbookViewId="0">
      <selection activeCell="S10" sqref="S10:S11"/>
    </sheetView>
  </sheetViews>
  <sheetFormatPr defaultRowHeight="13.5" x14ac:dyDescent="0.15"/>
  <cols>
    <col min="3" max="3" width="8.375" customWidth="1"/>
    <col min="4" max="4" width="8.625" style="3" customWidth="1"/>
    <col min="5" max="6" width="20.75" customWidth="1"/>
    <col min="7" max="7" width="52.625" customWidth="1"/>
    <col min="8" max="8" width="6.25" customWidth="1"/>
    <col min="9" max="10" width="9.875" bestFit="1" customWidth="1"/>
    <col min="11" max="11" width="5.75" style="9" customWidth="1"/>
    <col min="12" max="12" width="31" customWidth="1"/>
    <col min="13" max="13" width="39.25" customWidth="1"/>
    <col min="14" max="14" width="29.625" style="3" customWidth="1"/>
    <col min="15" max="15" width="13.75" style="11" customWidth="1"/>
    <col min="16" max="16" width="6.375" customWidth="1"/>
    <col min="17" max="17" width="13.25" style="9" customWidth="1"/>
    <col min="18" max="18" width="14.5" style="13" customWidth="1"/>
    <col min="19" max="19" width="15.625" style="14" customWidth="1"/>
  </cols>
  <sheetData>
    <row r="2" spans="3:19" ht="20.100000000000001" customHeight="1" x14ac:dyDescent="0.15">
      <c r="D2" s="56" t="s">
        <v>10</v>
      </c>
      <c r="E2" s="56"/>
      <c r="F2" s="56"/>
      <c r="G2" s="10" t="s">
        <v>31</v>
      </c>
      <c r="I2" s="59" t="s">
        <v>14</v>
      </c>
      <c r="J2" s="60"/>
      <c r="K2" s="61"/>
      <c r="L2" s="8">
        <f>SUM(J:J)</f>
        <v>915125</v>
      </c>
    </row>
    <row r="3" spans="3:19" ht="20.100000000000001" customHeight="1" x14ac:dyDescent="0.15">
      <c r="D3" s="56" t="s">
        <v>9</v>
      </c>
      <c r="E3" s="56"/>
      <c r="F3" s="56"/>
      <c r="G3" s="6" t="s">
        <v>30</v>
      </c>
    </row>
    <row r="4" spans="3:19" ht="20.100000000000001" customHeight="1" x14ac:dyDescent="0.15">
      <c r="D4" s="56" t="s">
        <v>11</v>
      </c>
      <c r="E4" s="56"/>
      <c r="F4" s="56"/>
      <c r="G4" s="6">
        <v>216266</v>
      </c>
    </row>
    <row r="5" spans="3:19" ht="20.100000000000001" customHeight="1" x14ac:dyDescent="0.15">
      <c r="D5" s="56" t="s">
        <v>12</v>
      </c>
      <c r="E5" s="56"/>
      <c r="F5" s="56"/>
      <c r="G5" s="7">
        <v>45510</v>
      </c>
      <c r="J5" s="57" t="s">
        <v>36</v>
      </c>
      <c r="L5" t="s">
        <v>35</v>
      </c>
    </row>
    <row r="6" spans="3:19" ht="20.100000000000001" customHeight="1" x14ac:dyDescent="0.15">
      <c r="D6" s="56" t="s">
        <v>13</v>
      </c>
      <c r="E6" s="56"/>
      <c r="F6" s="56"/>
      <c r="G6" s="7">
        <v>45511</v>
      </c>
      <c r="J6" s="58"/>
    </row>
    <row r="7" spans="3:19" x14ac:dyDescent="0.15">
      <c r="H7" s="1"/>
    </row>
    <row r="8" spans="3:19" s="3" customFormat="1" ht="19.899999999999999" customHeight="1" x14ac:dyDescent="0.15">
      <c r="D8" s="4" t="s">
        <v>3</v>
      </c>
      <c r="E8" s="4" t="s">
        <v>8</v>
      </c>
      <c r="F8" s="4" t="s">
        <v>4</v>
      </c>
      <c r="G8" s="1" t="s">
        <v>7</v>
      </c>
      <c r="H8" s="1"/>
      <c r="I8" s="1" t="s">
        <v>0</v>
      </c>
      <c r="J8" s="2" t="s">
        <v>1</v>
      </c>
      <c r="K8" s="2" t="s">
        <v>17</v>
      </c>
      <c r="L8" s="1" t="s">
        <v>2</v>
      </c>
      <c r="M8" s="1" t="s">
        <v>16</v>
      </c>
      <c r="N8" s="1" t="s">
        <v>15</v>
      </c>
      <c r="O8" s="12" t="s">
        <v>5</v>
      </c>
      <c r="P8" s="4" t="s">
        <v>18</v>
      </c>
      <c r="Q8" s="1" t="s">
        <v>6</v>
      </c>
      <c r="R8" s="12" t="s">
        <v>19</v>
      </c>
      <c r="S8" s="15" t="s">
        <v>20</v>
      </c>
    </row>
    <row r="9" spans="3:19" s="3" customFormat="1" ht="19.899999999999999" customHeight="1" x14ac:dyDescent="0.15">
      <c r="C9" s="1">
        <v>1</v>
      </c>
      <c r="D9" s="1">
        <v>1</v>
      </c>
      <c r="E9" s="4" t="s">
        <v>21</v>
      </c>
      <c r="F9" s="4" t="s">
        <v>21</v>
      </c>
      <c r="G9" s="16" t="s">
        <v>29</v>
      </c>
      <c r="H9" s="17">
        <v>1</v>
      </c>
      <c r="I9" s="43">
        <v>817000</v>
      </c>
      <c r="J9" s="41">
        <f t="shared" ref="J9:J21" si="0">H9*I9</f>
        <v>817000</v>
      </c>
      <c r="K9" s="2"/>
      <c r="L9" s="16" t="s">
        <v>23</v>
      </c>
      <c r="M9" s="55"/>
      <c r="N9" s="1"/>
      <c r="O9" s="22">
        <v>45481</v>
      </c>
      <c r="P9" s="19"/>
      <c r="Q9" s="27">
        <v>45511</v>
      </c>
      <c r="R9" s="27">
        <v>45511</v>
      </c>
      <c r="S9" s="23">
        <v>45512</v>
      </c>
    </row>
    <row r="10" spans="3:19" s="3" customFormat="1" ht="19.899999999999999" customHeight="1" x14ac:dyDescent="0.15">
      <c r="C10" s="1">
        <f>+C9+1</f>
        <v>2</v>
      </c>
      <c r="D10" s="1">
        <f>+D9+1</f>
        <v>2</v>
      </c>
      <c r="E10" s="4" t="s">
        <v>21</v>
      </c>
      <c r="F10" s="4" t="s">
        <v>21</v>
      </c>
      <c r="G10" s="16" t="s">
        <v>32</v>
      </c>
      <c r="H10" s="17">
        <v>1</v>
      </c>
      <c r="I10" s="42">
        <v>50000</v>
      </c>
      <c r="J10" s="45">
        <f t="shared" si="0"/>
        <v>50000</v>
      </c>
      <c r="K10" s="2"/>
      <c r="L10" s="16" t="s">
        <v>33</v>
      </c>
      <c r="M10" s="53"/>
      <c r="N10" s="1"/>
      <c r="O10" s="22">
        <v>45481</v>
      </c>
      <c r="P10" s="19"/>
      <c r="Q10" s="27">
        <v>45511</v>
      </c>
      <c r="R10" s="27">
        <v>45511</v>
      </c>
      <c r="S10" s="23">
        <v>45512</v>
      </c>
    </row>
    <row r="11" spans="3:19" s="3" customFormat="1" ht="19.899999999999999" customHeight="1" x14ac:dyDescent="0.15">
      <c r="C11" s="1">
        <f t="shared" ref="C11:D16" si="1">+C10+1</f>
        <v>3</v>
      </c>
      <c r="D11" s="1">
        <f t="shared" si="1"/>
        <v>3</v>
      </c>
      <c r="E11" s="4" t="s">
        <v>21</v>
      </c>
      <c r="F11" s="4" t="s">
        <v>21</v>
      </c>
      <c r="G11" s="16" t="s">
        <v>24</v>
      </c>
      <c r="H11" s="17">
        <v>1</v>
      </c>
      <c r="I11" s="43">
        <v>40000</v>
      </c>
      <c r="J11" s="41">
        <f t="shared" si="0"/>
        <v>40000</v>
      </c>
      <c r="K11" s="2"/>
      <c r="L11" s="1"/>
      <c r="M11" s="53"/>
      <c r="N11" s="1"/>
      <c r="O11" s="22">
        <v>45481</v>
      </c>
      <c r="P11" s="19"/>
      <c r="Q11" s="27">
        <v>45511</v>
      </c>
      <c r="R11" s="27">
        <v>45511</v>
      </c>
      <c r="S11" s="23">
        <v>45512</v>
      </c>
    </row>
    <row r="12" spans="3:19" s="3" customFormat="1" ht="19.899999999999999" customHeight="1" x14ac:dyDescent="0.15">
      <c r="C12" s="1">
        <f t="shared" si="1"/>
        <v>4</v>
      </c>
      <c r="D12" s="1">
        <f t="shared" si="1"/>
        <v>4</v>
      </c>
      <c r="E12" s="48" t="s">
        <v>21</v>
      </c>
      <c r="F12" s="48" t="s">
        <v>21</v>
      </c>
      <c r="G12" s="49" t="s">
        <v>26</v>
      </c>
      <c r="H12" s="50"/>
      <c r="I12" s="51">
        <v>3500</v>
      </c>
      <c r="J12" s="52">
        <f t="shared" si="0"/>
        <v>0</v>
      </c>
      <c r="K12" s="2"/>
      <c r="L12" s="18"/>
      <c r="M12" s="54" t="s">
        <v>34</v>
      </c>
      <c r="N12" s="47"/>
      <c r="O12" s="22"/>
      <c r="P12" s="19"/>
      <c r="Q12" s="27"/>
      <c r="R12" s="27"/>
      <c r="S12" s="23"/>
    </row>
    <row r="13" spans="3:19" s="3" customFormat="1" ht="19.899999999999999" customHeight="1" x14ac:dyDescent="0.15">
      <c r="C13" s="1">
        <f t="shared" si="1"/>
        <v>5</v>
      </c>
      <c r="D13" s="1">
        <f t="shared" si="1"/>
        <v>5</v>
      </c>
      <c r="E13" s="48" t="s">
        <v>21</v>
      </c>
      <c r="F13" s="48" t="s">
        <v>21</v>
      </c>
      <c r="G13" s="49" t="s">
        <v>25</v>
      </c>
      <c r="H13" s="50"/>
      <c r="I13" s="51">
        <v>3500</v>
      </c>
      <c r="J13" s="52">
        <f>H13*I13</f>
        <v>0</v>
      </c>
      <c r="K13" s="2"/>
      <c r="L13" s="18"/>
      <c r="M13" s="54" t="s">
        <v>34</v>
      </c>
      <c r="N13" s="47"/>
      <c r="O13" s="22"/>
      <c r="P13" s="19"/>
      <c r="Q13" s="27"/>
      <c r="R13" s="27"/>
      <c r="S13" s="23"/>
    </row>
    <row r="14" spans="3:19" s="3" customFormat="1" ht="19.899999999999999" customHeight="1" x14ac:dyDescent="0.15">
      <c r="C14" s="1">
        <f t="shared" si="1"/>
        <v>6</v>
      </c>
      <c r="D14" s="1">
        <f t="shared" si="1"/>
        <v>6</v>
      </c>
      <c r="E14" s="48" t="s">
        <v>21</v>
      </c>
      <c r="F14" s="48" t="s">
        <v>21</v>
      </c>
      <c r="G14" s="49" t="s">
        <v>27</v>
      </c>
      <c r="H14" s="50"/>
      <c r="I14" s="51">
        <v>2000</v>
      </c>
      <c r="J14" s="51">
        <f>H14*I14</f>
        <v>0</v>
      </c>
      <c r="K14" s="2"/>
      <c r="L14" s="18"/>
      <c r="M14" s="54" t="s">
        <v>34</v>
      </c>
      <c r="N14" s="47"/>
      <c r="O14" s="22"/>
      <c r="P14" s="19"/>
      <c r="Q14" s="27"/>
      <c r="R14" s="27"/>
      <c r="S14" s="23"/>
    </row>
    <row r="15" spans="3:19" s="3" customFormat="1" ht="19.899999999999999" customHeight="1" x14ac:dyDescent="0.15">
      <c r="C15" s="1">
        <f t="shared" si="1"/>
        <v>7</v>
      </c>
      <c r="D15" s="1">
        <f t="shared" si="1"/>
        <v>7</v>
      </c>
      <c r="E15" s="48" t="s">
        <v>21</v>
      </c>
      <c r="F15" s="48" t="s">
        <v>21</v>
      </c>
      <c r="G15" s="49" t="s">
        <v>28</v>
      </c>
      <c r="H15" s="50"/>
      <c r="I15" s="51">
        <v>2000</v>
      </c>
      <c r="J15" s="51">
        <f>H15*I15</f>
        <v>0</v>
      </c>
      <c r="K15" s="2"/>
      <c r="L15" s="18"/>
      <c r="M15" s="54" t="s">
        <v>34</v>
      </c>
      <c r="N15" s="47"/>
      <c r="O15" s="22"/>
      <c r="P15" s="19"/>
      <c r="Q15" s="27"/>
      <c r="R15" s="27"/>
      <c r="S15" s="23"/>
    </row>
    <row r="16" spans="3:19" s="3" customFormat="1" ht="19.899999999999999" customHeight="1" x14ac:dyDescent="0.15">
      <c r="C16" s="1">
        <v>1</v>
      </c>
      <c r="D16" s="1">
        <f t="shared" si="1"/>
        <v>8</v>
      </c>
      <c r="E16" s="4" t="s">
        <v>21</v>
      </c>
      <c r="F16" s="4" t="s">
        <v>21</v>
      </c>
      <c r="G16" s="16" t="s">
        <v>22</v>
      </c>
      <c r="H16" s="17">
        <v>1</v>
      </c>
      <c r="I16" s="44">
        <v>8125</v>
      </c>
      <c r="J16" s="29">
        <f>H16*I16</f>
        <v>8125</v>
      </c>
      <c r="K16" s="2"/>
      <c r="L16" s="18"/>
      <c r="M16" s="55" t="s">
        <v>37</v>
      </c>
      <c r="N16" s="1"/>
      <c r="O16" s="22">
        <v>45481</v>
      </c>
      <c r="P16" s="19"/>
      <c r="Q16" s="27">
        <v>45511</v>
      </c>
      <c r="R16" s="27"/>
      <c r="S16" s="23"/>
    </row>
    <row r="17" spans="4:19" s="3" customFormat="1" ht="19.899999999999999" customHeight="1" x14ac:dyDescent="0.15">
      <c r="D17" s="4"/>
      <c r="E17" s="4"/>
      <c r="F17" s="4"/>
      <c r="G17" s="16"/>
      <c r="H17" s="17"/>
      <c r="I17" s="20"/>
      <c r="J17" s="28">
        <f t="shared" si="0"/>
        <v>0</v>
      </c>
      <c r="K17" s="2"/>
      <c r="L17" s="18"/>
      <c r="M17" s="18"/>
      <c r="N17" s="1"/>
      <c r="O17" s="22"/>
      <c r="P17" s="19"/>
      <c r="Q17" s="21"/>
      <c r="R17" s="22"/>
      <c r="S17" s="23"/>
    </row>
    <row r="18" spans="4:19" s="3" customFormat="1" ht="19.899999999999999" customHeight="1" x14ac:dyDescent="0.15">
      <c r="D18" s="4"/>
      <c r="E18" s="4"/>
      <c r="F18" s="4"/>
      <c r="G18" s="46">
        <f>SUM(J9:J16)</f>
        <v>915125</v>
      </c>
      <c r="H18" s="17"/>
      <c r="I18" s="20"/>
      <c r="J18" s="28"/>
      <c r="K18" s="2"/>
      <c r="L18" s="18"/>
      <c r="M18" s="18"/>
      <c r="N18" s="1"/>
      <c r="O18" s="22"/>
      <c r="P18" s="19"/>
      <c r="Q18" s="21"/>
      <c r="R18" s="22"/>
      <c r="S18" s="23"/>
    </row>
    <row r="19" spans="4:19" s="3" customFormat="1" ht="19.899999999999999" customHeight="1" x14ac:dyDescent="0.15">
      <c r="D19" s="4"/>
      <c r="E19" s="4"/>
      <c r="F19" s="4"/>
      <c r="G19" s="16"/>
      <c r="H19" s="17"/>
      <c r="I19" s="20"/>
      <c r="J19" s="28"/>
      <c r="K19" s="2"/>
      <c r="L19" s="18"/>
      <c r="M19" s="18"/>
      <c r="N19" s="1"/>
      <c r="O19" s="22"/>
      <c r="P19" s="19"/>
      <c r="Q19" s="21"/>
      <c r="R19" s="22"/>
      <c r="S19" s="23"/>
    </row>
    <row r="20" spans="4:19" s="3" customFormat="1" ht="19.899999999999999" customHeight="1" x14ac:dyDescent="0.15">
      <c r="D20" s="30"/>
      <c r="E20" s="30"/>
      <c r="F20" s="30"/>
      <c r="G20" s="34"/>
      <c r="H20" s="31"/>
      <c r="I20" s="36"/>
      <c r="J20" s="5">
        <f t="shared" si="0"/>
        <v>0</v>
      </c>
      <c r="K20" s="33"/>
      <c r="L20" s="34"/>
      <c r="M20" s="34"/>
      <c r="N20" s="1"/>
      <c r="O20" s="12"/>
      <c r="P20" s="4"/>
      <c r="Q20" s="40"/>
      <c r="R20" s="12"/>
      <c r="S20" s="15"/>
    </row>
    <row r="21" spans="4:19" s="3" customFormat="1" ht="19.899999999999999" customHeight="1" x14ac:dyDescent="0.15">
      <c r="D21" s="30"/>
      <c r="E21" s="30"/>
      <c r="F21" s="30"/>
      <c r="G21" s="34"/>
      <c r="H21" s="31"/>
      <c r="I21" s="32"/>
      <c r="J21" s="5">
        <f t="shared" si="0"/>
        <v>0</v>
      </c>
      <c r="K21" s="33"/>
      <c r="L21" s="37"/>
      <c r="M21" s="35"/>
      <c r="N21" s="1"/>
      <c r="O21" s="12"/>
      <c r="P21" s="4"/>
      <c r="Q21" s="40"/>
      <c r="R21" s="12"/>
      <c r="S21" s="15"/>
    </row>
    <row r="22" spans="4:19" s="3" customFormat="1" ht="19.899999999999999" customHeight="1" x14ac:dyDescent="0.15">
      <c r="D22" s="4"/>
      <c r="E22" s="4"/>
      <c r="F22" s="4"/>
      <c r="G22" s="38"/>
      <c r="H22" s="17"/>
      <c r="I22" s="39"/>
      <c r="J22" s="5">
        <f>H22*I22</f>
        <v>0</v>
      </c>
      <c r="K22" s="2"/>
      <c r="L22" s="16"/>
      <c r="M22" s="16"/>
      <c r="N22" s="1"/>
      <c r="O22" s="12"/>
      <c r="P22" s="4"/>
      <c r="Q22" s="1"/>
      <c r="R22" s="12"/>
      <c r="S22" s="15"/>
    </row>
    <row r="23" spans="4:19" s="3" customFormat="1" ht="19.899999999999999" customHeight="1" x14ac:dyDescent="0.15">
      <c r="D23" s="4"/>
      <c r="E23" s="4"/>
      <c r="F23" s="4"/>
      <c r="G23" s="24"/>
      <c r="H23" s="25"/>
      <c r="I23" s="39"/>
      <c r="J23" s="5">
        <f>H23*I23</f>
        <v>0</v>
      </c>
      <c r="K23" s="2"/>
      <c r="L23" s="16"/>
      <c r="M23" s="16"/>
      <c r="N23" s="1"/>
      <c r="O23" s="12"/>
      <c r="P23" s="4"/>
      <c r="Q23" s="1"/>
      <c r="R23" s="12"/>
      <c r="S23" s="15"/>
    </row>
    <row r="24" spans="4:19" s="3" customFormat="1" ht="19.899999999999999" customHeight="1" x14ac:dyDescent="0.15">
      <c r="D24" s="4"/>
      <c r="E24" s="4"/>
      <c r="F24" s="4"/>
      <c r="G24" s="24"/>
      <c r="H24" s="25"/>
      <c r="I24" s="39"/>
      <c r="J24" s="5">
        <f>H24*I24</f>
        <v>0</v>
      </c>
      <c r="K24" s="2"/>
      <c r="L24" s="16"/>
      <c r="M24" s="16"/>
      <c r="N24" s="1"/>
      <c r="O24" s="12"/>
      <c r="P24" s="4"/>
      <c r="Q24" s="1"/>
      <c r="R24" s="12"/>
      <c r="S24" s="15"/>
    </row>
    <row r="25" spans="4:19" s="3" customFormat="1" ht="19.899999999999999" customHeight="1" x14ac:dyDescent="0.15">
      <c r="D25" s="4"/>
      <c r="E25" s="4"/>
      <c r="F25" s="4"/>
      <c r="G25" s="24"/>
      <c r="H25" s="25"/>
      <c r="I25" s="20"/>
      <c r="J25" s="5">
        <f>H25*I25</f>
        <v>0</v>
      </c>
      <c r="K25" s="2"/>
      <c r="L25" s="18"/>
      <c r="M25" s="18"/>
      <c r="N25" s="1"/>
      <c r="O25" s="22"/>
      <c r="P25" s="19"/>
      <c r="Q25" s="21"/>
      <c r="R25" s="22"/>
      <c r="S25" s="23"/>
    </row>
    <row r="26" spans="4:19" s="3" customFormat="1" ht="19.899999999999999" customHeight="1" x14ac:dyDescent="0.15">
      <c r="D26" s="4"/>
      <c r="E26" s="4"/>
      <c r="F26" s="4"/>
      <c r="G26" s="24"/>
      <c r="H26" s="25"/>
      <c r="I26" s="20"/>
      <c r="J26" s="5">
        <f>H26*I26</f>
        <v>0</v>
      </c>
      <c r="K26" s="2"/>
      <c r="L26" s="18"/>
      <c r="M26" s="18"/>
      <c r="N26" s="1"/>
      <c r="O26" s="22"/>
      <c r="P26" s="19"/>
      <c r="Q26" s="27"/>
      <c r="R26" s="27"/>
      <c r="S26" s="23"/>
    </row>
    <row r="33" spans="1:19" s="9" customFormat="1" x14ac:dyDescent="0.15">
      <c r="A33"/>
      <c r="B33"/>
      <c r="C33"/>
      <c r="D33" s="3"/>
      <c r="E33"/>
      <c r="F33"/>
      <c r="G33"/>
      <c r="H33"/>
      <c r="I33"/>
      <c r="J33" s="26"/>
      <c r="L33"/>
      <c r="M33"/>
      <c r="N33" s="3"/>
      <c r="O33" s="11"/>
      <c r="P33"/>
      <c r="R33" s="13"/>
      <c r="S33" s="14"/>
    </row>
    <row r="34" spans="1:19" s="9" customFormat="1" x14ac:dyDescent="0.15">
      <c r="A34"/>
      <c r="B34"/>
      <c r="C34"/>
      <c r="D34" s="3"/>
      <c r="E34"/>
      <c r="F34"/>
      <c r="G34"/>
      <c r="H34"/>
      <c r="I34"/>
      <c r="J34" s="26"/>
      <c r="L34"/>
      <c r="M34"/>
      <c r="N34" s="3"/>
      <c r="O34" s="11"/>
      <c r="P34"/>
      <c r="R34" s="13"/>
      <c r="S34" s="14"/>
    </row>
    <row r="35" spans="1:19" s="9" customFormat="1" x14ac:dyDescent="0.15">
      <c r="A35"/>
      <c r="B35"/>
      <c r="C35"/>
      <c r="D35" s="3"/>
      <c r="E35"/>
      <c r="F35"/>
      <c r="G35"/>
      <c r="H35"/>
      <c r="I35"/>
      <c r="J35" s="26"/>
      <c r="L35"/>
      <c r="M35"/>
      <c r="N35" s="3"/>
      <c r="O35" s="11"/>
      <c r="P35"/>
      <c r="R35" s="13"/>
      <c r="S35" s="14"/>
    </row>
    <row r="36" spans="1:19" s="9" customFormat="1" x14ac:dyDescent="0.15">
      <c r="A36"/>
      <c r="B36"/>
      <c r="C36"/>
      <c r="D36" s="3"/>
      <c r="E36"/>
      <c r="F36"/>
      <c r="G36"/>
      <c r="H36"/>
      <c r="I36"/>
      <c r="J36" s="26"/>
      <c r="L36"/>
      <c r="M36"/>
      <c r="N36" s="3"/>
      <c r="O36" s="11"/>
      <c r="P36"/>
      <c r="R36" s="13"/>
      <c r="S36" s="14"/>
    </row>
    <row r="37" spans="1:19" s="9" customFormat="1" x14ac:dyDescent="0.15">
      <c r="A37"/>
      <c r="B37"/>
      <c r="C37"/>
      <c r="D37" s="3"/>
      <c r="E37"/>
      <c r="F37"/>
      <c r="G37"/>
      <c r="H37"/>
      <c r="I37"/>
      <c r="J37" s="26"/>
      <c r="L37"/>
      <c r="M37"/>
      <c r="N37" s="3"/>
      <c r="O37" s="11"/>
      <c r="P37"/>
      <c r="R37" s="13"/>
      <c r="S37" s="14"/>
    </row>
    <row r="38" spans="1:19" s="9" customFormat="1" x14ac:dyDescent="0.15">
      <c r="A38"/>
      <c r="B38"/>
      <c r="C38"/>
      <c r="D38" s="3"/>
      <c r="E38"/>
      <c r="F38"/>
      <c r="G38"/>
      <c r="H38"/>
      <c r="I38"/>
      <c r="J38" s="26"/>
      <c r="L38"/>
      <c r="M38"/>
      <c r="N38" s="3"/>
      <c r="O38" s="11"/>
      <c r="P38"/>
      <c r="R38" s="13"/>
      <c r="S38" s="14"/>
    </row>
    <row r="39" spans="1:19" s="9" customFormat="1" x14ac:dyDescent="0.15">
      <c r="A39"/>
      <c r="B39"/>
      <c r="C39"/>
      <c r="D39" s="3"/>
      <c r="E39"/>
      <c r="F39"/>
      <c r="G39"/>
      <c r="H39"/>
      <c r="I39"/>
      <c r="J39" s="26"/>
      <c r="L39"/>
      <c r="M39"/>
      <c r="N39" s="3"/>
      <c r="O39" s="11"/>
      <c r="P39"/>
      <c r="R39" s="13"/>
      <c r="S39" s="14"/>
    </row>
    <row r="40" spans="1:19" s="9" customFormat="1" x14ac:dyDescent="0.15">
      <c r="A40"/>
      <c r="B40"/>
      <c r="C40"/>
      <c r="D40" s="3"/>
      <c r="E40"/>
      <c r="F40"/>
      <c r="G40"/>
      <c r="H40"/>
      <c r="I40"/>
      <c r="J40" s="26"/>
      <c r="L40"/>
      <c r="M40"/>
      <c r="N40" s="3"/>
      <c r="O40" s="11"/>
      <c r="P40"/>
      <c r="R40" s="13"/>
      <c r="S40" s="14"/>
    </row>
    <row r="41" spans="1:19" s="9" customFormat="1" x14ac:dyDescent="0.15">
      <c r="A41"/>
      <c r="B41"/>
      <c r="C41"/>
      <c r="D41" s="3"/>
      <c r="E41"/>
      <c r="F41"/>
      <c r="G41"/>
      <c r="H41"/>
      <c r="I41"/>
      <c r="J41" s="26"/>
      <c r="L41"/>
      <c r="M41"/>
      <c r="N41" s="3"/>
      <c r="O41" s="11"/>
      <c r="P41"/>
      <c r="R41" s="13"/>
      <c r="S41" s="14"/>
    </row>
    <row r="42" spans="1:19" s="9" customFormat="1" x14ac:dyDescent="0.15">
      <c r="A42"/>
      <c r="B42"/>
      <c r="C42"/>
      <c r="D42" s="3"/>
      <c r="E42"/>
      <c r="F42"/>
      <c r="G42"/>
      <c r="H42"/>
      <c r="I42"/>
      <c r="J42" s="26"/>
      <c r="L42"/>
      <c r="M42"/>
      <c r="N42" s="3"/>
      <c r="O42" s="11"/>
      <c r="P42"/>
      <c r="R42" s="13"/>
      <c r="S42" s="14"/>
    </row>
    <row r="43" spans="1:19" s="9" customFormat="1" x14ac:dyDescent="0.15">
      <c r="A43"/>
      <c r="B43"/>
      <c r="C43"/>
      <c r="D43" s="3"/>
      <c r="E43"/>
      <c r="F43"/>
      <c r="G43"/>
      <c r="H43"/>
      <c r="I43"/>
      <c r="J43" s="26"/>
      <c r="L43"/>
      <c r="M43"/>
      <c r="N43" s="3"/>
      <c r="O43" s="11"/>
      <c r="P43"/>
      <c r="R43" s="13"/>
      <c r="S43" s="14"/>
    </row>
    <row r="44" spans="1:19" s="9" customFormat="1" x14ac:dyDescent="0.15">
      <c r="A44"/>
      <c r="B44"/>
      <c r="C44"/>
      <c r="D44" s="3"/>
      <c r="E44"/>
      <c r="F44"/>
      <c r="G44"/>
      <c r="H44"/>
      <c r="I44"/>
      <c r="J44" s="26"/>
      <c r="L44"/>
      <c r="M44"/>
      <c r="N44" s="3"/>
      <c r="O44" s="11"/>
      <c r="P44"/>
      <c r="R44" s="13"/>
      <c r="S44" s="14"/>
    </row>
    <row r="45" spans="1:19" s="9" customFormat="1" x14ac:dyDescent="0.15">
      <c r="A45"/>
      <c r="B45"/>
      <c r="C45"/>
      <c r="D45" s="3"/>
      <c r="E45"/>
      <c r="F45"/>
      <c r="G45"/>
      <c r="H45"/>
      <c r="I45"/>
      <c r="J45" s="26"/>
      <c r="L45"/>
      <c r="M45"/>
      <c r="N45" s="3"/>
      <c r="O45" s="11"/>
      <c r="P45"/>
      <c r="R45" s="13"/>
      <c r="S45" s="14"/>
    </row>
    <row r="46" spans="1:19" s="9" customFormat="1" x14ac:dyDescent="0.15">
      <c r="A46"/>
      <c r="B46"/>
      <c r="C46"/>
      <c r="D46" s="3"/>
      <c r="E46"/>
      <c r="F46"/>
      <c r="G46"/>
      <c r="H46"/>
      <c r="I46"/>
      <c r="J46" s="26"/>
      <c r="L46"/>
      <c r="M46"/>
      <c r="N46" s="3"/>
      <c r="O46" s="11"/>
      <c r="P46"/>
      <c r="R46" s="13"/>
      <c r="S46" s="14"/>
    </row>
    <row r="47" spans="1:19" s="9" customFormat="1" x14ac:dyDescent="0.15">
      <c r="A47"/>
      <c r="B47"/>
      <c r="C47"/>
      <c r="D47" s="3"/>
      <c r="E47"/>
      <c r="F47"/>
      <c r="G47"/>
      <c r="H47"/>
      <c r="I47"/>
      <c r="J47" s="26"/>
      <c r="L47"/>
      <c r="M47"/>
      <c r="N47" s="3"/>
      <c r="O47" s="11"/>
      <c r="P47"/>
      <c r="R47" s="13"/>
      <c r="S47" s="14"/>
    </row>
    <row r="48" spans="1:19" s="9" customFormat="1" x14ac:dyDescent="0.15">
      <c r="A48"/>
      <c r="B48"/>
      <c r="C48"/>
      <c r="D48" s="3"/>
      <c r="E48"/>
      <c r="F48"/>
      <c r="G48"/>
      <c r="H48"/>
      <c r="I48"/>
      <c r="J48" s="26"/>
      <c r="L48"/>
      <c r="M48"/>
      <c r="N48" s="3"/>
      <c r="O48" s="11"/>
      <c r="P48"/>
      <c r="R48" s="13"/>
      <c r="S48" s="14"/>
    </row>
    <row r="49" spans="1:19" s="9" customFormat="1" x14ac:dyDescent="0.15">
      <c r="A49"/>
      <c r="B49"/>
      <c r="C49"/>
      <c r="D49" s="3"/>
      <c r="E49"/>
      <c r="F49"/>
      <c r="G49"/>
      <c r="H49"/>
      <c r="I49"/>
      <c r="J49" s="26"/>
      <c r="L49"/>
      <c r="M49"/>
      <c r="N49" s="3"/>
      <c r="O49" s="11"/>
      <c r="P49"/>
      <c r="R49" s="13"/>
      <c r="S49" s="14"/>
    </row>
    <row r="50" spans="1:19" s="9" customFormat="1" x14ac:dyDescent="0.15">
      <c r="A50"/>
      <c r="B50"/>
      <c r="C50"/>
      <c r="D50" s="3"/>
      <c r="E50"/>
      <c r="F50"/>
      <c r="G50"/>
      <c r="H50"/>
      <c r="I50"/>
      <c r="J50" s="26"/>
      <c r="L50"/>
      <c r="M50"/>
      <c r="N50" s="3"/>
      <c r="O50" s="11"/>
      <c r="P50"/>
      <c r="R50" s="13"/>
      <c r="S50" s="14"/>
    </row>
    <row r="51" spans="1:19" s="9" customFormat="1" x14ac:dyDescent="0.15">
      <c r="A51"/>
      <c r="B51"/>
      <c r="C51"/>
      <c r="D51" s="3"/>
      <c r="E51"/>
      <c r="F51"/>
      <c r="G51"/>
      <c r="H51"/>
      <c r="I51"/>
      <c r="J51" s="26"/>
      <c r="L51"/>
      <c r="M51"/>
      <c r="N51" s="3"/>
      <c r="O51" s="11"/>
      <c r="P51"/>
      <c r="R51" s="13"/>
      <c r="S51" s="14"/>
    </row>
    <row r="52" spans="1:19" s="9" customFormat="1" x14ac:dyDescent="0.15">
      <c r="A52"/>
      <c r="B52"/>
      <c r="C52"/>
      <c r="D52" s="3"/>
      <c r="E52"/>
      <c r="F52"/>
      <c r="G52"/>
      <c r="H52"/>
      <c r="I52"/>
      <c r="J52" s="26"/>
      <c r="L52"/>
      <c r="M52"/>
      <c r="N52" s="3"/>
      <c r="O52" s="11"/>
      <c r="P52"/>
      <c r="R52" s="13"/>
      <c r="S52" s="14"/>
    </row>
    <row r="53" spans="1:19" s="9" customFormat="1" x14ac:dyDescent="0.15">
      <c r="A53"/>
      <c r="B53"/>
      <c r="C53"/>
      <c r="D53" s="3"/>
      <c r="E53"/>
      <c r="F53"/>
      <c r="G53"/>
      <c r="H53"/>
      <c r="I53"/>
      <c r="J53" s="26"/>
      <c r="L53"/>
      <c r="M53"/>
      <c r="N53" s="3"/>
      <c r="O53" s="11"/>
      <c r="P53"/>
      <c r="R53" s="13"/>
      <c r="S53" s="14"/>
    </row>
    <row r="54" spans="1:19" s="9" customFormat="1" x14ac:dyDescent="0.15">
      <c r="A54"/>
      <c r="B54"/>
      <c r="C54"/>
      <c r="D54" s="3"/>
      <c r="E54"/>
      <c r="F54"/>
      <c r="G54"/>
      <c r="H54"/>
      <c r="I54"/>
      <c r="J54" s="26"/>
      <c r="L54"/>
      <c r="M54"/>
      <c r="N54" s="3"/>
      <c r="O54" s="11"/>
      <c r="P54"/>
      <c r="R54" s="13"/>
      <c r="S54" s="14"/>
    </row>
    <row r="55" spans="1:19" s="9" customFormat="1" x14ac:dyDescent="0.15">
      <c r="A55"/>
      <c r="B55"/>
      <c r="C55"/>
      <c r="D55" s="3"/>
      <c r="E55"/>
      <c r="F55"/>
      <c r="G55"/>
      <c r="H55"/>
      <c r="I55"/>
      <c r="J55" s="26"/>
      <c r="L55"/>
      <c r="M55"/>
      <c r="N55" s="3"/>
      <c r="O55" s="11"/>
      <c r="P55"/>
      <c r="R55" s="13"/>
      <c r="S55" s="14"/>
    </row>
    <row r="56" spans="1:19" s="9" customFormat="1" x14ac:dyDescent="0.15">
      <c r="A56"/>
      <c r="B56"/>
      <c r="C56"/>
      <c r="D56" s="3"/>
      <c r="E56"/>
      <c r="F56"/>
      <c r="G56"/>
      <c r="H56"/>
      <c r="I56"/>
      <c r="J56" s="26"/>
      <c r="L56"/>
      <c r="M56"/>
      <c r="N56" s="3"/>
      <c r="O56" s="11"/>
      <c r="P56"/>
      <c r="R56" s="13"/>
      <c r="S56" s="14"/>
    </row>
    <row r="57" spans="1:19" s="9" customFormat="1" x14ac:dyDescent="0.15">
      <c r="A57"/>
      <c r="B57"/>
      <c r="C57"/>
      <c r="D57" s="3"/>
      <c r="E57"/>
      <c r="F57"/>
      <c r="G57"/>
      <c r="H57"/>
      <c r="I57"/>
      <c r="J57" s="26"/>
      <c r="L57"/>
      <c r="M57"/>
      <c r="N57" s="3"/>
      <c r="O57" s="11"/>
      <c r="P57"/>
      <c r="R57" s="13"/>
      <c r="S57" s="14"/>
    </row>
    <row r="58" spans="1:19" s="9" customFormat="1" x14ac:dyDescent="0.15">
      <c r="A58"/>
      <c r="B58"/>
      <c r="C58"/>
      <c r="D58" s="3"/>
      <c r="E58"/>
      <c r="F58"/>
      <c r="G58"/>
      <c r="H58"/>
      <c r="I58"/>
      <c r="J58" s="26"/>
      <c r="L58"/>
      <c r="M58"/>
      <c r="N58" s="3"/>
      <c r="O58" s="11"/>
      <c r="P58"/>
      <c r="R58" s="13"/>
      <c r="S58" s="14"/>
    </row>
    <row r="59" spans="1:19" s="9" customFormat="1" x14ac:dyDescent="0.15">
      <c r="A59"/>
      <c r="B59"/>
      <c r="C59"/>
      <c r="D59" s="3"/>
      <c r="E59"/>
      <c r="F59"/>
      <c r="G59"/>
      <c r="H59"/>
      <c r="I59"/>
      <c r="J59" s="26"/>
      <c r="L59"/>
      <c r="M59"/>
      <c r="N59" s="3"/>
      <c r="O59" s="11"/>
      <c r="P59"/>
      <c r="R59" s="13"/>
      <c r="S59" s="14"/>
    </row>
    <row r="60" spans="1:19" s="9" customFormat="1" x14ac:dyDescent="0.15">
      <c r="A60"/>
      <c r="B60"/>
      <c r="C60"/>
      <c r="D60" s="3"/>
      <c r="E60"/>
      <c r="F60"/>
      <c r="G60"/>
      <c r="H60"/>
      <c r="I60"/>
      <c r="J60" s="26"/>
      <c r="L60"/>
      <c r="M60"/>
      <c r="N60" s="3"/>
      <c r="O60" s="11"/>
      <c r="P60"/>
      <c r="R60" s="13"/>
      <c r="S60" s="14"/>
    </row>
    <row r="61" spans="1:19" s="9" customFormat="1" x14ac:dyDescent="0.15">
      <c r="A61"/>
      <c r="B61"/>
      <c r="C61"/>
      <c r="D61" s="3"/>
      <c r="E61"/>
      <c r="F61"/>
      <c r="G61"/>
      <c r="H61"/>
      <c r="I61"/>
      <c r="J61" s="26"/>
      <c r="L61"/>
      <c r="M61"/>
      <c r="N61" s="3"/>
      <c r="O61" s="11"/>
      <c r="P61"/>
      <c r="R61" s="13"/>
      <c r="S61" s="14"/>
    </row>
    <row r="62" spans="1:19" s="9" customFormat="1" x14ac:dyDescent="0.15">
      <c r="A62"/>
      <c r="B62"/>
      <c r="C62"/>
      <c r="D62" s="3"/>
      <c r="E62"/>
      <c r="F62"/>
      <c r="G62"/>
      <c r="H62"/>
      <c r="I62"/>
      <c r="J62" s="26"/>
      <c r="L62"/>
      <c r="M62"/>
      <c r="N62" s="3"/>
      <c r="O62" s="11"/>
      <c r="P62"/>
      <c r="R62" s="13"/>
      <c r="S62" s="14"/>
    </row>
    <row r="63" spans="1:19" s="9" customFormat="1" x14ac:dyDescent="0.15">
      <c r="A63"/>
      <c r="B63"/>
      <c r="C63"/>
      <c r="D63" s="3"/>
      <c r="E63"/>
      <c r="F63"/>
      <c r="G63"/>
      <c r="H63"/>
      <c r="I63"/>
      <c r="J63" s="26"/>
      <c r="L63"/>
      <c r="M63"/>
      <c r="N63" s="3"/>
      <c r="O63" s="11"/>
      <c r="P63"/>
      <c r="R63" s="13"/>
      <c r="S63" s="14"/>
    </row>
    <row r="64" spans="1:19" s="9" customFormat="1" x14ac:dyDescent="0.15">
      <c r="A64"/>
      <c r="B64"/>
      <c r="C64"/>
      <c r="D64" s="3"/>
      <c r="E64"/>
      <c r="F64"/>
      <c r="G64"/>
      <c r="H64"/>
      <c r="I64"/>
      <c r="J64" s="26"/>
      <c r="L64"/>
      <c r="M64"/>
      <c r="N64" s="3"/>
      <c r="O64" s="11"/>
      <c r="P64"/>
      <c r="R64" s="13"/>
      <c r="S64" s="14"/>
    </row>
    <row r="65" spans="1:19" s="9" customFormat="1" x14ac:dyDescent="0.15">
      <c r="A65"/>
      <c r="B65"/>
      <c r="C65"/>
      <c r="D65" s="3"/>
      <c r="E65"/>
      <c r="F65"/>
      <c r="G65"/>
      <c r="H65"/>
      <c r="I65"/>
      <c r="J65" s="26"/>
      <c r="L65"/>
      <c r="M65"/>
      <c r="N65" s="3"/>
      <c r="O65" s="11"/>
      <c r="P65"/>
      <c r="R65" s="13"/>
      <c r="S65" s="14"/>
    </row>
  </sheetData>
  <autoFilter ref="D8:Q26" xr:uid="{00000000-0009-0000-0000-000000000000}"/>
  <mergeCells count="7">
    <mergeCell ref="D6:F6"/>
    <mergeCell ref="J5:J6"/>
    <mergeCell ref="D2:F2"/>
    <mergeCell ref="I2:K2"/>
    <mergeCell ref="D3:F3"/>
    <mergeCell ref="D4:F4"/>
    <mergeCell ref="D5:F5"/>
  </mergeCells>
  <phoneticPr fontId="10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216266　①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2024-08-07T23:59:49Z</dcterms:modified>
</cp:coreProperties>
</file>