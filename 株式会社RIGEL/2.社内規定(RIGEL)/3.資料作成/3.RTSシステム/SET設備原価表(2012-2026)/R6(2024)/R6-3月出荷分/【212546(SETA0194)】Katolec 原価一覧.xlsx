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E5F54D9-C7D7-45AF-87FF-90A8ADF4FB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表紙" sheetId="4" r:id="rId3"/>
    <sheet name="Sheet3" sheetId="3" r:id="rId4"/>
  </sheets>
  <definedNames>
    <definedName name="_xlnm._FilterDatabase" localSheetId="0" hidden="1">原価表!$B$9:$O$82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" l="1"/>
  <c r="H49" i="1"/>
  <c r="H69" i="1"/>
  <c r="H68" i="1"/>
  <c r="H67" i="1"/>
  <c r="H66" i="1"/>
  <c r="H65" i="1"/>
  <c r="H64" i="1"/>
  <c r="H63" i="1"/>
  <c r="H62" i="1"/>
  <c r="H61" i="1"/>
  <c r="H46" i="1"/>
  <c r="H45" i="1"/>
  <c r="H44" i="1"/>
  <c r="H43" i="1"/>
  <c r="H42" i="1"/>
  <c r="H41" i="1"/>
  <c r="H40" i="1"/>
  <c r="H39" i="1"/>
  <c r="H38" i="1"/>
  <c r="H37" i="1"/>
  <c r="H26" i="1"/>
  <c r="H25" i="1"/>
  <c r="H24" i="1"/>
  <c r="H23" i="1"/>
  <c r="H15" i="1"/>
  <c r="H16" i="1"/>
  <c r="H17" i="1"/>
  <c r="H18" i="1"/>
  <c r="H19" i="1"/>
  <c r="H20" i="1"/>
  <c r="H21" i="1"/>
  <c r="H22" i="1"/>
  <c r="H27" i="1"/>
  <c r="H28" i="1"/>
  <c r="H29" i="1"/>
  <c r="H30" i="1"/>
  <c r="H31" i="1"/>
  <c r="H32" i="1"/>
  <c r="H33" i="1"/>
  <c r="H34" i="1"/>
  <c r="H35" i="1"/>
  <c r="H36" i="1"/>
  <c r="H51" i="1"/>
  <c r="H52" i="1"/>
  <c r="H53" i="1"/>
  <c r="H54" i="1"/>
  <c r="H55" i="1"/>
  <c r="H56" i="1"/>
  <c r="H57" i="1"/>
  <c r="H58" i="1"/>
  <c r="H59" i="1"/>
  <c r="H60" i="1"/>
  <c r="H47" i="1"/>
  <c r="H48" i="1"/>
  <c r="H70" i="1"/>
  <c r="H71" i="1"/>
  <c r="J2" i="1" l="1"/>
</calcChain>
</file>

<file path=xl/sharedStrings.xml><?xml version="1.0" encoding="utf-8"?>
<sst xmlns="http://schemas.openxmlformats.org/spreadsheetml/2006/main" count="363" uniqueCount="128">
  <si>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</si>
  <si>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</si>
  <si>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</si>
  <si>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</si>
  <si>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</si>
  <si>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</si>
  <si>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</si>
  <si>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</si>
  <si>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</si>
  <si>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</si>
  <si>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</si>
  <si>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</si>
  <si>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</si>
  <si>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</si>
  <si>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</si>
  <si>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</si>
  <si>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</si>
  <si>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</si>
  <si>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</si>
  <si>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</si>
  <si>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</si>
  <si>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</si>
  <si>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</si>
  <si>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</si>
  <si>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</si>
  <si>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</si>
  <si>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</si>
  <si>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</si>
  <si>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</si>
  <si>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</si>
  <si>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</si>
  <si>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</si>
  <si>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</si>
  <si>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</si>
  <si>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</si>
  <si>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</si>
  <si>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</si>
  <si>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</si>
  <si>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</si>
  <si>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</si>
  <si>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</si>
  <si>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</si>
  <si>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</si>
  <si>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</si>
  <si>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</si>
  <si>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</si>
  <si>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</si>
  <si>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SET</t>
    <phoneticPr fontId="2"/>
  </si>
  <si>
    <t>山崎工業（松崎化成）</t>
    <rPh sb="0" eb="4">
      <t>ヤマザキコウギョウ</t>
    </rPh>
    <rPh sb="5" eb="7">
      <t>マツザキ</t>
    </rPh>
    <rPh sb="7" eb="9">
      <t>カセイ</t>
    </rPh>
    <phoneticPr fontId="2"/>
  </si>
  <si>
    <t>ｹｼｰﾙ</t>
    <phoneticPr fontId="2"/>
  </si>
  <si>
    <t>MISUMI</t>
    <phoneticPr fontId="2"/>
  </si>
  <si>
    <t>DB-9SP</t>
  </si>
  <si>
    <t>ｺﾈｸﾀ</t>
  </si>
  <si>
    <t>SET</t>
    <phoneticPr fontId="2"/>
  </si>
  <si>
    <t>設計費</t>
    <rPh sb="0" eb="3">
      <t>セッケイヒ</t>
    </rPh>
    <phoneticPr fontId="2"/>
  </si>
  <si>
    <t>組立費</t>
    <rPh sb="0" eb="3">
      <t>クミタテヒ</t>
    </rPh>
    <phoneticPr fontId="2"/>
  </si>
  <si>
    <t>ASONE</t>
    <phoneticPr fontId="2"/>
  </si>
  <si>
    <t>樹脂容器</t>
    <rPh sb="0" eb="4">
      <t>ジュシヨウキ</t>
    </rPh>
    <phoneticPr fontId="2"/>
  </si>
  <si>
    <t>■SETA0194-Y01(ﾂｰﾙﾌﾟﾚｰﾄ)</t>
  </si>
  <si>
    <t>AXA300-SV</t>
    <phoneticPr fontId="2"/>
  </si>
  <si>
    <t>SV01S</t>
    <phoneticPr fontId="2"/>
  </si>
  <si>
    <t>SV5916</t>
    <phoneticPr fontId="2"/>
  </si>
  <si>
    <t>SDP620S</t>
    <phoneticPr fontId="2"/>
  </si>
  <si>
    <t>■SETA0194-Y02(ｶｰﾄﾘｯｼﾞｶﾞｲﾄﾞ)</t>
  </si>
  <si>
    <t>CSHSM-SUS-M4-6</t>
  </si>
  <si>
    <t>■SETA0194-PC01(ﾍﾞｰｽﾌﾟﾚｰﾄ)</t>
  </si>
  <si>
    <t>■SETA0194-PC02(ﾌﾟﾚｰﾄ)</t>
  </si>
  <si>
    <t>■SETA0194-PC03(ﾌﾞﾗｹｯﾄ)</t>
  </si>
  <si>
    <t>5-079-04 30ml</t>
  </si>
  <si>
    <t>CHNS4</t>
  </si>
  <si>
    <t>CSHSM-ST-M3-5</t>
  </si>
  <si>
    <t>FNT3</t>
  </si>
  <si>
    <t>KBXS100-100</t>
  </si>
  <si>
    <t>SHFBS4-8</t>
  </si>
  <si>
    <t>STXS100</t>
  </si>
  <si>
    <t>ARP20-01H-3</t>
  </si>
  <si>
    <t>MNCN4-M5</t>
  </si>
  <si>
    <t>MSCNL6-M5</t>
  </si>
  <si>
    <t>MSELL4-1</t>
  </si>
  <si>
    <t>MSELL4-M5</t>
  </si>
  <si>
    <t>MSHRT3</t>
  </si>
  <si>
    <t>MSTEL4-1</t>
  </si>
  <si>
    <t>USYL6</t>
  </si>
  <si>
    <t>■RPR-A(ﾚｷﾞｭｰﾚｰﾀｰﾌﾟﾚｰﾄ_ｱﾅﾛｸﾞ用)</t>
  </si>
  <si>
    <t>MVSHM-3N02050-2WH-FEPFP</t>
  </si>
  <si>
    <t>MVSHM-3N02050-3N5-EKKFR</t>
  </si>
  <si>
    <t>MVBLK-AMW-3N5-2A7GF</t>
  </si>
  <si>
    <t>MVSHM-3N02050-3N5-U4EB9</t>
  </si>
  <si>
    <t>SMC ﾚｷﾞｭﾚｰﾀ ARPｼﾘｰｽﾞ</t>
  </si>
  <si>
    <t>FASTENING</t>
  </si>
  <si>
    <t>ﾜﾝﾀｯﾁﾂｷﾞﾃ(USYL)</t>
  </si>
  <si>
    <t>ﾜﾝﾀｯﾁﾂｷﾞﾃ(MSTEL)</t>
  </si>
  <si>
    <t>ｼｭﾄﾞｳｷﾘｶｴﾍﾞﾝ(MSHRT)</t>
  </si>
  <si>
    <t>ﾜﾝﾀｯﾁﾂｷﾞﾃ(MSELL)</t>
  </si>
  <si>
    <t>ﾜﾝﾀｯﾁﾂｷﾞﾃ(MSCNL)</t>
  </si>
  <si>
    <t>ﾐﾆﾁｭｱﾜﾝﾀｯﾁﾂｷﾞﾃ (MNCN)</t>
  </si>
  <si>
    <t>ｱﾙﾐﾌﾚｰﾑﾖｳ ﾎﾞﾙﾄ</t>
  </si>
  <si>
    <t>ﾎﾞｯｸｽﾖｳｽﾃSTXS</t>
  </si>
  <si>
    <t>ｷﾝｿﾞｸﾎﾞｯｸｽKBXS</t>
  </si>
  <si>
    <t>ﾌｸﾛﾅｯﾄ</t>
  </si>
  <si>
    <t>ﾁｮｳﾅｯﾄ</t>
  </si>
  <si>
    <t>RDA-9HT-UNC</t>
  </si>
  <si>
    <t>DSUBﾌｰﾄﾞ､ｱｸｾｻﾘｰ</t>
  </si>
  <si>
    <t>Katolec</t>
    <phoneticPr fontId="2"/>
  </si>
  <si>
    <t>MVSHM-3N02000-3N6-8LWRH</t>
  </si>
  <si>
    <t>■SETA0194-Y03(ｶｰﾄﾘｯｼﾞｶﾞｲﾄﾞ)</t>
    <phoneticPr fontId="2"/>
  </si>
  <si>
    <t>MVSHM-3N02050-3N6-DMN4W</t>
  </si>
  <si>
    <t>APMMS-T2-N2</t>
  </si>
  <si>
    <t>SUTPTH8A</t>
  </si>
  <si>
    <t>MSWTS2</t>
  </si>
  <si>
    <t>APMMSL-N1-T2-L20</t>
  </si>
  <si>
    <t>12oz</t>
    <phoneticPr fontId="2"/>
  </si>
  <si>
    <t>発注願います</t>
    <rPh sb="0" eb="3">
      <t>ハッチュウネガ</t>
    </rPh>
    <phoneticPr fontId="2"/>
  </si>
  <si>
    <t>WEB発注済</t>
    <rPh sb="3" eb="5">
      <t>ハッチュウ</t>
    </rPh>
    <rPh sb="5" eb="6">
      <t>スミ</t>
    </rPh>
    <phoneticPr fontId="2"/>
  </si>
  <si>
    <t>G46-7-01M-C2</t>
  </si>
  <si>
    <t>MVBLK-AMW-3N6-KPYNU</t>
  </si>
  <si>
    <t>SMC ｲｯﾊﾟﾝﾖｳｱﾂﾘｮｸｹｲ G46</t>
  </si>
  <si>
    <t>ﾈｼﾞﾍﾝｶﾝﾂｷﾞﾃ(APMMS)</t>
  </si>
  <si>
    <t>ｽｸﾘｭｰﾌﾟﾗｸﾞ MSWT</t>
  </si>
  <si>
    <t>ｺｳｶﾝﾖｳﾂｷﾞﾃ (SUTPTH)</t>
  </si>
  <si>
    <t>ﾈｼﾞﾍﾝｶﾝﾂｷﾞﾃ(APMMSL)</t>
  </si>
  <si>
    <r>
      <t xml:space="preserve">1 → </t>
    </r>
    <r>
      <rPr>
        <b/>
        <sz val="11"/>
        <color rgb="FFFF0000"/>
        <rFont val="ＭＳ Ｐゴシック"/>
        <family val="3"/>
        <charset val="128"/>
        <scheme val="minor"/>
      </rPr>
      <t>2</t>
    </r>
    <phoneticPr fontId="2"/>
  </si>
  <si>
    <t>在庫</t>
    <rPh sb="0" eb="2">
      <t>ザイコ</t>
    </rPh>
    <phoneticPr fontId="2"/>
  </si>
  <si>
    <t>5
捨て打ち</t>
    <rPh sb="3" eb="4">
      <t>ス</t>
    </rPh>
    <rPh sb="5" eb="6">
      <t>ウ</t>
    </rPh>
    <phoneticPr fontId="2"/>
  </si>
  <si>
    <t>4
ﾂｰﾙｼﾞｸﾞ</t>
    <phoneticPr fontId="2"/>
  </si>
  <si>
    <t>4
液剤加圧</t>
    <rPh sb="3" eb="5">
      <t>エキザイ</t>
    </rPh>
    <rPh sb="5" eb="7">
      <t>カアツ</t>
    </rPh>
    <phoneticPr fontId="2"/>
  </si>
  <si>
    <t>4
電気関係</t>
    <rPh sb="3" eb="5">
      <t>デンキ</t>
    </rPh>
    <rPh sb="5" eb="7">
      <t>カンケイ</t>
    </rPh>
    <phoneticPr fontId="2"/>
  </si>
  <si>
    <t>6
設計費</t>
    <rPh sb="2" eb="4">
      <t>セッケイ</t>
    </rPh>
    <rPh sb="4" eb="5">
      <t>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</si>
</sst>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1" fillId="5" borderId="8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9" fillId="0" borderId="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3" fontId="11" fillId="0" borderId="1" xfId="0" applyNumberFormat="1" applyFont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176" fontId="0" fillId="6" borderId="1" xfId="0" applyNumberForma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9" fontId="0" fillId="6" borderId="1" xfId="0" applyNumberFormat="1" applyFill="1" applyBorder="1" applyAlignment="1">
      <alignment horizontal="center" vertical="center"/>
    </xf>
    <xf numFmtId="56" fontId="6" fillId="6" borderId="1" xfId="0" applyNumberFormat="1" applyFont="1" applyFill="1" applyBorder="1" applyAlignment="1">
      <alignment horizontal="center" vertical="center"/>
    </xf>
    <xf numFmtId="56" fontId="0" fillId="6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0" fontId="0" fillId="6" borderId="2" xfId="0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179" fontId="0" fillId="6" borderId="1" xfId="0" applyNumberFormat="1" applyFill="1" applyBorder="1">
      <alignment vertical="center"/>
    </xf>
    <xf numFmtId="0" fontId="0" fillId="6" borderId="0" xfId="0" applyFill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5"/>
  <sheetViews>
    <sheetView tabSelected="1" zoomScale="85" zoomScaleNormal="85" workbookViewId="0">
      <pane xSplit="10" ySplit="9" topLeftCell="K46" activePane="bottomRight" state="frozen"/>
      <selection pane="topRight" activeCell="K1" sqref="K1"/>
      <selection pane="bottomLeft" activeCell="A9" sqref="A9"/>
      <selection pane="bottomRight" activeCell="Q60" sqref="Q60"/>
    </sheetView>
  </sheetViews>
  <sheetFormatPr defaultColWidth="9" defaultRowHeight="13.5" x14ac:dyDescent="0.15"/>
  <cols>
    <col min="1" max="1" width="2.625" customWidth="1"/>
    <col min="2" max="2" width="20.125" style="11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46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11" customWidth="1"/>
    <col min="13" max="13" width="13.75" style="12" customWidth="1"/>
    <col min="14" max="14" width="6.375" customWidth="1"/>
    <col min="15" max="15" width="13.25" style="1" customWidth="1"/>
    <col min="16" max="16" width="14.5" style="13" customWidth="1"/>
    <col min="17" max="17" width="15.625" style="70" customWidth="1"/>
  </cols>
  <sheetData>
    <row r="2" spans="2:17" ht="20.100000000000001" customHeight="1" x14ac:dyDescent="0.15">
      <c r="B2" s="76" t="s">
        <v>11</v>
      </c>
      <c r="C2" s="76"/>
      <c r="D2" s="76"/>
      <c r="E2" s="9" t="s">
        <v>103</v>
      </c>
      <c r="G2" s="77" t="s">
        <v>15</v>
      </c>
      <c r="H2" s="78"/>
      <c r="I2" s="79"/>
      <c r="J2" s="10">
        <f>SUM(H:H)</f>
        <v>313306</v>
      </c>
    </row>
    <row r="3" spans="2:17" ht="20.100000000000001" customHeight="1" x14ac:dyDescent="0.15">
      <c r="B3" s="76" t="s">
        <v>10</v>
      </c>
      <c r="C3" s="76"/>
      <c r="D3" s="76"/>
      <c r="E3" s="14" t="s">
        <v>49</v>
      </c>
    </row>
    <row r="4" spans="2:17" ht="20.100000000000001" customHeight="1" x14ac:dyDescent="0.15">
      <c r="B4" s="76" t="s">
        <v>12</v>
      </c>
      <c r="C4" s="76"/>
      <c r="D4" s="76"/>
      <c r="E4" s="14">
        <v>212546</v>
      </c>
      <c r="J4" s="15"/>
    </row>
    <row r="5" spans="2:17" ht="20.100000000000001" customHeight="1" x14ac:dyDescent="0.15">
      <c r="B5" s="76" t="s">
        <v>13</v>
      </c>
      <c r="C5" s="76"/>
      <c r="D5" s="76"/>
      <c r="E5" s="16">
        <v>45341</v>
      </c>
      <c r="J5" s="15"/>
    </row>
    <row r="6" spans="2:17" ht="20.100000000000001" customHeight="1" x14ac:dyDescent="0.15">
      <c r="B6" s="76" t="s">
        <v>14</v>
      </c>
      <c r="C6" s="76"/>
      <c r="D6" s="76"/>
      <c r="E6" s="16">
        <v>45352</v>
      </c>
      <c r="J6" s="15"/>
    </row>
    <row r="7" spans="2:17" ht="20.100000000000001" customHeight="1" x14ac:dyDescent="0.15">
      <c r="B7" s="17"/>
      <c r="C7" s="17"/>
      <c r="D7" s="17"/>
      <c r="E7" s="18"/>
      <c r="J7" s="15"/>
      <c r="L7" s="19"/>
    </row>
    <row r="9" spans="2:17" s="11" customFormat="1" ht="19.7" customHeight="1" x14ac:dyDescent="0.15">
      <c r="B9" s="20" t="s">
        <v>4</v>
      </c>
      <c r="C9" s="20" t="s">
        <v>9</v>
      </c>
      <c r="D9" s="20" t="s">
        <v>5</v>
      </c>
      <c r="E9" s="21" t="s">
        <v>8</v>
      </c>
      <c r="F9" s="21" t="s">
        <v>0</v>
      </c>
      <c r="G9" s="43" t="s">
        <v>1</v>
      </c>
      <c r="H9" s="44" t="s">
        <v>2</v>
      </c>
      <c r="I9" s="22" t="s">
        <v>18</v>
      </c>
      <c r="J9" s="21" t="s">
        <v>3</v>
      </c>
      <c r="K9" s="21" t="s">
        <v>17</v>
      </c>
      <c r="L9" s="21" t="s">
        <v>16</v>
      </c>
      <c r="M9" s="23" t="s">
        <v>6</v>
      </c>
      <c r="N9" s="20" t="s">
        <v>19</v>
      </c>
      <c r="O9" s="21" t="s">
        <v>7</v>
      </c>
      <c r="P9" s="23" t="s">
        <v>20</v>
      </c>
      <c r="Q9" s="24" t="s">
        <v>21</v>
      </c>
    </row>
    <row r="10" spans="2:17" s="11" customFormat="1" ht="19.7" customHeight="1" x14ac:dyDescent="0.15">
      <c r="B10" s="20"/>
      <c r="C10" s="20" t="s">
        <v>47</v>
      </c>
      <c r="D10" s="20" t="s">
        <v>47</v>
      </c>
      <c r="E10" s="25" t="s">
        <v>59</v>
      </c>
      <c r="F10" s="27" t="s">
        <v>121</v>
      </c>
      <c r="G10" s="47"/>
      <c r="H10" s="47"/>
      <c r="I10" s="22"/>
      <c r="J10" s="25" t="s">
        <v>59</v>
      </c>
      <c r="K10" s="53" t="s">
        <v>122</v>
      </c>
      <c r="L10" s="21"/>
      <c r="M10" s="23"/>
      <c r="N10" s="20"/>
      <c r="O10" s="21"/>
      <c r="P10" s="23"/>
      <c r="Q10" s="24"/>
    </row>
    <row r="11" spans="2:17" s="11" customFormat="1" ht="19.7" customHeight="1" x14ac:dyDescent="0.15">
      <c r="B11" s="20"/>
      <c r="C11" s="20" t="s">
        <v>47</v>
      </c>
      <c r="D11" s="20" t="s">
        <v>47</v>
      </c>
      <c r="E11" s="25" t="s">
        <v>60</v>
      </c>
      <c r="F11" s="27" t="s">
        <v>121</v>
      </c>
      <c r="G11" s="47"/>
      <c r="H11" s="47"/>
      <c r="I11" s="22"/>
      <c r="J11" s="25"/>
      <c r="K11" s="53"/>
      <c r="L11" s="21"/>
      <c r="M11" s="23"/>
      <c r="N11" s="20"/>
      <c r="O11" s="21"/>
      <c r="P11" s="23"/>
      <c r="Q11" s="24"/>
    </row>
    <row r="12" spans="2:17" s="11" customFormat="1" ht="19.7" customHeight="1" x14ac:dyDescent="0.15">
      <c r="B12" s="20"/>
      <c r="C12" s="20" t="s">
        <v>47</v>
      </c>
      <c r="D12" s="20" t="s">
        <v>47</v>
      </c>
      <c r="E12" s="25" t="s">
        <v>61</v>
      </c>
      <c r="F12" s="27" t="s">
        <v>121</v>
      </c>
      <c r="G12" s="47"/>
      <c r="H12" s="47"/>
      <c r="I12" s="22"/>
      <c r="J12" s="25"/>
      <c r="K12" s="53"/>
      <c r="L12" s="21"/>
      <c r="M12" s="23"/>
      <c r="N12" s="20"/>
      <c r="O12" s="21"/>
      <c r="P12" s="23"/>
      <c r="Q12" s="24"/>
    </row>
    <row r="13" spans="2:17" s="11" customFormat="1" ht="19.7" customHeight="1" x14ac:dyDescent="0.15">
      <c r="B13" s="20"/>
      <c r="C13" s="20" t="s">
        <v>47</v>
      </c>
      <c r="D13" s="20" t="s">
        <v>47</v>
      </c>
      <c r="E13" s="25" t="s">
        <v>62</v>
      </c>
      <c r="F13" s="27" t="s">
        <v>121</v>
      </c>
      <c r="G13" s="47"/>
      <c r="H13" s="47"/>
      <c r="I13" s="22"/>
      <c r="J13" s="25"/>
      <c r="K13" s="53"/>
      <c r="L13" s="21"/>
      <c r="M13" s="23"/>
      <c r="N13" s="20"/>
      <c r="O13" s="21"/>
      <c r="P13" s="23"/>
      <c r="Q13" s="24"/>
    </row>
    <row r="14" spans="2:17" s="11" customFormat="1" ht="19.7" customHeight="1" x14ac:dyDescent="0.15">
      <c r="B14" s="50"/>
      <c r="C14" s="20" t="s">
        <v>47</v>
      </c>
      <c r="D14" s="20" t="s">
        <v>47</v>
      </c>
      <c r="E14" s="25" t="s">
        <v>111</v>
      </c>
      <c r="F14" s="27" t="s">
        <v>121</v>
      </c>
      <c r="G14" s="47"/>
      <c r="H14" s="47"/>
      <c r="I14" s="22"/>
      <c r="J14" s="25"/>
      <c r="K14" s="53"/>
      <c r="L14" s="21"/>
      <c r="M14" s="23"/>
      <c r="N14" s="20"/>
      <c r="O14" s="21"/>
      <c r="P14" s="23"/>
      <c r="Q14" s="24"/>
    </row>
    <row r="15" spans="2:17" s="11" customFormat="1" ht="19.7" customHeight="1" x14ac:dyDescent="0.15">
      <c r="B15" s="73" t="s">
        <v>124</v>
      </c>
      <c r="C15" s="37" t="s">
        <v>50</v>
      </c>
      <c r="D15" s="37" t="s">
        <v>50</v>
      </c>
      <c r="E15" s="31" t="s">
        <v>115</v>
      </c>
      <c r="F15" s="31">
        <v>1</v>
      </c>
      <c r="G15" s="31">
        <v>12544</v>
      </c>
      <c r="H15" s="47">
        <f t="shared" ref="H15:H71" si="0">F15*G15</f>
        <v>12544</v>
      </c>
      <c r="I15" s="26"/>
      <c r="J15" s="31" t="s">
        <v>58</v>
      </c>
      <c r="K15" s="20" t="s">
        <v>113</v>
      </c>
      <c r="L15" s="21"/>
      <c r="M15" s="23">
        <v>45327</v>
      </c>
      <c r="N15" s="20"/>
      <c r="O15" s="40"/>
      <c r="P15" s="39"/>
      <c r="Q15" s="24">
        <v>45341</v>
      </c>
    </row>
    <row r="16" spans="2:17" s="11" customFormat="1" ht="19.7" customHeight="1" x14ac:dyDescent="0.15">
      <c r="B16" s="74"/>
      <c r="C16" s="37" t="s">
        <v>50</v>
      </c>
      <c r="D16" s="37" t="s">
        <v>50</v>
      </c>
      <c r="E16" s="31" t="s">
        <v>104</v>
      </c>
      <c r="F16" s="31">
        <v>1</v>
      </c>
      <c r="G16" s="31">
        <v>2170</v>
      </c>
      <c r="H16" s="47">
        <f t="shared" si="0"/>
        <v>2170</v>
      </c>
      <c r="I16" s="36"/>
      <c r="J16" s="31" t="s">
        <v>63</v>
      </c>
      <c r="K16" s="20" t="s">
        <v>113</v>
      </c>
      <c r="L16" s="21"/>
      <c r="M16" s="23">
        <v>45327</v>
      </c>
      <c r="N16" s="20"/>
      <c r="O16" s="21"/>
      <c r="P16" s="23"/>
      <c r="Q16" s="83">
        <v>45341</v>
      </c>
    </row>
    <row r="17" spans="2:17" s="11" customFormat="1" ht="19.7" customHeight="1" x14ac:dyDescent="0.15">
      <c r="B17" s="74"/>
      <c r="C17" s="37" t="s">
        <v>50</v>
      </c>
      <c r="D17" s="37" t="s">
        <v>50</v>
      </c>
      <c r="E17" s="31" t="s">
        <v>106</v>
      </c>
      <c r="F17" s="31">
        <v>1</v>
      </c>
      <c r="G17" s="31">
        <v>2280</v>
      </c>
      <c r="H17" s="47">
        <f t="shared" si="0"/>
        <v>2280</v>
      </c>
      <c r="I17" s="52"/>
      <c r="J17" s="31" t="s">
        <v>105</v>
      </c>
      <c r="K17" s="20" t="s">
        <v>113</v>
      </c>
      <c r="L17" s="21"/>
      <c r="M17" s="23">
        <v>45327</v>
      </c>
      <c r="N17" s="20"/>
      <c r="O17" s="21"/>
      <c r="P17" s="23"/>
      <c r="Q17" s="83">
        <v>45341</v>
      </c>
    </row>
    <row r="18" spans="2:17" s="11" customFormat="1" ht="19.7" customHeight="1" x14ac:dyDescent="0.15">
      <c r="B18" s="74"/>
      <c r="C18" s="37" t="s">
        <v>50</v>
      </c>
      <c r="D18" s="37" t="s">
        <v>50</v>
      </c>
      <c r="E18" s="31" t="s">
        <v>64</v>
      </c>
      <c r="F18" s="31">
        <v>2</v>
      </c>
      <c r="G18" s="31">
        <v>161</v>
      </c>
      <c r="H18" s="47">
        <f t="shared" si="0"/>
        <v>322</v>
      </c>
      <c r="I18" s="51"/>
      <c r="J18" s="31" t="s">
        <v>89</v>
      </c>
      <c r="K18" s="20" t="s">
        <v>113</v>
      </c>
      <c r="L18" s="21"/>
      <c r="M18" s="23">
        <v>45327</v>
      </c>
      <c r="N18" s="20"/>
      <c r="O18" s="21"/>
      <c r="P18" s="23"/>
      <c r="Q18" s="83">
        <v>45341</v>
      </c>
    </row>
    <row r="19" spans="2:17" s="11" customFormat="1" ht="19.7" customHeight="1" x14ac:dyDescent="0.15">
      <c r="B19" s="74"/>
      <c r="C19" s="37" t="s">
        <v>50</v>
      </c>
      <c r="D19" s="37" t="s">
        <v>50</v>
      </c>
      <c r="E19" s="31" t="s">
        <v>110</v>
      </c>
      <c r="F19" s="31">
        <v>4</v>
      </c>
      <c r="G19" s="31">
        <v>1580</v>
      </c>
      <c r="H19" s="47">
        <f t="shared" si="0"/>
        <v>6320</v>
      </c>
      <c r="I19" s="51"/>
      <c r="J19" s="31" t="s">
        <v>120</v>
      </c>
      <c r="K19" s="20" t="s">
        <v>113</v>
      </c>
      <c r="L19" s="21"/>
      <c r="M19" s="23">
        <v>45327</v>
      </c>
      <c r="N19" s="20"/>
      <c r="O19" s="21"/>
      <c r="P19" s="23"/>
      <c r="Q19" s="83">
        <v>45341</v>
      </c>
    </row>
    <row r="20" spans="2:17" s="11" customFormat="1" ht="19.7" customHeight="1" x14ac:dyDescent="0.15">
      <c r="B20" s="74"/>
      <c r="C20" s="37" t="s">
        <v>50</v>
      </c>
      <c r="D20" s="37" t="s">
        <v>50</v>
      </c>
      <c r="E20" s="31" t="s">
        <v>108</v>
      </c>
      <c r="F20" s="31">
        <v>4</v>
      </c>
      <c r="G20" s="31">
        <v>1930</v>
      </c>
      <c r="H20" s="47">
        <f t="shared" si="0"/>
        <v>7720</v>
      </c>
      <c r="I20" s="51"/>
      <c r="J20" s="31" t="s">
        <v>119</v>
      </c>
      <c r="K20" s="20" t="s">
        <v>113</v>
      </c>
      <c r="L20" s="21"/>
      <c r="M20" s="23">
        <v>45327</v>
      </c>
      <c r="N20" s="20"/>
      <c r="O20" s="21"/>
      <c r="P20" s="23"/>
      <c r="Q20" s="83">
        <v>45341</v>
      </c>
    </row>
    <row r="21" spans="2:17" s="11" customFormat="1" ht="19.7" customHeight="1" x14ac:dyDescent="0.15">
      <c r="B21" s="74"/>
      <c r="C21" s="37" t="s">
        <v>50</v>
      </c>
      <c r="D21" s="37" t="s">
        <v>50</v>
      </c>
      <c r="E21" s="31" t="s">
        <v>109</v>
      </c>
      <c r="F21" s="31">
        <v>4</v>
      </c>
      <c r="G21" s="31">
        <v>240</v>
      </c>
      <c r="H21" s="47">
        <f t="shared" si="0"/>
        <v>960</v>
      </c>
      <c r="I21" s="51"/>
      <c r="J21" s="31" t="s">
        <v>118</v>
      </c>
      <c r="K21" s="20" t="s">
        <v>113</v>
      </c>
      <c r="L21" s="21"/>
      <c r="M21" s="23">
        <v>45327</v>
      </c>
      <c r="N21" s="20"/>
      <c r="O21" s="21"/>
      <c r="P21" s="23"/>
      <c r="Q21" s="83">
        <v>45341</v>
      </c>
    </row>
    <row r="22" spans="2:17" s="11" customFormat="1" ht="19.7" customHeight="1" x14ac:dyDescent="0.15">
      <c r="B22" s="74"/>
      <c r="C22" s="37" t="s">
        <v>50</v>
      </c>
      <c r="D22" s="37" t="s">
        <v>50</v>
      </c>
      <c r="E22" s="31" t="s">
        <v>107</v>
      </c>
      <c r="F22" s="31">
        <v>4</v>
      </c>
      <c r="G22" s="31">
        <v>1390</v>
      </c>
      <c r="H22" s="47">
        <f t="shared" si="0"/>
        <v>5560</v>
      </c>
      <c r="I22" s="51"/>
      <c r="J22" s="31" t="s">
        <v>117</v>
      </c>
      <c r="K22" s="20" t="s">
        <v>113</v>
      </c>
      <c r="L22" s="21"/>
      <c r="M22" s="23">
        <v>45327</v>
      </c>
      <c r="N22" s="20"/>
      <c r="O22" s="21"/>
      <c r="P22" s="23"/>
      <c r="Q22" s="83">
        <v>45341</v>
      </c>
    </row>
    <row r="23" spans="2:17" s="64" customFormat="1" ht="19.7" customHeight="1" x14ac:dyDescent="0.15">
      <c r="B23" s="74"/>
      <c r="C23" s="54" t="s">
        <v>50</v>
      </c>
      <c r="D23" s="54" t="s">
        <v>50</v>
      </c>
      <c r="E23" s="55" t="s">
        <v>115</v>
      </c>
      <c r="F23" s="55">
        <v>1</v>
      </c>
      <c r="G23" s="55">
        <v>12544</v>
      </c>
      <c r="H23" s="56">
        <f t="shared" ref="H23:H26" si="1">F23*G23</f>
        <v>12544</v>
      </c>
      <c r="I23" s="57"/>
      <c r="J23" s="55" t="s">
        <v>58</v>
      </c>
      <c r="K23" s="58" t="s">
        <v>113</v>
      </c>
      <c r="L23" s="59"/>
      <c r="M23" s="60">
        <v>45328</v>
      </c>
      <c r="N23" s="58"/>
      <c r="O23" s="61"/>
      <c r="P23" s="62"/>
      <c r="Q23" s="63">
        <v>45341</v>
      </c>
    </row>
    <row r="24" spans="2:17" s="64" customFormat="1" ht="19.7" customHeight="1" x14ac:dyDescent="0.15">
      <c r="B24" s="74"/>
      <c r="C24" s="54" t="s">
        <v>50</v>
      </c>
      <c r="D24" s="54" t="s">
        <v>50</v>
      </c>
      <c r="E24" s="55" t="s">
        <v>104</v>
      </c>
      <c r="F24" s="55">
        <v>1</v>
      </c>
      <c r="G24" s="55">
        <v>2170</v>
      </c>
      <c r="H24" s="56">
        <f t="shared" si="1"/>
        <v>2170</v>
      </c>
      <c r="I24" s="65"/>
      <c r="J24" s="55" t="s">
        <v>63</v>
      </c>
      <c r="K24" s="58" t="s">
        <v>113</v>
      </c>
      <c r="L24" s="59"/>
      <c r="M24" s="60">
        <v>45328</v>
      </c>
      <c r="N24" s="58"/>
      <c r="O24" s="59"/>
      <c r="P24" s="60"/>
      <c r="Q24" s="63">
        <v>45341</v>
      </c>
    </row>
    <row r="25" spans="2:17" s="64" customFormat="1" ht="19.7" customHeight="1" x14ac:dyDescent="0.15">
      <c r="B25" s="74"/>
      <c r="C25" s="54" t="s">
        <v>50</v>
      </c>
      <c r="D25" s="54" t="s">
        <v>50</v>
      </c>
      <c r="E25" s="55" t="s">
        <v>106</v>
      </c>
      <c r="F25" s="55">
        <v>1</v>
      </c>
      <c r="G25" s="55">
        <v>2280</v>
      </c>
      <c r="H25" s="56">
        <f t="shared" si="1"/>
        <v>2280</v>
      </c>
      <c r="I25" s="66"/>
      <c r="J25" s="55" t="s">
        <v>105</v>
      </c>
      <c r="K25" s="58" t="s">
        <v>113</v>
      </c>
      <c r="L25" s="59"/>
      <c r="M25" s="60">
        <v>45328</v>
      </c>
      <c r="N25" s="58"/>
      <c r="O25" s="59"/>
      <c r="P25" s="60"/>
      <c r="Q25" s="63">
        <v>45341</v>
      </c>
    </row>
    <row r="26" spans="2:17" s="64" customFormat="1" ht="19.7" customHeight="1" x14ac:dyDescent="0.15">
      <c r="B26" s="75"/>
      <c r="C26" s="54" t="s">
        <v>50</v>
      </c>
      <c r="D26" s="54" t="s">
        <v>50</v>
      </c>
      <c r="E26" s="55" t="s">
        <v>64</v>
      </c>
      <c r="F26" s="55">
        <v>2</v>
      </c>
      <c r="G26" s="55">
        <v>161</v>
      </c>
      <c r="H26" s="56">
        <f t="shared" si="1"/>
        <v>322</v>
      </c>
      <c r="I26" s="67"/>
      <c r="J26" s="55" t="s">
        <v>89</v>
      </c>
      <c r="K26" s="58" t="s">
        <v>113</v>
      </c>
      <c r="L26" s="59"/>
      <c r="M26" s="60">
        <v>45328</v>
      </c>
      <c r="N26" s="58"/>
      <c r="O26" s="59"/>
      <c r="P26" s="60"/>
      <c r="Q26" s="63">
        <v>45341</v>
      </c>
    </row>
    <row r="27" spans="2:17" s="11" customFormat="1" ht="19.7" customHeight="1" x14ac:dyDescent="0.15">
      <c r="B27" s="73" t="s">
        <v>125</v>
      </c>
      <c r="C27" s="37" t="s">
        <v>50</v>
      </c>
      <c r="D27" s="37" t="s">
        <v>50</v>
      </c>
      <c r="E27" s="31" t="s">
        <v>75</v>
      </c>
      <c r="F27" s="31">
        <v>1</v>
      </c>
      <c r="G27" s="31">
        <v>5889</v>
      </c>
      <c r="H27" s="47">
        <f t="shared" si="0"/>
        <v>5889</v>
      </c>
      <c r="I27" s="26"/>
      <c r="J27" s="31" t="s">
        <v>88</v>
      </c>
      <c r="K27" s="20" t="s">
        <v>113</v>
      </c>
      <c r="L27" s="21"/>
      <c r="M27" s="23">
        <v>45327</v>
      </c>
      <c r="N27" s="20"/>
      <c r="O27" s="21"/>
      <c r="P27" s="23"/>
      <c r="Q27" s="83">
        <v>45341</v>
      </c>
    </row>
    <row r="28" spans="2:17" s="11" customFormat="1" ht="19.7" customHeight="1" x14ac:dyDescent="0.15">
      <c r="B28" s="74"/>
      <c r="C28" s="37" t="s">
        <v>50</v>
      </c>
      <c r="D28" s="37" t="s">
        <v>50</v>
      </c>
      <c r="E28" s="31" t="s">
        <v>114</v>
      </c>
      <c r="F28" s="31">
        <v>1</v>
      </c>
      <c r="G28" s="31">
        <v>1915</v>
      </c>
      <c r="H28" s="47">
        <f t="shared" si="0"/>
        <v>1915</v>
      </c>
      <c r="I28" s="26"/>
      <c r="J28" s="31" t="s">
        <v>116</v>
      </c>
      <c r="K28" s="20" t="s">
        <v>113</v>
      </c>
      <c r="L28" s="21"/>
      <c r="M28" s="23">
        <v>45327</v>
      </c>
      <c r="N28" s="20"/>
      <c r="O28" s="21"/>
      <c r="P28" s="23"/>
      <c r="Q28" s="83">
        <v>45341</v>
      </c>
    </row>
    <row r="29" spans="2:17" s="11" customFormat="1" ht="19.7" customHeight="1" x14ac:dyDescent="0.15">
      <c r="B29" s="74"/>
      <c r="C29" s="37" t="s">
        <v>50</v>
      </c>
      <c r="D29" s="37" t="s">
        <v>50</v>
      </c>
      <c r="E29" s="31" t="s">
        <v>76</v>
      </c>
      <c r="F29" s="31">
        <v>1</v>
      </c>
      <c r="G29" s="31">
        <v>220</v>
      </c>
      <c r="H29" s="47">
        <f t="shared" si="0"/>
        <v>220</v>
      </c>
      <c r="I29" s="26"/>
      <c r="J29" s="31" t="s">
        <v>95</v>
      </c>
      <c r="K29" s="20" t="s">
        <v>113</v>
      </c>
      <c r="L29" s="21"/>
      <c r="M29" s="23">
        <v>45327</v>
      </c>
      <c r="N29" s="20"/>
      <c r="O29" s="21"/>
      <c r="P29" s="23"/>
      <c r="Q29" s="83">
        <v>45341</v>
      </c>
    </row>
    <row r="30" spans="2:17" s="11" customFormat="1" ht="19.7" customHeight="1" x14ac:dyDescent="0.15">
      <c r="B30" s="74"/>
      <c r="C30" s="37" t="s">
        <v>50</v>
      </c>
      <c r="D30" s="37" t="s">
        <v>50</v>
      </c>
      <c r="E30" s="31" t="s">
        <v>77</v>
      </c>
      <c r="F30" s="31">
        <v>1</v>
      </c>
      <c r="G30" s="31">
        <v>170</v>
      </c>
      <c r="H30" s="47">
        <f t="shared" si="0"/>
        <v>170</v>
      </c>
      <c r="I30" s="26"/>
      <c r="J30" s="31" t="s">
        <v>94</v>
      </c>
      <c r="K30" s="20" t="s">
        <v>113</v>
      </c>
      <c r="L30" s="21"/>
      <c r="M30" s="23">
        <v>45327</v>
      </c>
      <c r="N30" s="20"/>
      <c r="O30" s="21"/>
      <c r="P30" s="23"/>
      <c r="Q30" s="83">
        <v>45341</v>
      </c>
    </row>
    <row r="31" spans="2:17" ht="19.5" customHeight="1" x14ac:dyDescent="0.15">
      <c r="B31" s="74"/>
      <c r="C31" s="37" t="s">
        <v>50</v>
      </c>
      <c r="D31" s="37" t="s">
        <v>50</v>
      </c>
      <c r="E31" s="31" t="s">
        <v>78</v>
      </c>
      <c r="F31" s="31">
        <v>1</v>
      </c>
      <c r="G31" s="31">
        <v>180</v>
      </c>
      <c r="H31" s="47">
        <f t="shared" si="0"/>
        <v>180</v>
      </c>
      <c r="I31" s="36"/>
      <c r="J31" s="31" t="s">
        <v>93</v>
      </c>
      <c r="K31" s="20" t="s">
        <v>113</v>
      </c>
      <c r="L31" s="21"/>
      <c r="M31" s="23">
        <v>45327</v>
      </c>
      <c r="N31" s="31"/>
      <c r="O31" s="36"/>
      <c r="P31" s="41"/>
      <c r="Q31" s="83">
        <v>45341</v>
      </c>
    </row>
    <row r="32" spans="2:17" ht="19.5" customHeight="1" x14ac:dyDescent="0.15">
      <c r="B32" s="74"/>
      <c r="C32" s="37" t="s">
        <v>50</v>
      </c>
      <c r="D32" s="37" t="s">
        <v>50</v>
      </c>
      <c r="E32" s="31" t="s">
        <v>79</v>
      </c>
      <c r="F32" s="31">
        <v>1</v>
      </c>
      <c r="G32" s="31">
        <v>220</v>
      </c>
      <c r="H32" s="47">
        <f t="shared" si="0"/>
        <v>220</v>
      </c>
      <c r="I32" s="36"/>
      <c r="J32" s="31" t="s">
        <v>93</v>
      </c>
      <c r="K32" s="20" t="s">
        <v>113</v>
      </c>
      <c r="L32" s="21"/>
      <c r="M32" s="23">
        <v>45327</v>
      </c>
      <c r="N32" s="31"/>
      <c r="O32" s="36"/>
      <c r="P32" s="41"/>
      <c r="Q32" s="83">
        <v>45341</v>
      </c>
    </row>
    <row r="33" spans="2:17" ht="19.5" customHeight="1" x14ac:dyDescent="0.15">
      <c r="B33" s="74"/>
      <c r="C33" s="37" t="s">
        <v>50</v>
      </c>
      <c r="D33" s="37" t="s">
        <v>50</v>
      </c>
      <c r="E33" s="31" t="s">
        <v>80</v>
      </c>
      <c r="F33" s="31">
        <v>1</v>
      </c>
      <c r="G33" s="31">
        <v>2970</v>
      </c>
      <c r="H33" s="47">
        <f t="shared" si="0"/>
        <v>2970</v>
      </c>
      <c r="I33" s="36"/>
      <c r="J33" s="31" t="s">
        <v>92</v>
      </c>
      <c r="K33" s="20" t="s">
        <v>113</v>
      </c>
      <c r="L33" s="21"/>
      <c r="M33" s="23">
        <v>45327</v>
      </c>
      <c r="N33" s="31"/>
      <c r="O33" s="36"/>
      <c r="P33" s="41"/>
      <c r="Q33" s="83">
        <v>45341</v>
      </c>
    </row>
    <row r="34" spans="2:17" ht="19.5" customHeight="1" x14ac:dyDescent="0.15">
      <c r="B34" s="74"/>
      <c r="C34" s="37" t="s">
        <v>50</v>
      </c>
      <c r="D34" s="37" t="s">
        <v>50</v>
      </c>
      <c r="E34" s="31" t="s">
        <v>81</v>
      </c>
      <c r="F34" s="31">
        <v>1</v>
      </c>
      <c r="G34" s="31">
        <v>270</v>
      </c>
      <c r="H34" s="47">
        <f t="shared" si="0"/>
        <v>270</v>
      </c>
      <c r="I34" s="36"/>
      <c r="J34" s="31" t="s">
        <v>91</v>
      </c>
      <c r="K34" s="20" t="s">
        <v>113</v>
      </c>
      <c r="L34" s="21"/>
      <c r="M34" s="23">
        <v>45327</v>
      </c>
      <c r="N34" s="31"/>
      <c r="O34" s="36"/>
      <c r="P34" s="41"/>
      <c r="Q34" s="83">
        <v>45341</v>
      </c>
    </row>
    <row r="35" spans="2:17" ht="19.5" customHeight="1" x14ac:dyDescent="0.15">
      <c r="B35" s="74"/>
      <c r="C35" s="37" t="s">
        <v>50</v>
      </c>
      <c r="D35" s="37" t="s">
        <v>50</v>
      </c>
      <c r="E35" s="31" t="s">
        <v>82</v>
      </c>
      <c r="F35" s="31">
        <v>1</v>
      </c>
      <c r="G35" s="31">
        <v>290</v>
      </c>
      <c r="H35" s="47">
        <f t="shared" si="0"/>
        <v>290</v>
      </c>
      <c r="I35" s="36"/>
      <c r="J35" s="31" t="s">
        <v>90</v>
      </c>
      <c r="K35" s="20" t="s">
        <v>113</v>
      </c>
      <c r="L35" s="21"/>
      <c r="M35" s="23">
        <v>45327</v>
      </c>
      <c r="N35" s="31"/>
      <c r="O35" s="36"/>
      <c r="P35" s="41"/>
      <c r="Q35" s="83">
        <v>45341</v>
      </c>
    </row>
    <row r="36" spans="2:17" ht="19.5" customHeight="1" x14ac:dyDescent="0.15">
      <c r="B36" s="74"/>
      <c r="C36" s="37" t="s">
        <v>50</v>
      </c>
      <c r="D36" s="37" t="s">
        <v>50</v>
      </c>
      <c r="E36" s="31" t="s">
        <v>84</v>
      </c>
      <c r="F36" s="31">
        <v>1</v>
      </c>
      <c r="G36" s="31">
        <v>3100</v>
      </c>
      <c r="H36" s="47">
        <f t="shared" si="0"/>
        <v>3100</v>
      </c>
      <c r="I36" s="36"/>
      <c r="J36" s="31" t="s">
        <v>83</v>
      </c>
      <c r="K36" s="20" t="s">
        <v>113</v>
      </c>
      <c r="L36" s="21"/>
      <c r="M36" s="23">
        <v>45327</v>
      </c>
      <c r="N36" s="31"/>
      <c r="O36" s="36"/>
      <c r="P36" s="41"/>
      <c r="Q36" s="83">
        <v>45341</v>
      </c>
    </row>
    <row r="37" spans="2:17" s="64" customFormat="1" ht="19.7" customHeight="1" x14ac:dyDescent="0.15">
      <c r="B37" s="74"/>
      <c r="C37" s="54" t="s">
        <v>50</v>
      </c>
      <c r="D37" s="54" t="s">
        <v>50</v>
      </c>
      <c r="E37" s="55" t="s">
        <v>75</v>
      </c>
      <c r="F37" s="55">
        <v>1</v>
      </c>
      <c r="G37" s="55">
        <v>5889</v>
      </c>
      <c r="H37" s="56">
        <f t="shared" ref="H37:H46" si="2">F37*G37</f>
        <v>5889</v>
      </c>
      <c r="I37" s="57"/>
      <c r="J37" s="55" t="s">
        <v>88</v>
      </c>
      <c r="K37" s="58" t="s">
        <v>113</v>
      </c>
      <c r="L37" s="59"/>
      <c r="M37" s="60">
        <v>45328</v>
      </c>
      <c r="N37" s="58"/>
      <c r="O37" s="59"/>
      <c r="P37" s="60"/>
      <c r="Q37" s="63">
        <v>45341</v>
      </c>
    </row>
    <row r="38" spans="2:17" s="64" customFormat="1" ht="19.7" customHeight="1" x14ac:dyDescent="0.15">
      <c r="B38" s="74"/>
      <c r="C38" s="54" t="s">
        <v>50</v>
      </c>
      <c r="D38" s="54" t="s">
        <v>50</v>
      </c>
      <c r="E38" s="55" t="s">
        <v>114</v>
      </c>
      <c r="F38" s="55">
        <v>1</v>
      </c>
      <c r="G38" s="55">
        <v>1915</v>
      </c>
      <c r="H38" s="56">
        <f t="shared" si="2"/>
        <v>1915</v>
      </c>
      <c r="I38" s="57"/>
      <c r="J38" s="55" t="s">
        <v>116</v>
      </c>
      <c r="K38" s="58" t="s">
        <v>113</v>
      </c>
      <c r="L38" s="59"/>
      <c r="M38" s="60">
        <v>45328</v>
      </c>
      <c r="N38" s="58"/>
      <c r="O38" s="59"/>
      <c r="P38" s="60"/>
      <c r="Q38" s="63">
        <v>45341</v>
      </c>
    </row>
    <row r="39" spans="2:17" s="64" customFormat="1" ht="19.7" customHeight="1" x14ac:dyDescent="0.15">
      <c r="B39" s="74"/>
      <c r="C39" s="54" t="s">
        <v>50</v>
      </c>
      <c r="D39" s="54" t="s">
        <v>50</v>
      </c>
      <c r="E39" s="55" t="s">
        <v>76</v>
      </c>
      <c r="F39" s="55">
        <v>1</v>
      </c>
      <c r="G39" s="55">
        <v>220</v>
      </c>
      <c r="H39" s="56">
        <f t="shared" si="2"/>
        <v>220</v>
      </c>
      <c r="I39" s="57"/>
      <c r="J39" s="55" t="s">
        <v>95</v>
      </c>
      <c r="K39" s="58" t="s">
        <v>113</v>
      </c>
      <c r="L39" s="59"/>
      <c r="M39" s="60">
        <v>45328</v>
      </c>
      <c r="N39" s="58"/>
      <c r="O39" s="59"/>
      <c r="P39" s="60"/>
      <c r="Q39" s="63">
        <v>45341</v>
      </c>
    </row>
    <row r="40" spans="2:17" s="64" customFormat="1" ht="19.7" customHeight="1" x14ac:dyDescent="0.15">
      <c r="B40" s="74"/>
      <c r="C40" s="54" t="s">
        <v>50</v>
      </c>
      <c r="D40" s="54" t="s">
        <v>50</v>
      </c>
      <c r="E40" s="55" t="s">
        <v>77</v>
      </c>
      <c r="F40" s="55">
        <v>1</v>
      </c>
      <c r="G40" s="55">
        <v>170</v>
      </c>
      <c r="H40" s="56">
        <f t="shared" si="2"/>
        <v>170</v>
      </c>
      <c r="I40" s="57"/>
      <c r="J40" s="55" t="s">
        <v>94</v>
      </c>
      <c r="K40" s="58" t="s">
        <v>113</v>
      </c>
      <c r="L40" s="59"/>
      <c r="M40" s="60">
        <v>45328</v>
      </c>
      <c r="N40" s="58"/>
      <c r="O40" s="59"/>
      <c r="P40" s="60"/>
      <c r="Q40" s="63">
        <v>45341</v>
      </c>
    </row>
    <row r="41" spans="2:17" s="69" customFormat="1" ht="19.5" customHeight="1" x14ac:dyDescent="0.15">
      <c r="B41" s="74"/>
      <c r="C41" s="54" t="s">
        <v>50</v>
      </c>
      <c r="D41" s="54" t="s">
        <v>50</v>
      </c>
      <c r="E41" s="55" t="s">
        <v>78</v>
      </c>
      <c r="F41" s="55">
        <v>1</v>
      </c>
      <c r="G41" s="55">
        <v>180</v>
      </c>
      <c r="H41" s="56">
        <f t="shared" si="2"/>
        <v>180</v>
      </c>
      <c r="I41" s="65"/>
      <c r="J41" s="55" t="s">
        <v>93</v>
      </c>
      <c r="K41" s="58" t="s">
        <v>113</v>
      </c>
      <c r="L41" s="59"/>
      <c r="M41" s="60">
        <v>45328</v>
      </c>
      <c r="N41" s="55"/>
      <c r="O41" s="65"/>
      <c r="P41" s="68"/>
      <c r="Q41" s="63">
        <v>45341</v>
      </c>
    </row>
    <row r="42" spans="2:17" s="69" customFormat="1" ht="19.5" customHeight="1" x14ac:dyDescent="0.15">
      <c r="B42" s="74"/>
      <c r="C42" s="54" t="s">
        <v>50</v>
      </c>
      <c r="D42" s="54" t="s">
        <v>50</v>
      </c>
      <c r="E42" s="55" t="s">
        <v>79</v>
      </c>
      <c r="F42" s="55">
        <v>1</v>
      </c>
      <c r="G42" s="55">
        <v>220</v>
      </c>
      <c r="H42" s="56">
        <f t="shared" si="2"/>
        <v>220</v>
      </c>
      <c r="I42" s="65"/>
      <c r="J42" s="55" t="s">
        <v>93</v>
      </c>
      <c r="K42" s="58" t="s">
        <v>113</v>
      </c>
      <c r="L42" s="59"/>
      <c r="M42" s="60">
        <v>45328</v>
      </c>
      <c r="N42" s="55"/>
      <c r="O42" s="65"/>
      <c r="P42" s="68"/>
      <c r="Q42" s="63">
        <v>45341</v>
      </c>
    </row>
    <row r="43" spans="2:17" s="69" customFormat="1" ht="19.5" customHeight="1" x14ac:dyDescent="0.15">
      <c r="B43" s="74"/>
      <c r="C43" s="54" t="s">
        <v>50</v>
      </c>
      <c r="D43" s="54" t="s">
        <v>50</v>
      </c>
      <c r="E43" s="55" t="s">
        <v>80</v>
      </c>
      <c r="F43" s="55">
        <v>1</v>
      </c>
      <c r="G43" s="55">
        <v>2970</v>
      </c>
      <c r="H43" s="56">
        <f t="shared" si="2"/>
        <v>2970</v>
      </c>
      <c r="I43" s="65"/>
      <c r="J43" s="55" t="s">
        <v>92</v>
      </c>
      <c r="K43" s="58" t="s">
        <v>113</v>
      </c>
      <c r="L43" s="59"/>
      <c r="M43" s="60">
        <v>45328</v>
      </c>
      <c r="N43" s="55"/>
      <c r="O43" s="65"/>
      <c r="P43" s="68"/>
      <c r="Q43" s="63">
        <v>45341</v>
      </c>
    </row>
    <row r="44" spans="2:17" s="69" customFormat="1" ht="19.5" customHeight="1" x14ac:dyDescent="0.15">
      <c r="B44" s="74"/>
      <c r="C44" s="54" t="s">
        <v>50</v>
      </c>
      <c r="D44" s="54" t="s">
        <v>50</v>
      </c>
      <c r="E44" s="55" t="s">
        <v>81</v>
      </c>
      <c r="F44" s="55">
        <v>1</v>
      </c>
      <c r="G44" s="55">
        <v>270</v>
      </c>
      <c r="H44" s="56">
        <f t="shared" si="2"/>
        <v>270</v>
      </c>
      <c r="I44" s="65"/>
      <c r="J44" s="55" t="s">
        <v>91</v>
      </c>
      <c r="K44" s="58" t="s">
        <v>113</v>
      </c>
      <c r="L44" s="59"/>
      <c r="M44" s="60">
        <v>45328</v>
      </c>
      <c r="N44" s="55"/>
      <c r="O44" s="65"/>
      <c r="P44" s="68"/>
      <c r="Q44" s="63">
        <v>45341</v>
      </c>
    </row>
    <row r="45" spans="2:17" s="69" customFormat="1" ht="19.5" customHeight="1" x14ac:dyDescent="0.15">
      <c r="B45" s="74"/>
      <c r="C45" s="54" t="s">
        <v>50</v>
      </c>
      <c r="D45" s="54" t="s">
        <v>50</v>
      </c>
      <c r="E45" s="55" t="s">
        <v>82</v>
      </c>
      <c r="F45" s="55">
        <v>1</v>
      </c>
      <c r="G45" s="55">
        <v>290</v>
      </c>
      <c r="H45" s="56">
        <f t="shared" si="2"/>
        <v>290</v>
      </c>
      <c r="I45" s="65"/>
      <c r="J45" s="55" t="s">
        <v>90</v>
      </c>
      <c r="K45" s="58" t="s">
        <v>113</v>
      </c>
      <c r="L45" s="59"/>
      <c r="M45" s="60">
        <v>45328</v>
      </c>
      <c r="N45" s="55"/>
      <c r="O45" s="65"/>
      <c r="P45" s="68"/>
      <c r="Q45" s="63">
        <v>45341</v>
      </c>
    </row>
    <row r="46" spans="2:17" s="69" customFormat="1" ht="19.5" customHeight="1" x14ac:dyDescent="0.15">
      <c r="B46" s="75"/>
      <c r="C46" s="54" t="s">
        <v>50</v>
      </c>
      <c r="D46" s="54" t="s">
        <v>50</v>
      </c>
      <c r="E46" s="55" t="s">
        <v>84</v>
      </c>
      <c r="F46" s="55">
        <v>1</v>
      </c>
      <c r="G46" s="55">
        <v>3100</v>
      </c>
      <c r="H46" s="56">
        <f t="shared" si="2"/>
        <v>3100</v>
      </c>
      <c r="I46" s="65"/>
      <c r="J46" s="55" t="s">
        <v>83</v>
      </c>
      <c r="K46" s="58" t="s">
        <v>113</v>
      </c>
      <c r="L46" s="59"/>
      <c r="M46" s="60">
        <v>45328</v>
      </c>
      <c r="N46" s="55"/>
      <c r="O46" s="65"/>
      <c r="P46" s="68"/>
      <c r="Q46" s="63">
        <v>45341</v>
      </c>
    </row>
    <row r="47" spans="2:17" s="11" customFormat="1" ht="19.7" customHeight="1" x14ac:dyDescent="0.15">
      <c r="B47" s="73" t="s">
        <v>126</v>
      </c>
      <c r="C47" s="37" t="s">
        <v>50</v>
      </c>
      <c r="D47" s="37" t="s">
        <v>50</v>
      </c>
      <c r="E47" s="31" t="s">
        <v>51</v>
      </c>
      <c r="F47" s="31">
        <v>1</v>
      </c>
      <c r="G47" s="31">
        <v>168</v>
      </c>
      <c r="H47" s="47">
        <f>F47*G47</f>
        <v>168</v>
      </c>
      <c r="I47" s="26"/>
      <c r="J47" s="31" t="s">
        <v>52</v>
      </c>
      <c r="K47" s="20" t="s">
        <v>113</v>
      </c>
      <c r="L47" s="21"/>
      <c r="M47" s="23">
        <v>45327</v>
      </c>
      <c r="N47" s="20"/>
      <c r="O47" s="21"/>
      <c r="P47" s="23"/>
      <c r="Q47" s="83">
        <v>45341</v>
      </c>
    </row>
    <row r="48" spans="2:17" s="11" customFormat="1" ht="19.7" customHeight="1" x14ac:dyDescent="0.15">
      <c r="B48" s="74"/>
      <c r="C48" s="37" t="s">
        <v>50</v>
      </c>
      <c r="D48" s="37" t="s">
        <v>50</v>
      </c>
      <c r="E48" s="31" t="s">
        <v>101</v>
      </c>
      <c r="F48" s="31">
        <v>1</v>
      </c>
      <c r="G48" s="31">
        <v>266</v>
      </c>
      <c r="H48" s="47">
        <f>F48*G48</f>
        <v>266</v>
      </c>
      <c r="I48" s="26"/>
      <c r="J48" s="31" t="s">
        <v>102</v>
      </c>
      <c r="K48" s="20" t="s">
        <v>113</v>
      </c>
      <c r="L48" s="21"/>
      <c r="M48" s="23">
        <v>45327</v>
      </c>
      <c r="N48" s="20"/>
      <c r="O48" s="21"/>
      <c r="P48" s="23"/>
      <c r="Q48" s="83">
        <v>45341</v>
      </c>
    </row>
    <row r="49" spans="2:17" s="64" customFormat="1" ht="19.7" customHeight="1" x14ac:dyDescent="0.15">
      <c r="B49" s="74"/>
      <c r="C49" s="54" t="s">
        <v>50</v>
      </c>
      <c r="D49" s="54" t="s">
        <v>50</v>
      </c>
      <c r="E49" s="55" t="s">
        <v>51</v>
      </c>
      <c r="F49" s="55">
        <v>1</v>
      </c>
      <c r="G49" s="55">
        <v>168</v>
      </c>
      <c r="H49" s="56">
        <f t="shared" ref="H49:H50" si="3">F49*G49</f>
        <v>168</v>
      </c>
      <c r="I49" s="57"/>
      <c r="J49" s="55" t="s">
        <v>52</v>
      </c>
      <c r="K49" s="58" t="s">
        <v>113</v>
      </c>
      <c r="L49" s="59"/>
      <c r="M49" s="60">
        <v>45328</v>
      </c>
      <c r="N49" s="58"/>
      <c r="O49" s="59"/>
      <c r="P49" s="60"/>
      <c r="Q49" s="63">
        <v>45341</v>
      </c>
    </row>
    <row r="50" spans="2:17" s="64" customFormat="1" ht="19.7" customHeight="1" x14ac:dyDescent="0.15">
      <c r="B50" s="75"/>
      <c r="C50" s="54" t="s">
        <v>50</v>
      </c>
      <c r="D50" s="54" t="s">
        <v>50</v>
      </c>
      <c r="E50" s="55" t="s">
        <v>101</v>
      </c>
      <c r="F50" s="55">
        <v>1</v>
      </c>
      <c r="G50" s="55">
        <v>266</v>
      </c>
      <c r="H50" s="56">
        <f t="shared" si="3"/>
        <v>266</v>
      </c>
      <c r="I50" s="57"/>
      <c r="J50" s="55" t="s">
        <v>102</v>
      </c>
      <c r="K50" s="58" t="s">
        <v>113</v>
      </c>
      <c r="L50" s="59"/>
      <c r="M50" s="60">
        <v>45328</v>
      </c>
      <c r="N50" s="58"/>
      <c r="O50" s="59"/>
      <c r="P50" s="60"/>
      <c r="Q50" s="63">
        <v>45341</v>
      </c>
    </row>
    <row r="51" spans="2:17" s="11" customFormat="1" ht="19.7" customHeight="1" x14ac:dyDescent="0.15">
      <c r="B51" s="73" t="s">
        <v>123</v>
      </c>
      <c r="C51" s="37" t="s">
        <v>50</v>
      </c>
      <c r="D51" s="37" t="s">
        <v>50</v>
      </c>
      <c r="E51" s="31" t="s">
        <v>86</v>
      </c>
      <c r="F51" s="31">
        <v>1</v>
      </c>
      <c r="G51" s="31">
        <v>10202</v>
      </c>
      <c r="H51" s="47">
        <f t="shared" si="0"/>
        <v>10202</v>
      </c>
      <c r="I51" s="26"/>
      <c r="J51" s="31" t="s">
        <v>65</v>
      </c>
      <c r="K51" s="20" t="s">
        <v>113</v>
      </c>
      <c r="L51" s="21"/>
      <c r="M51" s="23">
        <v>45327</v>
      </c>
      <c r="N51" s="20"/>
      <c r="O51" s="21"/>
      <c r="P51" s="23"/>
      <c r="Q51" s="83">
        <v>45341</v>
      </c>
    </row>
    <row r="52" spans="2:17" s="11" customFormat="1" ht="19.7" customHeight="1" x14ac:dyDescent="0.15">
      <c r="B52" s="74"/>
      <c r="C52" s="37" t="s">
        <v>50</v>
      </c>
      <c r="D52" s="37" t="s">
        <v>50</v>
      </c>
      <c r="E52" s="31" t="s">
        <v>85</v>
      </c>
      <c r="F52" s="31">
        <v>1</v>
      </c>
      <c r="G52" s="31">
        <v>2610</v>
      </c>
      <c r="H52" s="47">
        <f t="shared" si="0"/>
        <v>2610</v>
      </c>
      <c r="I52" s="26"/>
      <c r="J52" s="31" t="s">
        <v>66</v>
      </c>
      <c r="K52" s="20" t="s">
        <v>113</v>
      </c>
      <c r="L52" s="21"/>
      <c r="M52" s="23">
        <v>45327</v>
      </c>
      <c r="N52" s="20"/>
      <c r="O52" s="21"/>
      <c r="P52" s="23"/>
      <c r="Q52" s="83">
        <v>45341</v>
      </c>
    </row>
    <row r="53" spans="2:17" s="11" customFormat="1" ht="19.7" customHeight="1" x14ac:dyDescent="0.15">
      <c r="B53" s="74"/>
      <c r="C53" s="37" t="s">
        <v>50</v>
      </c>
      <c r="D53" s="37" t="s">
        <v>50</v>
      </c>
      <c r="E53" s="31" t="s">
        <v>87</v>
      </c>
      <c r="F53" s="31">
        <v>1</v>
      </c>
      <c r="G53" s="31">
        <v>3710</v>
      </c>
      <c r="H53" s="47">
        <f t="shared" si="0"/>
        <v>3710</v>
      </c>
      <c r="I53" s="26"/>
      <c r="J53" s="31" t="s">
        <v>67</v>
      </c>
      <c r="K53" s="20" t="s">
        <v>113</v>
      </c>
      <c r="L53" s="21"/>
      <c r="M53" s="23">
        <v>45327</v>
      </c>
      <c r="N53" s="20"/>
      <c r="O53" s="21"/>
      <c r="P53" s="23"/>
      <c r="Q53" s="83">
        <v>45341</v>
      </c>
    </row>
    <row r="54" spans="2:17" s="11" customFormat="1" ht="19.7" customHeight="1" x14ac:dyDescent="0.15">
      <c r="B54" s="74"/>
      <c r="C54" s="37" t="s">
        <v>50</v>
      </c>
      <c r="D54" s="37" t="s">
        <v>50</v>
      </c>
      <c r="E54" s="31" t="s">
        <v>69</v>
      </c>
      <c r="F54" s="31">
        <v>1</v>
      </c>
      <c r="G54" s="31">
        <v>72</v>
      </c>
      <c r="H54" s="47">
        <f t="shared" si="0"/>
        <v>72</v>
      </c>
      <c r="I54" s="26"/>
      <c r="J54" s="31" t="s">
        <v>100</v>
      </c>
      <c r="K54" s="20" t="s">
        <v>113</v>
      </c>
      <c r="L54" s="21"/>
      <c r="M54" s="23">
        <v>45327</v>
      </c>
      <c r="N54" s="20"/>
      <c r="O54" s="21"/>
      <c r="P54" s="23"/>
      <c r="Q54" s="83">
        <v>45341</v>
      </c>
    </row>
    <row r="55" spans="2:17" ht="19.5" customHeight="1" x14ac:dyDescent="0.15">
      <c r="B55" s="74"/>
      <c r="C55" s="37" t="s">
        <v>50</v>
      </c>
      <c r="D55" s="37" t="s">
        <v>50</v>
      </c>
      <c r="E55" s="31" t="s">
        <v>70</v>
      </c>
      <c r="F55" s="31">
        <v>2</v>
      </c>
      <c r="G55" s="31">
        <v>278</v>
      </c>
      <c r="H55" s="47">
        <f t="shared" si="0"/>
        <v>556</v>
      </c>
      <c r="I55" s="36"/>
      <c r="J55" s="31" t="s">
        <v>89</v>
      </c>
      <c r="K55" s="20" t="s">
        <v>113</v>
      </c>
      <c r="L55" s="21"/>
      <c r="M55" s="23">
        <v>45327</v>
      </c>
      <c r="N55" s="31"/>
      <c r="O55" s="36"/>
      <c r="P55" s="41"/>
      <c r="Q55" s="83">
        <v>45341</v>
      </c>
    </row>
    <row r="56" spans="2:17" ht="19.5" customHeight="1" x14ac:dyDescent="0.15">
      <c r="B56" s="74"/>
      <c r="C56" s="37" t="s">
        <v>50</v>
      </c>
      <c r="D56" s="37" t="s">
        <v>50</v>
      </c>
      <c r="E56" s="31" t="s">
        <v>71</v>
      </c>
      <c r="F56" s="31">
        <v>1</v>
      </c>
      <c r="G56" s="31">
        <v>51</v>
      </c>
      <c r="H56" s="47">
        <f t="shared" si="0"/>
        <v>51</v>
      </c>
      <c r="I56" s="36"/>
      <c r="J56" s="31" t="s">
        <v>99</v>
      </c>
      <c r="K56" s="20" t="s">
        <v>113</v>
      </c>
      <c r="L56" s="21"/>
      <c r="M56" s="23">
        <v>45327</v>
      </c>
      <c r="N56" s="31"/>
      <c r="O56" s="36"/>
      <c r="P56" s="41"/>
      <c r="Q56" s="83">
        <v>45341</v>
      </c>
    </row>
    <row r="57" spans="2:17" ht="19.5" customHeight="1" x14ac:dyDescent="0.15">
      <c r="B57" s="74"/>
      <c r="C57" s="37" t="s">
        <v>50</v>
      </c>
      <c r="D57" s="37" t="s">
        <v>50</v>
      </c>
      <c r="E57" s="31" t="s">
        <v>72</v>
      </c>
      <c r="F57" s="31">
        <v>1</v>
      </c>
      <c r="G57" s="31">
        <v>5500</v>
      </c>
      <c r="H57" s="47">
        <f t="shared" si="0"/>
        <v>5500</v>
      </c>
      <c r="I57" s="36"/>
      <c r="J57" s="31" t="s">
        <v>98</v>
      </c>
      <c r="K57" s="20" t="s">
        <v>113</v>
      </c>
      <c r="L57" s="21"/>
      <c r="M57" s="23">
        <v>45327</v>
      </c>
      <c r="N57" s="31"/>
      <c r="O57" s="36"/>
      <c r="P57" s="41"/>
      <c r="Q57" s="83">
        <v>45341</v>
      </c>
    </row>
    <row r="58" spans="2:17" ht="19.5" customHeight="1" x14ac:dyDescent="0.15">
      <c r="B58" s="74"/>
      <c r="C58" s="37" t="s">
        <v>50</v>
      </c>
      <c r="D58" s="37" t="s">
        <v>50</v>
      </c>
      <c r="E58" s="31" t="s">
        <v>74</v>
      </c>
      <c r="F58" s="31">
        <v>1</v>
      </c>
      <c r="G58" s="31">
        <v>1870</v>
      </c>
      <c r="H58" s="47">
        <f t="shared" si="0"/>
        <v>1870</v>
      </c>
      <c r="I58" s="36"/>
      <c r="J58" s="31" t="s">
        <v>97</v>
      </c>
      <c r="K58" s="20" t="s">
        <v>113</v>
      </c>
      <c r="L58" s="21"/>
      <c r="M58" s="23">
        <v>45327</v>
      </c>
      <c r="N58" s="31"/>
      <c r="O58" s="36"/>
      <c r="P58" s="41"/>
      <c r="Q58" s="83">
        <v>45341</v>
      </c>
    </row>
    <row r="59" spans="2:17" ht="19.5" customHeight="1" x14ac:dyDescent="0.15">
      <c r="B59" s="74"/>
      <c r="C59" s="37" t="s">
        <v>50</v>
      </c>
      <c r="D59" s="37" t="s">
        <v>50</v>
      </c>
      <c r="E59" s="31" t="s">
        <v>73</v>
      </c>
      <c r="F59" s="31">
        <v>2</v>
      </c>
      <c r="G59" s="31">
        <v>79</v>
      </c>
      <c r="H59" s="47">
        <f t="shared" si="0"/>
        <v>158</v>
      </c>
      <c r="I59" s="36"/>
      <c r="J59" s="31" t="s">
        <v>96</v>
      </c>
      <c r="K59" s="20" t="s">
        <v>113</v>
      </c>
      <c r="L59" s="21"/>
      <c r="M59" s="23">
        <v>45327</v>
      </c>
      <c r="N59" s="31"/>
      <c r="O59" s="36"/>
      <c r="P59" s="41"/>
      <c r="Q59" s="83">
        <v>45341</v>
      </c>
    </row>
    <row r="60" spans="2:17" ht="19.5" customHeight="1" x14ac:dyDescent="0.15">
      <c r="B60" s="74"/>
      <c r="C60" s="21" t="s">
        <v>56</v>
      </c>
      <c r="D60" s="37" t="s">
        <v>56</v>
      </c>
      <c r="E60" s="31" t="s">
        <v>68</v>
      </c>
      <c r="F60" s="31">
        <v>1</v>
      </c>
      <c r="G60" s="31">
        <v>2340</v>
      </c>
      <c r="H60" s="47">
        <f t="shared" si="0"/>
        <v>2340</v>
      </c>
      <c r="I60" s="36"/>
      <c r="J60" s="31" t="s">
        <v>57</v>
      </c>
      <c r="K60" s="53" t="s">
        <v>112</v>
      </c>
      <c r="L60" s="21"/>
      <c r="M60" s="23"/>
      <c r="N60" s="31"/>
      <c r="O60" s="36"/>
      <c r="P60" s="41"/>
      <c r="Q60" s="24">
        <v>45335</v>
      </c>
    </row>
    <row r="61" spans="2:17" s="64" customFormat="1" ht="19.7" customHeight="1" x14ac:dyDescent="0.15">
      <c r="B61" s="74"/>
      <c r="C61" s="54" t="s">
        <v>50</v>
      </c>
      <c r="D61" s="54" t="s">
        <v>50</v>
      </c>
      <c r="E61" s="55" t="s">
        <v>86</v>
      </c>
      <c r="F61" s="55">
        <v>1</v>
      </c>
      <c r="G61" s="55">
        <v>10202</v>
      </c>
      <c r="H61" s="56">
        <f t="shared" ref="H61:H69" si="4">F61*G61</f>
        <v>10202</v>
      </c>
      <c r="I61" s="57"/>
      <c r="J61" s="55" t="s">
        <v>65</v>
      </c>
      <c r="K61" s="58" t="s">
        <v>113</v>
      </c>
      <c r="L61" s="59"/>
      <c r="M61" s="60">
        <v>45328</v>
      </c>
      <c r="N61" s="58"/>
      <c r="O61" s="59"/>
      <c r="P61" s="60"/>
      <c r="Q61" s="63">
        <v>45341</v>
      </c>
    </row>
    <row r="62" spans="2:17" s="64" customFormat="1" ht="19.7" customHeight="1" x14ac:dyDescent="0.15">
      <c r="B62" s="74"/>
      <c r="C62" s="54" t="s">
        <v>50</v>
      </c>
      <c r="D62" s="54" t="s">
        <v>50</v>
      </c>
      <c r="E62" s="55" t="s">
        <v>85</v>
      </c>
      <c r="F62" s="55">
        <v>1</v>
      </c>
      <c r="G62" s="55">
        <v>2610</v>
      </c>
      <c r="H62" s="56">
        <f t="shared" si="4"/>
        <v>2610</v>
      </c>
      <c r="I62" s="57"/>
      <c r="J62" s="55" t="s">
        <v>66</v>
      </c>
      <c r="K62" s="58" t="s">
        <v>113</v>
      </c>
      <c r="L62" s="59"/>
      <c r="M62" s="60">
        <v>45328</v>
      </c>
      <c r="N62" s="58"/>
      <c r="O62" s="59"/>
      <c r="P62" s="60"/>
      <c r="Q62" s="63">
        <v>45341</v>
      </c>
    </row>
    <row r="63" spans="2:17" s="64" customFormat="1" ht="19.7" customHeight="1" x14ac:dyDescent="0.15">
      <c r="B63" s="74"/>
      <c r="C63" s="54" t="s">
        <v>50</v>
      </c>
      <c r="D63" s="54" t="s">
        <v>50</v>
      </c>
      <c r="E63" s="55" t="s">
        <v>87</v>
      </c>
      <c r="F63" s="55">
        <v>1</v>
      </c>
      <c r="G63" s="55">
        <v>3710</v>
      </c>
      <c r="H63" s="56">
        <f t="shared" si="4"/>
        <v>3710</v>
      </c>
      <c r="I63" s="57"/>
      <c r="J63" s="55" t="s">
        <v>67</v>
      </c>
      <c r="K63" s="58" t="s">
        <v>113</v>
      </c>
      <c r="L63" s="59"/>
      <c r="M63" s="60">
        <v>45328</v>
      </c>
      <c r="N63" s="58"/>
      <c r="O63" s="59"/>
      <c r="P63" s="60"/>
      <c r="Q63" s="63">
        <v>45341</v>
      </c>
    </row>
    <row r="64" spans="2:17" s="64" customFormat="1" ht="19.7" customHeight="1" x14ac:dyDescent="0.15">
      <c r="B64" s="74"/>
      <c r="C64" s="54" t="s">
        <v>50</v>
      </c>
      <c r="D64" s="54" t="s">
        <v>50</v>
      </c>
      <c r="E64" s="55" t="s">
        <v>69</v>
      </c>
      <c r="F64" s="55">
        <v>1</v>
      </c>
      <c r="G64" s="55">
        <v>72</v>
      </c>
      <c r="H64" s="56">
        <f t="shared" si="4"/>
        <v>72</v>
      </c>
      <c r="I64" s="57"/>
      <c r="J64" s="55" t="s">
        <v>100</v>
      </c>
      <c r="K64" s="58" t="s">
        <v>113</v>
      </c>
      <c r="L64" s="59"/>
      <c r="M64" s="60">
        <v>45328</v>
      </c>
      <c r="N64" s="58"/>
      <c r="O64" s="59"/>
      <c r="P64" s="60"/>
      <c r="Q64" s="63">
        <v>45341</v>
      </c>
    </row>
    <row r="65" spans="2:17" s="69" customFormat="1" ht="19.5" customHeight="1" x14ac:dyDescent="0.15">
      <c r="B65" s="74"/>
      <c r="C65" s="54" t="s">
        <v>50</v>
      </c>
      <c r="D65" s="54" t="s">
        <v>50</v>
      </c>
      <c r="E65" s="55" t="s">
        <v>70</v>
      </c>
      <c r="F65" s="55">
        <v>2</v>
      </c>
      <c r="G65" s="55">
        <v>278</v>
      </c>
      <c r="H65" s="56">
        <f t="shared" si="4"/>
        <v>556</v>
      </c>
      <c r="I65" s="65"/>
      <c r="J65" s="55" t="s">
        <v>89</v>
      </c>
      <c r="K65" s="58" t="s">
        <v>113</v>
      </c>
      <c r="L65" s="59"/>
      <c r="M65" s="60">
        <v>45328</v>
      </c>
      <c r="N65" s="55"/>
      <c r="O65" s="65"/>
      <c r="P65" s="68"/>
      <c r="Q65" s="63">
        <v>45341</v>
      </c>
    </row>
    <row r="66" spans="2:17" s="69" customFormat="1" ht="19.5" customHeight="1" x14ac:dyDescent="0.15">
      <c r="B66" s="74"/>
      <c r="C66" s="54" t="s">
        <v>50</v>
      </c>
      <c r="D66" s="54" t="s">
        <v>50</v>
      </c>
      <c r="E66" s="55" t="s">
        <v>71</v>
      </c>
      <c r="F66" s="55">
        <v>1</v>
      </c>
      <c r="G66" s="55">
        <v>51</v>
      </c>
      <c r="H66" s="56">
        <f t="shared" si="4"/>
        <v>51</v>
      </c>
      <c r="I66" s="65"/>
      <c r="J66" s="55" t="s">
        <v>99</v>
      </c>
      <c r="K66" s="58" t="s">
        <v>113</v>
      </c>
      <c r="L66" s="59"/>
      <c r="M66" s="60">
        <v>45328</v>
      </c>
      <c r="N66" s="55"/>
      <c r="O66" s="65"/>
      <c r="P66" s="68"/>
      <c r="Q66" s="63">
        <v>45341</v>
      </c>
    </row>
    <row r="67" spans="2:17" s="69" customFormat="1" ht="19.5" customHeight="1" x14ac:dyDescent="0.15">
      <c r="B67" s="74"/>
      <c r="C67" s="54" t="s">
        <v>50</v>
      </c>
      <c r="D67" s="54" t="s">
        <v>50</v>
      </c>
      <c r="E67" s="55" t="s">
        <v>72</v>
      </c>
      <c r="F67" s="55">
        <v>1</v>
      </c>
      <c r="G67" s="55">
        <v>5500</v>
      </c>
      <c r="H67" s="56">
        <f t="shared" si="4"/>
        <v>5500</v>
      </c>
      <c r="I67" s="65"/>
      <c r="J67" s="55" t="s">
        <v>98</v>
      </c>
      <c r="K67" s="58" t="s">
        <v>113</v>
      </c>
      <c r="L67" s="59"/>
      <c r="M67" s="60">
        <v>45328</v>
      </c>
      <c r="N67" s="55"/>
      <c r="O67" s="65"/>
      <c r="P67" s="68"/>
      <c r="Q67" s="63">
        <v>45341</v>
      </c>
    </row>
    <row r="68" spans="2:17" s="69" customFormat="1" ht="19.5" customHeight="1" x14ac:dyDescent="0.15">
      <c r="B68" s="74"/>
      <c r="C68" s="54" t="s">
        <v>50</v>
      </c>
      <c r="D68" s="54" t="s">
        <v>50</v>
      </c>
      <c r="E68" s="55" t="s">
        <v>74</v>
      </c>
      <c r="F68" s="55">
        <v>1</v>
      </c>
      <c r="G68" s="55">
        <v>1870</v>
      </c>
      <c r="H68" s="56">
        <f t="shared" si="4"/>
        <v>1870</v>
      </c>
      <c r="I68" s="65"/>
      <c r="J68" s="55" t="s">
        <v>97</v>
      </c>
      <c r="K68" s="58" t="s">
        <v>113</v>
      </c>
      <c r="L68" s="59"/>
      <c r="M68" s="60">
        <v>45328</v>
      </c>
      <c r="N68" s="55"/>
      <c r="O68" s="65"/>
      <c r="P68" s="68"/>
      <c r="Q68" s="63">
        <v>45341</v>
      </c>
    </row>
    <row r="69" spans="2:17" s="69" customFormat="1" ht="19.5" customHeight="1" x14ac:dyDescent="0.15">
      <c r="B69" s="74"/>
      <c r="C69" s="54" t="s">
        <v>50</v>
      </c>
      <c r="D69" s="54" t="s">
        <v>50</v>
      </c>
      <c r="E69" s="55" t="s">
        <v>73</v>
      </c>
      <c r="F69" s="55">
        <v>2</v>
      </c>
      <c r="G69" s="55">
        <v>79</v>
      </c>
      <c r="H69" s="56">
        <f t="shared" si="4"/>
        <v>158</v>
      </c>
      <c r="I69" s="65"/>
      <c r="J69" s="55" t="s">
        <v>96</v>
      </c>
      <c r="K69" s="58" t="s">
        <v>113</v>
      </c>
      <c r="L69" s="59"/>
      <c r="M69" s="60">
        <v>45328</v>
      </c>
      <c r="N69" s="55"/>
      <c r="O69" s="65"/>
      <c r="P69" s="68"/>
      <c r="Q69" s="63">
        <v>45341</v>
      </c>
    </row>
    <row r="70" spans="2:17" ht="19.5" customHeight="1" x14ac:dyDescent="0.15">
      <c r="B70" s="71" t="s">
        <v>127</v>
      </c>
      <c r="C70" s="20" t="s">
        <v>47</v>
      </c>
      <c r="D70" s="20" t="s">
        <v>47</v>
      </c>
      <c r="E70" s="31" t="s">
        <v>54</v>
      </c>
      <c r="F70" s="31">
        <v>25</v>
      </c>
      <c r="G70" s="47">
        <v>5000</v>
      </c>
      <c r="H70" s="48">
        <f t="shared" si="0"/>
        <v>125000</v>
      </c>
      <c r="I70" s="36"/>
      <c r="J70" s="31"/>
      <c r="K70" s="20"/>
      <c r="L70" s="21"/>
      <c r="M70" s="23"/>
      <c r="N70" s="31"/>
      <c r="O70" s="36"/>
      <c r="P70" s="41"/>
      <c r="Q70" s="24"/>
    </row>
    <row r="71" spans="2:17" ht="19.5" customHeight="1" x14ac:dyDescent="0.15">
      <c r="B71" s="72"/>
      <c r="C71" s="37" t="s">
        <v>53</v>
      </c>
      <c r="D71" s="37" t="s">
        <v>53</v>
      </c>
      <c r="E71" s="31" t="s">
        <v>55</v>
      </c>
      <c r="F71" s="31">
        <v>10</v>
      </c>
      <c r="G71" s="47">
        <v>5000</v>
      </c>
      <c r="H71" s="48">
        <f t="shared" si="0"/>
        <v>50000</v>
      </c>
      <c r="I71" s="36"/>
      <c r="J71" s="31"/>
      <c r="K71" s="20"/>
      <c r="L71" s="21"/>
      <c r="M71" s="23"/>
      <c r="N71" s="31"/>
      <c r="O71" s="36"/>
      <c r="P71" s="41"/>
      <c r="Q71" s="24"/>
    </row>
    <row r="72" spans="2:17" ht="19.5" customHeight="1" x14ac:dyDescent="0.15">
      <c r="B72" s="21"/>
      <c r="C72" s="34"/>
      <c r="D72" s="37"/>
      <c r="E72" s="31"/>
      <c r="F72" s="31"/>
      <c r="G72" s="47"/>
      <c r="H72" s="47"/>
      <c r="I72" s="36"/>
      <c r="J72" s="31"/>
      <c r="K72" s="20"/>
      <c r="L72" s="21"/>
      <c r="M72" s="23"/>
      <c r="N72" s="31"/>
      <c r="O72" s="36"/>
      <c r="P72" s="41"/>
      <c r="Q72" s="24"/>
    </row>
    <row r="73" spans="2:17" ht="19.5" customHeight="1" x14ac:dyDescent="0.15">
      <c r="B73" s="21"/>
      <c r="C73" s="34"/>
      <c r="D73" s="37"/>
      <c r="E73" s="31"/>
      <c r="F73" s="31"/>
      <c r="G73" s="47"/>
      <c r="H73" s="47"/>
      <c r="I73" s="36"/>
      <c r="J73" s="31"/>
      <c r="K73" s="20"/>
      <c r="L73" s="21"/>
      <c r="M73" s="23"/>
      <c r="N73" s="31"/>
      <c r="O73" s="36"/>
      <c r="P73" s="41"/>
      <c r="Q73" s="24"/>
    </row>
    <row r="74" spans="2:17" ht="19.5" customHeight="1" x14ac:dyDescent="0.15">
      <c r="B74" s="21"/>
      <c r="C74" s="34"/>
      <c r="D74" s="37"/>
      <c r="E74" s="31"/>
      <c r="F74" s="31"/>
      <c r="G74" s="47"/>
      <c r="H74" s="47"/>
      <c r="I74" s="36"/>
      <c r="J74" s="31"/>
      <c r="K74" s="20"/>
      <c r="L74" s="21"/>
      <c r="M74" s="23"/>
      <c r="N74" s="31"/>
      <c r="O74" s="36"/>
      <c r="P74" s="41"/>
      <c r="Q74" s="24"/>
    </row>
    <row r="75" spans="2:17" ht="19.5" customHeight="1" x14ac:dyDescent="0.15">
      <c r="B75" s="21"/>
      <c r="C75" s="34"/>
      <c r="D75" s="34"/>
      <c r="E75" s="35"/>
      <c r="F75" s="31"/>
      <c r="G75" s="47"/>
      <c r="H75" s="47"/>
      <c r="I75" s="36"/>
      <c r="J75" s="35"/>
      <c r="K75" s="21"/>
      <c r="L75" s="21"/>
      <c r="M75" s="23"/>
      <c r="N75" s="31"/>
      <c r="O75" s="36"/>
      <c r="P75" s="41"/>
      <c r="Q75" s="24"/>
    </row>
    <row r="76" spans="2:17" ht="19.5" customHeight="1" x14ac:dyDescent="0.15">
      <c r="B76" s="21"/>
      <c r="C76" s="34"/>
      <c r="D76" s="34"/>
      <c r="E76" s="35"/>
      <c r="F76" s="31"/>
      <c r="G76" s="47"/>
      <c r="H76" s="47"/>
      <c r="I76" s="36"/>
      <c r="J76" s="35"/>
      <c r="K76" s="21"/>
      <c r="L76" s="21"/>
      <c r="M76" s="23"/>
      <c r="N76" s="31"/>
      <c r="O76" s="36"/>
      <c r="P76" s="41"/>
      <c r="Q76" s="24"/>
    </row>
    <row r="77" spans="2:17" ht="19.5" customHeight="1" x14ac:dyDescent="0.15">
      <c r="B77" s="21"/>
      <c r="C77" s="34"/>
      <c r="D77" s="34"/>
      <c r="E77" s="35"/>
      <c r="F77" s="31"/>
      <c r="G77" s="47"/>
      <c r="H77" s="47"/>
      <c r="I77" s="36"/>
      <c r="J77" s="35"/>
      <c r="K77" s="21"/>
      <c r="L77" s="21"/>
      <c r="M77" s="23"/>
      <c r="N77" s="31"/>
      <c r="O77" s="36"/>
      <c r="P77" s="41"/>
      <c r="Q77" s="24"/>
    </row>
    <row r="78" spans="2:17" ht="19.5" customHeight="1" x14ac:dyDescent="0.15">
      <c r="B78" s="21"/>
      <c r="C78" s="34"/>
      <c r="D78" s="34"/>
      <c r="E78" s="35"/>
      <c r="F78" s="31"/>
      <c r="G78" s="47"/>
      <c r="H78" s="47"/>
      <c r="I78" s="36"/>
      <c r="J78" s="35"/>
      <c r="K78" s="21"/>
      <c r="L78" s="21"/>
      <c r="M78" s="23"/>
      <c r="N78" s="31"/>
      <c r="O78" s="36"/>
      <c r="P78" s="41"/>
      <c r="Q78" s="24"/>
    </row>
    <row r="79" spans="2:17" ht="19.5" customHeight="1" x14ac:dyDescent="0.15">
      <c r="B79" s="21"/>
      <c r="C79" s="34"/>
      <c r="D79" s="34"/>
      <c r="E79" s="38"/>
      <c r="F79" s="31"/>
      <c r="G79" s="49"/>
      <c r="H79" s="47"/>
      <c r="I79" s="26"/>
      <c r="J79" s="38"/>
      <c r="K79" s="21"/>
      <c r="L79" s="21"/>
      <c r="M79" s="23"/>
      <c r="N79" s="31"/>
      <c r="O79" s="36"/>
      <c r="P79" s="41"/>
      <c r="Q79" s="24"/>
    </row>
    <row r="80" spans="2:17" ht="19.5" customHeight="1" x14ac:dyDescent="0.15">
      <c r="B80" s="21"/>
      <c r="C80" s="34"/>
      <c r="D80" s="31"/>
      <c r="E80" s="35"/>
      <c r="F80" s="31"/>
      <c r="G80" s="47"/>
      <c r="H80" s="47"/>
      <c r="I80" s="36"/>
      <c r="J80" s="35"/>
      <c r="K80" s="42"/>
      <c r="L80" s="21"/>
      <c r="M80" s="23"/>
      <c r="N80" s="31"/>
      <c r="O80" s="36"/>
      <c r="P80" s="41"/>
      <c r="Q80" s="24"/>
    </row>
    <row r="81" spans="2:17" ht="19.5" customHeight="1" x14ac:dyDescent="0.15">
      <c r="B81" s="21"/>
      <c r="C81" s="34"/>
      <c r="D81" s="31"/>
      <c r="E81" s="35"/>
      <c r="F81" s="31"/>
      <c r="G81" s="47"/>
      <c r="H81" s="47"/>
      <c r="I81" s="36"/>
      <c r="J81" s="35"/>
      <c r="K81" s="42"/>
      <c r="L81" s="21"/>
      <c r="M81" s="23"/>
      <c r="N81" s="31"/>
      <c r="O81" s="36"/>
      <c r="P81" s="41"/>
      <c r="Q81" s="24"/>
    </row>
    <row r="82" spans="2:17" s="11" customFormat="1" ht="19.5" customHeight="1" x14ac:dyDescent="0.15">
      <c r="B82" s="20"/>
      <c r="C82" s="34"/>
      <c r="D82" s="31"/>
      <c r="E82" s="32"/>
      <c r="F82" s="31"/>
      <c r="G82" s="45"/>
      <c r="H82" s="45"/>
      <c r="I82" s="26"/>
      <c r="J82" s="31"/>
      <c r="K82" s="42"/>
      <c r="L82" s="21"/>
      <c r="M82" s="23"/>
      <c r="N82" s="20"/>
      <c r="O82" s="21"/>
      <c r="P82" s="23"/>
      <c r="Q82" s="24"/>
    </row>
    <row r="83" spans="2:17" ht="19.5" customHeight="1" x14ac:dyDescent="0.15">
      <c r="B83" s="21"/>
      <c r="C83" s="34"/>
      <c r="D83" s="31"/>
      <c r="E83" s="31"/>
      <c r="F83" s="31"/>
      <c r="G83" s="47"/>
      <c r="H83" s="47"/>
      <c r="I83" s="36"/>
      <c r="J83" s="31"/>
      <c r="K83" s="42"/>
      <c r="L83" s="21"/>
      <c r="M83" s="23"/>
      <c r="N83" s="31"/>
      <c r="O83" s="36"/>
      <c r="P83" s="41"/>
      <c r="Q83" s="24"/>
    </row>
    <row r="84" spans="2:17" ht="19.5" customHeight="1" x14ac:dyDescent="0.15">
      <c r="B84" s="21"/>
      <c r="C84" s="34"/>
      <c r="D84" s="31"/>
      <c r="E84" s="31"/>
      <c r="F84" s="31"/>
      <c r="G84" s="47"/>
      <c r="H84" s="47"/>
      <c r="I84" s="36"/>
      <c r="J84" s="31"/>
      <c r="K84" s="42"/>
      <c r="L84" s="21"/>
      <c r="M84" s="23"/>
      <c r="N84" s="31"/>
      <c r="O84" s="36"/>
      <c r="P84" s="41"/>
      <c r="Q84" s="24"/>
    </row>
    <row r="85" spans="2:17" ht="19.5" customHeight="1" x14ac:dyDescent="0.15">
      <c r="B85" s="21"/>
      <c r="C85" s="31"/>
      <c r="D85" s="31"/>
      <c r="E85" s="31"/>
      <c r="F85" s="31"/>
      <c r="G85" s="47"/>
      <c r="H85" s="47"/>
      <c r="I85" s="36"/>
      <c r="J85" s="31"/>
      <c r="K85" s="31"/>
      <c r="L85" s="21"/>
      <c r="M85" s="23"/>
      <c r="N85" s="31"/>
      <c r="O85" s="36"/>
      <c r="P85" s="41"/>
      <c r="Q85" s="24"/>
    </row>
  </sheetData>
  <autoFilter ref="B9:O53" xr:uid="{00000000-0009-0000-0000-000000000000}"/>
  <mergeCells count="11">
    <mergeCell ref="B6:D6"/>
    <mergeCell ref="G2:I2"/>
    <mergeCell ref="B2:D2"/>
    <mergeCell ref="B3:D3"/>
    <mergeCell ref="B4:D4"/>
    <mergeCell ref="B5:D5"/>
    <mergeCell ref="B70:B71"/>
    <mergeCell ref="B15:B26"/>
    <mergeCell ref="B27:B46"/>
    <mergeCell ref="B51:B69"/>
    <mergeCell ref="B47:B50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4" t="s">
        <v>26</v>
      </c>
    </row>
    <row r="6" spans="1:6" ht="20.100000000000001" customHeight="1" x14ac:dyDescent="0.15">
      <c r="B6" s="6">
        <v>1</v>
      </c>
      <c r="C6" s="7" t="s">
        <v>29</v>
      </c>
      <c r="D6" s="7" t="s">
        <v>30</v>
      </c>
      <c r="E6" s="6">
        <v>2</v>
      </c>
      <c r="F6" s="80" t="s">
        <v>33</v>
      </c>
    </row>
    <row r="7" spans="1:6" ht="20.100000000000001" customHeight="1" x14ac:dyDescent="0.15">
      <c r="B7" s="6">
        <v>2</v>
      </c>
      <c r="C7" s="8" t="s">
        <v>27</v>
      </c>
      <c r="D7" s="7" t="s">
        <v>28</v>
      </c>
      <c r="E7" s="6">
        <v>2</v>
      </c>
      <c r="F7" s="81"/>
    </row>
    <row r="8" spans="1:6" ht="20.100000000000001" customHeight="1" x14ac:dyDescent="0.15">
      <c r="B8" s="6">
        <v>3</v>
      </c>
      <c r="C8" s="7" t="s">
        <v>37</v>
      </c>
      <c r="D8" s="7" t="s">
        <v>38</v>
      </c>
      <c r="E8" s="6">
        <v>2</v>
      </c>
      <c r="F8" s="82"/>
    </row>
    <row r="9" spans="1:6" ht="20.100000000000001" customHeight="1" x14ac:dyDescent="0.15">
      <c r="B9" s="2">
        <v>4</v>
      </c>
      <c r="C9" s="5" t="s">
        <v>32</v>
      </c>
      <c r="D9" s="5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7E6C-8164-4F52-8047-992D6F23DC29}">
  <dimension ref="A1:B5"/>
  <sheetViews>
    <sheetView view="pageBreakPreview" zoomScaleNormal="100" zoomScaleSheetLayoutView="100" workbookViewId="0">
      <selection activeCell="B13" sqref="B13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33" t="s">
        <v>11</v>
      </c>
      <c r="B1" s="9" t="s">
        <v>48</v>
      </c>
    </row>
    <row r="2" spans="1:2" ht="17.25" x14ac:dyDescent="0.15">
      <c r="A2" s="33" t="s">
        <v>10</v>
      </c>
      <c r="B2" s="14" t="s">
        <v>39</v>
      </c>
    </row>
    <row r="3" spans="1:2" ht="17.25" x14ac:dyDescent="0.15">
      <c r="A3" s="33" t="s">
        <v>12</v>
      </c>
      <c r="B3" s="14">
        <v>186734</v>
      </c>
    </row>
    <row r="4" spans="1:2" ht="17.25" x14ac:dyDescent="0.15">
      <c r="A4" s="33" t="s">
        <v>13</v>
      </c>
      <c r="B4" s="16"/>
    </row>
    <row r="5" spans="1:2" ht="17.25" x14ac:dyDescent="0.15">
      <c r="A5" s="33" t="s">
        <v>14</v>
      </c>
      <c r="B5" s="16">
        <v>44357</v>
      </c>
    </row>
  </sheetData>
  <phoneticPr fontId="10"/>
  <pageMargins left="0.7" right="0.7" top="0.75" bottom="0.75" header="0.3" footer="0.3"/>
  <pageSetup paperSize="9" scale="2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29"/>
    <col min="4" max="4" width="27.375" bestFit="1" customWidth="1"/>
  </cols>
  <sheetData>
    <row r="6" spans="3:5" x14ac:dyDescent="0.15">
      <c r="C6" s="30" t="s">
        <v>40</v>
      </c>
      <c r="D6" s="21" t="s">
        <v>41</v>
      </c>
      <c r="E6" s="21" t="s">
        <v>42</v>
      </c>
    </row>
    <row r="7" spans="3:5" x14ac:dyDescent="0.15">
      <c r="C7" s="30">
        <v>10</v>
      </c>
      <c r="D7" s="28" t="s">
        <v>43</v>
      </c>
      <c r="E7" s="26">
        <v>2</v>
      </c>
    </row>
    <row r="8" spans="3:5" x14ac:dyDescent="0.15">
      <c r="C8" s="30">
        <v>22.5</v>
      </c>
      <c r="D8" s="28" t="s">
        <v>44</v>
      </c>
      <c r="E8" s="26">
        <v>2</v>
      </c>
    </row>
    <row r="9" spans="3:5" x14ac:dyDescent="0.15">
      <c r="C9" s="30">
        <v>30</v>
      </c>
      <c r="D9" s="28" t="s">
        <v>45</v>
      </c>
      <c r="E9" s="26">
        <v>2</v>
      </c>
    </row>
    <row r="10" spans="3:5" x14ac:dyDescent="0.15">
      <c r="C10" s="30">
        <v>35</v>
      </c>
      <c r="D10" s="28" t="s">
        <v>46</v>
      </c>
      <c r="E10" s="26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2024-02-19T05:00:42Z</dcterms:modified>
</cp:coreProperties>
</file>