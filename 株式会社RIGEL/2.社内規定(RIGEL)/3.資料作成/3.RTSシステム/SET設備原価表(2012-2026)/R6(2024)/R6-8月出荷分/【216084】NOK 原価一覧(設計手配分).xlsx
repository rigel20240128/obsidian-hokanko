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35945A2D-039F-49B3-9659-321FC800AF3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原価表" sheetId="1" r:id="rId1"/>
    <sheet name="表紙" sheetId="2" r:id="rId2"/>
  </sheets>
  <definedNames>
    <definedName name="_xlnm._FilterDatabase" localSheetId="0" hidden="1">原価表!$B$9:$O$26</definedName>
  </definedNames>
  <calcPr calcId="181029"/>
  <fileRecoveryPr autoRecover="0"/>
</workbook>
</file>

<file path=xl/calcChain.xml><?xml version="1.0" encoding="utf-8"?>
<calcChain xmlns="http://schemas.openxmlformats.org/spreadsheetml/2006/main">
  <c r="H16" i="1" l="1"/>
  <c r="H14" i="1"/>
  <c r="H15" i="1"/>
  <c r="H13" i="1"/>
  <c r="H17" i="1"/>
  <c r="H18" i="1"/>
  <c r="H19" i="1"/>
  <c r="H20" i="1"/>
  <c r="H21" i="1"/>
  <c r="H22" i="1"/>
  <c r="H23" i="1"/>
  <c r="H24" i="1"/>
  <c r="H10" i="1"/>
  <c r="H11" i="1"/>
  <c r="H25" i="1"/>
  <c r="H26" i="1"/>
  <c r="H12" i="1"/>
  <c r="J2" i="1" l="1"/>
</calcChain>
</file>

<file path=xl/sharedStrings.xml><?xml version="1.0" encoding="utf-8"?>
<sst xmlns="http://schemas.openxmlformats.org/spreadsheetml/2006/main" count="111" uniqueCount="63">
  <si>
    <t>数量</t>
  </si>
  <si>
    <t>単価</t>
  </si>
  <si>
    <t>金額</t>
  </si>
  <si>
    <t>詳細</t>
    <rPh sb="0" eb="2">
      <t>ショウサイ</t>
    </rPh>
    <phoneticPr fontId="2"/>
  </si>
  <si>
    <t>見積り分類</t>
    <rPh sb="0" eb="2">
      <t>ミツモ</t>
    </rPh>
    <rPh sb="3" eb="5">
      <t>ブンルイ</t>
    </rPh>
    <phoneticPr fontId="1"/>
  </si>
  <si>
    <t>仕入先</t>
    <rPh sb="0" eb="2">
      <t>シイレ</t>
    </rPh>
    <rPh sb="2" eb="3">
      <t>サキ</t>
    </rPh>
    <phoneticPr fontId="1"/>
  </si>
  <si>
    <t>発注日</t>
    <rPh sb="0" eb="2">
      <t>ハッチュウ</t>
    </rPh>
    <rPh sb="2" eb="3">
      <t>ヒ</t>
    </rPh>
    <phoneticPr fontId="1"/>
  </si>
  <si>
    <t>納期</t>
    <rPh sb="0" eb="2">
      <t>ノウ</t>
    </rPh>
    <phoneticPr fontId="1"/>
  </si>
  <si>
    <t>品名 / 型式</t>
    <rPh sb="0" eb="2">
      <t>ヒンメイ</t>
    </rPh>
    <rPh sb="5" eb="7">
      <t>カタシキ</t>
    </rPh>
    <phoneticPr fontId="2"/>
  </si>
  <si>
    <t>メーカー</t>
    <phoneticPr fontId="1"/>
  </si>
  <si>
    <t>担当営業</t>
    <rPh sb="0" eb="2">
      <t>タントウ</t>
    </rPh>
    <rPh sb="2" eb="4">
      <t>エイギョウ</t>
    </rPh>
    <phoneticPr fontId="1"/>
  </si>
  <si>
    <t>お客先名</t>
    <rPh sb="1" eb="3">
      <t>キャクサキ</t>
    </rPh>
    <rPh sb="3" eb="4">
      <t>メイ</t>
    </rPh>
    <phoneticPr fontId="1"/>
  </si>
  <si>
    <t>受注番号</t>
    <rPh sb="0" eb="2">
      <t>ジュチュウ</t>
    </rPh>
    <rPh sb="2" eb="4">
      <t>バンゴウ</t>
    </rPh>
    <phoneticPr fontId="1"/>
  </si>
  <si>
    <t>希望納期</t>
    <rPh sb="0" eb="2">
      <t>キボウ</t>
    </rPh>
    <rPh sb="2" eb="4">
      <t>ノウ</t>
    </rPh>
    <phoneticPr fontId="1"/>
  </si>
  <si>
    <t>最終納品</t>
    <rPh sb="0" eb="2">
      <t>サイシュウ</t>
    </rPh>
    <rPh sb="2" eb="4">
      <t>ノウヒン</t>
    </rPh>
    <phoneticPr fontId="1"/>
  </si>
  <si>
    <t>合計金額</t>
    <rPh sb="0" eb="2">
      <t>ゴウケイ</t>
    </rPh>
    <rPh sb="2" eb="4">
      <t>キンガク</t>
    </rPh>
    <phoneticPr fontId="1"/>
  </si>
  <si>
    <t>技術分類</t>
    <rPh sb="0" eb="2">
      <t>ギジュツ</t>
    </rPh>
    <rPh sb="2" eb="4">
      <t>ブンルイ</t>
    </rPh>
    <phoneticPr fontId="1"/>
  </si>
  <si>
    <t>備考</t>
    <rPh sb="0" eb="2">
      <t>ビコウ</t>
    </rPh>
    <phoneticPr fontId="1"/>
  </si>
  <si>
    <t>分類合計</t>
    <rPh sb="0" eb="2">
      <t>ブンルイ</t>
    </rPh>
    <rPh sb="2" eb="4">
      <t>ゴウケイ</t>
    </rPh>
    <phoneticPr fontId="1"/>
  </si>
  <si>
    <t>発注</t>
    <rPh sb="0" eb="2">
      <t>ハッチュウ</t>
    </rPh>
    <phoneticPr fontId="1"/>
  </si>
  <si>
    <t>入荷予定日</t>
    <rPh sb="0" eb="2">
      <t>ニュウカ</t>
    </rPh>
    <rPh sb="2" eb="4">
      <t>ヨテイ</t>
    </rPh>
    <rPh sb="4" eb="5">
      <t>ヒ</t>
    </rPh>
    <phoneticPr fontId="1"/>
  </si>
  <si>
    <t>入荷日</t>
    <rPh sb="0" eb="2">
      <t>ニュウカ</t>
    </rPh>
    <rPh sb="2" eb="3">
      <t>ビ</t>
    </rPh>
    <phoneticPr fontId="1"/>
  </si>
  <si>
    <t>原田</t>
    <rPh sb="0" eb="2">
      <t>ハラダ</t>
    </rPh>
    <phoneticPr fontId="1"/>
  </si>
  <si>
    <t>株式会社啓愛社</t>
    <rPh sb="0" eb="4">
      <t>カブシキカイシャ</t>
    </rPh>
    <rPh sb="4" eb="7">
      <t>ケイアイシャ</t>
    </rPh>
    <phoneticPr fontId="1"/>
  </si>
  <si>
    <t>NOK</t>
    <phoneticPr fontId="1"/>
  </si>
  <si>
    <t>山澤</t>
    <rPh sb="0" eb="2">
      <t>ヤマサワ</t>
    </rPh>
    <phoneticPr fontId="1"/>
  </si>
  <si>
    <t>■SETA0221-Y01(ﾂｰﾙﾌﾟﾚｰﾄ)</t>
  </si>
  <si>
    <t>MISUMI</t>
    <phoneticPr fontId="5"/>
  </si>
  <si>
    <t>■RPR-D(ﾚｷﾞｭｰﾚｰﾀｰﾌﾟﾚｰﾄ_ﾃﾞｼﾞﾀﾙ用)</t>
  </si>
  <si>
    <t>ARP20-01H-1</t>
  </si>
  <si>
    <t>ZSE20-N-M-M5-LB</t>
  </si>
  <si>
    <t>SMC</t>
    <phoneticPr fontId="1"/>
  </si>
  <si>
    <t>制御機材</t>
    <rPh sb="0" eb="4">
      <t>セイギョキザイ</t>
    </rPh>
    <phoneticPr fontId="1"/>
  </si>
  <si>
    <t>ﾚｷﾞｭﾚｰﾀｰ</t>
    <phoneticPr fontId="1"/>
  </si>
  <si>
    <t>ﾃﾞｼﾞﾀﾙ圧力計</t>
    <rPh sb="6" eb="9">
      <t>アツリョクケイ</t>
    </rPh>
    <phoneticPr fontId="1"/>
  </si>
  <si>
    <t>MSCNL6-M5</t>
  </si>
  <si>
    <t>MSELL4-1</t>
  </si>
  <si>
    <t>MSELL4-M5</t>
  </si>
  <si>
    <t>MSHRT3</t>
  </si>
  <si>
    <t>USYL6</t>
  </si>
  <si>
    <t>SET</t>
    <phoneticPr fontId="1"/>
  </si>
  <si>
    <t>設計費</t>
    <rPh sb="0" eb="3">
      <t>セッケイヒ</t>
    </rPh>
    <phoneticPr fontId="1"/>
  </si>
  <si>
    <t>組立費</t>
    <rPh sb="0" eb="3">
      <t>クミタテヒ</t>
    </rPh>
    <phoneticPr fontId="1"/>
  </si>
  <si>
    <t>MVBLK-AMW-3UJ-P9B4J</t>
  </si>
  <si>
    <t>MVSHM-3N02050-3UJ-7PAE2</t>
  </si>
  <si>
    <t>CSHSM-SUS-M4-6</t>
  </si>
  <si>
    <t>SETDSUB-N-ML-PP-37</t>
  </si>
  <si>
    <t>NEDUL-PT-JS-9-2</t>
  </si>
  <si>
    <t>MSTEL4-1</t>
  </si>
  <si>
    <t>MNCN4-M5</t>
  </si>
  <si>
    <t>FASTENING</t>
  </si>
  <si>
    <t>DSUBｺﾈｸﾀ(ｺﾝﾌﾟﾘｰﾄｾｯﾄ)</t>
  </si>
  <si>
    <t>Dｻﾌﾞﾊｰﾈｽ(ﾏﾙ)</t>
  </si>
  <si>
    <t>ﾜﾝﾀｯﾁﾂｷﾞﾃ(USYL)</t>
  </si>
  <si>
    <t>ﾜﾝﾀｯﾁﾂｷﾞﾃ(MSTEL)</t>
  </si>
  <si>
    <t>ｼｭﾄﾞｳｷﾘｶｴﾍﾞﾝ(MSHRT)</t>
  </si>
  <si>
    <t>ﾜﾝﾀｯﾁﾂｷﾞﾃ(MSELL)</t>
  </si>
  <si>
    <t>ﾜﾝﾀｯﾁﾂｷﾞﾃ(MSCNL)</t>
  </si>
  <si>
    <t>ﾐﾆﾁｭｱﾜﾝﾀｯﾁﾂｷﾞﾃ (MNCN)</t>
  </si>
  <si>
    <t>Web発注済</t>
    <rPh sb="0" eb="5">
      <t>ウェBハッチュウ</t>
    </rPh>
    <rPh sb="5" eb="6">
      <t>スミ</t>
    </rPh>
    <phoneticPr fontId="1"/>
  </si>
  <si>
    <t>ISE20-N-M-M5-LB</t>
    <phoneticPr fontId="1"/>
  </si>
  <si>
    <t>発注願います</t>
    <rPh sb="0" eb="3">
      <t>ハッチュウネガ</t>
    </rPh>
    <phoneticPr fontId="1"/>
  </si>
  <si>
    <t>8/21 鉄ｻﾝﾍ</t>
    <rPh sb="5" eb="6">
      <t>テツ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</si>
</sst>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 * #,##0_ ;_ * \-#,##0_ ;_ * &quot;-&quot;_ ;_ @_ "/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</numFmts>
  <fonts count="14" x14ac:knownFonts="1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b/>
      <sz val="14"/>
      <color theme="4"/>
      <name val="ＭＳ Ｐゴシック"/>
      <family val="3"/>
      <charset val="128"/>
      <scheme val="minor"/>
    </font>
    <font>
      <b/>
      <u/>
      <sz val="16"/>
      <color rgb="FFFF0000"/>
      <name val="ＭＳ Ｐゴシック"/>
      <family val="3"/>
      <charset val="128"/>
      <scheme val="minor"/>
    </font>
    <font>
      <b/>
      <sz val="20"/>
      <color rgb="FFFF0000"/>
      <name val="ＭＳ Ｐゴシック"/>
      <family val="3"/>
      <charset val="128"/>
      <scheme val="minor"/>
    </font>
    <font>
      <b/>
      <sz val="12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61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 shrinkToFit="1"/>
    </xf>
    <xf numFmtId="176" fontId="4" fillId="0" borderId="1" xfId="0" applyNumberFormat="1" applyFont="1" applyBorder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0" fontId="0" fillId="0" borderId="1" xfId="0" applyBorder="1">
      <alignment vertical="center"/>
    </xf>
    <xf numFmtId="178" fontId="0" fillId="3" borderId="1" xfId="0" applyNumberFormat="1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177" fontId="3" fillId="0" borderId="0" xfId="0" applyNumberFormat="1" applyFont="1" applyAlignment="1">
      <alignment horizontal="center" vertical="center"/>
    </xf>
    <xf numFmtId="38" fontId="0" fillId="0" borderId="0" xfId="0" applyNumberFormat="1">
      <alignment vertical="center"/>
    </xf>
    <xf numFmtId="38" fontId="6" fillId="0" borderId="0" xfId="0" applyNumberFormat="1" applyFont="1">
      <alignment vertical="center"/>
    </xf>
    <xf numFmtId="56" fontId="0" fillId="0" borderId="1" xfId="0" applyNumberForma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9" fillId="0" borderId="0" xfId="0" applyFont="1">
      <alignment vertical="center"/>
    </xf>
    <xf numFmtId="0" fontId="7" fillId="0" borderId="0" xfId="0" applyFont="1">
      <alignment vertical="center"/>
    </xf>
    <xf numFmtId="0" fontId="10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41" fontId="0" fillId="0" borderId="0" xfId="0" applyNumberFormat="1">
      <alignment vertical="center"/>
    </xf>
    <xf numFmtId="41" fontId="0" fillId="0" borderId="0" xfId="0" applyNumberFormat="1" applyAlignment="1">
      <alignment horizontal="center" vertical="center"/>
    </xf>
    <xf numFmtId="41" fontId="0" fillId="0" borderId="1" xfId="0" applyNumberFormat="1" applyBorder="1" applyAlignment="1">
      <alignment horizontal="center" vertical="center"/>
    </xf>
    <xf numFmtId="41" fontId="0" fillId="0" borderId="2" xfId="0" applyNumberFormat="1" applyBorder="1" applyAlignment="1">
      <alignment horizontal="center" vertical="center"/>
    </xf>
    <xf numFmtId="41" fontId="0" fillId="3" borderId="1" xfId="0" applyNumberFormat="1" applyFill="1" applyBorder="1">
      <alignment vertical="center"/>
    </xf>
    <xf numFmtId="41" fontId="0" fillId="0" borderId="2" xfId="0" applyNumberFormat="1" applyBorder="1" applyAlignment="1">
      <alignment horizontal="right" vertical="center"/>
    </xf>
    <xf numFmtId="179" fontId="0" fillId="0" borderId="0" xfId="0" applyNumberFormat="1" applyAlignment="1">
      <alignment horizontal="center" vertical="center"/>
    </xf>
    <xf numFmtId="179" fontId="8" fillId="0" borderId="0" xfId="0" applyNumberFormat="1" applyFont="1" applyAlignment="1">
      <alignment horizontal="center" vertical="center"/>
    </xf>
    <xf numFmtId="179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41" fontId="0" fillId="0" borderId="1" xfId="0" applyNumberFormat="1" applyBorder="1" applyAlignment="1">
      <alignment horizontal="right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41" fontId="0" fillId="4" borderId="1" xfId="0" applyNumberFormat="1" applyFill="1" applyBorder="1">
      <alignment vertical="center"/>
    </xf>
    <xf numFmtId="41" fontId="0" fillId="4" borderId="1" xfId="0" applyNumberFormat="1" applyFill="1" applyBorder="1" applyAlignment="1">
      <alignment horizontal="right" vertical="center"/>
    </xf>
    <xf numFmtId="0" fontId="0" fillId="4" borderId="1" xfId="0" applyFill="1" applyBorder="1">
      <alignment vertical="center"/>
    </xf>
    <xf numFmtId="0" fontId="6" fillId="4" borderId="1" xfId="0" applyFont="1" applyFill="1" applyBorder="1" applyAlignment="1">
      <alignment horizontal="center" vertical="center"/>
    </xf>
    <xf numFmtId="178" fontId="0" fillId="4" borderId="1" xfId="0" applyNumberFormat="1" applyFill="1" applyBorder="1" applyAlignment="1">
      <alignment horizontal="center" vertical="center"/>
    </xf>
    <xf numFmtId="3" fontId="0" fillId="4" borderId="1" xfId="0" applyNumberFormat="1" applyFill="1" applyBorder="1" applyAlignment="1">
      <alignment horizontal="center" vertical="center"/>
    </xf>
    <xf numFmtId="56" fontId="0" fillId="4" borderId="1" xfId="0" applyNumberFormat="1" applyFill="1" applyBorder="1" applyAlignment="1">
      <alignment horizontal="center" vertical="center"/>
    </xf>
    <xf numFmtId="179" fontId="0" fillId="4" borderId="1" xfId="0" applyNumberForma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  <xf numFmtId="3" fontId="0" fillId="0" borderId="6" xfId="0" applyNumberFormat="1" applyBorder="1" applyAlignment="1">
      <alignment horizontal="center" vertical="center"/>
    </xf>
    <xf numFmtId="3" fontId="0" fillId="0" borderId="7" xfId="0" applyNumberForma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27"/>
  <sheetViews>
    <sheetView tabSelected="1" zoomScale="85" zoomScaleNormal="85" workbookViewId="0">
      <pane xSplit="8" topLeftCell="K1" activePane="topRight" state="frozen"/>
      <selection pane="topRight" activeCell="B1" sqref="B1"/>
    </sheetView>
  </sheetViews>
  <sheetFormatPr defaultColWidth="9" defaultRowHeight="13.5" x14ac:dyDescent="0.15"/>
  <cols>
    <col min="1" max="1" width="2.625" customWidth="1"/>
    <col min="2" max="2" width="14.375" style="3" bestFit="1" customWidth="1"/>
    <col min="3" max="4" width="20.625" customWidth="1"/>
    <col min="5" max="5" width="33.5" customWidth="1"/>
    <col min="6" max="6" width="6.25" style="3" customWidth="1"/>
    <col min="7" max="7" width="20.5" style="31" customWidth="1"/>
    <col min="8" max="8" width="11.875" style="31" bestFit="1" customWidth="1"/>
    <col min="9" max="9" width="14.375" style="4" customWidth="1"/>
    <col min="10" max="10" width="35.25" bestFit="1" customWidth="1"/>
    <col min="11" max="11" width="26" customWidth="1"/>
    <col min="12" max="12" width="28.125" style="3" customWidth="1"/>
    <col min="13" max="13" width="13.75" style="27" customWidth="1"/>
    <col min="14" max="14" width="6.375" customWidth="1"/>
    <col min="15" max="15" width="13.25" style="3" customWidth="1"/>
    <col min="16" max="16" width="14.5" style="37" customWidth="1"/>
    <col min="17" max="17" width="15.625" style="27" customWidth="1"/>
  </cols>
  <sheetData>
    <row r="2" spans="2:17" ht="20.100000000000001" customHeight="1" x14ac:dyDescent="0.15">
      <c r="B2" s="57" t="s">
        <v>11</v>
      </c>
      <c r="C2" s="57"/>
      <c r="D2" s="57"/>
      <c r="E2" s="1" t="s">
        <v>24</v>
      </c>
      <c r="G2" s="54" t="s">
        <v>15</v>
      </c>
      <c r="H2" s="55"/>
      <c r="I2" s="56"/>
      <c r="J2" s="2">
        <f>SUM(H:H)</f>
        <v>164038</v>
      </c>
    </row>
    <row r="3" spans="2:17" ht="20.100000000000001" customHeight="1" x14ac:dyDescent="0.15">
      <c r="B3" s="57" t="s">
        <v>10</v>
      </c>
      <c r="C3" s="57"/>
      <c r="D3" s="57"/>
      <c r="E3" s="5" t="s">
        <v>25</v>
      </c>
      <c r="P3" s="38"/>
    </row>
    <row r="4" spans="2:17" ht="20.100000000000001" customHeight="1" x14ac:dyDescent="0.15">
      <c r="B4" s="57" t="s">
        <v>12</v>
      </c>
      <c r="C4" s="57"/>
      <c r="D4" s="57"/>
      <c r="E4" s="5">
        <v>216084</v>
      </c>
      <c r="I4" s="17"/>
      <c r="J4" s="4"/>
      <c r="K4" s="22"/>
      <c r="L4" s="20"/>
    </row>
    <row r="5" spans="2:17" ht="20.100000000000001" customHeight="1" x14ac:dyDescent="0.15">
      <c r="B5" s="57" t="s">
        <v>13</v>
      </c>
      <c r="C5" s="57"/>
      <c r="D5" s="57"/>
      <c r="E5" s="6">
        <v>45499</v>
      </c>
      <c r="G5" s="32"/>
      <c r="I5" s="25"/>
      <c r="J5" s="17"/>
      <c r="K5" s="24"/>
      <c r="L5" s="18"/>
    </row>
    <row r="6" spans="2:17" ht="20.100000000000001" customHeight="1" x14ac:dyDescent="0.15">
      <c r="B6" s="57" t="s">
        <v>14</v>
      </c>
      <c r="C6" s="57"/>
      <c r="D6" s="57"/>
      <c r="E6" s="6">
        <v>45530</v>
      </c>
      <c r="I6" s="26"/>
      <c r="J6" s="18"/>
      <c r="K6" s="23"/>
      <c r="L6" s="21"/>
    </row>
    <row r="7" spans="2:17" ht="20.100000000000001" customHeight="1" x14ac:dyDescent="0.15">
      <c r="B7" s="7"/>
      <c r="C7" s="7"/>
      <c r="D7" s="7"/>
      <c r="E7" s="16"/>
      <c r="J7" s="17"/>
      <c r="L7" s="17"/>
    </row>
    <row r="9" spans="2:17" s="3" customFormat="1" ht="19.7" customHeight="1" x14ac:dyDescent="0.15">
      <c r="B9" s="8" t="s">
        <v>4</v>
      </c>
      <c r="C9" s="8" t="s">
        <v>9</v>
      </c>
      <c r="D9" s="8" t="s">
        <v>5</v>
      </c>
      <c r="E9" s="9" t="s">
        <v>8</v>
      </c>
      <c r="F9" s="9" t="s">
        <v>0</v>
      </c>
      <c r="G9" s="33" t="s">
        <v>1</v>
      </c>
      <c r="H9" s="34" t="s">
        <v>2</v>
      </c>
      <c r="I9" s="10" t="s">
        <v>18</v>
      </c>
      <c r="J9" s="9" t="s">
        <v>3</v>
      </c>
      <c r="K9" s="9" t="s">
        <v>17</v>
      </c>
      <c r="L9" s="9" t="s">
        <v>16</v>
      </c>
      <c r="M9" s="12" t="s">
        <v>6</v>
      </c>
      <c r="N9" s="8" t="s">
        <v>19</v>
      </c>
      <c r="O9" s="9" t="s">
        <v>7</v>
      </c>
      <c r="P9" s="11" t="s">
        <v>20</v>
      </c>
      <c r="Q9" s="12" t="s">
        <v>21</v>
      </c>
    </row>
    <row r="10" spans="2:17" s="3" customFormat="1" ht="19.7" customHeight="1" x14ac:dyDescent="0.15">
      <c r="B10" s="58">
        <v>4</v>
      </c>
      <c r="C10" s="28" t="s">
        <v>27</v>
      </c>
      <c r="D10" s="28" t="s">
        <v>27</v>
      </c>
      <c r="E10" s="13" t="s">
        <v>47</v>
      </c>
      <c r="F10" s="9">
        <v>1</v>
      </c>
      <c r="G10" s="13">
        <v>2790</v>
      </c>
      <c r="H10" s="42">
        <f>F10*G10</f>
        <v>2790</v>
      </c>
      <c r="I10" s="15"/>
      <c r="J10" s="13" t="s">
        <v>52</v>
      </c>
      <c r="K10" s="9" t="s">
        <v>59</v>
      </c>
      <c r="L10" s="11"/>
      <c r="M10" s="12">
        <v>45482</v>
      </c>
      <c r="N10" s="19"/>
      <c r="O10" s="19"/>
      <c r="P10" s="11">
        <v>45495</v>
      </c>
      <c r="Q10" s="12">
        <v>45495</v>
      </c>
    </row>
    <row r="11" spans="2:17" s="3" customFormat="1" ht="19.7" customHeight="1" x14ac:dyDescent="0.15">
      <c r="B11" s="59"/>
      <c r="C11" s="28" t="s">
        <v>27</v>
      </c>
      <c r="D11" s="28" t="s">
        <v>27</v>
      </c>
      <c r="E11" s="13" t="s">
        <v>46</v>
      </c>
      <c r="F11" s="9">
        <v>1</v>
      </c>
      <c r="G11" s="13">
        <v>1234</v>
      </c>
      <c r="H11" s="42">
        <f>F11*G11</f>
        <v>1234</v>
      </c>
      <c r="I11" s="15"/>
      <c r="J11" s="13" t="s">
        <v>51</v>
      </c>
      <c r="K11" s="9" t="s">
        <v>59</v>
      </c>
      <c r="L11" s="11"/>
      <c r="M11" s="12">
        <v>45482</v>
      </c>
      <c r="N11" s="19"/>
      <c r="O11" s="19"/>
      <c r="P11" s="11">
        <v>45495</v>
      </c>
      <c r="Q11" s="12">
        <v>45495</v>
      </c>
    </row>
    <row r="12" spans="2:17" s="3" customFormat="1" ht="19.7" customHeight="1" x14ac:dyDescent="0.15">
      <c r="B12" s="58">
        <v>5</v>
      </c>
      <c r="C12" s="28" t="s">
        <v>27</v>
      </c>
      <c r="D12" s="28" t="s">
        <v>27</v>
      </c>
      <c r="E12" s="13" t="s">
        <v>43</v>
      </c>
      <c r="F12" s="9">
        <v>1</v>
      </c>
      <c r="G12" s="13">
        <v>7395</v>
      </c>
      <c r="H12" s="42">
        <f>F12*G12</f>
        <v>7395</v>
      </c>
      <c r="I12" s="9"/>
      <c r="J12" s="15" t="s">
        <v>26</v>
      </c>
      <c r="K12" s="9" t="s">
        <v>59</v>
      </c>
      <c r="L12" s="9"/>
      <c r="M12" s="12">
        <v>45482</v>
      </c>
      <c r="N12" s="8"/>
      <c r="O12" s="19"/>
      <c r="P12" s="11">
        <v>45495</v>
      </c>
      <c r="Q12" s="12">
        <v>45495</v>
      </c>
    </row>
    <row r="13" spans="2:17" s="3" customFormat="1" ht="19.7" customHeight="1" x14ac:dyDescent="0.15">
      <c r="B13" s="59"/>
      <c r="C13" s="28" t="s">
        <v>27</v>
      </c>
      <c r="D13" s="28" t="s">
        <v>27</v>
      </c>
      <c r="E13" s="13" t="s">
        <v>45</v>
      </c>
      <c r="F13" s="9">
        <v>1</v>
      </c>
      <c r="G13" s="13">
        <v>161</v>
      </c>
      <c r="H13" s="42">
        <f t="shared" ref="H13:H26" si="0">F13*G13</f>
        <v>161</v>
      </c>
      <c r="I13" s="9"/>
      <c r="J13" s="13" t="s">
        <v>50</v>
      </c>
      <c r="K13" s="9" t="s">
        <v>59</v>
      </c>
      <c r="L13" s="9"/>
      <c r="M13" s="12">
        <v>45482</v>
      </c>
      <c r="N13" s="8"/>
      <c r="O13" s="19"/>
      <c r="P13" s="11">
        <v>45495</v>
      </c>
      <c r="Q13" s="12">
        <v>45495</v>
      </c>
    </row>
    <row r="14" spans="2:17" s="3" customFormat="1" ht="19.7" customHeight="1" x14ac:dyDescent="0.15">
      <c r="B14" s="58">
        <v>7</v>
      </c>
      <c r="C14" s="28" t="s">
        <v>31</v>
      </c>
      <c r="D14" s="28" t="s">
        <v>32</v>
      </c>
      <c r="E14" s="40" t="s">
        <v>29</v>
      </c>
      <c r="F14" s="9">
        <v>1</v>
      </c>
      <c r="G14" s="35">
        <v>4080</v>
      </c>
      <c r="H14" s="42">
        <f t="shared" si="0"/>
        <v>4080</v>
      </c>
      <c r="I14" s="9"/>
      <c r="J14" s="15" t="s">
        <v>33</v>
      </c>
      <c r="K14" s="41"/>
      <c r="L14" s="9"/>
      <c r="M14" s="12">
        <v>45483</v>
      </c>
      <c r="N14" s="8"/>
      <c r="O14" s="19">
        <v>45498</v>
      </c>
      <c r="P14" s="11">
        <v>45497</v>
      </c>
      <c r="Q14" s="12">
        <v>45496</v>
      </c>
    </row>
    <row r="15" spans="2:17" s="3" customFormat="1" ht="19.7" customHeight="1" x14ac:dyDescent="0.15">
      <c r="B15" s="60"/>
      <c r="C15" s="28" t="s">
        <v>31</v>
      </c>
      <c r="D15" s="28" t="s">
        <v>32</v>
      </c>
      <c r="E15" s="40" t="s">
        <v>30</v>
      </c>
      <c r="F15" s="9">
        <v>1</v>
      </c>
      <c r="G15" s="35">
        <v>5150</v>
      </c>
      <c r="H15" s="42">
        <f t="shared" si="0"/>
        <v>5150</v>
      </c>
      <c r="I15" s="9"/>
      <c r="J15" s="15" t="s">
        <v>34</v>
      </c>
      <c r="K15" s="41"/>
      <c r="L15" s="9"/>
      <c r="M15" s="12">
        <v>45483</v>
      </c>
      <c r="N15" s="8"/>
      <c r="O15" s="19">
        <v>45498</v>
      </c>
      <c r="P15" s="11">
        <v>45497</v>
      </c>
      <c r="Q15" s="12">
        <v>45496</v>
      </c>
    </row>
    <row r="16" spans="2:17" s="53" customFormat="1" ht="19.7" customHeight="1" x14ac:dyDescent="0.15">
      <c r="B16" s="60"/>
      <c r="C16" s="43" t="s">
        <v>31</v>
      </c>
      <c r="D16" s="43" t="s">
        <v>32</v>
      </c>
      <c r="E16" s="44" t="s">
        <v>60</v>
      </c>
      <c r="F16" s="43">
        <v>1</v>
      </c>
      <c r="G16" s="45">
        <v>5150</v>
      </c>
      <c r="H16" s="46">
        <f t="shared" ref="H16" si="1">F16*G16</f>
        <v>5150</v>
      </c>
      <c r="I16" s="43"/>
      <c r="J16" s="47" t="s">
        <v>34</v>
      </c>
      <c r="K16" s="48" t="s">
        <v>61</v>
      </c>
      <c r="L16" s="43"/>
      <c r="M16" s="49"/>
      <c r="N16" s="50"/>
      <c r="O16" s="51"/>
      <c r="P16" s="52"/>
      <c r="Q16" s="49" t="s">
        <v>62</v>
      </c>
    </row>
    <row r="17" spans="2:17" s="3" customFormat="1" ht="19.7" customHeight="1" x14ac:dyDescent="0.15">
      <c r="B17" s="60"/>
      <c r="C17" s="28" t="s">
        <v>27</v>
      </c>
      <c r="D17" s="28" t="s">
        <v>27</v>
      </c>
      <c r="E17" s="13" t="s">
        <v>44</v>
      </c>
      <c r="F17" s="9">
        <v>1</v>
      </c>
      <c r="G17" s="13">
        <v>3758</v>
      </c>
      <c r="H17" s="42">
        <f t="shared" si="0"/>
        <v>3758</v>
      </c>
      <c r="I17" s="15"/>
      <c r="J17" s="15" t="s">
        <v>28</v>
      </c>
      <c r="K17" s="9" t="s">
        <v>59</v>
      </c>
      <c r="L17" s="11"/>
      <c r="M17" s="12">
        <v>45482</v>
      </c>
      <c r="N17" s="19"/>
      <c r="O17" s="19"/>
      <c r="P17" s="11">
        <v>45495</v>
      </c>
      <c r="Q17" s="12">
        <v>45495</v>
      </c>
    </row>
    <row r="18" spans="2:17" s="3" customFormat="1" ht="19.7" customHeight="1" x14ac:dyDescent="0.15">
      <c r="B18" s="60"/>
      <c r="C18" s="28" t="s">
        <v>27</v>
      </c>
      <c r="D18" s="28" t="s">
        <v>27</v>
      </c>
      <c r="E18" s="13" t="s">
        <v>49</v>
      </c>
      <c r="F18" s="9">
        <v>1</v>
      </c>
      <c r="G18" s="13">
        <v>220</v>
      </c>
      <c r="H18" s="42">
        <f t="shared" si="0"/>
        <v>220</v>
      </c>
      <c r="I18" s="15"/>
      <c r="J18" s="13" t="s">
        <v>58</v>
      </c>
      <c r="K18" s="9" t="s">
        <v>59</v>
      </c>
      <c r="L18" s="11"/>
      <c r="M18" s="12">
        <v>45482</v>
      </c>
      <c r="N18" s="19"/>
      <c r="O18" s="19"/>
      <c r="P18" s="11">
        <v>45495</v>
      </c>
      <c r="Q18" s="12">
        <v>45495</v>
      </c>
    </row>
    <row r="19" spans="2:17" s="3" customFormat="1" ht="19.7" customHeight="1" x14ac:dyDescent="0.15">
      <c r="B19" s="60"/>
      <c r="C19" s="28" t="s">
        <v>27</v>
      </c>
      <c r="D19" s="28" t="s">
        <v>27</v>
      </c>
      <c r="E19" s="13" t="s">
        <v>35</v>
      </c>
      <c r="F19" s="9">
        <v>1</v>
      </c>
      <c r="G19" s="13">
        <v>170</v>
      </c>
      <c r="H19" s="42">
        <f t="shared" si="0"/>
        <v>170</v>
      </c>
      <c r="I19" s="15"/>
      <c r="J19" s="13" t="s">
        <v>57</v>
      </c>
      <c r="K19" s="9" t="s">
        <v>59</v>
      </c>
      <c r="L19" s="11"/>
      <c r="M19" s="12">
        <v>45482</v>
      </c>
      <c r="N19" s="19"/>
      <c r="O19" s="19"/>
      <c r="P19" s="11">
        <v>45495</v>
      </c>
      <c r="Q19" s="12">
        <v>45495</v>
      </c>
    </row>
    <row r="20" spans="2:17" s="3" customFormat="1" ht="19.7" customHeight="1" x14ac:dyDescent="0.15">
      <c r="B20" s="60"/>
      <c r="C20" s="28" t="s">
        <v>27</v>
      </c>
      <c r="D20" s="28" t="s">
        <v>27</v>
      </c>
      <c r="E20" s="13" t="s">
        <v>36</v>
      </c>
      <c r="F20" s="9">
        <v>1</v>
      </c>
      <c r="G20" s="13">
        <v>180</v>
      </c>
      <c r="H20" s="42">
        <f t="shared" si="0"/>
        <v>180</v>
      </c>
      <c r="I20" s="15"/>
      <c r="J20" s="13" t="s">
        <v>56</v>
      </c>
      <c r="K20" s="9" t="s">
        <v>59</v>
      </c>
      <c r="L20" s="11"/>
      <c r="M20" s="12">
        <v>45482</v>
      </c>
      <c r="N20" s="19"/>
      <c r="O20" s="19"/>
      <c r="P20" s="11">
        <v>45495</v>
      </c>
      <c r="Q20" s="12">
        <v>45495</v>
      </c>
    </row>
    <row r="21" spans="2:17" s="3" customFormat="1" ht="19.7" customHeight="1" x14ac:dyDescent="0.15">
      <c r="B21" s="60"/>
      <c r="C21" s="28" t="s">
        <v>27</v>
      </c>
      <c r="D21" s="28" t="s">
        <v>27</v>
      </c>
      <c r="E21" s="13" t="s">
        <v>37</v>
      </c>
      <c r="F21" s="9">
        <v>1</v>
      </c>
      <c r="G21" s="13">
        <v>220</v>
      </c>
      <c r="H21" s="42">
        <f t="shared" si="0"/>
        <v>220</v>
      </c>
      <c r="I21" s="15"/>
      <c r="J21" s="13" t="s">
        <v>56</v>
      </c>
      <c r="K21" s="9" t="s">
        <v>59</v>
      </c>
      <c r="L21" s="11"/>
      <c r="M21" s="12">
        <v>45482</v>
      </c>
      <c r="N21" s="19"/>
      <c r="O21" s="19"/>
      <c r="P21" s="11">
        <v>45495</v>
      </c>
      <c r="Q21" s="12">
        <v>45495</v>
      </c>
    </row>
    <row r="22" spans="2:17" s="3" customFormat="1" ht="19.7" customHeight="1" x14ac:dyDescent="0.15">
      <c r="B22" s="60"/>
      <c r="C22" s="28" t="s">
        <v>27</v>
      </c>
      <c r="D22" s="28" t="s">
        <v>27</v>
      </c>
      <c r="E22" s="13" t="s">
        <v>38</v>
      </c>
      <c r="F22" s="9">
        <v>1</v>
      </c>
      <c r="G22" s="13">
        <v>2970</v>
      </c>
      <c r="H22" s="42">
        <f t="shared" si="0"/>
        <v>2970</v>
      </c>
      <c r="I22" s="15"/>
      <c r="J22" s="13" t="s">
        <v>55</v>
      </c>
      <c r="K22" s="9" t="s">
        <v>59</v>
      </c>
      <c r="L22" s="11"/>
      <c r="M22" s="12">
        <v>45482</v>
      </c>
      <c r="N22" s="19"/>
      <c r="O22" s="19"/>
      <c r="P22" s="11">
        <v>45495</v>
      </c>
      <c r="Q22" s="12">
        <v>45495</v>
      </c>
    </row>
    <row r="23" spans="2:17" s="3" customFormat="1" ht="19.7" customHeight="1" x14ac:dyDescent="0.15">
      <c r="B23" s="60"/>
      <c r="C23" s="28" t="s">
        <v>27</v>
      </c>
      <c r="D23" s="28" t="s">
        <v>27</v>
      </c>
      <c r="E23" s="13" t="s">
        <v>48</v>
      </c>
      <c r="F23" s="9">
        <v>1</v>
      </c>
      <c r="G23" s="13">
        <v>270</v>
      </c>
      <c r="H23" s="42">
        <f t="shared" si="0"/>
        <v>270</v>
      </c>
      <c r="I23" s="15"/>
      <c r="J23" s="13" t="s">
        <v>54</v>
      </c>
      <c r="K23" s="9" t="s">
        <v>59</v>
      </c>
      <c r="L23" s="11"/>
      <c r="M23" s="12">
        <v>45482</v>
      </c>
      <c r="N23" s="19"/>
      <c r="O23" s="19"/>
      <c r="P23" s="11">
        <v>45495</v>
      </c>
      <c r="Q23" s="12">
        <v>45495</v>
      </c>
    </row>
    <row r="24" spans="2:17" s="3" customFormat="1" ht="19.7" customHeight="1" x14ac:dyDescent="0.15">
      <c r="B24" s="59"/>
      <c r="C24" s="28" t="s">
        <v>27</v>
      </c>
      <c r="D24" s="28" t="s">
        <v>27</v>
      </c>
      <c r="E24" s="13" t="s">
        <v>39</v>
      </c>
      <c r="F24" s="9">
        <v>1</v>
      </c>
      <c r="G24" s="13">
        <v>290</v>
      </c>
      <c r="H24" s="42">
        <f t="shared" si="0"/>
        <v>290</v>
      </c>
      <c r="I24" s="15"/>
      <c r="J24" s="13" t="s">
        <v>53</v>
      </c>
      <c r="K24" s="9" t="s">
        <v>59</v>
      </c>
      <c r="L24" s="11"/>
      <c r="M24" s="12">
        <v>45482</v>
      </c>
      <c r="N24" s="19"/>
      <c r="O24" s="19"/>
      <c r="P24" s="11">
        <v>45495</v>
      </c>
      <c r="Q24" s="12">
        <v>45495</v>
      </c>
    </row>
    <row r="25" spans="2:17" s="3" customFormat="1" ht="19.7" customHeight="1" x14ac:dyDescent="0.15">
      <c r="B25" s="58">
        <v>9</v>
      </c>
      <c r="C25" s="28" t="s">
        <v>40</v>
      </c>
      <c r="D25" s="28" t="s">
        <v>40</v>
      </c>
      <c r="E25" s="13" t="s">
        <v>41</v>
      </c>
      <c r="F25" s="28">
        <v>10</v>
      </c>
      <c r="G25" s="35">
        <v>5000</v>
      </c>
      <c r="H25" s="36">
        <f t="shared" si="0"/>
        <v>50000</v>
      </c>
      <c r="I25" s="15"/>
      <c r="J25" s="15"/>
      <c r="K25" s="9"/>
      <c r="L25" s="11"/>
      <c r="M25" s="12"/>
      <c r="N25" s="19"/>
      <c r="O25" s="19"/>
      <c r="P25" s="11"/>
      <c r="Q25" s="12"/>
    </row>
    <row r="26" spans="2:17" s="3" customFormat="1" ht="19.7" customHeight="1" x14ac:dyDescent="0.15">
      <c r="B26" s="59"/>
      <c r="C26" s="28" t="s">
        <v>40</v>
      </c>
      <c r="D26" s="28" t="s">
        <v>40</v>
      </c>
      <c r="E26" s="13" t="s">
        <v>42</v>
      </c>
      <c r="F26" s="28">
        <v>16</v>
      </c>
      <c r="G26" s="35">
        <v>5000</v>
      </c>
      <c r="H26" s="36">
        <f t="shared" si="0"/>
        <v>80000</v>
      </c>
      <c r="I26" s="15"/>
      <c r="J26" s="15"/>
      <c r="K26" s="9"/>
      <c r="L26" s="11"/>
      <c r="M26" s="12"/>
      <c r="N26" s="19"/>
      <c r="O26" s="19"/>
      <c r="P26" s="11"/>
      <c r="Q26" s="12"/>
    </row>
    <row r="27" spans="2:17" ht="19.5" customHeight="1" x14ac:dyDescent="0.15">
      <c r="B27" s="28"/>
      <c r="C27" s="15"/>
      <c r="D27" s="15"/>
      <c r="E27" s="15"/>
      <c r="F27" s="28"/>
      <c r="G27" s="35"/>
      <c r="H27" s="36"/>
      <c r="I27" s="29"/>
      <c r="J27" s="15"/>
      <c r="K27" s="15"/>
      <c r="L27" s="28"/>
      <c r="M27" s="14"/>
      <c r="N27" s="15"/>
      <c r="O27" s="28"/>
      <c r="P27" s="39"/>
      <c r="Q27" s="14"/>
    </row>
  </sheetData>
  <autoFilter ref="B9:O17" xr:uid="{00000000-0009-0000-0000-000000000000}"/>
  <mergeCells count="10">
    <mergeCell ref="B12:B13"/>
    <mergeCell ref="B14:B24"/>
    <mergeCell ref="B10:B11"/>
    <mergeCell ref="B25:B26"/>
    <mergeCell ref="B6:D6"/>
    <mergeCell ref="G2:I2"/>
    <mergeCell ref="B2:D2"/>
    <mergeCell ref="B3:D3"/>
    <mergeCell ref="B4:D4"/>
    <mergeCell ref="B5:D5"/>
  </mergeCells>
  <phoneticPr fontId="1"/>
  <pageMargins left="0.2" right="0.2" top="0.36" bottom="0.41" header="0.3" footer="0.3"/>
  <pageSetup paperSize="9"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2EC8B-E8F8-40AD-A086-F847B08F753B}">
  <dimension ref="A1:B5"/>
  <sheetViews>
    <sheetView view="pageBreakPreview" zoomScaleNormal="100" zoomScaleSheetLayoutView="100" workbookViewId="0">
      <selection activeCell="F15" sqref="F14:F15"/>
    </sheetView>
  </sheetViews>
  <sheetFormatPr defaultRowHeight="13.5" x14ac:dyDescent="0.15"/>
  <cols>
    <col min="1" max="1" width="12.125" bestFit="1" customWidth="1"/>
    <col min="2" max="2" width="20.75" bestFit="1" customWidth="1"/>
  </cols>
  <sheetData>
    <row r="1" spans="1:2" ht="17.25" x14ac:dyDescent="0.15">
      <c r="A1" s="30" t="s">
        <v>11</v>
      </c>
      <c r="B1" s="1" t="s">
        <v>23</v>
      </c>
    </row>
    <row r="2" spans="1:2" ht="17.25" x14ac:dyDescent="0.15">
      <c r="A2" s="30" t="s">
        <v>10</v>
      </c>
      <c r="B2" s="5" t="s">
        <v>22</v>
      </c>
    </row>
    <row r="3" spans="1:2" ht="17.25" x14ac:dyDescent="0.15">
      <c r="A3" s="30" t="s">
        <v>12</v>
      </c>
      <c r="B3" s="5">
        <v>201045</v>
      </c>
    </row>
    <row r="4" spans="1:2" ht="17.25" x14ac:dyDescent="0.15">
      <c r="A4" s="30" t="s">
        <v>13</v>
      </c>
      <c r="B4" s="6">
        <v>44946</v>
      </c>
    </row>
    <row r="5" spans="1:2" ht="17.25" x14ac:dyDescent="0.15">
      <c r="A5" s="30" t="s">
        <v>14</v>
      </c>
      <c r="B5" s="6">
        <v>45056</v>
      </c>
    </row>
  </sheetData>
  <phoneticPr fontId="13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40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原価表</vt:lpstr>
      <vt:lpstr>表紙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SATOH</dc:creator>
  <cp:lastModifiedBy>佐藤マネジャー</cp:lastModifiedBy>
  <cp:lastPrinted>2023-01-10T11:04:14Z</cp:lastPrinted>
  <dcterms:created xsi:type="dcterms:W3CDTF">2011-12-13T06:48:43Z</dcterms:created>
  <dcterms:modified xsi:type="dcterms:W3CDTF">2024-09-26T13:17:08Z</dcterms:modified>
</cp:coreProperties>
</file>