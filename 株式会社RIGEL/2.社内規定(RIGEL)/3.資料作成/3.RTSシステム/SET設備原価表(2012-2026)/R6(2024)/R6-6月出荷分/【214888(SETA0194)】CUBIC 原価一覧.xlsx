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5D02074-D10E-41F3-AF3E-7234B0B9A313}" xr6:coauthVersionLast="47" xr6:coauthVersionMax="47" xr10:uidLastSave="{00000000-0000-0000-0000-000000000000}"/>
  <bookViews>
    <workbookView xWindow="-120" yWindow="-120" windowWidth="30960" windowHeight="15840" xr2:uid="{00000000-000D-0000-FFFF-FFFF00000000}"/>
  </bookViews>
  <sheets>
    <sheet name="原価表" sheetId="1" r:id="rId1"/>
  </sheets>
  <definedNames>
    <definedName name="_xlnm._FilterDatabase" localSheetId="0" hidden="1">原価表!$B$9:$O$24</definedName>
  </definedNames>
  <calcPr calcId="181029"/>
  <fileRecoveryPr autoRecover="0"/>
</workbook>
</file>

<file path=xl/calcChain.xml><?xml version="1.0" encoding="utf-8"?>
<calcChain xmlns="http://schemas.openxmlformats.org/spreadsheetml/2006/main">
  <c r="H11" i="1" l="1"/>
  <c r="H12" i="1"/>
  <c r="H13" i="1"/>
  <c r="J2" i="1" l="1"/>
</calcChain>
</file>

<file path=xl/sharedStrings.xml><?xml version="1.0" encoding="utf-8"?>
<sst xmlns="http://schemas.openxmlformats.org/spreadsheetml/2006/main" count="40" uniqueCount="35">
  <si>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</si>
  <si>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</si>
  <si>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</si>
  <si>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</si>
  <si>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</si>
  <si>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</si>
  <si>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</si>
  <si>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</si>
  <si>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</si>
  <si>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</si>
  <si>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</si>
  <si>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</si>
  <si>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</si>
  <si>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</si>
  <si>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</si>
  <si>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</si>
  <si>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</si>
  <si>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</si>
  <si>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</si>
  <si>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</si>
  <si>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</si>
  <si>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</si>
  <si>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SET</t>
    <phoneticPr fontId="2"/>
  </si>
  <si>
    <t>ｹｼｰﾙ</t>
    <phoneticPr fontId="2"/>
  </si>
  <si>
    <t>MISUMI</t>
    <phoneticPr fontId="2"/>
  </si>
  <si>
    <t>SET</t>
    <phoneticPr fontId="2"/>
  </si>
  <si>
    <t>設計費</t>
    <rPh sb="0" eb="3">
      <t>セッケイヒ</t>
    </rPh>
    <phoneticPr fontId="2"/>
  </si>
  <si>
    <t>組立費</t>
    <rPh sb="0" eb="3">
      <t>クミタテヒ</t>
    </rPh>
    <phoneticPr fontId="2"/>
  </si>
  <si>
    <t>AXA300-SV</t>
    <phoneticPr fontId="2"/>
  </si>
  <si>
    <t>在庫</t>
    <rPh sb="0" eb="2">
      <t>ザイコ</t>
    </rPh>
    <phoneticPr fontId="2"/>
  </si>
  <si>
    <t>AXA300-HV</t>
    <phoneticPr fontId="2"/>
  </si>
  <si>
    <t>29
設計費</t>
    <rPh sb="3" eb="5">
      <t>セッケイ</t>
    </rPh>
    <rPh sb="5" eb="6">
      <t>ヒ</t>
    </rPh>
    <phoneticPr fontId="2"/>
  </si>
  <si>
    <t>NEDUL-PT-JS-9-3</t>
  </si>
  <si>
    <t>18　I/Oｹｰﾌﾞﾙ</t>
    <phoneticPr fontId="2"/>
  </si>
  <si>
    <t>CUBIC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</si>
</sst>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9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1" fillId="3" borderId="7" xfId="0" applyNumberFormat="1" applyFont="1" applyFill="1" applyBorder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7"/>
  <sheetViews>
    <sheetView tabSelected="1" zoomScale="70" zoomScaleNormal="7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B1" sqref="B1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6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4" customWidth="1"/>
    <col min="13" max="13" width="13.75" style="5" customWidth="1"/>
    <col min="14" max="14" width="6.375" customWidth="1"/>
    <col min="15" max="15" width="13.25" style="1" customWidth="1"/>
    <col min="16" max="16" width="14.5" style="6" customWidth="1"/>
    <col min="17" max="17" width="15.625" style="7" customWidth="1"/>
  </cols>
  <sheetData>
    <row r="2" spans="2:17" ht="20.100000000000001" customHeight="1" x14ac:dyDescent="0.15">
      <c r="B2" s="44" t="s">
        <v>11</v>
      </c>
      <c r="C2" s="44"/>
      <c r="D2" s="44"/>
      <c r="E2" s="2" t="s">
        <v>34</v>
      </c>
      <c r="G2" s="45" t="s">
        <v>15</v>
      </c>
      <c r="H2" s="46"/>
      <c r="I2" s="47"/>
      <c r="J2" s="3">
        <f>SUM(H:H)</f>
        <v>153070</v>
      </c>
    </row>
    <row r="3" spans="2:17" ht="20.100000000000001" customHeight="1" x14ac:dyDescent="0.15">
      <c r="B3" s="44" t="s">
        <v>10</v>
      </c>
      <c r="C3" s="44"/>
      <c r="D3" s="44"/>
      <c r="E3" s="8" t="s">
        <v>23</v>
      </c>
    </row>
    <row r="4" spans="2:17" ht="20.100000000000001" customHeight="1" x14ac:dyDescent="0.15">
      <c r="B4" s="44" t="s">
        <v>12</v>
      </c>
      <c r="C4" s="44"/>
      <c r="D4" s="44"/>
      <c r="E4" s="8">
        <v>214888</v>
      </c>
      <c r="J4" s="9"/>
    </row>
    <row r="5" spans="2:17" ht="20.100000000000001" customHeight="1" x14ac:dyDescent="0.15">
      <c r="B5" s="44" t="s">
        <v>13</v>
      </c>
      <c r="C5" s="44"/>
      <c r="D5" s="44"/>
      <c r="E5" s="10">
        <v>45443</v>
      </c>
      <c r="J5" s="9"/>
    </row>
    <row r="6" spans="2:17" ht="20.100000000000001" customHeight="1" x14ac:dyDescent="0.15">
      <c r="B6" s="44" t="s">
        <v>14</v>
      </c>
      <c r="C6" s="44"/>
      <c r="D6" s="44"/>
      <c r="E6" s="10">
        <v>45450</v>
      </c>
      <c r="J6" s="9"/>
    </row>
    <row r="7" spans="2:17" ht="20.100000000000001" customHeight="1" x14ac:dyDescent="0.15">
      <c r="B7" s="11"/>
      <c r="C7" s="11"/>
      <c r="D7" s="11"/>
      <c r="E7" s="12"/>
      <c r="J7" s="9"/>
      <c r="L7" s="13"/>
    </row>
    <row r="9" spans="2:17" s="4" customFormat="1" ht="19.7" customHeight="1" x14ac:dyDescent="0.15">
      <c r="B9" s="14" t="s">
        <v>4</v>
      </c>
      <c r="C9" s="14" t="s">
        <v>9</v>
      </c>
      <c r="D9" s="14" t="s">
        <v>5</v>
      </c>
      <c r="E9" s="15" t="s">
        <v>8</v>
      </c>
      <c r="F9" s="15" t="s">
        <v>0</v>
      </c>
      <c r="G9" s="33" t="s">
        <v>1</v>
      </c>
      <c r="H9" s="34" t="s">
        <v>2</v>
      </c>
      <c r="I9" s="16" t="s">
        <v>18</v>
      </c>
      <c r="J9" s="15" t="s">
        <v>3</v>
      </c>
      <c r="K9" s="15" t="s">
        <v>17</v>
      </c>
      <c r="L9" s="15" t="s">
        <v>16</v>
      </c>
      <c r="M9" s="17" t="s">
        <v>6</v>
      </c>
      <c r="N9" s="14" t="s">
        <v>19</v>
      </c>
      <c r="O9" s="15" t="s">
        <v>7</v>
      </c>
      <c r="P9" s="17" t="s">
        <v>20</v>
      </c>
      <c r="Q9" s="18" t="s">
        <v>21</v>
      </c>
    </row>
    <row r="10" spans="2:17" s="4" customFormat="1" ht="19.7" customHeight="1" x14ac:dyDescent="0.15">
      <c r="B10" s="14"/>
      <c r="C10" s="14" t="s">
        <v>22</v>
      </c>
      <c r="D10" s="14" t="s">
        <v>22</v>
      </c>
      <c r="E10" s="19" t="s">
        <v>30</v>
      </c>
      <c r="F10" s="21">
        <v>1</v>
      </c>
      <c r="G10" s="37"/>
      <c r="H10" s="37"/>
      <c r="I10" s="16"/>
      <c r="J10" s="19" t="s">
        <v>28</v>
      </c>
      <c r="K10" s="40" t="s">
        <v>29</v>
      </c>
      <c r="L10" s="15"/>
      <c r="M10" s="17"/>
      <c r="N10" s="14"/>
      <c r="O10" s="15"/>
      <c r="P10" s="17"/>
      <c r="Q10" s="18"/>
    </row>
    <row r="11" spans="2:17" s="4" customFormat="1" ht="19.5" customHeight="1" x14ac:dyDescent="0.15">
      <c r="B11" s="41" t="s">
        <v>33</v>
      </c>
      <c r="C11" s="26" t="s">
        <v>24</v>
      </c>
      <c r="D11" s="26" t="s">
        <v>24</v>
      </c>
      <c r="E11" t="s">
        <v>32</v>
      </c>
      <c r="F11" s="21">
        <v>1</v>
      </c>
      <c r="G11" s="21">
        <v>3070</v>
      </c>
      <c r="H11" s="37">
        <f t="shared" ref="H11:H13" si="0">F11*G11</f>
        <v>3070</v>
      </c>
      <c r="I11" s="20"/>
      <c r="J11" s="21"/>
      <c r="K11" s="14"/>
      <c r="L11" s="15"/>
      <c r="M11" s="17"/>
      <c r="N11" s="14"/>
      <c r="O11" s="29"/>
      <c r="P11" s="28"/>
      <c r="Q11" s="18">
        <v>45429</v>
      </c>
    </row>
    <row r="12" spans="2:17" ht="19.5" customHeight="1" x14ac:dyDescent="0.15">
      <c r="B12" s="42" t="s">
        <v>31</v>
      </c>
      <c r="C12" s="14" t="s">
        <v>22</v>
      </c>
      <c r="D12" s="14" t="s">
        <v>22</v>
      </c>
      <c r="E12" s="21" t="s">
        <v>26</v>
      </c>
      <c r="F12" s="21">
        <v>10</v>
      </c>
      <c r="G12" s="37">
        <v>5000</v>
      </c>
      <c r="H12" s="38">
        <f t="shared" si="0"/>
        <v>50000</v>
      </c>
      <c r="I12" s="25"/>
      <c r="J12" s="21"/>
      <c r="K12" s="14"/>
      <c r="L12" s="15"/>
      <c r="M12" s="17"/>
      <c r="N12" s="21"/>
      <c r="O12" s="25"/>
      <c r="P12" s="30"/>
      <c r="Q12" s="31"/>
    </row>
    <row r="13" spans="2:17" ht="19.5" customHeight="1" x14ac:dyDescent="0.15">
      <c r="B13" s="43"/>
      <c r="C13" s="26" t="s">
        <v>25</v>
      </c>
      <c r="D13" s="26" t="s">
        <v>25</v>
      </c>
      <c r="E13" s="21" t="s">
        <v>27</v>
      </c>
      <c r="F13" s="21">
        <v>20</v>
      </c>
      <c r="G13" s="37">
        <v>5000</v>
      </c>
      <c r="H13" s="38">
        <f t="shared" si="0"/>
        <v>100000</v>
      </c>
      <c r="I13" s="25"/>
      <c r="J13" s="21"/>
      <c r="K13" s="14"/>
      <c r="L13" s="15"/>
      <c r="M13" s="17"/>
      <c r="N13" s="21"/>
      <c r="O13" s="25"/>
      <c r="P13" s="30"/>
      <c r="Q13" s="31"/>
    </row>
    <row r="14" spans="2:17" ht="19.5" customHeight="1" x14ac:dyDescent="0.15">
      <c r="B14" s="15"/>
      <c r="C14" s="23"/>
      <c r="D14" s="26"/>
      <c r="E14" s="21"/>
      <c r="F14" s="21"/>
      <c r="G14" s="37"/>
      <c r="H14" s="37"/>
      <c r="I14" s="25"/>
      <c r="J14" s="21"/>
      <c r="K14" s="14"/>
      <c r="L14" s="15"/>
      <c r="M14" s="17"/>
      <c r="N14" s="21"/>
      <c r="O14" s="25"/>
      <c r="P14" s="30"/>
      <c r="Q14" s="31"/>
    </row>
    <row r="15" spans="2:17" ht="19.5" customHeight="1" x14ac:dyDescent="0.15">
      <c r="B15" s="15"/>
      <c r="C15" s="23"/>
      <c r="D15" s="26"/>
      <c r="E15" s="21"/>
      <c r="F15" s="21"/>
      <c r="G15" s="37"/>
      <c r="H15" s="37"/>
      <c r="I15" s="25"/>
      <c r="J15" s="21"/>
      <c r="K15" s="14"/>
      <c r="L15" s="15"/>
      <c r="M15" s="17"/>
      <c r="N15" s="21"/>
      <c r="O15" s="25"/>
      <c r="P15" s="30"/>
      <c r="Q15" s="31"/>
    </row>
    <row r="16" spans="2:17" ht="19.5" customHeight="1" x14ac:dyDescent="0.15">
      <c r="B16" s="15"/>
      <c r="C16" s="23"/>
      <c r="D16" s="26"/>
      <c r="E16" s="21"/>
      <c r="F16" s="21"/>
      <c r="G16" s="37"/>
      <c r="H16" s="37"/>
      <c r="I16" s="25"/>
      <c r="J16" s="21"/>
      <c r="K16" s="14"/>
      <c r="L16" s="15"/>
      <c r="M16" s="17"/>
      <c r="N16" s="21"/>
      <c r="O16" s="25"/>
      <c r="P16" s="30"/>
      <c r="Q16" s="31"/>
    </row>
    <row r="17" spans="2:17" ht="19.5" customHeight="1" x14ac:dyDescent="0.15">
      <c r="B17" s="15"/>
      <c r="C17" s="23"/>
      <c r="D17" s="23"/>
      <c r="E17" s="24"/>
      <c r="F17" s="21"/>
      <c r="G17" s="37"/>
      <c r="H17" s="37"/>
      <c r="I17" s="25"/>
      <c r="J17" s="24"/>
      <c r="K17" s="15"/>
      <c r="L17" s="15"/>
      <c r="M17" s="17"/>
      <c r="N17" s="21"/>
      <c r="O17" s="25"/>
      <c r="P17" s="30"/>
      <c r="Q17" s="31"/>
    </row>
    <row r="18" spans="2:17" ht="19.5" customHeight="1" x14ac:dyDescent="0.15">
      <c r="B18" s="15"/>
      <c r="C18" s="23"/>
      <c r="D18" s="23"/>
      <c r="E18" s="24"/>
      <c r="F18" s="21"/>
      <c r="G18" s="37"/>
      <c r="H18" s="37"/>
      <c r="I18" s="25"/>
      <c r="J18" s="24"/>
      <c r="K18" s="15"/>
      <c r="L18" s="15"/>
      <c r="M18" s="17"/>
      <c r="N18" s="21"/>
      <c r="O18" s="25"/>
      <c r="P18" s="30"/>
      <c r="Q18" s="31"/>
    </row>
    <row r="19" spans="2:17" ht="19.5" customHeight="1" x14ac:dyDescent="0.15">
      <c r="B19" s="15"/>
      <c r="C19" s="23"/>
      <c r="D19" s="23"/>
      <c r="E19" s="24"/>
      <c r="F19" s="21"/>
      <c r="G19" s="37"/>
      <c r="H19" s="37"/>
      <c r="I19" s="25"/>
      <c r="J19" s="24"/>
      <c r="K19" s="15"/>
      <c r="L19" s="15"/>
      <c r="M19" s="17"/>
      <c r="N19" s="21"/>
      <c r="O19" s="25"/>
      <c r="P19" s="30"/>
      <c r="Q19" s="31"/>
    </row>
    <row r="20" spans="2:17" ht="19.5" customHeight="1" x14ac:dyDescent="0.15">
      <c r="B20" s="15"/>
      <c r="C20" s="23"/>
      <c r="D20" s="23"/>
      <c r="E20" s="24"/>
      <c r="F20" s="21"/>
      <c r="G20" s="37"/>
      <c r="H20" s="37"/>
      <c r="I20" s="25"/>
      <c r="J20" s="24"/>
      <c r="K20" s="15"/>
      <c r="L20" s="15"/>
      <c r="M20" s="17"/>
      <c r="N20" s="21"/>
      <c r="O20" s="25"/>
      <c r="P20" s="30"/>
      <c r="Q20" s="31"/>
    </row>
    <row r="21" spans="2:17" ht="19.5" customHeight="1" x14ac:dyDescent="0.15">
      <c r="B21" s="15"/>
      <c r="C21" s="23"/>
      <c r="D21" s="23"/>
      <c r="E21" s="27"/>
      <c r="F21" s="21"/>
      <c r="G21" s="39"/>
      <c r="H21" s="37"/>
      <c r="I21" s="20"/>
      <c r="J21" s="27"/>
      <c r="K21" s="15"/>
      <c r="L21" s="15"/>
      <c r="M21" s="17"/>
      <c r="N21" s="21"/>
      <c r="O21" s="25"/>
      <c r="P21" s="30"/>
      <c r="Q21" s="31"/>
    </row>
    <row r="22" spans="2:17" ht="19.5" customHeight="1" x14ac:dyDescent="0.15">
      <c r="B22" s="15"/>
      <c r="C22" s="23"/>
      <c r="D22" s="21"/>
      <c r="E22" s="24"/>
      <c r="F22" s="21"/>
      <c r="G22" s="37"/>
      <c r="H22" s="37"/>
      <c r="I22" s="25"/>
      <c r="J22" s="24"/>
      <c r="K22" s="32"/>
      <c r="L22" s="15"/>
      <c r="M22" s="17"/>
      <c r="N22" s="21"/>
      <c r="O22" s="25"/>
      <c r="P22" s="30"/>
      <c r="Q22" s="31"/>
    </row>
    <row r="23" spans="2:17" ht="19.5" customHeight="1" x14ac:dyDescent="0.15">
      <c r="B23" s="15"/>
      <c r="C23" s="23"/>
      <c r="D23" s="21"/>
      <c r="E23" s="24"/>
      <c r="F23" s="21"/>
      <c r="G23" s="37"/>
      <c r="H23" s="37"/>
      <c r="I23" s="25"/>
      <c r="J23" s="24"/>
      <c r="K23" s="32"/>
      <c r="L23" s="15"/>
      <c r="M23" s="17"/>
      <c r="N23" s="21"/>
      <c r="O23" s="25"/>
      <c r="P23" s="30"/>
      <c r="Q23" s="31"/>
    </row>
    <row r="24" spans="2:17" s="4" customFormat="1" ht="19.5" customHeight="1" x14ac:dyDescent="0.15">
      <c r="B24" s="14"/>
      <c r="C24" s="23"/>
      <c r="D24" s="21"/>
      <c r="E24" s="22"/>
      <c r="F24" s="21"/>
      <c r="G24" s="35"/>
      <c r="H24" s="35"/>
      <c r="I24" s="20"/>
      <c r="J24" s="21"/>
      <c r="K24" s="32"/>
      <c r="L24" s="15"/>
      <c r="M24" s="17"/>
      <c r="N24" s="14"/>
      <c r="O24" s="15"/>
      <c r="P24" s="17"/>
      <c r="Q24" s="18"/>
    </row>
    <row r="25" spans="2:17" ht="19.5" customHeight="1" x14ac:dyDescent="0.15">
      <c r="B25" s="15"/>
      <c r="C25" s="23"/>
      <c r="D25" s="21"/>
      <c r="E25" s="21"/>
      <c r="F25" s="21"/>
      <c r="G25" s="37"/>
      <c r="H25" s="37"/>
      <c r="I25" s="25"/>
      <c r="J25" s="21"/>
      <c r="K25" s="32"/>
      <c r="L25" s="15"/>
      <c r="M25" s="17"/>
      <c r="N25" s="21"/>
      <c r="O25" s="25"/>
      <c r="P25" s="30"/>
      <c r="Q25" s="31"/>
    </row>
    <row r="26" spans="2:17" ht="19.5" customHeight="1" x14ac:dyDescent="0.15">
      <c r="B26" s="15"/>
      <c r="C26" s="23"/>
      <c r="D26" s="21"/>
      <c r="E26" s="21"/>
      <c r="F26" s="21"/>
      <c r="G26" s="37"/>
      <c r="H26" s="37"/>
      <c r="I26" s="25"/>
      <c r="J26" s="21"/>
      <c r="K26" s="32"/>
      <c r="L26" s="15"/>
      <c r="M26" s="17"/>
      <c r="N26" s="21"/>
      <c r="O26" s="25"/>
      <c r="P26" s="30"/>
      <c r="Q26" s="31"/>
    </row>
    <row r="27" spans="2:17" ht="19.5" customHeight="1" x14ac:dyDescent="0.15">
      <c r="B27" s="15"/>
      <c r="C27" s="21"/>
      <c r="D27" s="21"/>
      <c r="E27" s="21"/>
      <c r="F27" s="21"/>
      <c r="G27" s="37"/>
      <c r="H27" s="37"/>
      <c r="I27" s="25"/>
      <c r="J27" s="21"/>
      <c r="K27" s="21"/>
      <c r="L27" s="15"/>
      <c r="M27" s="17"/>
      <c r="N27" s="21"/>
      <c r="O27" s="25"/>
      <c r="P27" s="30"/>
      <c r="Q27" s="31"/>
    </row>
  </sheetData>
  <autoFilter ref="B9:O11" xr:uid="{00000000-0009-0000-0000-000000000000}"/>
  <mergeCells count="7">
    <mergeCell ref="B12:B13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2021-05-10T06:24:52Z</cp:lastPrinted>
  <dcterms:created xsi:type="dcterms:W3CDTF">2011-12-13T06:48:43Z</dcterms:created>
  <dcterms:modified xsi:type="dcterms:W3CDTF">2024-06-05T11:22:28Z</dcterms:modified>
</cp:coreProperties>
</file>