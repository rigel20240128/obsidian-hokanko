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251ADEE3-EA32-426D-8570-7FE402B8455A}" xr6:coauthVersionLast="47" xr6:coauthVersionMax="47" xr10:uidLastSave="{00000000-0000-0000-0000-000000000000}"/>
  <bookViews>
    <workbookView xWindow="-120" yWindow="-120" windowWidth="29040" windowHeight="15840" xr2:uid="{00000000-000D-0000-FFFF-FFFF00000000}"/>
  </bookViews>
  <sheets>
    <sheet name="SETB0242-A01　①原価一覧 (20250123）" sheetId="14" r:id="rId1"/>
    <sheet name="Sheet2" sheetId="2" r:id="rId2"/>
    <sheet name="Sheet3" sheetId="3" r:id="rId3"/>
  </sheets>
  <definedNames>
    <definedName name="_xlnm._FilterDatabase" localSheetId="0" hidden="1">'SETB0242-A01　①原価一覧 (20250123）'!$D$8:$Q$61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28" i="14" l="1"/>
  <c r="D13" i="14"/>
  <c r="D14" i="14" s="1"/>
  <c r="J20" i="14"/>
  <c r="J57" i="14" l="1"/>
  <c r="J56" i="14"/>
  <c r="J55" i="14"/>
  <c r="J45" i="14"/>
  <c r="J36" i="14"/>
  <c r="J35" i="14"/>
  <c r="J34" i="14"/>
  <c r="J27" i="14"/>
  <c r="J26" i="14"/>
  <c r="J25" i="14"/>
  <c r="J24" i="14"/>
  <c r="J19" i="14"/>
  <c r="J18" i="14"/>
  <c r="J17" i="14"/>
  <c r="J16" i="14"/>
  <c r="J15" i="14"/>
  <c r="J14" i="14"/>
  <c r="J13" i="14"/>
  <c r="D15" i="14"/>
  <c r="J11" i="14"/>
  <c r="D16" i="14" l="1"/>
  <c r="D17" i="14" s="1"/>
  <c r="G38" i="14"/>
  <c r="G47" i="14"/>
  <c r="L2" i="14"/>
  <c r="G29" i="14"/>
  <c r="D18" i="14" l="1"/>
  <c r="D19" i="14" s="1"/>
  <c r="D20" i="14" s="1"/>
  <c r="D24" i="14" s="1"/>
  <c r="D25" i="14" s="1"/>
  <c r="D26" i="14" s="1"/>
  <c r="D27" i="14" s="1"/>
  <c r="D34" i="14" s="1"/>
  <c r="D35" i="14" s="1"/>
  <c r="D36" i="14" s="1"/>
  <c r="D45" i="14" s="1"/>
</calcChain>
</file>

<file path=xl/sharedStrings.xml><?xml version="1.0" encoding="utf-8"?>
<sst xmlns="http://schemas.openxmlformats.org/spreadsheetml/2006/main" count="192" uniqueCount="94">
  <si>
    <t>お客先名</t>
  </si>
  <si>
    <t>合計金額</t>
  </si>
  <si>
    <t>担当営業</t>
  </si>
  <si>
    <t>受注番号</t>
  </si>
  <si>
    <t>希望納期</t>
  </si>
  <si>
    <t>最終納品</t>
  </si>
  <si>
    <t>見積り分類</t>
  </si>
  <si>
    <t>メーカー</t>
  </si>
  <si>
    <t>仕入先</t>
  </si>
  <si>
    <t>品名 / 型式</t>
  </si>
  <si>
    <t>数量</t>
  </si>
  <si>
    <t>単価</t>
  </si>
  <si>
    <t>金額</t>
  </si>
  <si>
    <t>分類合計</t>
  </si>
  <si>
    <t>詳細</t>
  </si>
  <si>
    <t>備考</t>
  </si>
  <si>
    <t>技術分類</t>
  </si>
  <si>
    <t>発注日</t>
  </si>
  <si>
    <t>発注</t>
  </si>
  <si>
    <t>納期</t>
  </si>
  <si>
    <t>入荷予定日</t>
  </si>
  <si>
    <t>入荷日</t>
  </si>
  <si>
    <t>運送費</t>
  </si>
  <si>
    <t>設計費</t>
  </si>
  <si>
    <t>組立調整費</t>
  </si>
  <si>
    <t>配電部分</t>
    <rPh sb="0" eb="2">
      <t>ハイデン</t>
    </rPh>
    <rPh sb="2" eb="4">
      <t>ブブン</t>
    </rPh>
    <phoneticPr fontId="10"/>
  </si>
  <si>
    <t>AW10-M5BG-A</t>
    <phoneticPr fontId="12"/>
  </si>
  <si>
    <t>3日目</t>
    <rPh sb="1" eb="2">
      <t>ヒ</t>
    </rPh>
    <rPh sb="2" eb="3">
      <t>メ</t>
    </rPh>
    <phoneticPr fontId="12"/>
  </si>
  <si>
    <t>1日目</t>
    <rPh sb="1" eb="2">
      <t>ヒ</t>
    </rPh>
    <rPh sb="2" eb="3">
      <t>メ</t>
    </rPh>
    <phoneticPr fontId="12"/>
  </si>
  <si>
    <t>出荷依頼項目NO.</t>
    <rPh sb="0" eb="4">
      <t>シュッカイライ</t>
    </rPh>
    <rPh sb="4" eb="6">
      <t>コウモク</t>
    </rPh>
    <phoneticPr fontId="10"/>
  </si>
  <si>
    <t>福島</t>
    <rPh sb="0" eb="2">
      <t>フクシマ</t>
    </rPh>
    <phoneticPr fontId="10"/>
  </si>
  <si>
    <t>Ｎo.【202839】</t>
    <phoneticPr fontId="10"/>
  </si>
  <si>
    <t>PEW池田電機様　(阪本（株））</t>
    <rPh sb="10" eb="12">
      <t>サカモト</t>
    </rPh>
    <rPh sb="12" eb="15">
      <t>カブ</t>
    </rPh>
    <phoneticPr fontId="10"/>
  </si>
  <si>
    <t>SMC</t>
  </si>
  <si>
    <t>制御機材</t>
    <rPh sb="0" eb="1">
      <t>セイ</t>
    </rPh>
    <rPh sb="1" eb="2">
      <t>オ</t>
    </rPh>
    <rPh sb="2" eb="4">
      <t>キザイ</t>
    </rPh>
    <phoneticPr fontId="12"/>
  </si>
  <si>
    <t>フィルタレギュレータ</t>
    <phoneticPr fontId="12"/>
  </si>
  <si>
    <t>オーエヌ工業</t>
    <phoneticPr fontId="10"/>
  </si>
  <si>
    <t>N730L-HY2 15A 　</t>
    <phoneticPr fontId="10"/>
  </si>
  <si>
    <t>3方ﾎﾞｰﾙﾊﾞﾙﾌﾞ</t>
    <phoneticPr fontId="10"/>
  </si>
  <si>
    <t>甲南電機</t>
    <rPh sb="2" eb="4">
      <t>デンキ</t>
    </rPh>
    <phoneticPr fontId="10"/>
  </si>
  <si>
    <t>電磁弁</t>
    <rPh sb="0" eb="3">
      <t>デンジベン</t>
    </rPh>
    <phoneticPr fontId="10"/>
  </si>
  <si>
    <t>4N3S102K-L5</t>
    <phoneticPr fontId="10"/>
  </si>
  <si>
    <t>SETB0242-A01　AXA400-HV-H120+SV35HF+APT300　2連+井桁　　</t>
    <rPh sb="43" eb="44">
      <t>レン</t>
    </rPh>
    <phoneticPr fontId="10"/>
  </si>
  <si>
    <t>石鍋</t>
    <rPh sb="0" eb="2">
      <t>イシナベ</t>
    </rPh>
    <phoneticPr fontId="10"/>
  </si>
  <si>
    <t>SMC</t>
    <phoneticPr fontId="12"/>
  </si>
  <si>
    <t>制御機材</t>
    <rPh sb="0" eb="4">
      <t>セイギョキザイ</t>
    </rPh>
    <phoneticPr fontId="12"/>
  </si>
  <si>
    <r>
      <t>CDJ2B16-200Z-M9N</t>
    </r>
    <r>
      <rPr>
        <b/>
        <sz val="11"/>
        <color indexed="30"/>
        <rFont val="ＭＳ Ｐゴシック"/>
        <family val="3"/>
        <charset val="128"/>
      </rPr>
      <t>L</t>
    </r>
    <r>
      <rPr>
        <sz val="11"/>
        <color indexed="8"/>
        <rFont val="ＭＳ Ｐゴシック"/>
        <family val="3"/>
        <charset val="128"/>
      </rPr>
      <t>S-B</t>
    </r>
    <phoneticPr fontId="12"/>
  </si>
  <si>
    <t>エアシリンダー</t>
    <phoneticPr fontId="12"/>
  </si>
  <si>
    <t>2Week</t>
    <phoneticPr fontId="12"/>
  </si>
  <si>
    <t>東北マテリアルス</t>
    <rPh sb="0" eb="2">
      <t>トウホク</t>
    </rPh>
    <phoneticPr fontId="12"/>
  </si>
  <si>
    <t>SC40311-01</t>
    <phoneticPr fontId="12"/>
  </si>
  <si>
    <t>シールナット</t>
    <phoneticPr fontId="12"/>
  </si>
  <si>
    <t>3Week</t>
    <phoneticPr fontId="12"/>
  </si>
  <si>
    <t>SETB0088-Z01　580091A ﾄﾞﾛｯﾌﾟｲﾝｱﾀﾞﾌﾟﾀ　ﾅｯﾄ  材料　A2017</t>
    <phoneticPr fontId="12"/>
  </si>
  <si>
    <t>ﾄﾞﾛｯﾌﾟｲﾝｱﾀﾞﾌﾟﾀ　ﾅｯﾄ　　17アルマイト</t>
    <phoneticPr fontId="12"/>
  </si>
  <si>
    <t>見積NO.　6389</t>
    <rPh sb="0" eb="2">
      <t>ミツモリ</t>
    </rPh>
    <phoneticPr fontId="12"/>
  </si>
  <si>
    <t>見積NO.　</t>
    <rPh sb="0" eb="2">
      <t>ミツモリ</t>
    </rPh>
    <phoneticPr fontId="12"/>
  </si>
  <si>
    <t>SETB0089-Z04-1　ATP300　蓋改良版2　φ75×35H　材料　A2017　Type:2</t>
    <phoneticPr fontId="12"/>
  </si>
  <si>
    <t>蓋改良版2　φ75×35H</t>
    <phoneticPr fontId="12"/>
  </si>
  <si>
    <t>見積NO.　6417</t>
    <rPh sb="0" eb="2">
      <t>ミツモリ</t>
    </rPh>
    <phoneticPr fontId="12"/>
  </si>
  <si>
    <t>SETB0089-Z01　ATP300　蓋改良版　管用継手　クランプＴｙｐｅ 材料　A2017</t>
    <phoneticPr fontId="12"/>
  </si>
  <si>
    <t>管用継手　クランプ</t>
    <phoneticPr fontId="12"/>
  </si>
  <si>
    <t>見積NO.　6369</t>
    <rPh sb="0" eb="2">
      <t>ミツモリ</t>
    </rPh>
    <phoneticPr fontId="12"/>
  </si>
  <si>
    <t>SETB0089-Z02　ATP300　上部管用継手　クランプＴｙｐｅ 材料　A2017</t>
    <phoneticPr fontId="12"/>
  </si>
  <si>
    <t>上部管用継手　クランプＴｙｐｅ</t>
    <phoneticPr fontId="12"/>
  </si>
  <si>
    <t>SETB0089-Z03-1　ATP300　筒部 アルミパイプ本体　M60（φ55.8）×185L</t>
    <phoneticPr fontId="12"/>
  </si>
  <si>
    <t>筒部 アルミパイプ本体</t>
    <phoneticPr fontId="12"/>
  </si>
  <si>
    <t>残量検知ｼﾘﾝﾀﾞ加圧レギュレータユニット　2SET</t>
    <phoneticPr fontId="10"/>
  </si>
  <si>
    <t>ARP20K-01H-3</t>
    <phoneticPr fontId="10"/>
  </si>
  <si>
    <t>ARP20K-01H</t>
    <phoneticPr fontId="10"/>
  </si>
  <si>
    <t>ISE20-N-M-M5-L</t>
    <phoneticPr fontId="10"/>
  </si>
  <si>
    <t>6日目</t>
    <rPh sb="1" eb="2">
      <t>ヒ</t>
    </rPh>
    <rPh sb="2" eb="3">
      <t>メ</t>
    </rPh>
    <phoneticPr fontId="10"/>
  </si>
  <si>
    <t>SMC ｸｳｱﾂｷｷｶﾝﾚﾝ</t>
    <phoneticPr fontId="10"/>
  </si>
  <si>
    <t>見積もり　351228-1</t>
    <rPh sb="0" eb="2">
      <t>ミツ</t>
    </rPh>
    <phoneticPr fontId="10"/>
  </si>
  <si>
    <t>N730L-HY2 15A 　　送料</t>
    <rPh sb="16" eb="18">
      <t>ソウリョウ</t>
    </rPh>
    <phoneticPr fontId="10"/>
  </si>
  <si>
    <t>4N3S102K-L5　　　　送料</t>
    <rPh sb="15" eb="17">
      <t>ソウリョウ</t>
    </rPh>
    <phoneticPr fontId="10"/>
  </si>
  <si>
    <t>2Week</t>
    <phoneticPr fontId="10"/>
  </si>
  <si>
    <t>3Week</t>
  </si>
  <si>
    <t>ﾄﾞﾛｯﾌﾟｲﾝｱﾀﾞﾌﾟﾀ　　　17アルマイト　3/8雌ねじ</t>
    <rPh sb="28" eb="29">
      <t>メ</t>
    </rPh>
    <phoneticPr fontId="12"/>
  </si>
  <si>
    <t>①</t>
    <phoneticPr fontId="10"/>
  </si>
  <si>
    <t>SETB0089-Z05　ATP300　蓋改良版2　スペーサ　材料　A2017</t>
    <phoneticPr fontId="12"/>
  </si>
  <si>
    <t>蓋改良版2　スペーサ</t>
    <phoneticPr fontId="10"/>
  </si>
  <si>
    <t>SETB0088-Z07　ﾄﾞﾛｯﾌﾟｲﾝｱﾀﾞﾌﾟﾀ  3-8 PT　改良　材料　A2017</t>
    <rPh sb="39" eb="41">
      <t>ザイリョウ</t>
    </rPh>
    <phoneticPr fontId="12"/>
  </si>
  <si>
    <t xml:space="preserve">ATP300-HZ残量検知付き　2連 液送ﾕﾆｯﾄ </t>
    <rPh sb="19" eb="20">
      <t>エキ</t>
    </rPh>
    <phoneticPr fontId="10"/>
  </si>
  <si>
    <t>Ｎo.220400</t>
    <phoneticPr fontId="10"/>
  </si>
  <si>
    <t>エイワ機工(加藤製作所様向）様</t>
    <rPh sb="14" eb="15">
      <t>サマ</t>
    </rPh>
    <phoneticPr fontId="10"/>
  </si>
  <si>
    <t>SMC ﾚｷﾞｭﾚｰﾀ ARP　0.4MPa</t>
    <phoneticPr fontId="10"/>
  </si>
  <si>
    <t>SMC ﾚｷﾞｭﾚｰﾀ ARP　0.6MPa</t>
    <phoneticPr fontId="10"/>
  </si>
  <si>
    <t>仙台営業所納品依頼</t>
    <rPh sb="0" eb="2">
      <t>センダイ</t>
    </rPh>
    <rPh sb="2" eb="5">
      <t>エイギョウショ</t>
    </rPh>
    <rPh sb="5" eb="7">
      <t>ノウヒン</t>
    </rPh>
    <rPh sb="7" eb="9">
      <t>イライ</t>
    </rPh>
    <phoneticPr fontId="10"/>
  </si>
  <si>
    <r>
      <t>2</t>
    </r>
    <r>
      <rPr>
        <sz val="11"/>
        <color theme="1"/>
        <rFont val="ＭＳ Ｐゴシック"/>
        <family val="3"/>
        <charset val="128"/>
        <scheme val="minor"/>
      </rPr>
      <t>/13・仙台営業所着</t>
    </r>
    <rPh sb="5" eb="7">
      <t>センダイ</t>
    </rPh>
    <rPh sb="7" eb="11">
      <t>エイギョウショチャク</t>
    </rPh>
    <phoneticPr fontId="10"/>
  </si>
  <si>
    <t>送料</t>
    <rPh sb="0" eb="2">
      <t>ソウリョウ</t>
    </rPh>
    <phoneticPr fontId="10"/>
  </si>
  <si>
    <t>石鍋</t>
    <rPh sb="0" eb="2">
      <t>イシナベ</t>
    </rPh>
    <phoneticPr fontId="10"/>
  </si>
  <si>
    <t>2/7・仙台営業所着</t>
    <rPh sb="4" eb="6">
      <t>センダイ</t>
    </rPh>
    <rPh sb="6" eb="10">
      <t>エイギョウショチャク</t>
    </rPh>
    <phoneticPr fontId="10"/>
  </si>
  <si>
    <t>2/17・仙台営業所着</t>
    <rPh sb="5" eb="10">
      <t>センダイエイギョウショ</t>
    </rPh>
    <rPh sb="10" eb="11">
      <t>チャク</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</si>
</sst>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_);[Red]\(#,##0\)"/>
    <numFmt numFmtId="177" formatCode="yyyy&quot;年&quot;m&quot;月&quot;d&quot;日&quot;;@"/>
    <numFmt numFmtId="178" formatCode="m/d;@"/>
    <numFmt numFmtId="179" formatCode="m&quot;月&quot;d&quot;日&quot;;@"/>
    <numFmt numFmtId="180" formatCode="0_);[Red]\(0\)"/>
    <numFmt numFmtId="181" formatCode="0_ ;[Red]\-0\ "/>
    <numFmt numFmtId="182" formatCode="&quot;¥&quot;#,##0_);[Red]\(&quot;¥&quot;#,##0\)"/>
  </numFmts>
  <fonts count="27" x14ac:knownFonts="1">
    <font>
      <sz val="11"/>
      <color theme="1"/>
      <name val="ＭＳ Ｐゴシック"/>
      <scheme val="minor"/>
    </font>
    <font>
      <u/>
      <sz val="11"/>
      <name val="ＭＳ Ｐゴシック"/>
      <family val="3"/>
      <charset val="128"/>
      <scheme val="minor"/>
    </font>
    <font>
      <b/>
      <sz val="11"/>
      <color theme="1"/>
      <name val="ＭＳ Ｐゴシック"/>
      <family val="3"/>
      <charset val="128"/>
      <scheme val="minor"/>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sz val="9.9499999999999993"/>
      <color rgb="FF000000"/>
      <name val="ＭＳ Ｐゴシック"/>
      <family val="3"/>
      <charset val="128"/>
    </font>
    <font>
      <b/>
      <sz val="13.95"/>
      <color theme="1"/>
      <name val="ＭＳ Ｐゴシック"/>
      <family val="3"/>
      <charset val="128"/>
      <scheme val="minor"/>
    </font>
    <font>
      <b/>
      <sz val="12"/>
      <color rgb="FF000000"/>
      <name val="ＭＳ Ｐゴシック"/>
      <family val="3"/>
      <charset val="128"/>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Ｐゴシック"/>
      <family val="3"/>
      <charset val="128"/>
    </font>
    <font>
      <sz val="11"/>
      <color theme="1"/>
      <name val="ＭＳ Ｐゴシック"/>
      <family val="3"/>
      <charset val="128"/>
    </font>
    <font>
      <sz val="11"/>
      <name val="ＭＳ Ｐゴシック"/>
      <family val="3"/>
      <charset val="128"/>
    </font>
    <font>
      <sz val="11"/>
      <name val="ＭＳ Ｐゴシック"/>
      <family val="3"/>
      <charset val="128"/>
      <scheme val="minor"/>
    </font>
    <font>
      <sz val="16"/>
      <color theme="1"/>
      <name val="ＭＳ Ｐゴシック"/>
      <family val="3"/>
      <charset val="128"/>
      <scheme val="minor"/>
    </font>
    <font>
      <b/>
      <sz val="16"/>
      <color theme="1"/>
      <name val="ＭＳ Ｐゴシック"/>
      <family val="3"/>
      <charset val="128"/>
      <scheme val="minor"/>
    </font>
    <font>
      <b/>
      <sz val="14"/>
      <color theme="1"/>
      <name val="ＭＳ Ｐゴシック"/>
      <family val="3"/>
      <charset val="128"/>
      <scheme val="minor"/>
    </font>
    <font>
      <b/>
      <sz val="12"/>
      <color rgb="FFFF0000"/>
      <name val="ＭＳ Ｐゴシック"/>
      <family val="3"/>
      <charset val="128"/>
      <scheme val="minor"/>
    </font>
    <font>
      <b/>
      <sz val="11"/>
      <color indexed="30"/>
      <name val="ＭＳ Ｐゴシック"/>
      <family val="3"/>
      <charset val="128"/>
    </font>
    <font>
      <sz val="11"/>
      <color theme="9" tint="-0.249977111117893"/>
      <name val="ＭＳ Ｐゴシック"/>
      <family val="3"/>
      <charset val="128"/>
      <scheme val="minor"/>
    </font>
    <font>
      <sz val="8"/>
      <color indexed="8"/>
      <name val="ＭＳ Ｐゴシック"/>
      <family val="3"/>
      <charset val="128"/>
    </font>
    <font>
      <sz val="11"/>
      <color rgb="FF0070C0"/>
      <name val="ＭＳ Ｐゴシック"/>
      <family val="3"/>
      <charset val="128"/>
      <scheme val="minor"/>
    </font>
    <font>
      <sz val="11"/>
      <color rgb="FF7030A0"/>
      <name val="ＭＳ Ｐゴシック"/>
      <family val="3"/>
      <charset val="128"/>
      <scheme val="minor"/>
    </font>
    <font>
      <sz val="11"/>
      <color rgb="FF00B050"/>
      <name val="ＭＳ Ｐゴシック"/>
      <family val="3"/>
      <charset val="128"/>
      <scheme val="minor"/>
    </font>
    <font>
      <sz val="20"/>
      <color theme="1"/>
      <name val="ＭＳ Ｐゴシック"/>
      <family val="3"/>
      <charset val="128"/>
      <scheme val="minor"/>
    </font>
  </fonts>
  <fills count="14">
    <fill>
      <patternFill patternType="none"/>
    </fill>
    <fill>
      <patternFill patternType="gray125"/>
    </fill>
    <fill>
      <patternFill patternType="solid">
        <fgColor theme="8" tint="0.58998382518997772"/>
        <bgColor indexed="64"/>
      </patternFill>
    </fill>
    <fill>
      <patternFill patternType="solid">
        <fgColor rgb="FFFFFF99"/>
      </patternFill>
    </fill>
    <fill>
      <patternFill patternType="solid">
        <fgColor rgb="FF92D050"/>
        <bgColor indexed="64"/>
      </patternFill>
    </fill>
    <fill>
      <patternFill patternType="solid">
        <fgColor rgb="FFFFFFCC"/>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6" tint="0.5999938962981048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14" fillId="0" borderId="0"/>
    <xf numFmtId="0" fontId="9" fillId="0" borderId="0">
      <alignment vertical="center"/>
    </xf>
    <xf numFmtId="0" fontId="14" fillId="0" borderId="0">
      <alignment vertical="center"/>
    </xf>
  </cellStyleXfs>
  <cellXfs count="131">
    <xf numFmtId="0" fontId="0" fillId="0" borderId="0" xfId="0">
      <alignment vertical="center"/>
    </xf>
    <xf numFmtId="0" fontId="0" fillId="0" borderId="2" xfId="0"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shrinkToFit="1"/>
    </xf>
    <xf numFmtId="176" fontId="0" fillId="0" borderId="1" xfId="0" applyNumberFormat="1" applyBorder="1">
      <alignment vertical="center"/>
    </xf>
    <xf numFmtId="0" fontId="0" fillId="0" borderId="0" xfId="0" applyAlignment="1">
      <alignment horizontal="center" vertical="center"/>
    </xf>
    <xf numFmtId="177" fontId="0" fillId="0" borderId="1" xfId="0" applyNumberFormat="1" applyBorder="1" applyAlignment="1">
      <alignment horizontal="center" vertical="center"/>
    </xf>
    <xf numFmtId="0" fontId="3" fillId="0" borderId="1" xfId="0" applyFont="1" applyBorder="1" applyAlignment="1">
      <alignment horizontal="center" vertical="center"/>
    </xf>
    <xf numFmtId="177" fontId="3" fillId="0" borderId="1" xfId="0" applyNumberFormat="1" applyFont="1" applyBorder="1" applyAlignment="1">
      <alignment horizontal="center" vertical="center"/>
    </xf>
    <xf numFmtId="176" fontId="4" fillId="0" borderId="1" xfId="0" applyNumberFormat="1" applyFont="1" applyBorder="1">
      <alignment vertical="center"/>
    </xf>
    <xf numFmtId="0" fontId="0" fillId="0" borderId="0" xfId="0" applyAlignment="1">
      <alignment horizontal="right" vertical="center"/>
    </xf>
    <xf numFmtId="176" fontId="0" fillId="0" borderId="1" xfId="0" applyNumberFormat="1" applyBorder="1" applyAlignment="1"/>
    <xf numFmtId="178" fontId="0" fillId="0" borderId="1" xfId="0" applyNumberFormat="1" applyBorder="1" applyAlignment="1">
      <alignment horizontal="center" vertical="center"/>
    </xf>
    <xf numFmtId="0" fontId="5" fillId="0" borderId="1" xfId="0" applyFont="1" applyBorder="1" applyAlignment="1">
      <alignment horizontal="left" vertical="center"/>
    </xf>
    <xf numFmtId="176" fontId="0" fillId="0" borderId="3" xfId="0" applyNumberFormat="1" applyBorder="1">
      <alignment vertical="center"/>
    </xf>
    <xf numFmtId="0" fontId="0" fillId="0" borderId="1" xfId="0" applyBorder="1"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shrinkToFit="1"/>
    </xf>
    <xf numFmtId="179" fontId="0" fillId="0" borderId="1" xfId="0" applyNumberFormat="1" applyBorder="1" applyAlignment="1">
      <alignment horizontal="center" vertical="center"/>
    </xf>
    <xf numFmtId="0" fontId="0" fillId="0" borderId="1" xfId="0" applyBorder="1">
      <alignment vertical="center"/>
    </xf>
    <xf numFmtId="0" fontId="8" fillId="0" borderId="1" xfId="0" applyFont="1" applyBorder="1" applyAlignment="1">
      <alignment horizontal="center" vertical="center"/>
    </xf>
    <xf numFmtId="0" fontId="0" fillId="0" borderId="7" xfId="0" applyBorder="1">
      <alignment vertical="center"/>
    </xf>
    <xf numFmtId="0" fontId="0" fillId="0" borderId="7" xfId="0" applyBorder="1" applyAlignment="1">
      <alignment horizontal="center" vertical="center"/>
    </xf>
    <xf numFmtId="0" fontId="0" fillId="0" borderId="9" xfId="0" applyBorder="1" applyAlignment="1">
      <alignment horizontal="center" vertical="center"/>
    </xf>
    <xf numFmtId="3" fontId="0" fillId="0" borderId="7" xfId="0" applyNumberFormat="1" applyBorder="1" applyAlignment="1">
      <alignment horizontal="center" vertical="center"/>
    </xf>
    <xf numFmtId="0" fontId="0" fillId="0" borderId="7" xfId="0" applyBorder="1" applyAlignment="1">
      <alignment horizontal="left" vertical="center"/>
    </xf>
    <xf numFmtId="178" fontId="0" fillId="0" borderId="7" xfId="0" applyNumberFormat="1" applyBorder="1" applyAlignment="1">
      <alignment horizontal="center" vertical="center"/>
    </xf>
    <xf numFmtId="0" fontId="5" fillId="0" borderId="7" xfId="0" applyFont="1" applyBorder="1" applyAlignment="1">
      <alignment horizontal="center" vertical="center"/>
    </xf>
    <xf numFmtId="56" fontId="0" fillId="0" borderId="7" xfId="0" applyNumberFormat="1" applyBorder="1" applyAlignment="1">
      <alignment horizontal="center" vertical="center"/>
    </xf>
    <xf numFmtId="177" fontId="0" fillId="0" borderId="0" xfId="0" applyNumberFormat="1" applyAlignment="1">
      <alignment horizontal="center" vertical="center"/>
    </xf>
    <xf numFmtId="0" fontId="15" fillId="0" borderId="7" xfId="0" applyFont="1" applyBorder="1">
      <alignment vertical="center"/>
    </xf>
    <xf numFmtId="176" fontId="0" fillId="0" borderId="7" xfId="0" applyNumberFormat="1" applyBorder="1" applyAlignment="1">
      <alignment horizontal="center" vertical="center"/>
    </xf>
    <xf numFmtId="176" fontId="0" fillId="0" borderId="7" xfId="0" applyNumberFormat="1" applyBorder="1">
      <alignment vertical="center"/>
    </xf>
    <xf numFmtId="176" fontId="0" fillId="0" borderId="9" xfId="0" applyNumberFormat="1" applyBorder="1">
      <alignment vertical="center"/>
    </xf>
    <xf numFmtId="176" fontId="0" fillId="0" borderId="7" xfId="0" applyNumberFormat="1" applyBorder="1" applyAlignment="1"/>
    <xf numFmtId="0" fontId="0" fillId="0" borderId="7" xfId="0" applyBorder="1" applyAlignment="1">
      <alignment horizontal="left" vertical="center" shrinkToFit="1"/>
    </xf>
    <xf numFmtId="3" fontId="14" fillId="0" borderId="7" xfId="0" applyNumberFormat="1" applyFont="1" applyBorder="1" applyAlignment="1">
      <alignment horizontal="center" vertical="center"/>
    </xf>
    <xf numFmtId="0" fontId="14" fillId="0" borderId="7" xfId="3" applyBorder="1" applyAlignment="1">
      <alignment horizontal="left" vertical="center"/>
    </xf>
    <xf numFmtId="0" fontId="15" fillId="0" borderId="7" xfId="0" applyFont="1" applyBorder="1" applyAlignment="1">
      <alignment horizontal="center" vertical="center"/>
    </xf>
    <xf numFmtId="0" fontId="5" fillId="0" borderId="4" xfId="0" applyFont="1" applyBorder="1" applyAlignment="1">
      <alignment horizontal="center" vertical="center"/>
    </xf>
    <xf numFmtId="49" fontId="5" fillId="0" borderId="7" xfId="0" applyNumberFormat="1" applyFont="1" applyBorder="1" applyAlignment="1">
      <alignment vertical="center" shrinkToFit="1"/>
    </xf>
    <xf numFmtId="38" fontId="0" fillId="0" borderId="7" xfId="0" applyNumberFormat="1" applyBorder="1" applyAlignment="1">
      <alignment horizontal="center" vertical="center"/>
    </xf>
    <xf numFmtId="176" fontId="0" fillId="0" borderId="3" xfId="0" applyNumberFormat="1" applyBorder="1" applyAlignment="1">
      <alignment horizontal="center" vertical="center"/>
    </xf>
    <xf numFmtId="38" fontId="15" fillId="0" borderId="7" xfId="0" applyNumberFormat="1" applyFont="1" applyBorder="1" applyAlignment="1">
      <alignment horizontal="center" vertical="center"/>
    </xf>
    <xf numFmtId="0" fontId="6" fillId="0" borderId="7" xfId="0" applyFont="1" applyBorder="1" applyAlignment="1">
      <alignment horizontal="center" vertical="center"/>
    </xf>
    <xf numFmtId="0" fontId="15" fillId="0" borderId="9" xfId="0" applyFont="1" applyBorder="1" applyAlignment="1">
      <alignment horizontal="center" vertical="center"/>
    </xf>
    <xf numFmtId="0" fontId="9" fillId="0" borderId="7" xfId="0" applyFont="1" applyBorder="1" applyAlignment="1">
      <alignment horizontal="left" vertical="center"/>
    </xf>
    <xf numFmtId="0" fontId="9" fillId="0" borderId="7" xfId="0" applyFont="1" applyBorder="1" applyAlignment="1">
      <alignment horizontal="center" vertical="center"/>
    </xf>
    <xf numFmtId="3" fontId="0" fillId="0" borderId="6" xfId="0" applyNumberFormat="1" applyBorder="1" applyAlignment="1">
      <alignment horizontal="center" vertical="center"/>
    </xf>
    <xf numFmtId="0" fontId="0" fillId="0" borderId="9" xfId="0" applyBorder="1" applyAlignment="1">
      <alignment horizontal="left" vertical="center"/>
    </xf>
    <xf numFmtId="176" fontId="17" fillId="5" borderId="7" xfId="0" applyNumberFormat="1" applyFont="1" applyFill="1" applyBorder="1" applyAlignment="1">
      <alignment horizontal="center" vertical="center"/>
    </xf>
    <xf numFmtId="0" fontId="0" fillId="0" borderId="6" xfId="0" applyBorder="1" applyAlignment="1">
      <alignment horizontal="center" vertical="center"/>
    </xf>
    <xf numFmtId="0" fontId="3" fillId="3" borderId="1" xfId="0" applyFont="1" applyFill="1" applyBorder="1" applyAlignment="1">
      <alignment horizontal="center" vertical="center"/>
    </xf>
    <xf numFmtId="178" fontId="0" fillId="0" borderId="0" xfId="0" applyNumberFormat="1" applyAlignment="1">
      <alignment horizontal="center" vertical="center"/>
    </xf>
    <xf numFmtId="179" fontId="0" fillId="0" borderId="8" xfId="0" applyNumberFormat="1" applyBorder="1" applyAlignment="1">
      <alignment horizontal="center" vertical="center"/>
    </xf>
    <xf numFmtId="3" fontId="5" fillId="6" borderId="2" xfId="0" applyNumberFormat="1" applyFont="1" applyFill="1" applyBorder="1" applyAlignment="1">
      <alignment horizontal="center" vertical="center"/>
    </xf>
    <xf numFmtId="3" fontId="0" fillId="6" borderId="7" xfId="0" applyNumberFormat="1" applyFill="1" applyBorder="1" applyAlignment="1">
      <alignment horizontal="center" vertical="center"/>
    </xf>
    <xf numFmtId="0" fontId="0" fillId="8" borderId="7" xfId="0" applyFill="1" applyBorder="1" applyAlignment="1">
      <alignment horizontal="center" vertical="center"/>
    </xf>
    <xf numFmtId="176" fontId="0" fillId="0" borderId="6" xfId="0" applyNumberFormat="1" applyBorder="1">
      <alignment vertical="center"/>
    </xf>
    <xf numFmtId="0" fontId="5" fillId="0" borderId="3" xfId="0" applyFont="1" applyBorder="1" applyAlignment="1">
      <alignment horizontal="center" vertical="center"/>
    </xf>
    <xf numFmtId="176" fontId="7" fillId="0" borderId="7" xfId="0" applyNumberFormat="1" applyFont="1" applyBorder="1">
      <alignment vertical="center"/>
    </xf>
    <xf numFmtId="176" fontId="17" fillId="5" borderId="2" xfId="0" applyNumberFormat="1" applyFont="1" applyFill="1" applyBorder="1" applyAlignment="1">
      <alignment horizontal="center" vertical="center"/>
    </xf>
    <xf numFmtId="0" fontId="0" fillId="10" borderId="7" xfId="0" applyFill="1" applyBorder="1" applyAlignment="1">
      <alignment horizontal="center" vertical="center"/>
    </xf>
    <xf numFmtId="38" fontId="0" fillId="0" borderId="7" xfId="0" applyNumberFormat="1" applyBorder="1">
      <alignment vertical="center"/>
    </xf>
    <xf numFmtId="0" fontId="15" fillId="10" borderId="7" xfId="0" applyFont="1" applyFill="1" applyBorder="1" applyAlignment="1">
      <alignment horizontal="left" vertical="center"/>
    </xf>
    <xf numFmtId="0" fontId="0" fillId="10" borderId="7" xfId="0" applyFill="1" applyBorder="1" applyAlignment="1">
      <alignment horizontal="right" vertical="center"/>
    </xf>
    <xf numFmtId="176" fontId="0" fillId="10" borderId="7" xfId="0" applyNumberFormat="1" applyFill="1" applyBorder="1" applyAlignment="1">
      <alignment horizontal="right" vertical="center"/>
    </xf>
    <xf numFmtId="0" fontId="0" fillId="10" borderId="9" xfId="0" applyFill="1" applyBorder="1" applyAlignment="1">
      <alignment horizontal="center" vertical="center"/>
    </xf>
    <xf numFmtId="0" fontId="2" fillId="0" borderId="7" xfId="0" applyFont="1" applyBorder="1" applyAlignment="1">
      <alignment horizontal="center" vertical="center"/>
    </xf>
    <xf numFmtId="0" fontId="0" fillId="9" borderId="15" xfId="0" applyFill="1" applyBorder="1" applyAlignment="1">
      <alignment horizontal="center" vertical="center"/>
    </xf>
    <xf numFmtId="0" fontId="9" fillId="9" borderId="7" xfId="0" applyFont="1" applyFill="1" applyBorder="1" applyAlignment="1">
      <alignment horizontal="center" vertical="center"/>
    </xf>
    <xf numFmtId="0" fontId="19" fillId="0" borderId="0" xfId="0" applyFont="1">
      <alignment vertical="center"/>
    </xf>
    <xf numFmtId="3" fontId="11" fillId="10" borderId="13" xfId="0" applyNumberFormat="1" applyFont="1" applyFill="1" applyBorder="1" applyAlignment="1">
      <alignment horizontal="center" vertical="center"/>
    </xf>
    <xf numFmtId="3" fontId="14" fillId="10" borderId="13" xfId="0" applyNumberFormat="1" applyFont="1" applyFill="1" applyBorder="1" applyAlignment="1">
      <alignment horizontal="center" vertical="center"/>
    </xf>
    <xf numFmtId="0" fontId="13" fillId="10" borderId="7" xfId="0" applyFont="1" applyFill="1" applyBorder="1">
      <alignment vertical="center"/>
    </xf>
    <xf numFmtId="176" fontId="0" fillId="10" borderId="7" xfId="0" applyNumberFormat="1" applyFill="1" applyBorder="1">
      <alignment vertical="center"/>
    </xf>
    <xf numFmtId="0" fontId="2" fillId="0" borderId="7" xfId="0" applyFont="1" applyBorder="1">
      <alignment vertical="center"/>
    </xf>
    <xf numFmtId="179" fontId="0" fillId="0" borderId="7" xfId="0" applyNumberFormat="1" applyBorder="1" applyAlignment="1">
      <alignment horizontal="center" vertical="center"/>
    </xf>
    <xf numFmtId="0" fontId="21" fillId="0" borderId="7" xfId="0" applyFont="1" applyBorder="1" applyAlignment="1">
      <alignment horizontal="left" vertical="center" shrinkToFit="1"/>
    </xf>
    <xf numFmtId="3" fontId="22" fillId="11" borderId="7" xfId="0" applyNumberFormat="1" applyFont="1" applyFill="1" applyBorder="1" applyAlignment="1">
      <alignment horizontal="center" vertical="center"/>
    </xf>
    <xf numFmtId="0" fontId="0" fillId="11" borderId="7" xfId="0" applyFill="1" applyBorder="1" applyAlignment="1">
      <alignment horizontal="left" vertical="center"/>
    </xf>
    <xf numFmtId="180" fontId="11" fillId="11" borderId="7" xfId="0" applyNumberFormat="1" applyFont="1" applyFill="1" applyBorder="1" applyAlignment="1">
      <alignment horizontal="center" vertical="center"/>
    </xf>
    <xf numFmtId="176" fontId="14" fillId="11" borderId="7" xfId="3" applyNumberFormat="1" applyFill="1" applyBorder="1" applyAlignment="1">
      <alignment vertical="center"/>
    </xf>
    <xf numFmtId="176" fontId="11" fillId="11" borderId="7" xfId="0" applyNumberFormat="1" applyFont="1" applyFill="1" applyBorder="1">
      <alignment vertical="center"/>
    </xf>
    <xf numFmtId="176" fontId="0" fillId="0" borderId="7" xfId="0" applyNumberFormat="1" applyBorder="1" applyAlignment="1">
      <alignment horizontal="center"/>
    </xf>
    <xf numFmtId="0" fontId="13" fillId="11" borderId="7" xfId="0" applyFont="1" applyFill="1" applyBorder="1">
      <alignment vertical="center"/>
    </xf>
    <xf numFmtId="0" fontId="0" fillId="11" borderId="7" xfId="0" applyFill="1" applyBorder="1" applyAlignment="1">
      <alignment horizontal="center" vertical="center"/>
    </xf>
    <xf numFmtId="176" fontId="0" fillId="11" borderId="7" xfId="0" applyNumberFormat="1" applyFill="1" applyBorder="1">
      <alignment vertical="center"/>
    </xf>
    <xf numFmtId="0" fontId="23" fillId="0" borderId="7" xfId="0" applyFont="1" applyBorder="1" applyAlignment="1">
      <alignment horizontal="left" vertical="center" shrinkToFit="1"/>
    </xf>
    <xf numFmtId="0" fontId="24" fillId="0" borderId="7" xfId="0" applyFont="1" applyBorder="1" applyAlignment="1">
      <alignment horizontal="left" vertical="center" shrinkToFit="1"/>
    </xf>
    <xf numFmtId="0" fontId="25" fillId="0" borderId="7" xfId="0" applyFont="1" applyBorder="1" applyAlignment="1">
      <alignment horizontal="left" vertical="center" shrinkToFit="1"/>
    </xf>
    <xf numFmtId="182" fontId="17" fillId="5" borderId="7" xfId="0" applyNumberFormat="1" applyFont="1" applyFill="1" applyBorder="1" applyAlignment="1">
      <alignment horizontal="center" vertical="center"/>
    </xf>
    <xf numFmtId="0" fontId="0" fillId="12" borderId="7" xfId="0" applyFill="1" applyBorder="1" applyAlignment="1">
      <alignment horizontal="center" vertical="center"/>
    </xf>
    <xf numFmtId="0" fontId="0" fillId="12" borderId="14" xfId="0" applyFill="1" applyBorder="1" applyAlignment="1">
      <alignment horizontal="center" vertical="center"/>
    </xf>
    <xf numFmtId="0" fontId="9" fillId="12" borderId="0" xfId="0" applyFont="1" applyFill="1" applyAlignment="1">
      <alignment horizontal="center" vertical="center"/>
    </xf>
    <xf numFmtId="3" fontId="15" fillId="10" borderId="7" xfId="0" applyNumberFormat="1" applyFont="1" applyFill="1" applyBorder="1" applyAlignment="1">
      <alignment horizontal="center" vertical="center"/>
    </xf>
    <xf numFmtId="0" fontId="15" fillId="10" borderId="7" xfId="0" applyFont="1" applyFill="1" applyBorder="1" applyAlignment="1">
      <alignment horizontal="center" vertical="center"/>
    </xf>
    <xf numFmtId="0" fontId="15" fillId="10" borderId="7" xfId="0" applyFont="1" applyFill="1" applyBorder="1">
      <alignment vertical="center"/>
    </xf>
    <xf numFmtId="181" fontId="15" fillId="10" borderId="7" xfId="0" applyNumberFormat="1" applyFont="1" applyFill="1" applyBorder="1" applyAlignment="1">
      <alignment horizontal="center" vertical="center"/>
    </xf>
    <xf numFmtId="181" fontId="0" fillId="10" borderId="7" xfId="0" applyNumberFormat="1" applyFill="1" applyBorder="1" applyAlignment="1">
      <alignment horizontal="right" vertical="center"/>
    </xf>
    <xf numFmtId="0" fontId="16" fillId="0" borderId="0" xfId="0" applyFont="1" applyAlignment="1">
      <alignment vertical="center" wrapText="1"/>
    </xf>
    <xf numFmtId="0" fontId="18" fillId="0" borderId="0" xfId="0" applyFont="1">
      <alignment vertical="center"/>
    </xf>
    <xf numFmtId="0" fontId="14" fillId="11" borderId="7" xfId="0" applyFont="1" applyFill="1" applyBorder="1">
      <alignment vertical="center"/>
    </xf>
    <xf numFmtId="0" fontId="9" fillId="11" borderId="7" xfId="0" applyFont="1" applyFill="1" applyBorder="1" applyAlignment="1">
      <alignment horizontal="center" vertical="center"/>
    </xf>
    <xf numFmtId="0" fontId="14" fillId="0" borderId="7" xfId="0" applyFont="1" applyBorder="1">
      <alignment vertical="center"/>
    </xf>
    <xf numFmtId="3" fontId="5" fillId="0" borderId="2" xfId="0" applyNumberFormat="1" applyFont="1" applyBorder="1" applyAlignment="1">
      <alignment horizontal="center" vertical="center"/>
    </xf>
    <xf numFmtId="0" fontId="0" fillId="0" borderId="6" xfId="0" applyBorder="1" applyAlignment="1">
      <alignment vertical="center" shrinkToFit="1"/>
    </xf>
    <xf numFmtId="0" fontId="0" fillId="0" borderId="3" xfId="0" applyBorder="1" applyAlignment="1">
      <alignment horizontal="left" vertical="center"/>
    </xf>
    <xf numFmtId="3" fontId="9" fillId="13" borderId="7" xfId="0" applyNumberFormat="1" applyFont="1" applyFill="1" applyBorder="1" applyAlignment="1">
      <alignment horizontal="center" vertical="center"/>
    </xf>
    <xf numFmtId="3" fontId="14" fillId="13" borderId="7" xfId="0" applyNumberFormat="1" applyFont="1" applyFill="1" applyBorder="1" applyAlignment="1">
      <alignment horizontal="center" vertical="center"/>
    </xf>
    <xf numFmtId="0" fontId="9" fillId="13" borderId="7" xfId="0" applyFont="1" applyFill="1" applyBorder="1" applyAlignment="1">
      <alignment horizontal="left" vertical="center"/>
    </xf>
    <xf numFmtId="0" fontId="0" fillId="13" borderId="7" xfId="0" applyFill="1" applyBorder="1">
      <alignment vertical="center"/>
    </xf>
    <xf numFmtId="0" fontId="0" fillId="13" borderId="7" xfId="0" applyFill="1" applyBorder="1" applyAlignment="1">
      <alignment horizontal="center" vertical="center"/>
    </xf>
    <xf numFmtId="176" fontId="0" fillId="13" borderId="7" xfId="0" applyNumberFormat="1" applyFill="1" applyBorder="1">
      <alignment vertical="center"/>
    </xf>
    <xf numFmtId="3" fontId="9" fillId="0" borderId="7" xfId="0" applyNumberFormat="1" applyFont="1" applyBorder="1" applyAlignment="1">
      <alignment horizontal="center" vertical="center"/>
    </xf>
    <xf numFmtId="179" fontId="9" fillId="0" borderId="7" xfId="0" applyNumberFormat="1" applyFont="1" applyBorder="1" applyAlignment="1">
      <alignment horizontal="center" vertical="center"/>
    </xf>
    <xf numFmtId="3" fontId="18" fillId="4" borderId="9" xfId="0" applyNumberFormat="1" applyFont="1" applyFill="1" applyBorder="1" applyAlignment="1">
      <alignment horizontal="center" vertical="center"/>
    </xf>
    <xf numFmtId="3" fontId="18" fillId="4" borderId="12" xfId="0" applyNumberFormat="1" applyFont="1" applyFill="1" applyBorder="1" applyAlignment="1">
      <alignment horizontal="center" vertical="center"/>
    </xf>
    <xf numFmtId="3" fontId="18" fillId="4" borderId="11" xfId="0" applyNumberFormat="1" applyFont="1" applyFill="1" applyBorder="1" applyAlignment="1">
      <alignment horizontal="center" vertical="center"/>
    </xf>
    <xf numFmtId="3" fontId="18" fillId="2" borderId="10" xfId="0" applyNumberFormat="1" applyFont="1" applyFill="1" applyBorder="1" applyAlignment="1">
      <alignment horizontal="center" vertical="center"/>
    </xf>
    <xf numFmtId="176" fontId="7" fillId="0" borderId="2" xfId="0" applyNumberFormat="1" applyFont="1" applyBorder="1" applyAlignment="1">
      <alignment horizontal="center" vertical="center"/>
    </xf>
    <xf numFmtId="176" fontId="7" fillId="0" borderId="5" xfId="0" applyNumberFormat="1" applyFont="1" applyBorder="1" applyAlignment="1">
      <alignment horizontal="center" vertical="center"/>
    </xf>
    <xf numFmtId="176" fontId="7" fillId="0" borderId="6" xfId="0" applyNumberFormat="1" applyFont="1" applyBorder="1" applyAlignment="1">
      <alignment horizontal="center" vertical="center"/>
    </xf>
    <xf numFmtId="0" fontId="16" fillId="0" borderId="0" xfId="0" applyFont="1" applyAlignment="1">
      <alignment horizontal="left" vertical="center"/>
    </xf>
    <xf numFmtId="0" fontId="26" fillId="7" borderId="13" xfId="0" applyFont="1" applyFill="1" applyBorder="1" applyAlignment="1">
      <alignment horizontal="center" vertical="center" wrapText="1"/>
    </xf>
    <xf numFmtId="0" fontId="26" fillId="7" borderId="10"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cellXfs>
  <cellStyles count="6">
    <cellStyle name="ハイパーリンク" xfId="2" xr:uid="{00000000-0005-0000-0000-000000000000}"/>
    <cellStyle name="標準" xfId="0" builtinId="0"/>
    <cellStyle name="標準 2" xfId="5" xr:uid="{C2CBC382-4BC1-4D3B-B64A-4DC2C10C5618}"/>
    <cellStyle name="標準 3" xfId="4" xr:uid="{1B9717F3-D5E1-4047-8E84-2BA2544C8F2B}"/>
    <cellStyle name="標準_発注管理表" xfId="3" xr:uid="{00000000-0005-0000-0000-000002000000}"/>
    <cellStyle name="表示済みのハイパーリンク" xfId="1" xr:uid="{00000000-0005-0000-0000-000003000000}"/>
  </cellStyles>
  <dxfs count="0"/>
  <tableStyles count="0" defaultTableStyle="TableStyleMedium9"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ECB9-F9C9-4598-B476-6CC52D87C881}">
  <sheetPr>
    <tabColor rgb="FFFFFF00"/>
  </sheetPr>
  <dimension ref="A2:S61"/>
  <sheetViews>
    <sheetView tabSelected="1" topLeftCell="F1" zoomScale="85" zoomScaleNormal="85" workbookViewId="0">
      <pane ySplit="8" topLeftCell="A30" activePane="bottomLeft" state="frozen"/>
      <selection activeCell="B1" sqref="B1"/>
      <selection pane="bottomLeft" activeCell="N28" sqref="N28"/>
    </sheetView>
  </sheetViews>
  <sheetFormatPr defaultColWidth="11.75" defaultRowHeight="13.5" customHeight="1" x14ac:dyDescent="0.15"/>
  <cols>
    <col min="1" max="1" width="9.75" customWidth="1"/>
    <col min="2" max="2" width="4.875" customWidth="1"/>
    <col min="3" max="3" width="7.75" customWidth="1"/>
    <col min="4" max="4" width="6.25" style="5" customWidth="1"/>
    <col min="5" max="5" width="15.25" customWidth="1"/>
    <col min="6" max="6" width="15.5" customWidth="1"/>
    <col min="7" max="7" width="66" customWidth="1"/>
    <col min="8" max="8" width="10.75" style="5" customWidth="1"/>
    <col min="9" max="10" width="12.125" style="5" customWidth="1"/>
    <col min="11" max="11" width="7.125" style="10" customWidth="1"/>
    <col min="12" max="12" width="33.375" customWidth="1"/>
    <col min="13" max="13" width="17.875" customWidth="1"/>
    <col min="14" max="14" width="19.375" style="5" customWidth="1"/>
    <col min="15" max="15" width="17" style="5" customWidth="1"/>
    <col min="16" max="16" width="9.25" customWidth="1"/>
    <col min="17" max="17" width="19.75" style="5" bestFit="1" customWidth="1"/>
    <col min="18" max="18" width="19.75" style="30" bestFit="1" customWidth="1"/>
    <col min="19" max="19" width="19.375" style="30" customWidth="1"/>
  </cols>
  <sheetData>
    <row r="2" spans="1:19" ht="20.100000000000001" customHeight="1" x14ac:dyDescent="0.15">
      <c r="D2" s="127" t="s">
        <v>0</v>
      </c>
      <c r="E2" s="127"/>
      <c r="F2" s="127"/>
      <c r="G2" s="21" t="s">
        <v>85</v>
      </c>
      <c r="I2" s="128" t="s">
        <v>1</v>
      </c>
      <c r="J2" s="129"/>
      <c r="K2" s="130"/>
      <c r="L2" s="9">
        <f>SUM(J:J)</f>
        <v>369280</v>
      </c>
    </row>
    <row r="3" spans="1:19" ht="20.100000000000001" customHeight="1" x14ac:dyDescent="0.15">
      <c r="D3" s="127" t="s">
        <v>2</v>
      </c>
      <c r="E3" s="127"/>
      <c r="F3" s="127"/>
      <c r="G3" s="7" t="s">
        <v>30</v>
      </c>
    </row>
    <row r="4" spans="1:19" ht="20.100000000000001" customHeight="1" x14ac:dyDescent="0.15">
      <c r="D4" s="127" t="s">
        <v>3</v>
      </c>
      <c r="E4" s="127"/>
      <c r="F4" s="127"/>
      <c r="G4" s="7" t="s">
        <v>84</v>
      </c>
      <c r="I4" s="101"/>
      <c r="J4" s="124" t="s">
        <v>42</v>
      </c>
      <c r="K4" s="124"/>
      <c r="L4" s="124"/>
      <c r="M4" s="124"/>
    </row>
    <row r="5" spans="1:19" ht="20.100000000000001" customHeight="1" x14ac:dyDescent="0.15">
      <c r="D5" s="127" t="s">
        <v>4</v>
      </c>
      <c r="E5" s="127"/>
      <c r="F5" s="127"/>
      <c r="G5" s="8">
        <v>45701</v>
      </c>
      <c r="I5" s="125" t="s">
        <v>79</v>
      </c>
      <c r="J5" s="101"/>
      <c r="K5" s="101"/>
      <c r="L5" s="101"/>
    </row>
    <row r="6" spans="1:19" ht="20.100000000000001" customHeight="1" x14ac:dyDescent="0.15">
      <c r="D6" s="127" t="s">
        <v>5</v>
      </c>
      <c r="E6" s="127"/>
      <c r="F6" s="127"/>
      <c r="G6" s="8">
        <v>45702</v>
      </c>
      <c r="I6" s="126"/>
      <c r="J6" s="102"/>
      <c r="K6" s="102"/>
      <c r="L6" s="102"/>
    </row>
    <row r="8" spans="1:19" s="5" customFormat="1" ht="19.5" customHeight="1" x14ac:dyDescent="0.15">
      <c r="C8" s="69" t="s">
        <v>29</v>
      </c>
      <c r="D8" s="49" t="s">
        <v>6</v>
      </c>
      <c r="E8" s="2" t="s">
        <v>7</v>
      </c>
      <c r="F8" s="2" t="s">
        <v>8</v>
      </c>
      <c r="G8" s="17" t="s">
        <v>9</v>
      </c>
      <c r="H8" s="17" t="s">
        <v>10</v>
      </c>
      <c r="I8" s="17" t="s">
        <v>11</v>
      </c>
      <c r="J8" s="1" t="s">
        <v>12</v>
      </c>
      <c r="K8" s="1" t="s">
        <v>13</v>
      </c>
      <c r="L8" s="17" t="s">
        <v>14</v>
      </c>
      <c r="M8" s="17" t="s">
        <v>15</v>
      </c>
      <c r="N8" s="17" t="s">
        <v>16</v>
      </c>
      <c r="O8" s="19" t="s">
        <v>17</v>
      </c>
      <c r="P8" s="2" t="s">
        <v>18</v>
      </c>
      <c r="Q8" s="17" t="s">
        <v>19</v>
      </c>
      <c r="R8" s="19" t="s">
        <v>20</v>
      </c>
      <c r="S8" s="6" t="s">
        <v>21</v>
      </c>
    </row>
    <row r="9" spans="1:19" ht="18" customHeight="1" x14ac:dyDescent="0.15">
      <c r="A9" s="5"/>
      <c r="B9" s="5"/>
      <c r="C9" s="5"/>
      <c r="D9" s="25"/>
      <c r="E9" s="25"/>
      <c r="F9" s="25"/>
      <c r="G9" s="23"/>
      <c r="H9" s="22"/>
      <c r="I9" s="23"/>
      <c r="J9" s="24"/>
      <c r="K9" s="50"/>
      <c r="L9" s="23"/>
      <c r="M9" s="23"/>
      <c r="N9" s="3"/>
      <c r="O9" s="19"/>
      <c r="P9" s="6"/>
      <c r="Q9" s="6"/>
      <c r="R9" s="19"/>
      <c r="S9" s="12"/>
    </row>
    <row r="10" spans="1:19" ht="18" customHeight="1" x14ac:dyDescent="0.15">
      <c r="A10" s="5"/>
      <c r="B10" s="5"/>
      <c r="C10" s="5"/>
      <c r="D10" s="25"/>
      <c r="E10" s="117" t="s">
        <v>83</v>
      </c>
      <c r="F10" s="118"/>
      <c r="G10" s="119"/>
      <c r="H10" s="22"/>
      <c r="I10" s="23"/>
      <c r="J10" s="24"/>
      <c r="K10" s="50"/>
      <c r="L10" s="23"/>
      <c r="M10" s="23"/>
      <c r="N10" s="3"/>
      <c r="O10" s="19"/>
      <c r="P10" s="6"/>
      <c r="Q10" s="6"/>
      <c r="R10" s="19"/>
      <c r="S10" s="12"/>
    </row>
    <row r="11" spans="1:19" s="5" customFormat="1" ht="19.149999999999999" customHeight="1" x14ac:dyDescent="0.15">
      <c r="A11" s="23" t="s">
        <v>27</v>
      </c>
      <c r="B11" s="58"/>
      <c r="C11" s="23"/>
      <c r="D11" s="57">
        <v>1</v>
      </c>
      <c r="E11" s="73" t="s">
        <v>44</v>
      </c>
      <c r="F11" s="74" t="s">
        <v>45</v>
      </c>
      <c r="G11" s="75" t="s">
        <v>46</v>
      </c>
      <c r="H11" s="63">
        <v>2</v>
      </c>
      <c r="I11" s="76">
        <v>5260</v>
      </c>
      <c r="J11" s="76">
        <f t="shared" ref="J11:J20" si="0">H11*I11</f>
        <v>10520</v>
      </c>
      <c r="K11" s="34"/>
      <c r="L11" s="38" t="s">
        <v>47</v>
      </c>
      <c r="M11" s="77"/>
      <c r="N11" s="48" t="s">
        <v>88</v>
      </c>
      <c r="O11" s="78">
        <v>45681</v>
      </c>
      <c r="P11" s="25"/>
      <c r="Q11" s="48" t="s">
        <v>89</v>
      </c>
      <c r="R11" s="48" t="s">
        <v>92</v>
      </c>
      <c r="S11" s="27"/>
    </row>
    <row r="12" spans="1:19" s="5" customFormat="1" ht="19.149999999999999" customHeight="1" x14ac:dyDescent="0.15">
      <c r="A12" s="23"/>
      <c r="B12" s="23"/>
      <c r="C12" s="23"/>
      <c r="D12" s="25"/>
      <c r="E12" s="23"/>
      <c r="F12" s="23"/>
      <c r="G12" s="105"/>
      <c r="H12" s="23"/>
      <c r="I12" s="33"/>
      <c r="J12" s="33"/>
      <c r="K12" s="34"/>
      <c r="L12" s="26"/>
      <c r="M12" s="79"/>
      <c r="N12" s="23"/>
      <c r="O12" s="78"/>
      <c r="P12" s="25"/>
      <c r="Q12" s="23"/>
      <c r="R12" s="78"/>
      <c r="S12" s="27"/>
    </row>
    <row r="13" spans="1:19" s="5" customFormat="1" ht="19.149999999999999" customHeight="1" x14ac:dyDescent="0.15">
      <c r="A13" s="93" t="s">
        <v>48</v>
      </c>
      <c r="B13" s="58"/>
      <c r="C13" s="23"/>
      <c r="D13" s="57">
        <f>+D11+1</f>
        <v>2</v>
      </c>
      <c r="E13" s="80" t="s">
        <v>49</v>
      </c>
      <c r="F13" s="80" t="s">
        <v>49</v>
      </c>
      <c r="G13" s="81" t="s">
        <v>50</v>
      </c>
      <c r="H13" s="82">
        <v>2</v>
      </c>
      <c r="I13" s="83">
        <v>7500</v>
      </c>
      <c r="J13" s="84">
        <f t="shared" si="0"/>
        <v>15000</v>
      </c>
      <c r="K13" s="85"/>
      <c r="L13" s="36" t="s">
        <v>51</v>
      </c>
      <c r="M13" s="79"/>
      <c r="N13" s="48" t="s">
        <v>88</v>
      </c>
      <c r="O13" s="78">
        <v>45681</v>
      </c>
      <c r="P13" s="25"/>
      <c r="Q13" s="48" t="s">
        <v>89</v>
      </c>
      <c r="R13" s="116" t="s">
        <v>93</v>
      </c>
      <c r="S13" s="27"/>
    </row>
    <row r="14" spans="1:19" s="5" customFormat="1" ht="19.149999999999999" customHeight="1" x14ac:dyDescent="0.15">
      <c r="A14" s="93" t="s">
        <v>52</v>
      </c>
      <c r="B14" s="58"/>
      <c r="C14" s="23"/>
      <c r="D14" s="57">
        <f>+D13+1</f>
        <v>3</v>
      </c>
      <c r="E14" s="80" t="s">
        <v>49</v>
      </c>
      <c r="F14" s="80" t="s">
        <v>49</v>
      </c>
      <c r="G14" s="86" t="s">
        <v>53</v>
      </c>
      <c r="H14" s="87">
        <v>2</v>
      </c>
      <c r="I14" s="88">
        <v>9000</v>
      </c>
      <c r="J14" s="88">
        <f t="shared" si="0"/>
        <v>18000</v>
      </c>
      <c r="K14" s="34"/>
      <c r="L14" s="26" t="s">
        <v>54</v>
      </c>
      <c r="M14" s="79" t="s">
        <v>55</v>
      </c>
      <c r="N14" s="48" t="s">
        <v>88</v>
      </c>
      <c r="O14" s="78">
        <v>45681</v>
      </c>
      <c r="P14" s="25"/>
      <c r="Q14" s="23" t="s">
        <v>89</v>
      </c>
      <c r="R14" s="116" t="s">
        <v>93</v>
      </c>
      <c r="S14" s="27"/>
    </row>
    <row r="15" spans="1:19" s="5" customFormat="1" ht="19.149999999999999" customHeight="1" x14ac:dyDescent="0.15">
      <c r="A15" s="93" t="s">
        <v>52</v>
      </c>
      <c r="B15" s="58"/>
      <c r="C15" s="23"/>
      <c r="D15" s="57">
        <f t="shared" ref="D15:D19" si="1">+D14+1</f>
        <v>4</v>
      </c>
      <c r="E15" s="80" t="s">
        <v>49</v>
      </c>
      <c r="F15" s="80" t="s">
        <v>49</v>
      </c>
      <c r="G15" s="103" t="s">
        <v>82</v>
      </c>
      <c r="H15" s="87">
        <v>2</v>
      </c>
      <c r="I15" s="88">
        <v>18500</v>
      </c>
      <c r="J15" s="88">
        <f t="shared" si="0"/>
        <v>37000</v>
      </c>
      <c r="K15" s="34"/>
      <c r="L15" s="47" t="s">
        <v>78</v>
      </c>
      <c r="M15" s="89" t="s">
        <v>56</v>
      </c>
      <c r="N15" s="48" t="s">
        <v>88</v>
      </c>
      <c r="O15" s="78">
        <v>45681</v>
      </c>
      <c r="P15" s="25"/>
      <c r="Q15" s="23" t="s">
        <v>89</v>
      </c>
      <c r="R15" s="116" t="s">
        <v>93</v>
      </c>
      <c r="S15" s="27"/>
    </row>
    <row r="16" spans="1:19" s="5" customFormat="1" ht="19.149999999999999" customHeight="1" x14ac:dyDescent="0.15">
      <c r="A16" s="93" t="s">
        <v>52</v>
      </c>
      <c r="B16" s="58"/>
      <c r="C16" s="23"/>
      <c r="D16" s="57">
        <f>+D15+1</f>
        <v>5</v>
      </c>
      <c r="E16" s="80" t="s">
        <v>49</v>
      </c>
      <c r="F16" s="80" t="s">
        <v>49</v>
      </c>
      <c r="G16" s="86" t="s">
        <v>57</v>
      </c>
      <c r="H16" s="87">
        <v>2</v>
      </c>
      <c r="I16" s="88">
        <v>13500</v>
      </c>
      <c r="J16" s="88">
        <f t="shared" si="0"/>
        <v>27000</v>
      </c>
      <c r="K16" s="34"/>
      <c r="L16" s="26" t="s">
        <v>58</v>
      </c>
      <c r="M16" s="90" t="s">
        <v>59</v>
      </c>
      <c r="N16" s="48" t="s">
        <v>88</v>
      </c>
      <c r="O16" s="78">
        <v>45681</v>
      </c>
      <c r="P16" s="25"/>
      <c r="Q16" s="23" t="s">
        <v>89</v>
      </c>
      <c r="R16" s="116" t="s">
        <v>93</v>
      </c>
      <c r="S16" s="27"/>
    </row>
    <row r="17" spans="1:19" s="5" customFormat="1" ht="19.149999999999999" customHeight="1" x14ac:dyDescent="0.15">
      <c r="A17" s="93" t="s">
        <v>52</v>
      </c>
      <c r="B17" s="58"/>
      <c r="C17" s="23"/>
      <c r="D17" s="57">
        <f t="shared" si="1"/>
        <v>6</v>
      </c>
      <c r="E17" s="80" t="s">
        <v>49</v>
      </c>
      <c r="F17" s="80" t="s">
        <v>49</v>
      </c>
      <c r="G17" s="86" t="s">
        <v>60</v>
      </c>
      <c r="H17" s="87">
        <v>2</v>
      </c>
      <c r="I17" s="88">
        <v>23000</v>
      </c>
      <c r="J17" s="88">
        <f t="shared" si="0"/>
        <v>46000</v>
      </c>
      <c r="K17" s="34"/>
      <c r="L17" s="26" t="s">
        <v>61</v>
      </c>
      <c r="M17" s="91" t="s">
        <v>62</v>
      </c>
      <c r="N17" s="48" t="s">
        <v>88</v>
      </c>
      <c r="O17" s="78">
        <v>45681</v>
      </c>
      <c r="P17" s="25"/>
      <c r="Q17" s="23" t="s">
        <v>89</v>
      </c>
      <c r="R17" s="116" t="s">
        <v>93</v>
      </c>
      <c r="S17" s="27"/>
    </row>
    <row r="18" spans="1:19" s="5" customFormat="1" ht="19.149999999999999" customHeight="1" x14ac:dyDescent="0.15">
      <c r="A18" s="93" t="s">
        <v>52</v>
      </c>
      <c r="B18" s="58"/>
      <c r="C18" s="23"/>
      <c r="D18" s="57">
        <f>+D17+1</f>
        <v>7</v>
      </c>
      <c r="E18" s="80" t="s">
        <v>49</v>
      </c>
      <c r="F18" s="80" t="s">
        <v>49</v>
      </c>
      <c r="G18" s="86" t="s">
        <v>63</v>
      </c>
      <c r="H18" s="87">
        <v>2</v>
      </c>
      <c r="I18" s="88">
        <v>23000</v>
      </c>
      <c r="J18" s="88">
        <f t="shared" si="0"/>
        <v>46000</v>
      </c>
      <c r="K18" s="34"/>
      <c r="L18" s="26" t="s">
        <v>64</v>
      </c>
      <c r="M18" s="91" t="s">
        <v>62</v>
      </c>
      <c r="N18" s="48" t="s">
        <v>88</v>
      </c>
      <c r="O18" s="78">
        <v>45681</v>
      </c>
      <c r="P18" s="25"/>
      <c r="Q18" s="23" t="s">
        <v>89</v>
      </c>
      <c r="R18" s="116" t="s">
        <v>93</v>
      </c>
      <c r="S18" s="27"/>
    </row>
    <row r="19" spans="1:19" s="5" customFormat="1" ht="19.149999999999999" customHeight="1" x14ac:dyDescent="0.15">
      <c r="A19" s="93" t="s">
        <v>52</v>
      </c>
      <c r="B19" s="58"/>
      <c r="C19" s="23"/>
      <c r="D19" s="57">
        <f t="shared" si="1"/>
        <v>8</v>
      </c>
      <c r="E19" s="80" t="s">
        <v>49</v>
      </c>
      <c r="F19" s="80" t="s">
        <v>49</v>
      </c>
      <c r="G19" s="86" t="s">
        <v>65</v>
      </c>
      <c r="H19" s="87">
        <v>2</v>
      </c>
      <c r="I19" s="88">
        <v>22000</v>
      </c>
      <c r="J19" s="88">
        <f t="shared" si="0"/>
        <v>44000</v>
      </c>
      <c r="K19" s="34"/>
      <c r="L19" s="26" t="s">
        <v>66</v>
      </c>
      <c r="M19" s="90" t="s">
        <v>59</v>
      </c>
      <c r="N19" s="48" t="s">
        <v>88</v>
      </c>
      <c r="O19" s="78">
        <v>45681</v>
      </c>
      <c r="P19" s="25"/>
      <c r="Q19" s="23" t="s">
        <v>89</v>
      </c>
      <c r="R19" s="116" t="s">
        <v>93</v>
      </c>
      <c r="S19" s="27"/>
    </row>
    <row r="20" spans="1:19" ht="18" customHeight="1" x14ac:dyDescent="0.15">
      <c r="A20" s="93" t="s">
        <v>52</v>
      </c>
      <c r="B20" s="58"/>
      <c r="C20" s="23"/>
      <c r="D20" s="57">
        <f>+D19+1</f>
        <v>9</v>
      </c>
      <c r="E20" s="80" t="s">
        <v>49</v>
      </c>
      <c r="F20" s="80" t="s">
        <v>49</v>
      </c>
      <c r="G20" s="86" t="s">
        <v>80</v>
      </c>
      <c r="H20" s="104">
        <v>2</v>
      </c>
      <c r="I20" s="88">
        <v>10500</v>
      </c>
      <c r="J20" s="88">
        <f t="shared" si="0"/>
        <v>21000</v>
      </c>
      <c r="K20" s="34"/>
      <c r="L20" s="47" t="s">
        <v>81</v>
      </c>
      <c r="M20" s="90" t="s">
        <v>59</v>
      </c>
      <c r="N20" s="48" t="s">
        <v>88</v>
      </c>
      <c r="O20" s="78">
        <v>45681</v>
      </c>
      <c r="P20" s="6"/>
      <c r="Q20" s="6" t="s">
        <v>89</v>
      </c>
      <c r="R20" s="116" t="s">
        <v>93</v>
      </c>
      <c r="S20" s="12"/>
    </row>
    <row r="21" spans="1:19" ht="18" customHeight="1" x14ac:dyDescent="0.15">
      <c r="A21" s="5"/>
      <c r="B21" s="5"/>
      <c r="C21" s="5"/>
      <c r="D21" s="106"/>
      <c r="E21" s="37"/>
      <c r="F21" s="37"/>
      <c r="G21" s="47"/>
      <c r="H21" s="22"/>
      <c r="I21" s="23"/>
      <c r="J21" s="33"/>
      <c r="K21" s="50"/>
      <c r="L21" s="47"/>
      <c r="M21" s="23"/>
      <c r="N21" s="3"/>
      <c r="O21" s="19"/>
      <c r="P21" s="6"/>
      <c r="Q21" s="6"/>
      <c r="R21" s="19"/>
      <c r="S21" s="12"/>
    </row>
    <row r="22" spans="1:19" ht="18" customHeight="1" x14ac:dyDescent="0.15">
      <c r="A22" s="5"/>
      <c r="B22" s="5"/>
      <c r="C22" s="5"/>
      <c r="D22" s="106"/>
      <c r="E22" s="37"/>
      <c r="F22" s="37"/>
      <c r="G22" s="47"/>
      <c r="H22" s="22"/>
      <c r="I22" s="23"/>
      <c r="J22" s="33"/>
      <c r="K22" s="50"/>
      <c r="L22" s="47"/>
      <c r="M22" s="23"/>
      <c r="N22" s="3"/>
      <c r="O22" s="19"/>
      <c r="P22" s="6"/>
      <c r="Q22" s="6"/>
      <c r="R22" s="19"/>
      <c r="S22" s="12"/>
    </row>
    <row r="23" spans="1:19" ht="18" customHeight="1" x14ac:dyDescent="0.15">
      <c r="A23" s="5"/>
      <c r="B23" s="5"/>
      <c r="C23" s="5"/>
      <c r="D23" s="106"/>
      <c r="E23" s="37"/>
      <c r="F23" s="37"/>
      <c r="G23" s="47"/>
      <c r="H23" s="22"/>
      <c r="I23" s="23"/>
      <c r="J23" s="33"/>
      <c r="K23" s="50"/>
      <c r="L23" s="47"/>
      <c r="M23" s="23"/>
      <c r="N23" s="3"/>
      <c r="O23" s="19"/>
      <c r="P23" s="6"/>
      <c r="Q23" s="6"/>
      <c r="R23" s="19"/>
      <c r="S23" s="12"/>
    </row>
    <row r="24" spans="1:19" ht="18" customHeight="1" x14ac:dyDescent="0.15">
      <c r="A24" s="95" t="s">
        <v>76</v>
      </c>
      <c r="B24" s="5"/>
      <c r="C24" s="5"/>
      <c r="D24" s="56">
        <f>D20+1</f>
        <v>10</v>
      </c>
      <c r="E24" s="109" t="s">
        <v>36</v>
      </c>
      <c r="F24" s="110" t="s">
        <v>43</v>
      </c>
      <c r="G24" s="111" t="s">
        <v>37</v>
      </c>
      <c r="H24" s="112">
        <v>1</v>
      </c>
      <c r="I24" s="113">
        <v>35100</v>
      </c>
      <c r="J24" s="114">
        <f t="shared" ref="J24:J28" si="2">H24*I24</f>
        <v>35100</v>
      </c>
      <c r="K24" s="50"/>
      <c r="L24" s="47" t="s">
        <v>38</v>
      </c>
      <c r="M24" s="47" t="s">
        <v>73</v>
      </c>
      <c r="N24" s="48" t="s">
        <v>88</v>
      </c>
      <c r="O24" s="19">
        <v>45685</v>
      </c>
      <c r="P24" s="6"/>
      <c r="Q24" s="48" t="s">
        <v>89</v>
      </c>
      <c r="R24" s="48" t="s">
        <v>89</v>
      </c>
      <c r="S24" s="12"/>
    </row>
    <row r="25" spans="1:19" ht="18" customHeight="1" x14ac:dyDescent="0.15">
      <c r="A25" s="95" t="s">
        <v>76</v>
      </c>
      <c r="B25" s="5"/>
      <c r="C25" s="5"/>
      <c r="D25" s="56">
        <f t="shared" ref="D25:D27" si="3">D24+1</f>
        <v>11</v>
      </c>
      <c r="E25" s="109" t="s">
        <v>36</v>
      </c>
      <c r="F25" s="110" t="s">
        <v>43</v>
      </c>
      <c r="G25" s="111" t="s">
        <v>74</v>
      </c>
      <c r="H25" s="112">
        <v>1</v>
      </c>
      <c r="I25" s="113">
        <v>2000</v>
      </c>
      <c r="J25" s="114">
        <f t="shared" si="2"/>
        <v>2000</v>
      </c>
      <c r="K25" s="50"/>
      <c r="L25" s="47"/>
      <c r="M25" s="47" t="s">
        <v>73</v>
      </c>
      <c r="N25" s="48" t="s">
        <v>88</v>
      </c>
      <c r="O25" s="19">
        <v>45685</v>
      </c>
      <c r="P25" s="6"/>
      <c r="Q25" s="48" t="s">
        <v>89</v>
      </c>
      <c r="R25" s="48" t="s">
        <v>89</v>
      </c>
      <c r="S25" s="12"/>
    </row>
    <row r="26" spans="1:19" ht="18" customHeight="1" x14ac:dyDescent="0.15">
      <c r="A26" s="95" t="s">
        <v>77</v>
      </c>
      <c r="B26" s="5"/>
      <c r="C26" s="5"/>
      <c r="D26" s="56">
        <f t="shared" si="3"/>
        <v>12</v>
      </c>
      <c r="E26" s="109" t="s">
        <v>39</v>
      </c>
      <c r="F26" s="110" t="s">
        <v>43</v>
      </c>
      <c r="G26" s="111" t="s">
        <v>41</v>
      </c>
      <c r="H26" s="112">
        <v>1</v>
      </c>
      <c r="I26" s="113">
        <v>25000</v>
      </c>
      <c r="J26" s="114">
        <f t="shared" si="2"/>
        <v>25000</v>
      </c>
      <c r="K26" s="50"/>
      <c r="L26" s="47" t="s">
        <v>40</v>
      </c>
      <c r="M26" s="47" t="s">
        <v>73</v>
      </c>
      <c r="N26" s="48" t="s">
        <v>88</v>
      </c>
      <c r="O26" s="19">
        <v>45685</v>
      </c>
      <c r="P26" s="6"/>
      <c r="Q26" s="48" t="s">
        <v>89</v>
      </c>
      <c r="R26" s="48" t="s">
        <v>92</v>
      </c>
      <c r="S26" s="12"/>
    </row>
    <row r="27" spans="1:19" ht="18" customHeight="1" x14ac:dyDescent="0.15">
      <c r="A27" s="95" t="s">
        <v>77</v>
      </c>
      <c r="B27" s="5"/>
      <c r="C27" s="5"/>
      <c r="D27" s="56">
        <f t="shared" si="3"/>
        <v>13</v>
      </c>
      <c r="E27" s="109" t="s">
        <v>39</v>
      </c>
      <c r="F27" s="110" t="s">
        <v>43</v>
      </c>
      <c r="G27" s="111" t="s">
        <v>75</v>
      </c>
      <c r="H27" s="112">
        <v>1</v>
      </c>
      <c r="I27" s="113">
        <v>2000</v>
      </c>
      <c r="J27" s="114">
        <f t="shared" si="2"/>
        <v>2000</v>
      </c>
      <c r="K27" s="50"/>
      <c r="L27" s="47"/>
      <c r="M27" s="47" t="s">
        <v>73</v>
      </c>
      <c r="N27" s="48" t="s">
        <v>88</v>
      </c>
      <c r="O27" s="19">
        <v>45685</v>
      </c>
      <c r="P27" s="6"/>
      <c r="Q27" s="48" t="s">
        <v>89</v>
      </c>
      <c r="R27" s="48" t="s">
        <v>92</v>
      </c>
      <c r="S27" s="12"/>
    </row>
    <row r="28" spans="1:19" ht="18" customHeight="1" x14ac:dyDescent="0.15">
      <c r="A28" s="5"/>
      <c r="B28" s="5"/>
      <c r="C28" s="5"/>
      <c r="D28" s="25"/>
      <c r="E28" s="25"/>
      <c r="F28" s="115" t="s">
        <v>91</v>
      </c>
      <c r="G28" s="47" t="s">
        <v>90</v>
      </c>
      <c r="H28" s="22">
        <v>1</v>
      </c>
      <c r="I28" s="23">
        <v>1300</v>
      </c>
      <c r="J28" s="24">
        <f t="shared" si="2"/>
        <v>1300</v>
      </c>
      <c r="K28" s="50"/>
      <c r="L28" s="22"/>
      <c r="M28" s="23"/>
      <c r="N28" s="3"/>
      <c r="O28" s="19">
        <v>45685</v>
      </c>
      <c r="P28" s="6"/>
      <c r="Q28" s="48" t="s">
        <v>89</v>
      </c>
      <c r="R28" s="19"/>
      <c r="S28" s="12"/>
    </row>
    <row r="29" spans="1:19" ht="18" customHeight="1" x14ac:dyDescent="0.15">
      <c r="A29" s="5"/>
      <c r="B29" s="5"/>
      <c r="C29" s="5"/>
      <c r="D29" s="25"/>
      <c r="E29" s="25"/>
      <c r="F29" s="25"/>
      <c r="G29" s="51">
        <f>SUM(J11:J28)</f>
        <v>329920</v>
      </c>
      <c r="H29" s="22"/>
      <c r="I29" s="23"/>
      <c r="J29" s="24"/>
      <c r="K29" s="50"/>
      <c r="L29" s="22"/>
      <c r="M29" s="23"/>
      <c r="N29" s="3"/>
      <c r="O29" s="19"/>
      <c r="P29" s="6"/>
      <c r="Q29" s="6"/>
      <c r="R29" s="19"/>
      <c r="S29" s="12"/>
    </row>
    <row r="30" spans="1:19" ht="18" customHeight="1" x14ac:dyDescent="0.15">
      <c r="A30" s="5"/>
      <c r="B30" s="5"/>
      <c r="C30" s="5"/>
      <c r="D30" s="25"/>
      <c r="E30" s="25"/>
      <c r="F30" s="25"/>
      <c r="G30" s="26"/>
      <c r="H30" s="22"/>
      <c r="I30" s="23"/>
      <c r="J30" s="24"/>
      <c r="K30" s="50"/>
      <c r="L30" s="22"/>
      <c r="M30" s="23"/>
      <c r="N30" s="3"/>
      <c r="O30" s="19"/>
      <c r="P30" s="6"/>
      <c r="Q30" s="6"/>
      <c r="R30" s="19"/>
      <c r="S30" s="12"/>
    </row>
    <row r="31" spans="1:19" ht="18" customHeight="1" x14ac:dyDescent="0.15">
      <c r="A31" s="5"/>
      <c r="B31" s="5"/>
      <c r="C31" s="5"/>
      <c r="D31" s="25"/>
      <c r="E31" s="25"/>
      <c r="F31" s="25"/>
      <c r="G31" s="26"/>
      <c r="H31" s="22"/>
      <c r="I31" s="23"/>
      <c r="J31" s="24"/>
      <c r="K31" s="50"/>
      <c r="L31" s="22"/>
      <c r="M31" s="23"/>
      <c r="N31" s="3"/>
      <c r="O31" s="19"/>
      <c r="P31" s="6"/>
      <c r="Q31" s="6"/>
      <c r="R31" s="19"/>
      <c r="S31" s="12"/>
    </row>
    <row r="32" spans="1:19" ht="18" customHeight="1" x14ac:dyDescent="0.15">
      <c r="A32" s="5"/>
      <c r="B32" s="5"/>
      <c r="C32" s="5"/>
      <c r="D32" s="25"/>
      <c r="E32" s="25"/>
      <c r="F32" s="25"/>
      <c r="G32" s="26"/>
      <c r="H32" s="22"/>
      <c r="I32" s="23"/>
      <c r="J32" s="24"/>
      <c r="K32" s="50"/>
      <c r="L32" s="22"/>
      <c r="M32" s="23"/>
      <c r="N32" s="3"/>
      <c r="O32" s="19"/>
      <c r="P32" s="6"/>
      <c r="Q32" s="6"/>
      <c r="R32" s="19"/>
      <c r="S32" s="12"/>
    </row>
    <row r="33" spans="1:19" ht="18" customHeight="1" x14ac:dyDescent="0.15">
      <c r="A33" s="5"/>
      <c r="B33" s="5"/>
      <c r="C33" s="5"/>
      <c r="D33" s="25"/>
      <c r="E33" s="117" t="s">
        <v>67</v>
      </c>
      <c r="F33" s="118"/>
      <c r="G33" s="119"/>
      <c r="H33" s="22"/>
      <c r="I33" s="23"/>
      <c r="J33" s="24"/>
      <c r="K33" s="50"/>
      <c r="L33" s="22"/>
      <c r="M33" s="23"/>
      <c r="N33" s="3"/>
      <c r="O33" s="19"/>
      <c r="P33" s="6"/>
      <c r="Q33" s="6"/>
      <c r="R33" s="19"/>
      <c r="S33" s="12"/>
    </row>
    <row r="34" spans="1:19" ht="19.5" customHeight="1" x14ac:dyDescent="0.15">
      <c r="A34" s="95" t="s">
        <v>71</v>
      </c>
      <c r="B34" s="5"/>
      <c r="C34" s="5"/>
      <c r="D34" s="56">
        <f>D27+1</f>
        <v>14</v>
      </c>
      <c r="E34" s="96" t="s">
        <v>44</v>
      </c>
      <c r="F34" s="97" t="s">
        <v>45</v>
      </c>
      <c r="G34" s="98" t="s">
        <v>68</v>
      </c>
      <c r="H34" s="99">
        <v>2</v>
      </c>
      <c r="I34" s="100">
        <v>4080</v>
      </c>
      <c r="J34" s="64">
        <f t="shared" ref="J34:J36" si="4">H34*I34</f>
        <v>8160</v>
      </c>
      <c r="K34" s="46"/>
      <c r="L34" s="31" t="s">
        <v>87</v>
      </c>
      <c r="M34" s="22"/>
      <c r="N34" s="48" t="s">
        <v>88</v>
      </c>
      <c r="O34" s="19">
        <v>45681</v>
      </c>
      <c r="P34" s="6"/>
      <c r="Q34" s="48" t="s">
        <v>89</v>
      </c>
      <c r="R34" s="48" t="s">
        <v>92</v>
      </c>
      <c r="S34" s="12"/>
    </row>
    <row r="35" spans="1:19" ht="19.5" customHeight="1" x14ac:dyDescent="0.15">
      <c r="A35" s="95" t="s">
        <v>71</v>
      </c>
      <c r="B35" s="5"/>
      <c r="C35" s="5"/>
      <c r="D35" s="56">
        <f t="shared" ref="D35:D36" si="5">D34+1</f>
        <v>15</v>
      </c>
      <c r="E35" s="96" t="s">
        <v>44</v>
      </c>
      <c r="F35" s="97" t="s">
        <v>45</v>
      </c>
      <c r="G35" s="98" t="s">
        <v>69</v>
      </c>
      <c r="H35" s="99">
        <v>2</v>
      </c>
      <c r="I35" s="100">
        <v>4080</v>
      </c>
      <c r="J35" s="64">
        <f t="shared" si="4"/>
        <v>8160</v>
      </c>
      <c r="K35" s="46"/>
      <c r="L35" s="31" t="s">
        <v>86</v>
      </c>
      <c r="M35" s="22"/>
      <c r="N35" s="48" t="s">
        <v>88</v>
      </c>
      <c r="O35" s="19">
        <v>45681</v>
      </c>
      <c r="P35" s="6"/>
      <c r="Q35" s="48" t="s">
        <v>89</v>
      </c>
      <c r="R35" s="48" t="s">
        <v>92</v>
      </c>
      <c r="S35" s="12"/>
    </row>
    <row r="36" spans="1:19" ht="19.5" customHeight="1" x14ac:dyDescent="0.15">
      <c r="A36" s="95" t="s">
        <v>71</v>
      </c>
      <c r="B36" s="5"/>
      <c r="C36" s="5"/>
      <c r="D36" s="56">
        <f t="shared" si="5"/>
        <v>16</v>
      </c>
      <c r="E36" s="96" t="s">
        <v>44</v>
      </c>
      <c r="F36" s="97" t="s">
        <v>45</v>
      </c>
      <c r="G36" s="98" t="s">
        <v>70</v>
      </c>
      <c r="H36" s="99">
        <v>4</v>
      </c>
      <c r="I36" s="100">
        <v>5000</v>
      </c>
      <c r="J36" s="64">
        <f t="shared" si="4"/>
        <v>20000</v>
      </c>
      <c r="K36" s="46"/>
      <c r="L36" s="31" t="s">
        <v>72</v>
      </c>
      <c r="M36" s="22"/>
      <c r="N36" s="48" t="s">
        <v>88</v>
      </c>
      <c r="O36" s="19">
        <v>45681</v>
      </c>
      <c r="P36" s="6"/>
      <c r="Q36" s="48" t="s">
        <v>89</v>
      </c>
      <c r="R36" s="48" t="s">
        <v>92</v>
      </c>
      <c r="S36" s="12"/>
    </row>
    <row r="37" spans="1:19" ht="19.5" customHeight="1" x14ac:dyDescent="0.15">
      <c r="A37" s="5"/>
      <c r="B37" s="5"/>
      <c r="C37" s="5"/>
      <c r="D37" s="25"/>
      <c r="E37" s="25"/>
      <c r="F37" s="25"/>
      <c r="G37" s="26"/>
      <c r="H37" s="22"/>
      <c r="I37" s="23"/>
      <c r="J37" s="24"/>
      <c r="K37" s="50"/>
      <c r="L37" s="22"/>
      <c r="M37" s="23"/>
      <c r="N37" s="3"/>
      <c r="O37" s="19"/>
      <c r="P37" s="6"/>
      <c r="Q37" s="6"/>
      <c r="R37" s="19"/>
      <c r="S37" s="12"/>
    </row>
    <row r="38" spans="1:19" ht="19.5" customHeight="1" x14ac:dyDescent="0.15">
      <c r="A38" s="5"/>
      <c r="B38" s="5"/>
      <c r="C38" s="5"/>
      <c r="D38" s="25"/>
      <c r="E38" s="25"/>
      <c r="F38" s="25"/>
      <c r="G38" s="92">
        <f>SUM(J34:J37)</f>
        <v>36320</v>
      </c>
      <c r="H38" s="22"/>
      <c r="I38" s="23"/>
      <c r="J38" s="24"/>
      <c r="K38" s="50"/>
      <c r="L38" s="22"/>
      <c r="M38" s="23"/>
      <c r="N38" s="3"/>
      <c r="O38" s="19"/>
      <c r="P38" s="6"/>
      <c r="Q38" s="6"/>
      <c r="R38" s="19"/>
      <c r="S38" s="12"/>
    </row>
    <row r="39" spans="1:19" ht="18" customHeight="1" x14ac:dyDescent="0.15">
      <c r="A39" s="5"/>
      <c r="B39" s="5"/>
      <c r="C39" s="5"/>
      <c r="D39" s="25"/>
      <c r="E39" s="25"/>
      <c r="F39" s="25"/>
      <c r="G39" s="26"/>
      <c r="H39" s="22"/>
      <c r="I39" s="23"/>
      <c r="J39" s="24"/>
      <c r="K39" s="50"/>
      <c r="L39" s="22"/>
      <c r="M39" s="23"/>
      <c r="N39" s="3"/>
      <c r="O39" s="19"/>
      <c r="P39" s="6"/>
      <c r="Q39" s="6"/>
      <c r="R39" s="19"/>
      <c r="S39" s="12"/>
    </row>
    <row r="40" spans="1:19" ht="18" customHeight="1" x14ac:dyDescent="0.15">
      <c r="A40" s="5"/>
      <c r="B40" s="5"/>
      <c r="C40" s="5"/>
      <c r="D40" s="25"/>
      <c r="E40" s="25"/>
      <c r="F40" s="25"/>
      <c r="G40" s="26"/>
      <c r="H40" s="22"/>
      <c r="I40" s="23"/>
      <c r="J40" s="24"/>
      <c r="K40" s="50"/>
      <c r="L40" s="22"/>
      <c r="M40" s="23"/>
      <c r="N40" s="3"/>
      <c r="O40" s="19"/>
      <c r="P40" s="6"/>
      <c r="Q40" s="6"/>
      <c r="R40" s="19"/>
      <c r="S40" s="12"/>
    </row>
    <row r="41" spans="1:19" ht="18" customHeight="1" x14ac:dyDescent="0.15">
      <c r="A41" s="5"/>
      <c r="B41" s="5"/>
      <c r="C41" s="5"/>
      <c r="D41" s="25"/>
      <c r="E41" s="25"/>
      <c r="F41" s="25"/>
      <c r="G41" s="26"/>
      <c r="H41" s="22"/>
      <c r="I41" s="23"/>
      <c r="J41" s="24"/>
      <c r="K41" s="50"/>
      <c r="L41" s="22"/>
      <c r="M41" s="23"/>
      <c r="N41" s="3"/>
      <c r="O41" s="19"/>
      <c r="P41" s="6"/>
      <c r="Q41" s="6"/>
      <c r="R41" s="19"/>
      <c r="S41" s="12"/>
    </row>
    <row r="42" spans="1:19" ht="18" customHeight="1" x14ac:dyDescent="0.15">
      <c r="A42" s="5"/>
      <c r="B42" s="5"/>
      <c r="C42" s="5"/>
      <c r="D42" s="25"/>
      <c r="E42" s="25"/>
      <c r="F42" s="25"/>
      <c r="G42" s="26"/>
      <c r="H42" s="22"/>
      <c r="I42" s="23"/>
      <c r="J42" s="24"/>
      <c r="K42" s="50"/>
      <c r="L42" s="22"/>
      <c r="M42" s="23"/>
      <c r="N42" s="3"/>
      <c r="O42" s="19"/>
      <c r="P42" s="6"/>
      <c r="Q42" s="6"/>
      <c r="R42" s="19"/>
      <c r="S42" s="12"/>
    </row>
    <row r="43" spans="1:19" ht="18" customHeight="1" x14ac:dyDescent="0.15">
      <c r="D43" s="23"/>
      <c r="E43" s="25"/>
      <c r="F43" s="25"/>
      <c r="G43" s="41"/>
      <c r="H43" s="32"/>
      <c r="I43" s="32"/>
      <c r="J43" s="32"/>
      <c r="K43" s="35"/>
      <c r="L43" s="36"/>
      <c r="M43" s="107"/>
      <c r="N43" s="3"/>
      <c r="O43" s="19"/>
      <c r="P43" s="6"/>
      <c r="Q43" s="6"/>
      <c r="R43" s="19"/>
      <c r="S43" s="12"/>
    </row>
    <row r="44" spans="1:19" ht="18" customHeight="1" x14ac:dyDescent="0.15">
      <c r="C44" s="72"/>
      <c r="D44" s="45"/>
      <c r="E44" s="120" t="s">
        <v>25</v>
      </c>
      <c r="F44" s="120"/>
      <c r="G44" s="120"/>
      <c r="H44" s="40"/>
      <c r="I44" s="43"/>
      <c r="J44" s="43"/>
      <c r="K44" s="14"/>
      <c r="L44" s="108"/>
      <c r="M44" s="18"/>
      <c r="N44" s="3"/>
      <c r="O44" s="19"/>
      <c r="P44" s="6"/>
      <c r="Q44" s="6"/>
      <c r="R44" s="19"/>
      <c r="S44" s="12"/>
    </row>
    <row r="45" spans="1:19" ht="18" customHeight="1" x14ac:dyDescent="0.15">
      <c r="A45" s="94" t="s">
        <v>28</v>
      </c>
      <c r="B45" s="70"/>
      <c r="C45" s="23">
        <v>1</v>
      </c>
      <c r="D45" s="56">
        <f>D36+1</f>
        <v>17</v>
      </c>
      <c r="E45" s="63" t="s">
        <v>33</v>
      </c>
      <c r="F45" s="63" t="s">
        <v>34</v>
      </c>
      <c r="G45" s="65" t="s">
        <v>26</v>
      </c>
      <c r="H45" s="63">
        <v>1</v>
      </c>
      <c r="I45" s="66">
        <v>3040</v>
      </c>
      <c r="J45" s="67">
        <f t="shared" ref="J45" si="6">H45*I45</f>
        <v>3040</v>
      </c>
      <c r="K45" s="68"/>
      <c r="L45" s="26" t="s">
        <v>35</v>
      </c>
      <c r="M45" s="64"/>
      <c r="N45" s="48" t="s">
        <v>88</v>
      </c>
      <c r="O45" s="55">
        <v>45681</v>
      </c>
      <c r="P45" s="6"/>
      <c r="Q45" s="48" t="s">
        <v>89</v>
      </c>
      <c r="R45" s="48" t="s">
        <v>92</v>
      </c>
      <c r="S45" s="54"/>
    </row>
    <row r="46" spans="1:19" ht="18" customHeight="1" x14ac:dyDescent="0.15">
      <c r="A46" s="48"/>
      <c r="B46" s="71"/>
      <c r="C46" s="69"/>
      <c r="D46" s="28"/>
      <c r="E46" s="25"/>
      <c r="F46" s="25"/>
      <c r="G46" s="31"/>
      <c r="H46" s="39"/>
      <c r="I46" s="44"/>
      <c r="J46" s="42"/>
      <c r="K46" s="24"/>
      <c r="L46" s="22"/>
      <c r="M46" s="18"/>
      <c r="N46" s="3"/>
      <c r="O46" s="29"/>
      <c r="P46" s="6"/>
      <c r="Q46" s="29"/>
      <c r="R46" s="19"/>
      <c r="S46" s="27"/>
    </row>
    <row r="47" spans="1:19" ht="18" customHeight="1" x14ac:dyDescent="0.15">
      <c r="D47" s="17"/>
      <c r="E47" s="2"/>
      <c r="F47" s="2"/>
      <c r="G47" s="62">
        <f>SUM(J45:J46)</f>
        <v>3040</v>
      </c>
      <c r="H47" s="61"/>
      <c r="I47" s="61"/>
      <c r="J47" s="61"/>
      <c r="K47" s="59"/>
      <c r="L47" s="15"/>
      <c r="M47" s="18"/>
      <c r="N47" s="3"/>
      <c r="O47" s="19"/>
      <c r="P47" s="6"/>
      <c r="Q47" s="6"/>
      <c r="R47" s="19"/>
      <c r="S47" s="12"/>
    </row>
    <row r="48" spans="1:19" ht="18" customHeight="1" x14ac:dyDescent="0.15">
      <c r="D48" s="17"/>
      <c r="E48" s="2"/>
      <c r="F48" s="2"/>
      <c r="G48" s="13"/>
      <c r="H48" s="60"/>
      <c r="I48" s="60"/>
      <c r="J48" s="43"/>
      <c r="K48" s="1"/>
      <c r="L48" s="13"/>
      <c r="M48" s="18"/>
      <c r="N48" s="3"/>
      <c r="O48" s="19"/>
      <c r="P48" s="6"/>
      <c r="Q48" s="6"/>
      <c r="R48" s="19"/>
      <c r="S48" s="12"/>
    </row>
    <row r="49" spans="3:19" ht="18" customHeight="1" x14ac:dyDescent="0.15">
      <c r="D49" s="17"/>
      <c r="E49" s="2"/>
      <c r="F49" s="2"/>
      <c r="G49" s="13"/>
      <c r="H49" s="60"/>
      <c r="I49" s="60"/>
      <c r="J49" s="43"/>
      <c r="K49" s="1"/>
      <c r="L49" s="13"/>
      <c r="M49" s="18"/>
      <c r="N49" s="3"/>
      <c r="O49" s="19"/>
      <c r="P49" s="6"/>
      <c r="Q49" s="6"/>
      <c r="R49" s="19"/>
      <c r="S49" s="12"/>
    </row>
    <row r="50" spans="3:19" ht="18" customHeight="1" x14ac:dyDescent="0.15">
      <c r="D50" s="17"/>
      <c r="E50" s="2"/>
      <c r="F50" s="2"/>
      <c r="G50" s="13"/>
      <c r="H50" s="60"/>
      <c r="I50" s="60"/>
      <c r="J50" s="43"/>
      <c r="K50" s="1"/>
      <c r="L50" s="13"/>
      <c r="M50" s="18"/>
      <c r="N50" s="3"/>
      <c r="O50" s="19"/>
      <c r="P50" s="6"/>
      <c r="Q50" s="6"/>
      <c r="R50" s="19"/>
      <c r="S50" s="12"/>
    </row>
    <row r="51" spans="3:19" ht="18" customHeight="1" x14ac:dyDescent="0.15">
      <c r="D51" s="17"/>
      <c r="E51" s="2"/>
      <c r="F51" s="2"/>
      <c r="G51" s="13"/>
      <c r="H51" s="60"/>
      <c r="I51" s="60"/>
      <c r="J51" s="43"/>
      <c r="K51" s="1"/>
      <c r="L51" s="13"/>
      <c r="M51" s="18"/>
      <c r="N51" s="3"/>
      <c r="O51" s="19"/>
      <c r="P51" s="6"/>
      <c r="Q51" s="6"/>
      <c r="R51" s="19"/>
      <c r="S51" s="12"/>
    </row>
    <row r="52" spans="3:19" ht="18" customHeight="1" x14ac:dyDescent="0.15">
      <c r="D52" s="17"/>
      <c r="E52" s="2"/>
      <c r="F52" s="2"/>
      <c r="G52" s="13"/>
      <c r="H52" s="60"/>
      <c r="I52" s="60"/>
      <c r="J52" s="43"/>
      <c r="K52" s="1"/>
      <c r="L52" s="13"/>
      <c r="M52" s="18"/>
      <c r="N52" s="3"/>
      <c r="O52" s="19"/>
      <c r="P52" s="6"/>
      <c r="Q52" s="6"/>
      <c r="R52" s="19"/>
      <c r="S52" s="12"/>
    </row>
    <row r="53" spans="3:19" ht="18" customHeight="1" x14ac:dyDescent="0.15">
      <c r="D53" s="17"/>
      <c r="E53" s="2"/>
      <c r="F53" s="2"/>
      <c r="G53" s="13"/>
      <c r="H53" s="60"/>
      <c r="I53" s="60"/>
      <c r="J53" s="43"/>
      <c r="K53" s="1"/>
      <c r="L53" s="13"/>
      <c r="M53" s="18"/>
      <c r="N53" s="3"/>
      <c r="O53" s="19"/>
      <c r="P53" s="6"/>
      <c r="Q53" s="6"/>
      <c r="R53" s="19"/>
      <c r="S53" s="12"/>
    </row>
    <row r="54" spans="3:19" ht="18" customHeight="1" x14ac:dyDescent="0.15">
      <c r="D54" s="17"/>
      <c r="E54" s="2"/>
      <c r="F54" s="2"/>
      <c r="G54" s="13"/>
      <c r="H54" s="60"/>
      <c r="I54" s="60"/>
      <c r="J54" s="43"/>
      <c r="K54" s="1"/>
      <c r="L54" s="13"/>
      <c r="M54" s="18"/>
      <c r="N54" s="3"/>
      <c r="O54" s="19"/>
      <c r="P54" s="6"/>
      <c r="Q54" s="6"/>
      <c r="R54" s="19"/>
      <c r="S54" s="12"/>
    </row>
    <row r="55" spans="3:19" ht="18" customHeight="1" x14ac:dyDescent="0.15">
      <c r="D55" s="17"/>
      <c r="E55" s="17"/>
      <c r="F55" s="17"/>
      <c r="G55" s="18" t="s">
        <v>22</v>
      </c>
      <c r="H55" s="16"/>
      <c r="I55" s="16"/>
      <c r="J55" s="16">
        <f>H55*I55</f>
        <v>0</v>
      </c>
      <c r="K55" s="11"/>
      <c r="L55" s="13" t="s">
        <v>23</v>
      </c>
      <c r="M55" s="20"/>
      <c r="N55" s="17"/>
      <c r="O55" s="19"/>
      <c r="P55" s="20"/>
      <c r="Q55" s="17"/>
      <c r="R55" s="19"/>
      <c r="S55" s="12"/>
    </row>
    <row r="56" spans="3:19" ht="18" customHeight="1" x14ac:dyDescent="0.15">
      <c r="C56" s="69">
        <v>4</v>
      </c>
      <c r="D56" s="52"/>
      <c r="E56" s="2"/>
      <c r="F56" s="2"/>
      <c r="G56" s="18" t="s">
        <v>23</v>
      </c>
      <c r="H56" s="16"/>
      <c r="I56" s="16">
        <v>5000</v>
      </c>
      <c r="J56" s="16">
        <f>H56*I56</f>
        <v>0</v>
      </c>
      <c r="K56" s="11"/>
      <c r="L56" s="13" t="s">
        <v>24</v>
      </c>
      <c r="M56" s="20"/>
      <c r="N56" s="17"/>
      <c r="O56" s="19"/>
      <c r="P56" s="20"/>
      <c r="Q56" s="17"/>
      <c r="R56" s="19"/>
      <c r="S56" s="6"/>
    </row>
    <row r="57" spans="3:19" ht="18" customHeight="1" x14ac:dyDescent="0.15">
      <c r="D57" s="17"/>
      <c r="E57" s="2"/>
      <c r="F57" s="2"/>
      <c r="G57" s="18" t="s">
        <v>24</v>
      </c>
      <c r="H57" s="16"/>
      <c r="I57" s="16"/>
      <c r="J57" s="16">
        <f>H57*I57</f>
        <v>0</v>
      </c>
      <c r="K57" s="11"/>
      <c r="L57" s="3"/>
      <c r="M57" s="20"/>
      <c r="N57" s="17"/>
      <c r="O57" s="17"/>
      <c r="P57" s="20"/>
      <c r="Q57" s="17"/>
      <c r="R57" s="6"/>
      <c r="S57" s="6"/>
    </row>
    <row r="58" spans="3:19" ht="18" customHeight="1" x14ac:dyDescent="0.15">
      <c r="D58" s="17"/>
      <c r="E58" s="2"/>
      <c r="F58" s="2"/>
      <c r="G58" s="121"/>
      <c r="H58" s="122"/>
      <c r="I58" s="122"/>
      <c r="J58" s="123"/>
      <c r="K58" s="4"/>
      <c r="L58" s="15"/>
    </row>
    <row r="59" spans="3:19" ht="18" customHeight="1" x14ac:dyDescent="0.15"/>
    <row r="60" spans="3:19" ht="18" customHeight="1" x14ac:dyDescent="0.15"/>
    <row r="61" spans="3:19" ht="18" customHeight="1" x14ac:dyDescent="0.15"/>
  </sheetData>
  <autoFilter ref="D8:Q61" xr:uid="{00000000-0009-0000-0000-000003000000}"/>
  <mergeCells count="12">
    <mergeCell ref="D2:F2"/>
    <mergeCell ref="I2:K2"/>
    <mergeCell ref="D3:F3"/>
    <mergeCell ref="D4:F4"/>
    <mergeCell ref="D5:F5"/>
    <mergeCell ref="E33:G33"/>
    <mergeCell ref="E44:G44"/>
    <mergeCell ref="G58:J58"/>
    <mergeCell ref="J4:M4"/>
    <mergeCell ref="I5:I6"/>
    <mergeCell ref="D6:F6"/>
    <mergeCell ref="E10:G10"/>
  </mergeCells>
  <phoneticPr fontId="10"/>
  <dataValidations count="1">
    <dataValidation imeMode="hiragana" allowBlank="1" showInputMessage="1" showErrorMessage="1" sqref="WVT12 WLX12 WCB12 VSF12 VIJ12 UYN12 UOR12 UEV12 TUZ12 TLD12 TBH12 SRL12 SHP12 RXT12 RNX12 REB12 QUF12 QKJ12 QAN12 PQR12 PGV12 OWZ12 OND12 ODH12 NTL12 NJP12 MZT12 MPX12 MGB12 LWF12 LMJ12 LCN12 KSR12 KIV12 JYZ12 JPD12 JFH12 IVL12 ILP12 IBT12 HRX12 HIB12 GYF12 GOJ12 GEN12 FUR12 FKV12 FAZ12 ERD12 EHH12 DXL12 DNP12 DDT12 CTX12 CKB12 CAF12 BQJ12 BGN12 AWR12 AMV12 ACZ12 TD12 JH12 L12 WVT14:WVT19 WLX14:WLX19 WCB14:WCB19 VSF14:VSF19 VIJ14:VIJ19 UYN14:UYN19 UOR14:UOR19 UEV14:UEV19 TUZ14:TUZ19 TLD14:TLD19 TBH14:TBH19 SRL14:SRL19 SHP14:SHP19 RXT14:RXT19 RNX14:RNX19 REB14:REB19 QUF14:QUF19 QKJ14:QKJ19 QAN14:QAN19 PQR14:PQR19 PGV14:PGV19 OWZ14:OWZ19 OND14:OND19 ODH14:ODH19 NTL14:NTL19 NJP14:NJP19 MZT14:MZT19 MPX14:MPX19 MGB14:MGB19 LWF14:LWF19 LMJ14:LMJ19 LCN14:LCN19 KSR14:KSR19 KIV14:KIV19 JYZ14:JYZ19 JPD14:JPD19 JFH14:JFH19 IVL14:IVL19 ILP14:ILP19 IBT14:IBT19 HRX14:HRX19 HIB14:HIB19 GYF14:GYF19 GOJ14:GOJ19 GEN14:GEN19 FUR14:FUR19 FKV14:FKV19 FAZ14:FAZ19 ERD14:ERD19 EHH14:EHH19 DXL14:DXL19 DNP14:DNP19 DDT14:DDT19 CTX14:CTX19 CKB14:CKB19 CAF14:CAF19 BQJ14:BQJ19 BGN14:BGN19 AWR14:AWR19 AMV14:AMV19 ACZ14:ACZ19 TD14:TD19 JH14:JH19 L14:L20" xr:uid="{E62627E0-020A-41EF-871C-C17B7CECA643}"/>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view="pageBreakPreview" zoomScale="140" zoomScaleNormal="100" zoomScaleSheetLayoutView="140" workbookViewId="0">
      <selection activeCell="B19" sqref="B19"/>
    </sheetView>
  </sheetViews>
  <sheetFormatPr defaultColWidth="11.625" defaultRowHeight="13.5" customHeight="1" x14ac:dyDescent="0.15"/>
  <cols>
    <col min="1" max="1" width="12.125" bestFit="1" customWidth="1"/>
    <col min="2" max="2" width="31.5" bestFit="1" customWidth="1"/>
  </cols>
  <sheetData>
    <row r="1" spans="1:2" ht="13.5" customHeight="1" x14ac:dyDescent="0.15">
      <c r="A1" s="53" t="s">
        <v>0</v>
      </c>
      <c r="B1" s="21" t="s">
        <v>32</v>
      </c>
    </row>
    <row r="2" spans="1:2" ht="13.5" customHeight="1" x14ac:dyDescent="0.15">
      <c r="A2" s="53" t="s">
        <v>2</v>
      </c>
      <c r="B2" s="7" t="s">
        <v>30</v>
      </c>
    </row>
    <row r="3" spans="1:2" ht="13.5" customHeight="1" x14ac:dyDescent="0.15">
      <c r="A3" s="53" t="s">
        <v>3</v>
      </c>
      <c r="B3" s="7" t="s">
        <v>31</v>
      </c>
    </row>
    <row r="4" spans="1:2" ht="13.5" customHeight="1" x14ac:dyDescent="0.15">
      <c r="A4" s="53" t="s">
        <v>4</v>
      </c>
      <c r="B4" s="8">
        <v>44972</v>
      </c>
    </row>
    <row r="5" spans="1:2" ht="13.5" customHeight="1" x14ac:dyDescent="0.15">
      <c r="A5" s="53" t="s">
        <v>5</v>
      </c>
      <c r="B5" s="8">
        <v>44975</v>
      </c>
    </row>
  </sheetData>
  <phoneticPr fontId="10"/>
  <printOptions horizontalCentered="1" verticalCentered="1" gridLines="1"/>
  <pageMargins left="0.70866141732283472" right="0.70866141732283472" top="0.74803149606299213" bottom="0.74803149606299213" header="0.31496062992125984" footer="0.31496062992125984"/>
  <pageSetup paperSize="9" scale="287" orientation="landscape" r:id="rId1"/>
  <headerFooter>
    <oddHeader>&amp;L&amp;C&amp;R</oddHeader>
    <oddFooter>&amp;L&amp;C&amp;R</oddFooter>
    <evenHeader>&amp;L&amp;C&amp;R</evenHeader>
    <evenFooter>&amp;L&amp;C&amp;R</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75" defaultRowHeight="13.5" customHeight="1" x14ac:dyDescent="0.15"/>
  <sheetData/>
  <phoneticPr fontId="10"/>
  <printOptions gridLines="1"/>
  <pageMargins left="0.7" right="0.7" top="0.75" bottom="0.75" header="0.3" footer="0.3"/>
  <pageSetup orientation="landscape" r:id="rId1"/>
  <headerFooter>
    <oddHeader>&amp;L&amp;C&amp;R</oddHeader>
    <oddFooter>&amp;L&amp;C&amp;R</oddFooter>
    <evenHeader>&amp;L&amp;C&amp;R</evenHeader>
    <evenFooter>&amp;L&amp;C&amp;R</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SETB0242-A01　①原価一覧 (20250123）</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h-saito</dc:creator>
  <cp:lastModifiedBy>moriwaki</cp:lastModifiedBy>
  <cp:lastPrinted>2023-01-13T04:52:35Z</cp:lastPrinted>
  <dcterms:created xsi:type="dcterms:W3CDTF">2016-05-16T08:05:24Z</dcterms:created>
  <dcterms:modified xsi:type="dcterms:W3CDTF">2025-02-10T07:41:33Z</dcterms:modified>
</cp:coreProperties>
</file>