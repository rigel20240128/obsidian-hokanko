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Desktop\SETB0295-A01 千葉氏、新井氏モリタ（株）20250827\"/>
    </mc:Choice>
  </mc:AlternateContent>
  <xr:revisionPtr revIDLastSave="0" documentId="13_ncr:1_{F4FFF669-6168-4CEF-993D-BDC5A9DB046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ﾛﾎﾞｯﾄ発注 (226228)  ①" sheetId="12" r:id="rId1"/>
    <sheet name="Sheet1" sheetId="1" r:id="rId2"/>
    <sheet name="Sheet2" sheetId="2" r:id="rId3"/>
    <sheet name="Sheet3" sheetId="3" r:id="rId4"/>
  </sheets>
  <definedNames>
    <definedName name="_xlnm._FilterDatabase" localSheetId="1">Sheet1!$B$8:$O$8</definedName>
    <definedName name="_xlnm._FilterDatabase" localSheetId="0">'ﾛﾎﾞｯﾄ発注 (226228)  ①'!$C$8:$P$8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K2" i="12"/>
  <c r="C12" i="12"/>
  <c r="C13" i="12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<sst xmlns="http://schemas.openxmlformats.org/spreadsheetml/2006/main" count="328" uniqueCount="144">
  <si>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</si>
  <si>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</si>
  <si>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</si>
  <si>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</si>
  <si>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</si>
  <si>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</si>
  <si>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</si>
  <si>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</si>
  <si>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</si>
  <si>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</si>
  <si>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</si>
  <si>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</si>
  <si>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</si>
  <si>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</si>
  <si>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</si>
  <si>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</si>
  <si>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</si>
  <si>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</si>
  <si>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</si>
  <si>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</si>
  <si>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</si>
  <si>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</si>
  <si>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</si>
  <si>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</si>
  <si>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</si>
  <si>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</si>
  <si>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</si>
  <si>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</si>
  <si>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</si>
  <si>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</si>
  <si>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</si>
  <si>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</si>
  <si>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</si>
  <si>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</si>
  <si>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</si>
  <si>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</si>
  <si>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</si>
  <si>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</si>
  <si>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</si>
  <si>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</si>
  <si>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</si>
  <si>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</si>
  <si>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</si>
  <si>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</si>
  <si>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</si>
  <si>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</si>
  <si>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</si>
  <si>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</si>
  <si>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</si>
  <si>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</si>
  <si>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</si>
  <si>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</si>
  <si>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</si>
  <si>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</si>
  <si>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</si>
  <si>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</si>
  <si>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</si>
  <si>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</si>
  <si>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</si>
  <si>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</si>
  <si>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</si>
  <si>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</si>
  <si>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</si>
  <si>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</si>
  <si>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</si>
  <si>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</si>
  <si>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</si>
  <si>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</si>
  <si>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</si>
  <si>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</si>
  <si>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</si>
  <si>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</si>
  <si>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</si>
  <si>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</si>
  <si>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</si>
  <si>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</si>
  <si>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</si>
  <si>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</si>
  <si>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</si>
  <si>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</si>
  <si>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</si>
  <si>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</si>
  <si>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</si>
  <si>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</si>
  <si>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</si>
  <si>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</si>
  <si>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</si>
  <si>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</si>
  <si>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</si>
  <si>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</si>
  <si>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</si>
  <si>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</si>
  <si>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</si>
  <si>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</si>
  <si>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</si>
  <si>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</si>
  <si>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</si>
  <si>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</si>
  <si>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</si>
  <si>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</si>
  <si>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</si>
  <si>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</si>
  <si>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</si>
  <si>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</si>
  <si>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</si>
  <si>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</si>
  <si>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</si>
  <si>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</si>
  <si>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</si>
  <si>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</si>
  <si>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</si>
  <si>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</si>
  <si>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</si>
  <si>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</si>
  <si>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</si>
  <si>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</si>
  <si>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</si>
  <si>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</si>
  <si>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</si>
  <si>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</si>
  <si>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</si>
  <si>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</si>
  <si>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</si>
  <si>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</si>
  <si>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</si>
  <si>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</si>
  <si>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</si>
  <si>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</si>
  <si>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</si>
  <si>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</si>
  <si>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</si>
  <si>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</si>
  <si>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</si>
  <si>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</si>
  <si>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AXAﾛﾎﾞｯﾄ</t>
  </si>
  <si>
    <t>SET</t>
  </si>
  <si>
    <t>専用PCｺﾝﾄﾛｰﾗ ﾓﾆﾀｰ ｷｰﾎﾞｰﾄﾞ &amp; ﾏｳｽ【ﾛﾎﾞｯﾄ付属品】</t>
    <rPh sb="35" eb="38">
      <t>フゾクヒン</t>
    </rPh>
    <phoneticPr fontId="14"/>
  </si>
  <si>
    <t>PCｿﾌﾄ 外部ｽｲｯﾁ 含む【ﾛﾎﾞｯﾄ付属品】</t>
  </si>
  <si>
    <t>①</t>
    <phoneticPr fontId="13"/>
  </si>
  <si>
    <t>AXA400-HV</t>
    <phoneticPr fontId="13"/>
  </si>
  <si>
    <t>AXELIAｼﾘｰｽﾞAXA-ＨV（400角）</t>
    <phoneticPr fontId="13"/>
  </si>
  <si>
    <t>モリタ株式会社 (株式会社ﾛﾎﾞｯﾄｼｽﾃﾑｽﾞ)</t>
    <rPh sb="9" eb="13">
      <t>カブシキガイシャ</t>
    </rPh>
    <phoneticPr fontId="13"/>
  </si>
  <si>
    <t>千葉</t>
    <rPh sb="0" eb="2">
      <t>チバ</t>
    </rPh>
    <phoneticPr fontId="13"/>
  </si>
  <si>
    <t>Ｎo.226228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</si>
</sst>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9" xfId="4" applyBorder="1" applyAlignment="1">
      <alignment horizontal="center" vertical="center"/>
    </xf>
    <xf numFmtId="38" fontId="12" fillId="0" borderId="9" xfId="4" applyNumberFormat="1" applyBorder="1" applyAlignment="1">
      <alignment horizontal="right" vertical="center"/>
    </xf>
    <xf numFmtId="180" fontId="12" fillId="0" borderId="9" xfId="4" applyNumberFormat="1" applyBorder="1">
      <alignment vertical="center"/>
    </xf>
    <xf numFmtId="0" fontId="12" fillId="0" borderId="10" xfId="4" applyBorder="1" applyAlignment="1">
      <alignment horizontal="center" vertical="center"/>
    </xf>
    <xf numFmtId="0" fontId="12" fillId="0" borderId="9" xfId="4" applyBorder="1">
      <alignment vertical="center"/>
    </xf>
    <xf numFmtId="3" fontId="12" fillId="10" borderId="9" xfId="4" applyNumberFormat="1" applyFill="1" applyBorder="1" applyAlignment="1">
      <alignment horizontal="center" vertical="center"/>
    </xf>
    <xf numFmtId="3" fontId="12" fillId="9" borderId="9" xfId="4" applyNumberFormat="1" applyFill="1" applyBorder="1" applyAlignment="1">
      <alignment horizontal="center" vertical="center"/>
    </xf>
    <xf numFmtId="0" fontId="12" fillId="9" borderId="9" xfId="4" applyFill="1" applyBorder="1" applyAlignment="1">
      <alignment horizontal="left" vertical="center"/>
    </xf>
    <xf numFmtId="3" fontId="12" fillId="0" borderId="9" xfId="4" applyNumberFormat="1" applyBorder="1" applyAlignment="1">
      <alignment horizontal="center" vertical="center"/>
    </xf>
    <xf numFmtId="3" fontId="12" fillId="0" borderId="10" xfId="4" applyNumberFormat="1" applyBorder="1" applyAlignment="1">
      <alignment horizontal="center" vertical="center"/>
    </xf>
    <xf numFmtId="0" fontId="12" fillId="0" borderId="9" xfId="4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49" fontId="12" fillId="9" borderId="9" xfId="4" applyNumberFormat="1" applyFill="1" applyBorder="1" applyAlignment="1">
      <alignment horizontal="left" vertical="center"/>
    </xf>
    <xf numFmtId="3" fontId="12" fillId="9" borderId="14" xfId="4" applyNumberFormat="1" applyFill="1" applyBorder="1" applyAlignment="1">
      <alignment horizontal="center" vertical="center"/>
    </xf>
    <xf numFmtId="49" fontId="12" fillId="9" borderId="14" xfId="4" applyNumberFormat="1" applyFill="1" applyBorder="1" applyAlignment="1">
      <alignment horizontal="left" vertical="center"/>
    </xf>
    <xf numFmtId="0" fontId="12" fillId="0" borderId="14" xfId="4" applyBorder="1" applyAlignment="1">
      <alignment horizontal="center" vertical="center"/>
    </xf>
    <xf numFmtId="38" fontId="12" fillId="0" borderId="14" xfId="4" applyNumberFormat="1" applyBorder="1" applyAlignment="1">
      <alignment horizontal="center" vertical="center"/>
    </xf>
    <xf numFmtId="0" fontId="12" fillId="0" borderId="15" xfId="4" applyBorder="1" applyAlignment="1">
      <alignment horizontal="center" vertical="center"/>
    </xf>
    <xf numFmtId="49" fontId="12" fillId="0" borderId="9" xfId="4" applyNumberFormat="1" applyBorder="1" applyAlignment="1">
      <alignment horizontal="left" vertical="center"/>
    </xf>
    <xf numFmtId="3" fontId="2" fillId="7" borderId="9" xfId="4" applyNumberFormat="1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92D050"/>
  </sheetPr>
  <dimension ref="B2:R25"/>
  <sheetViews>
    <sheetView tabSelected="1" zoomScale="85" zoomScaleNormal="85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F16" sqref="F16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3" customWidth="1"/>
    <col min="4" max="4" width="15.21875" customWidth="1"/>
    <col min="5" max="5" width="15.44140625" customWidth="1"/>
    <col min="6" max="6" width="55.6640625" customWidth="1"/>
    <col min="7" max="7" width="10.77734375" style="3" customWidth="1"/>
    <col min="8" max="9" width="12.109375" style="3" customWidth="1"/>
    <col min="10" max="10" width="7.109375" style="12" customWidth="1"/>
    <col min="11" max="11" width="38.88671875" customWidth="1"/>
    <col min="12" max="12" width="45.21875" customWidth="1"/>
    <col min="13" max="13" width="8.109375" style="3" customWidth="1"/>
    <col min="14" max="14" width="17" style="3" customWidth="1"/>
    <col min="15" max="15" width="7.88671875" customWidth="1"/>
    <col min="16" max="16" width="16.33203125" style="3" customWidth="1"/>
    <col min="17" max="17" width="17.88671875" style="82" customWidth="1"/>
    <col min="18" max="18" width="19.33203125" style="82" customWidth="1"/>
  </cols>
  <sheetData>
    <row r="2" spans="2:18" ht="20.100000000000001" customHeight="1" x14ac:dyDescent="0.2">
      <c r="C2" s="113" t="s">
        <v>0</v>
      </c>
      <c r="D2" s="113"/>
      <c r="E2" s="113"/>
      <c r="F2" s="80" t="s">
        <v>141</v>
      </c>
      <c r="H2" s="117" t="s">
        <v>2</v>
      </c>
      <c r="I2" s="118"/>
      <c r="J2" s="119"/>
      <c r="K2" s="11">
        <f>SUM(I:I)</f>
        <v>0</v>
      </c>
    </row>
    <row r="3" spans="2:18" ht="20.100000000000001" customHeight="1" x14ac:dyDescent="0.2">
      <c r="C3" s="113" t="s">
        <v>3</v>
      </c>
      <c r="D3" s="113"/>
      <c r="E3" s="113"/>
      <c r="F3" s="9" t="s">
        <v>142</v>
      </c>
    </row>
    <row r="4" spans="2:18" ht="20.100000000000001" customHeight="1" x14ac:dyDescent="0.2">
      <c r="C4" s="113" t="s">
        <v>5</v>
      </c>
      <c r="D4" s="113"/>
      <c r="E4" s="113"/>
      <c r="F4" s="9" t="s">
        <v>143</v>
      </c>
      <c r="H4" s="120" t="s">
        <v>138</v>
      </c>
      <c r="I4" s="121"/>
      <c r="J4" s="124"/>
      <c r="K4" s="124"/>
      <c r="L4" s="124"/>
    </row>
    <row r="5" spans="2:18" ht="20.100000000000001" customHeight="1" x14ac:dyDescent="0.2">
      <c r="C5" s="113" t="s">
        <v>6</v>
      </c>
      <c r="D5" s="113"/>
      <c r="E5" s="113"/>
      <c r="F5" s="10">
        <v>45931</v>
      </c>
      <c r="H5" s="122"/>
      <c r="I5" s="123"/>
      <c r="J5" s="124"/>
      <c r="K5" s="124"/>
      <c r="L5" s="124"/>
    </row>
    <row r="6" spans="2:18" ht="20.100000000000001" customHeight="1" x14ac:dyDescent="0.2">
      <c r="C6" s="113" t="s">
        <v>7</v>
      </c>
      <c r="D6" s="113"/>
      <c r="E6" s="113"/>
      <c r="F6" s="10">
        <v>45932</v>
      </c>
      <c r="I6" s="83"/>
    </row>
    <row r="8" spans="2:18" s="3" customFormat="1" ht="19.5" customHeight="1" x14ac:dyDescent="0.2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2:18" s="3" customFormat="1" ht="19.5" customHeight="1" x14ac:dyDescent="0.2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2:18" s="3" customFormat="1" ht="19.5" customHeight="1" x14ac:dyDescent="0.2">
      <c r="C10" s="114" t="s">
        <v>134</v>
      </c>
      <c r="D10" s="115"/>
      <c r="E10" s="115"/>
      <c r="F10" s="116"/>
      <c r="G10" s="87"/>
      <c r="H10" s="88"/>
      <c r="I10" s="89"/>
      <c r="J10" s="90"/>
      <c r="K10" s="91"/>
      <c r="L10" s="1"/>
      <c r="M10" s="1"/>
      <c r="N10" s="18"/>
      <c r="O10" s="4"/>
      <c r="P10" s="1"/>
      <c r="Q10" s="18"/>
      <c r="R10" s="8"/>
    </row>
    <row r="11" spans="2:18" s="3" customFormat="1" ht="19.5" customHeight="1" x14ac:dyDescent="0.2">
      <c r="C11" s="92">
        <v>1</v>
      </c>
      <c r="D11" s="93" t="s">
        <v>135</v>
      </c>
      <c r="E11" s="93" t="s">
        <v>135</v>
      </c>
      <c r="F11" s="94" t="s">
        <v>139</v>
      </c>
      <c r="G11" s="87">
        <v>1</v>
      </c>
      <c r="H11" s="95">
        <v>0</v>
      </c>
      <c r="I11" s="96">
        <v>0</v>
      </c>
      <c r="J11" s="90"/>
      <c r="K11" s="97" t="s">
        <v>140</v>
      </c>
      <c r="L11" s="1"/>
      <c r="M11" s="1"/>
      <c r="N11" s="18"/>
      <c r="O11" s="4"/>
      <c r="P11" s="1"/>
      <c r="Q11" s="18"/>
      <c r="R11" s="8"/>
    </row>
    <row r="12" spans="2:18" s="3" customFormat="1" ht="19.5" customHeight="1" x14ac:dyDescent="0.2">
      <c r="C12" s="98">
        <f t="shared" ref="C12:C13" si="0">C11+1</f>
        <v>2</v>
      </c>
      <c r="D12" s="93" t="s">
        <v>135</v>
      </c>
      <c r="E12" s="93" t="s">
        <v>135</v>
      </c>
      <c r="F12" s="99" t="s">
        <v>136</v>
      </c>
      <c r="G12" s="87">
        <v>1</v>
      </c>
      <c r="H12" s="95">
        <v>0</v>
      </c>
      <c r="I12" s="95">
        <v>0</v>
      </c>
      <c r="J12" s="90"/>
      <c r="K12" s="97"/>
      <c r="L12" s="1"/>
      <c r="M12" s="1"/>
      <c r="N12" s="18"/>
      <c r="O12" s="4"/>
      <c r="P12" s="1"/>
      <c r="Q12" s="18"/>
      <c r="R12" s="8"/>
    </row>
    <row r="13" spans="2:18" s="3" customFormat="1" ht="19.5" customHeight="1" x14ac:dyDescent="0.2">
      <c r="C13" s="98">
        <f t="shared" si="0"/>
        <v>3</v>
      </c>
      <c r="D13" s="100" t="s">
        <v>135</v>
      </c>
      <c r="E13" s="100" t="s">
        <v>135</v>
      </c>
      <c r="F13" s="101" t="s">
        <v>137</v>
      </c>
      <c r="G13" s="102">
        <v>1</v>
      </c>
      <c r="H13" s="103">
        <v>0</v>
      </c>
      <c r="I13" s="103">
        <v>0</v>
      </c>
      <c r="J13" s="104"/>
      <c r="K13" s="91"/>
      <c r="L13" s="1"/>
      <c r="M13" s="1"/>
      <c r="N13" s="18"/>
      <c r="O13" s="4"/>
      <c r="P13" s="1"/>
      <c r="Q13" s="18"/>
      <c r="R13" s="8"/>
    </row>
    <row r="14" spans="2:18" s="3" customFormat="1" ht="19.5" customHeight="1" x14ac:dyDescent="0.2">
      <c r="C14" s="95"/>
      <c r="D14" s="95"/>
      <c r="E14" s="95"/>
      <c r="F14" s="105"/>
      <c r="G14" s="87"/>
      <c r="H14" s="88"/>
      <c r="I14" s="89"/>
      <c r="J14" s="90"/>
      <c r="K14" s="91"/>
      <c r="L14" s="1"/>
      <c r="M14" s="1"/>
      <c r="N14" s="18"/>
      <c r="O14" s="4"/>
      <c r="P14" s="1"/>
      <c r="Q14" s="18"/>
      <c r="R14" s="8"/>
    </row>
    <row r="15" spans="2:18" s="3" customFormat="1" ht="19.5" customHeight="1" x14ac:dyDescent="0.2">
      <c r="C15" s="95"/>
      <c r="D15" s="95"/>
      <c r="E15" s="106"/>
      <c r="F15" s="107">
        <v>0</v>
      </c>
      <c r="G15" s="87"/>
      <c r="H15" s="88"/>
      <c r="I15" s="89"/>
      <c r="J15" s="90"/>
      <c r="K15" s="91"/>
      <c r="L15" s="1"/>
      <c r="M15" s="1"/>
      <c r="N15" s="18"/>
      <c r="O15" s="4"/>
      <c r="P15" s="1"/>
      <c r="Q15" s="18"/>
      <c r="R15" s="8"/>
    </row>
    <row r="16" spans="2:18" s="3" customFormat="1" ht="19.5" customHeight="1" x14ac:dyDescent="0.2">
      <c r="C16" s="81"/>
      <c r="D16" s="81"/>
      <c r="E16" s="81"/>
      <c r="F16" s="84"/>
      <c r="G16" s="108"/>
      <c r="H16" s="49"/>
      <c r="I16" s="49"/>
      <c r="J16" s="14"/>
      <c r="K16" s="50"/>
      <c r="L16" s="1"/>
      <c r="M16" s="1"/>
      <c r="N16" s="18"/>
      <c r="O16" s="4"/>
      <c r="P16" s="1"/>
      <c r="Q16" s="18"/>
      <c r="R16" s="8"/>
    </row>
    <row r="17" spans="3:18" s="3" customFormat="1" ht="19.5" customHeight="1" x14ac:dyDescent="0.2">
      <c r="C17" s="81"/>
      <c r="D17" s="81"/>
      <c r="E17" s="81"/>
      <c r="F17" s="84"/>
      <c r="G17" s="108"/>
      <c r="H17" s="49"/>
      <c r="I17" s="49"/>
      <c r="J17" s="14"/>
      <c r="K17" s="50"/>
      <c r="L17" s="1"/>
      <c r="M17" s="1"/>
      <c r="N17" s="18"/>
      <c r="O17" s="4"/>
      <c r="P17" s="1"/>
      <c r="Q17" s="18"/>
      <c r="R17" s="8"/>
    </row>
    <row r="18" spans="3:18" ht="18" customHeight="1" x14ac:dyDescent="0.2">
      <c r="C18" s="31"/>
      <c r="D18" s="32"/>
      <c r="E18" s="32"/>
      <c r="F18" s="109"/>
      <c r="G18" s="30"/>
      <c r="H18" s="30"/>
      <c r="I18" s="49"/>
      <c r="J18" s="2"/>
      <c r="K18" s="19"/>
      <c r="L18" s="6"/>
      <c r="M18" s="5"/>
      <c r="N18" s="18"/>
      <c r="O18" s="8"/>
      <c r="P18" s="8"/>
      <c r="Q18" s="18"/>
      <c r="R18" s="16"/>
    </row>
    <row r="19" spans="3:18" ht="18" customHeight="1" x14ac:dyDescent="0.2">
      <c r="C19" s="1"/>
      <c r="D19" s="1"/>
      <c r="E19" s="1"/>
      <c r="F19" s="6" t="s">
        <v>130</v>
      </c>
      <c r="G19" s="49"/>
      <c r="H19" s="49"/>
      <c r="I19" s="49">
        <f>G19*H19</f>
        <v>0</v>
      </c>
      <c r="J19" s="14"/>
      <c r="K19" s="19" t="s">
        <v>131</v>
      </c>
      <c r="L19" s="51"/>
      <c r="M19" s="1"/>
      <c r="N19" s="18"/>
      <c r="O19" s="51"/>
      <c r="P19" s="1"/>
      <c r="Q19" s="18"/>
      <c r="R19" s="16"/>
    </row>
    <row r="20" spans="3:18" ht="18" customHeight="1" x14ac:dyDescent="0.2">
      <c r="C20" s="1"/>
      <c r="D20" s="4"/>
      <c r="E20" s="4"/>
      <c r="F20" s="6" t="s">
        <v>131</v>
      </c>
      <c r="G20" s="49"/>
      <c r="H20" s="49">
        <v>5000</v>
      </c>
      <c r="I20" s="49">
        <f>G20*H20</f>
        <v>0</v>
      </c>
      <c r="J20" s="14"/>
      <c r="K20" s="19" t="s">
        <v>132</v>
      </c>
      <c r="L20" s="51"/>
      <c r="M20" s="1"/>
      <c r="N20" s="18"/>
      <c r="O20" s="51"/>
      <c r="P20" s="1"/>
      <c r="Q20" s="18"/>
      <c r="R20" s="8"/>
    </row>
    <row r="21" spans="3:18" ht="18" customHeight="1" x14ac:dyDescent="0.2">
      <c r="C21" s="1"/>
      <c r="D21" s="4"/>
      <c r="E21" s="4"/>
      <c r="F21" s="6" t="s">
        <v>132</v>
      </c>
      <c r="G21" s="49"/>
      <c r="H21" s="49"/>
      <c r="I21" s="49">
        <f>G21*H21</f>
        <v>0</v>
      </c>
      <c r="J21" s="14"/>
      <c r="K21" s="5"/>
      <c r="L21" s="51"/>
      <c r="M21" s="1"/>
      <c r="N21" s="1"/>
      <c r="O21" s="51"/>
      <c r="P21" s="1"/>
      <c r="Q21" s="8"/>
      <c r="R21" s="8"/>
    </row>
    <row r="22" spans="3:18" ht="18" customHeight="1" x14ac:dyDescent="0.2">
      <c r="C22" s="1"/>
      <c r="D22" s="4"/>
      <c r="E22" s="4"/>
      <c r="F22" s="110"/>
      <c r="G22" s="111"/>
      <c r="H22" s="111"/>
      <c r="I22" s="112"/>
      <c r="J22" s="7"/>
      <c r="K22" s="47"/>
    </row>
    <row r="23" spans="3:18" ht="18" customHeight="1" x14ac:dyDescent="0.2"/>
    <row r="24" spans="3:18" ht="18" customHeight="1" x14ac:dyDescent="0.2"/>
    <row r="25" spans="3:18" ht="18" customHeight="1" x14ac:dyDescent="0.2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3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7734375" defaultRowHeight="13.5" customHeight="1" x14ac:dyDescent="0.2"/>
  <cols>
    <col min="1" max="1" width="3.109375" customWidth="1"/>
    <col min="2" max="2" width="6.21875" style="3" customWidth="1"/>
    <col min="3" max="3" width="15.21875" customWidth="1"/>
    <col min="4" max="4" width="15.44140625" customWidth="1"/>
    <col min="5" max="5" width="43.88671875" customWidth="1"/>
    <col min="6" max="6" width="10.77734375" customWidth="1"/>
    <col min="7" max="8" width="12.109375" customWidth="1"/>
    <col min="9" max="9" width="7.109375" style="12" customWidth="1"/>
    <col min="10" max="10" width="55.21875" customWidth="1"/>
    <col min="11" max="11" width="22.109375" customWidth="1"/>
    <col min="12" max="12" width="8.109375" style="3" customWidth="1"/>
    <col min="13" max="13" width="17" style="3" customWidth="1"/>
    <col min="14" max="14" width="7.88671875" customWidth="1"/>
    <col min="15" max="15" width="16.33203125" style="12" customWidth="1"/>
    <col min="16" max="16" width="17.88671875" style="15" customWidth="1"/>
    <col min="17" max="17" width="19.33203125" style="15" customWidth="1"/>
  </cols>
  <sheetData>
    <row r="2" spans="2:17" ht="20.100000000000001" customHeight="1" x14ac:dyDescent="0.2">
      <c r="B2" s="113" t="s">
        <v>0</v>
      </c>
      <c r="C2" s="113"/>
      <c r="D2" s="113"/>
      <c r="E2" s="9" t="s">
        <v>1</v>
      </c>
      <c r="G2" s="117" t="s">
        <v>2</v>
      </c>
      <c r="H2" s="118"/>
      <c r="I2" s="119"/>
      <c r="J2" s="11">
        <f>SUM(H:H)</f>
        <v>412688</v>
      </c>
    </row>
    <row r="3" spans="2:17" ht="20.100000000000001" customHeight="1" x14ac:dyDescent="0.2">
      <c r="B3" s="113" t="s">
        <v>3</v>
      </c>
      <c r="C3" s="113"/>
      <c r="D3" s="113"/>
      <c r="E3" s="9" t="s">
        <v>4</v>
      </c>
    </row>
    <row r="4" spans="2:17" ht="20.100000000000001" customHeight="1" x14ac:dyDescent="0.2">
      <c r="B4" s="113" t="s">
        <v>5</v>
      </c>
      <c r="C4" s="113"/>
      <c r="D4" s="113"/>
      <c r="E4" s="9"/>
    </row>
    <row r="5" spans="2:17" ht="20.100000000000001" customHeight="1" x14ac:dyDescent="0.2">
      <c r="B5" s="113" t="s">
        <v>6</v>
      </c>
      <c r="C5" s="113"/>
      <c r="D5" s="113"/>
      <c r="E5" s="10">
        <v>42165</v>
      </c>
    </row>
    <row r="6" spans="2:17" ht="20.100000000000001" customHeight="1" x14ac:dyDescent="0.2">
      <c r="B6" s="113" t="s">
        <v>7</v>
      </c>
      <c r="C6" s="113"/>
      <c r="D6" s="113"/>
      <c r="E6" s="10">
        <v>42170</v>
      </c>
    </row>
    <row r="8" spans="2:17" s="3" customFormat="1" ht="19.5" customHeight="1" x14ac:dyDescent="0.2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2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2">
      <c r="B10" s="128" t="s">
        <v>24</v>
      </c>
      <c r="C10" s="129"/>
      <c r="D10" s="129"/>
      <c r="E10" s="130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2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2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2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2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2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2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2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2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2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2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2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2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2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2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2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2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2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2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2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2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2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2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2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2">
      <c r="B36" s="125" t="s">
        <v>62</v>
      </c>
      <c r="C36" s="126"/>
      <c r="D36" s="126"/>
      <c r="E36" s="127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2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2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2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2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2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2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2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2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2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2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2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2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2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2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2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2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2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2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2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25" t="s">
        <v>102</v>
      </c>
      <c r="C61" s="126"/>
      <c r="D61" s="126"/>
      <c r="E61" s="127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2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2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2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2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2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2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2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2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2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2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2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2">
      <c r="B74" s="128" t="s">
        <v>112</v>
      </c>
      <c r="C74" s="129"/>
      <c r="D74" s="129"/>
      <c r="E74" s="130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2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2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2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2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2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2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2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2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2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2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2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2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2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2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2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2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2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2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2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2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2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2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2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2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2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2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2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2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2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2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2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2"/>
    <row r="107" spans="2:17" ht="18" customHeight="1" x14ac:dyDescent="0.2"/>
    <row r="108" spans="2:17" ht="18" customHeight="1" x14ac:dyDescent="0.2"/>
    <row r="109" spans="2:17" ht="18" customHeight="1" x14ac:dyDescent="0.2"/>
    <row r="110" spans="2:17" ht="18" customHeight="1" x14ac:dyDescent="0.2"/>
    <row r="111" spans="2:17" ht="18" customHeight="1" x14ac:dyDescent="0.2"/>
    <row r="112" spans="2:17" ht="18" customHeight="1" x14ac:dyDescent="0.2"/>
    <row r="113" spans="2:17" ht="18" customHeight="1" x14ac:dyDescent="0.2"/>
    <row r="114" spans="2:17" s="43" customFormat="1" ht="13.5" customHeight="1" x14ac:dyDescent="0.2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2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2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2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2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7734375" defaultRowHeight="13.5" customHeight="1" x14ac:dyDescent="0.2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7734375" defaultRowHeight="13.5" customHeight="1" x14ac:dyDescent="0.2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ﾛﾎﾞｯﾄ発注 (226228)  ①</vt:lpstr>
      <vt:lpstr>Sheet1</vt:lpstr>
      <vt:lpstr>Sheet2</vt:lpstr>
      <vt:lpstr>Sheet3</vt:lpstr>
      <vt:lpstr>Sheet1!_FilterDatabase</vt:lpstr>
      <vt:lpstr>'ﾛﾎﾞｯﾄ発注 (226228)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2025-08-27T03:52:37Z</dcterms:modified>
</cp:coreProperties>
</file>