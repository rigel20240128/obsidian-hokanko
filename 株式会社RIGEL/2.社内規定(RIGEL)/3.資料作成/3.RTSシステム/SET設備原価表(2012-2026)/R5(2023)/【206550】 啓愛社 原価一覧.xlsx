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A005D3EE-43E1-4890-979E-FA633C1C47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価表" sheetId="1" r:id="rId1"/>
    <sheet name="表紙" sheetId="2" r:id="rId2"/>
  </sheets>
  <definedNames>
    <definedName name="_xlnm._FilterDatabase" localSheetId="0" hidden="1">原価表!$B$9:$O$42</definedName>
  </definedNames>
  <calcPr calcId="18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H16" i="1"/>
  <c r="H12" i="1" l="1"/>
  <c r="H10" i="1"/>
  <c r="H41" i="1"/>
  <c r="H42" i="1"/>
  <c r="H14" i="1" l="1"/>
  <c r="H13" i="1"/>
  <c r="H15" i="1"/>
  <c r="H11" i="1"/>
  <c r="J2" i="1" l="1"/>
</calcChain>
</file>

<file path=xl/sharedStrings.xml><?xml version="1.0" encoding="utf-8"?>
<sst xmlns="http://schemas.openxmlformats.org/spreadsheetml/2006/main" count="71" uniqueCount="47">
  <si>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</si>
  <si>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</si>
  <si>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</si>
  <si>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</si>
  <si>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</si>
  <si>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</si>
  <si>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</si>
  <si>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</si>
  <si>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</si>
  <si>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</si>
  <si>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</si>
  <si>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</si>
  <si>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</si>
  <si>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</si>
  <si>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</si>
  <si>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</si>
  <si>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</si>
  <si>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</si>
  <si>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</si>
  <si>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</si>
  <si>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</si>
  <si>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</si>
  <si>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原田</t>
    <rPh sb="0" eb="2">
      <t>ハラダ</t>
    </rPh>
    <phoneticPr fontId="1"/>
  </si>
  <si>
    <t>Dsub15ピン　オス</t>
    <phoneticPr fontId="6"/>
  </si>
  <si>
    <t>Dsub15ピン　メス</t>
    <phoneticPr fontId="6"/>
  </si>
  <si>
    <t>株式会社啓愛社</t>
    <rPh sb="0" eb="4">
      <t>カブシキカイシャ</t>
    </rPh>
    <rPh sb="4" eb="7">
      <t>ケイアイシャ</t>
    </rPh>
    <phoneticPr fontId="1"/>
  </si>
  <si>
    <t>NSDJ-PT-SB-37-2.5</t>
    <phoneticPr fontId="1"/>
  </si>
  <si>
    <t>PLCﾛｰﾀﾞｰﾊｰﾈｽ</t>
  </si>
  <si>
    <t>Dsubフード</t>
    <phoneticPr fontId="1"/>
  </si>
  <si>
    <t>オムロン</t>
    <phoneticPr fontId="6"/>
  </si>
  <si>
    <t>制御機材</t>
    <rPh sb="0" eb="2">
      <t>セイギョ</t>
    </rPh>
    <rPh sb="2" eb="4">
      <t>キザイ</t>
    </rPh>
    <phoneticPr fontId="6"/>
  </si>
  <si>
    <t>PYFZ-08</t>
    <phoneticPr fontId="6"/>
  </si>
  <si>
    <t>共用ソケット</t>
    <rPh sb="0" eb="2">
      <t>キョウヨウ</t>
    </rPh>
    <phoneticPr fontId="1"/>
  </si>
  <si>
    <t>ミニパワーリレー</t>
    <phoneticPr fontId="6"/>
  </si>
  <si>
    <t>受注番号206200にて手配済み</t>
    <rPh sb="0" eb="2">
      <t>ジュチュウ</t>
    </rPh>
    <rPh sb="2" eb="4">
      <t>バンゴウ</t>
    </rPh>
    <rPh sb="12" eb="14">
      <t>テハイ</t>
    </rPh>
    <rPh sb="14" eb="15">
      <t>ズ</t>
    </rPh>
    <phoneticPr fontId="1"/>
  </si>
  <si>
    <t>発注願います。</t>
    <rPh sb="0" eb="3">
      <t>ハッチュウネガ</t>
    </rPh>
    <phoneticPr fontId="1"/>
  </si>
  <si>
    <t>WEB発注済</t>
    <rPh sb="3" eb="5">
      <t>ハッチュウ</t>
    </rPh>
    <rPh sb="5" eb="6">
      <t>スミ</t>
    </rPh>
    <phoneticPr fontId="1"/>
  </si>
  <si>
    <t>MY2N-D2 DC24</t>
  </si>
  <si>
    <t>DB-15SP</t>
  </si>
  <si>
    <t>DB-15SS</t>
  </si>
  <si>
    <t>DA-C8-J10-F1-1R</t>
  </si>
  <si>
    <t>MISUMI</t>
    <phoneticPr fontId="6"/>
  </si>
  <si>
    <t>MVSHM-3N02002-3EZ-3GCBA</t>
  </si>
  <si>
    <t>■SETA0160-Z01</t>
    <phoneticPr fontId="1"/>
  </si>
  <si>
    <t>WEB発注済</t>
    <rPh sb="3" eb="6">
      <t>ハッチュウスミ</t>
    </rPh>
    <phoneticPr fontId="1"/>
  </si>
  <si>
    <t>TKR-TWE1</t>
  </si>
  <si>
    <t>ｱｸｾｻﾘｰ ﾌﾟﾘﾝﾄｷﾊﾞﾝTKRｼﾘｰｽﾞ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</si>
</sst>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#,##0_ "/>
  </numFmts>
  <fonts count="17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4"/>
      <color theme="4"/>
      <name val="ＭＳ Ｐゴシック"/>
      <family val="3"/>
      <charset val="128"/>
      <scheme val="minor"/>
    </font>
    <font>
      <b/>
      <u/>
      <sz val="16"/>
      <color rgb="FFFF0000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  <scheme val="minor"/>
    </font>
    <font>
      <b/>
      <sz val="20"/>
      <color rgb="FFFF0000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shrinkToFit="1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9" fontId="0" fillId="0" borderId="0" xfId="0" applyNumberFormat="1">
      <alignment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0" fontId="0" fillId="3" borderId="1" xfId="0" applyFill="1" applyBorder="1">
      <alignment vertical="center"/>
    </xf>
    <xf numFmtId="176" fontId="0" fillId="3" borderId="1" xfId="0" applyNumberFormat="1" applyFill="1" applyBorder="1">
      <alignment vertical="center"/>
    </xf>
    <xf numFmtId="177" fontId="3" fillId="0" borderId="0" xfId="0" applyNumberFormat="1" applyFont="1" applyAlignment="1">
      <alignment horizontal="center" vertical="center"/>
    </xf>
    <xf numFmtId="38" fontId="0" fillId="0" borderId="0" xfId="0" applyNumberFormat="1">
      <alignment vertical="center"/>
    </xf>
    <xf numFmtId="38" fontId="7" fillId="0" borderId="0" xfId="0" applyNumberFormat="1" applyFont="1">
      <alignment vertical="center"/>
    </xf>
    <xf numFmtId="0" fontId="7" fillId="0" borderId="1" xfId="0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11" fillId="0" borderId="0" xfId="0" applyFont="1">
      <alignment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0" fillId="0" borderId="1" xfId="0" applyNumberFormat="1" applyBorder="1">
      <alignment vertical="center"/>
    </xf>
    <xf numFmtId="179" fontId="9" fillId="0" borderId="0" xfId="0" applyNumberFormat="1" applyFont="1">
      <alignment vertical="center"/>
    </xf>
    <xf numFmtId="178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7" fillId="0" borderId="2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80" fontId="0" fillId="0" borderId="1" xfId="0" applyNumberFormat="1" applyBorder="1">
      <alignment vertical="center"/>
    </xf>
    <xf numFmtId="3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4" borderId="1" xfId="0" applyNumberFormat="1" applyFill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0" fontId="0" fillId="4" borderId="1" xfId="0" applyFill="1" applyBorder="1">
      <alignment vertical="center"/>
    </xf>
    <xf numFmtId="176" fontId="0" fillId="4" borderId="1" xfId="0" applyNumberFormat="1" applyFill="1" applyBorder="1">
      <alignment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3" fontId="7" fillId="0" borderId="1" xfId="0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78" fontId="0" fillId="3" borderId="1" xfId="0" applyNumberFormat="1" applyFill="1" applyBorder="1" applyAlignment="1">
      <alignment horizontal="center" vertical="center"/>
    </xf>
    <xf numFmtId="56" fontId="0" fillId="3" borderId="1" xfId="0" applyNumberFormat="1" applyFill="1" applyBorder="1" applyAlignment="1">
      <alignment horizontal="center" vertical="center"/>
    </xf>
    <xf numFmtId="179" fontId="0" fillId="3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42"/>
  <sheetViews>
    <sheetView tabSelected="1" zoomScale="70" zoomScaleNormal="70" workbookViewId="0">
      <pane xSplit="8" topLeftCell="K1" activePane="topRight" state="frozen"/>
      <selection pane="topRight" activeCell="R10" sqref="R10"/>
    </sheetView>
  </sheetViews>
  <sheetFormatPr defaultColWidth="9" defaultRowHeight="13.5" x14ac:dyDescent="0.15"/>
  <cols>
    <col min="1" max="1" width="2.625" customWidth="1"/>
    <col min="2" max="2" width="24.25" style="3" customWidth="1"/>
    <col min="3" max="4" width="19.25" bestFit="1" customWidth="1"/>
    <col min="5" max="5" width="56" customWidth="1"/>
    <col min="6" max="6" width="6.25" customWidth="1"/>
    <col min="7" max="7" width="20.5" customWidth="1"/>
    <col min="8" max="8" width="11.875" bestFit="1" customWidth="1"/>
    <col min="9" max="9" width="8.875" style="4" customWidth="1"/>
    <col min="10" max="10" width="35.25" bestFit="1" customWidth="1"/>
    <col min="11" max="11" width="47.875" customWidth="1"/>
    <col min="12" max="12" width="28.125" style="3" customWidth="1"/>
    <col min="13" max="13" width="13.75" style="33" customWidth="1"/>
    <col min="14" max="14" width="6.375" customWidth="1"/>
    <col min="15" max="15" width="13.25" style="4" customWidth="1"/>
    <col min="16" max="16" width="14.5" style="5" customWidth="1"/>
    <col min="17" max="17" width="15.625" style="33" customWidth="1"/>
  </cols>
  <sheetData>
    <row r="2" spans="2:17" ht="20.100000000000001" customHeight="1" x14ac:dyDescent="0.15">
      <c r="B2" s="56" t="s">
        <v>11</v>
      </c>
      <c r="C2" s="56"/>
      <c r="D2" s="56"/>
      <c r="E2" s="1" t="s">
        <v>25</v>
      </c>
      <c r="G2" s="57" t="s">
        <v>15</v>
      </c>
      <c r="H2" s="58"/>
      <c r="I2" s="59"/>
      <c r="J2" s="2">
        <f>SUM(H:H)</f>
        <v>39535</v>
      </c>
    </row>
    <row r="3" spans="2:17" ht="20.100000000000001" customHeight="1" x14ac:dyDescent="0.15">
      <c r="B3" s="56" t="s">
        <v>10</v>
      </c>
      <c r="C3" s="56"/>
      <c r="D3" s="56"/>
      <c r="E3" s="6" t="s">
        <v>22</v>
      </c>
      <c r="P3" s="32"/>
    </row>
    <row r="4" spans="2:17" ht="20.100000000000001" customHeight="1" x14ac:dyDescent="0.15">
      <c r="B4" s="56" t="s">
        <v>12</v>
      </c>
      <c r="C4" s="56"/>
      <c r="D4" s="56"/>
      <c r="E4" s="6">
        <v>206550</v>
      </c>
      <c r="I4" s="20"/>
      <c r="J4" s="4"/>
      <c r="K4" s="25"/>
      <c r="L4" s="23"/>
    </row>
    <row r="5" spans="2:17" ht="20.100000000000001" customHeight="1" x14ac:dyDescent="0.15">
      <c r="B5" s="56" t="s">
        <v>13</v>
      </c>
      <c r="C5" s="56"/>
      <c r="D5" s="56"/>
      <c r="E5" s="7">
        <v>45222</v>
      </c>
      <c r="G5" s="3"/>
      <c r="I5" s="29"/>
      <c r="J5" s="20"/>
      <c r="K5" s="27"/>
      <c r="L5" s="21"/>
    </row>
    <row r="6" spans="2:17" ht="20.100000000000001" customHeight="1" x14ac:dyDescent="0.15">
      <c r="B6" s="56" t="s">
        <v>14</v>
      </c>
      <c r="C6" s="56"/>
      <c r="D6" s="56"/>
      <c r="E6" s="7">
        <v>45264</v>
      </c>
      <c r="I6" s="30"/>
      <c r="J6" s="21"/>
      <c r="K6" s="26"/>
      <c r="L6" s="24"/>
    </row>
    <row r="7" spans="2:17" ht="20.100000000000001" customHeight="1" x14ac:dyDescent="0.15">
      <c r="B7" s="8"/>
      <c r="C7" s="8"/>
      <c r="D7" s="8"/>
      <c r="E7" s="19"/>
      <c r="J7" s="20"/>
      <c r="L7" s="20"/>
    </row>
    <row r="9" spans="2:17" s="3" customFormat="1" ht="19.7" customHeight="1" x14ac:dyDescent="0.15">
      <c r="B9" s="9" t="s">
        <v>4</v>
      </c>
      <c r="C9" s="9" t="s">
        <v>9</v>
      </c>
      <c r="D9" s="9" t="s">
        <v>5</v>
      </c>
      <c r="E9" s="10" t="s">
        <v>8</v>
      </c>
      <c r="F9" s="10" t="s">
        <v>0</v>
      </c>
      <c r="G9" s="10" t="s">
        <v>1</v>
      </c>
      <c r="H9" s="11" t="s">
        <v>2</v>
      </c>
      <c r="I9" s="11" t="s">
        <v>18</v>
      </c>
      <c r="J9" s="10" t="s">
        <v>3</v>
      </c>
      <c r="K9" s="10" t="s">
        <v>17</v>
      </c>
      <c r="L9" s="10" t="s">
        <v>16</v>
      </c>
      <c r="M9" s="13" t="s">
        <v>6</v>
      </c>
      <c r="N9" s="9" t="s">
        <v>19</v>
      </c>
      <c r="O9" s="10" t="s">
        <v>7</v>
      </c>
      <c r="P9" s="12" t="s">
        <v>20</v>
      </c>
      <c r="Q9" s="13" t="s">
        <v>21</v>
      </c>
    </row>
    <row r="10" spans="2:17" s="3" customFormat="1" ht="19.7" customHeight="1" x14ac:dyDescent="0.15">
      <c r="B10" s="9">
        <v>1</v>
      </c>
      <c r="C10" s="10" t="s">
        <v>29</v>
      </c>
      <c r="D10" s="9" t="s">
        <v>30</v>
      </c>
      <c r="E10" s="40" t="s">
        <v>31</v>
      </c>
      <c r="F10" s="16">
        <v>16</v>
      </c>
      <c r="G10" s="16">
        <v>250</v>
      </c>
      <c r="H10" s="31">
        <f t="shared" ref="H10:H17" si="0">F10*G10</f>
        <v>4000</v>
      </c>
      <c r="I10" s="11"/>
      <c r="J10" s="40" t="s">
        <v>32</v>
      </c>
      <c r="K10" s="47" t="s">
        <v>35</v>
      </c>
      <c r="L10" s="10"/>
      <c r="M10" s="13">
        <v>45089</v>
      </c>
      <c r="N10" s="9"/>
      <c r="O10" s="42">
        <v>45222</v>
      </c>
      <c r="P10" s="12">
        <v>45219</v>
      </c>
      <c r="Q10" s="13">
        <v>45218</v>
      </c>
    </row>
    <row r="11" spans="2:17" s="3" customFormat="1" ht="19.7" customHeight="1" x14ac:dyDescent="0.15">
      <c r="B11" s="9">
        <v>1</v>
      </c>
      <c r="C11" s="48" t="s">
        <v>41</v>
      </c>
      <c r="D11" s="48" t="s">
        <v>41</v>
      </c>
      <c r="E11" s="43" t="s">
        <v>26</v>
      </c>
      <c r="F11" s="43">
        <v>0</v>
      </c>
      <c r="G11" s="43">
        <v>0</v>
      </c>
      <c r="H11" s="44">
        <f>F11*G11</f>
        <v>0</v>
      </c>
      <c r="I11" s="45"/>
      <c r="J11" s="46" t="s">
        <v>27</v>
      </c>
      <c r="K11" s="41" t="s">
        <v>34</v>
      </c>
      <c r="L11" s="10"/>
      <c r="M11" s="13"/>
      <c r="N11" s="9"/>
      <c r="O11" s="42"/>
      <c r="P11" s="12"/>
      <c r="Q11" s="13"/>
    </row>
    <row r="12" spans="2:17" s="3" customFormat="1" ht="19.7" customHeight="1" x14ac:dyDescent="0.15">
      <c r="B12" s="9">
        <v>1</v>
      </c>
      <c r="C12" s="10" t="s">
        <v>41</v>
      </c>
      <c r="D12" s="10" t="s">
        <v>41</v>
      </c>
      <c r="E12" s="15" t="s">
        <v>37</v>
      </c>
      <c r="F12" s="15">
        <v>16</v>
      </c>
      <c r="G12" s="15">
        <v>1708</v>
      </c>
      <c r="H12" s="31">
        <f>F12*G12</f>
        <v>27328</v>
      </c>
      <c r="I12" s="11"/>
      <c r="J12" s="40" t="s">
        <v>33</v>
      </c>
      <c r="K12" s="9" t="s">
        <v>36</v>
      </c>
      <c r="L12" s="10"/>
      <c r="M12" s="13"/>
      <c r="N12" s="9"/>
      <c r="O12" s="42">
        <v>45222</v>
      </c>
      <c r="P12" s="12">
        <v>45089</v>
      </c>
      <c r="Q12" s="13">
        <v>45089</v>
      </c>
    </row>
    <row r="13" spans="2:17" s="3" customFormat="1" ht="19.7" customHeight="1" x14ac:dyDescent="0.15">
      <c r="B13" s="9">
        <v>1</v>
      </c>
      <c r="C13" s="10" t="s">
        <v>41</v>
      </c>
      <c r="D13" s="10" t="s">
        <v>41</v>
      </c>
      <c r="E13" s="15" t="s">
        <v>38</v>
      </c>
      <c r="F13" s="15">
        <v>2</v>
      </c>
      <c r="G13" s="15">
        <v>188</v>
      </c>
      <c r="H13" s="31">
        <f t="shared" si="0"/>
        <v>376</v>
      </c>
      <c r="I13" s="16"/>
      <c r="J13" s="40" t="s">
        <v>23</v>
      </c>
      <c r="K13" s="9" t="s">
        <v>36</v>
      </c>
      <c r="L13" s="10"/>
      <c r="M13" s="13"/>
      <c r="N13" s="9"/>
      <c r="O13" s="42">
        <v>45222</v>
      </c>
      <c r="P13" s="12">
        <v>45089</v>
      </c>
      <c r="Q13" s="13">
        <v>45089</v>
      </c>
    </row>
    <row r="14" spans="2:17" s="3" customFormat="1" ht="19.7" customHeight="1" x14ac:dyDescent="0.15">
      <c r="B14" s="9">
        <v>1</v>
      </c>
      <c r="C14" s="10" t="s">
        <v>41</v>
      </c>
      <c r="D14" s="10" t="s">
        <v>41</v>
      </c>
      <c r="E14" s="15" t="s">
        <v>39</v>
      </c>
      <c r="F14" s="15">
        <v>2</v>
      </c>
      <c r="G14" s="15">
        <v>199</v>
      </c>
      <c r="H14" s="31">
        <f t="shared" si="0"/>
        <v>398</v>
      </c>
      <c r="I14" s="16"/>
      <c r="J14" s="40" t="s">
        <v>24</v>
      </c>
      <c r="K14" s="9" t="s">
        <v>36</v>
      </c>
      <c r="L14" s="10"/>
      <c r="M14" s="13"/>
      <c r="N14" s="9"/>
      <c r="O14" s="42">
        <v>45222</v>
      </c>
      <c r="P14" s="12">
        <v>45089</v>
      </c>
      <c r="Q14" s="13">
        <v>45089</v>
      </c>
    </row>
    <row r="15" spans="2:17" s="3" customFormat="1" ht="19.7" customHeight="1" x14ac:dyDescent="0.15">
      <c r="B15" s="9">
        <v>1</v>
      </c>
      <c r="C15" s="10" t="s">
        <v>41</v>
      </c>
      <c r="D15" s="10" t="s">
        <v>41</v>
      </c>
      <c r="E15" s="15" t="s">
        <v>40</v>
      </c>
      <c r="F15" s="15">
        <v>4</v>
      </c>
      <c r="G15" s="15">
        <v>528</v>
      </c>
      <c r="H15" s="31">
        <f t="shared" si="0"/>
        <v>2112</v>
      </c>
      <c r="I15" s="11"/>
      <c r="J15" s="40" t="s">
        <v>28</v>
      </c>
      <c r="K15" s="9" t="s">
        <v>36</v>
      </c>
      <c r="L15" s="10"/>
      <c r="M15" s="13"/>
      <c r="N15" s="9"/>
      <c r="O15" s="42">
        <v>45222</v>
      </c>
      <c r="P15" s="12">
        <v>45089</v>
      </c>
      <c r="Q15" s="13">
        <v>45089</v>
      </c>
    </row>
    <row r="16" spans="2:17" s="55" customFormat="1" ht="19.7" customHeight="1" x14ac:dyDescent="0.15">
      <c r="B16" s="49">
        <v>1</v>
      </c>
      <c r="C16" s="50" t="s">
        <v>41</v>
      </c>
      <c r="D16" s="50" t="s">
        <v>41</v>
      </c>
      <c r="E16" s="17" t="s">
        <v>42</v>
      </c>
      <c r="F16" s="17">
        <v>1</v>
      </c>
      <c r="G16" s="17">
        <v>5070</v>
      </c>
      <c r="H16" s="18">
        <f t="shared" si="0"/>
        <v>5070</v>
      </c>
      <c r="I16" s="50"/>
      <c r="J16" s="51" t="s">
        <v>43</v>
      </c>
      <c r="K16" s="49" t="s">
        <v>44</v>
      </c>
      <c r="L16" s="49"/>
      <c r="M16" s="52">
        <v>45091</v>
      </c>
      <c r="N16" s="49"/>
      <c r="O16" s="53"/>
      <c r="P16" s="54"/>
      <c r="Q16" s="52">
        <v>45100</v>
      </c>
    </row>
    <row r="17" spans="2:17" s="55" customFormat="1" ht="19.7" customHeight="1" x14ac:dyDescent="0.15">
      <c r="B17" s="49">
        <v>1</v>
      </c>
      <c r="C17" s="50" t="s">
        <v>41</v>
      </c>
      <c r="D17" s="50" t="s">
        <v>41</v>
      </c>
      <c r="E17" s="17" t="s">
        <v>45</v>
      </c>
      <c r="F17" s="17">
        <v>1</v>
      </c>
      <c r="G17" s="17">
        <v>251</v>
      </c>
      <c r="H17" s="18">
        <f t="shared" si="0"/>
        <v>251</v>
      </c>
      <c r="I17" s="50"/>
      <c r="J17" s="17" t="s">
        <v>46</v>
      </c>
      <c r="K17" s="49" t="s">
        <v>44</v>
      </c>
      <c r="L17" s="49"/>
      <c r="M17" s="52">
        <v>45091</v>
      </c>
      <c r="N17" s="49"/>
      <c r="O17" s="53"/>
      <c r="P17" s="54"/>
      <c r="Q17" s="52">
        <v>45100</v>
      </c>
    </row>
    <row r="18" spans="2:17" s="3" customFormat="1" ht="19.7" customHeight="1" x14ac:dyDescent="0.15">
      <c r="B18" s="39"/>
      <c r="C18" s="17"/>
      <c r="D18" s="17"/>
      <c r="E18" s="17"/>
      <c r="F18" s="17"/>
      <c r="G18" s="18"/>
      <c r="H18" s="18"/>
      <c r="I18" s="28"/>
      <c r="J18" s="17"/>
      <c r="K18" s="39"/>
      <c r="L18" s="10"/>
      <c r="M18" s="13"/>
      <c r="N18" s="9"/>
      <c r="O18" s="10"/>
      <c r="P18" s="12"/>
      <c r="Q18" s="13"/>
    </row>
    <row r="19" spans="2:17" s="3" customFormat="1" ht="19.7" customHeight="1" x14ac:dyDescent="0.15">
      <c r="B19" s="39"/>
      <c r="C19" s="17"/>
      <c r="D19" s="17"/>
      <c r="E19" s="17"/>
      <c r="F19" s="17"/>
      <c r="G19" s="18"/>
      <c r="H19" s="18"/>
      <c r="I19" s="28"/>
      <c r="J19" s="17"/>
      <c r="K19" s="39"/>
      <c r="L19" s="10"/>
      <c r="M19" s="13"/>
      <c r="N19" s="9"/>
      <c r="O19" s="10"/>
      <c r="P19" s="12"/>
      <c r="Q19" s="13"/>
    </row>
    <row r="20" spans="2:17" s="3" customFormat="1" ht="19.7" customHeight="1" x14ac:dyDescent="0.15">
      <c r="B20" s="39"/>
      <c r="C20" s="17"/>
      <c r="D20" s="17"/>
      <c r="E20" s="17"/>
      <c r="F20" s="17"/>
      <c r="G20" s="18"/>
      <c r="H20" s="18"/>
      <c r="I20" s="28"/>
      <c r="J20" s="17"/>
      <c r="K20" s="39"/>
      <c r="L20" s="10"/>
      <c r="M20" s="13"/>
      <c r="N20" s="9"/>
      <c r="O20" s="10"/>
      <c r="P20" s="12"/>
      <c r="Q20" s="13"/>
    </row>
    <row r="21" spans="2:17" s="3" customFormat="1" ht="19.7" customHeight="1" x14ac:dyDescent="0.15">
      <c r="B21" s="39"/>
      <c r="C21" s="17"/>
      <c r="D21" s="17"/>
      <c r="E21" s="17"/>
      <c r="F21" s="17"/>
      <c r="G21" s="18"/>
      <c r="H21" s="18"/>
      <c r="I21" s="28"/>
      <c r="J21" s="17"/>
      <c r="K21" s="39"/>
      <c r="L21" s="10"/>
      <c r="M21" s="13"/>
      <c r="N21" s="9"/>
      <c r="O21" s="10"/>
      <c r="P21" s="12"/>
      <c r="Q21" s="13"/>
    </row>
    <row r="22" spans="2:17" s="3" customFormat="1" ht="19.7" customHeight="1" x14ac:dyDescent="0.15">
      <c r="B22" s="39"/>
      <c r="C22" s="17"/>
      <c r="D22" s="17"/>
      <c r="E22" s="17"/>
      <c r="F22" s="17"/>
      <c r="G22" s="18"/>
      <c r="H22" s="18"/>
      <c r="I22" s="28"/>
      <c r="J22" s="17"/>
      <c r="K22" s="39"/>
      <c r="L22" s="10"/>
      <c r="M22" s="13"/>
      <c r="N22" s="9"/>
      <c r="O22" s="10"/>
      <c r="P22" s="12"/>
      <c r="Q22" s="13"/>
    </row>
    <row r="23" spans="2:17" s="3" customFormat="1" ht="19.7" customHeight="1" x14ac:dyDescent="0.15">
      <c r="B23" s="39"/>
      <c r="C23" s="15"/>
      <c r="D23" s="15"/>
      <c r="E23" s="15"/>
      <c r="F23" s="15"/>
      <c r="G23" s="31"/>
      <c r="H23" s="18"/>
      <c r="I23" s="16"/>
      <c r="J23" s="15"/>
      <c r="K23" s="39"/>
      <c r="L23" s="10"/>
      <c r="M23" s="13"/>
      <c r="N23" s="9"/>
      <c r="O23" s="10"/>
      <c r="P23" s="12"/>
      <c r="Q23" s="13"/>
    </row>
    <row r="24" spans="2:17" s="3" customFormat="1" ht="19.7" customHeight="1" x14ac:dyDescent="0.15">
      <c r="B24" s="39"/>
      <c r="C24" s="15"/>
      <c r="D24" s="15"/>
      <c r="E24"/>
      <c r="F24" s="15"/>
      <c r="G24" s="31"/>
      <c r="H24" s="18"/>
      <c r="I24" s="16"/>
      <c r="J24" s="15"/>
      <c r="K24" s="39"/>
      <c r="L24" s="10"/>
      <c r="M24" s="13"/>
      <c r="N24" s="9"/>
      <c r="O24" s="10"/>
      <c r="P24" s="12"/>
      <c r="Q24" s="13"/>
    </row>
    <row r="25" spans="2:17" s="3" customFormat="1" ht="19.7" customHeight="1" x14ac:dyDescent="0.15">
      <c r="B25" s="39"/>
      <c r="C25" s="15"/>
      <c r="D25" s="15"/>
      <c r="E25" s="15"/>
      <c r="F25" s="15"/>
      <c r="G25" s="31"/>
      <c r="H25" s="18"/>
      <c r="I25" s="16"/>
      <c r="J25" s="15"/>
      <c r="K25" s="39"/>
      <c r="L25" s="10"/>
      <c r="M25" s="13"/>
      <c r="N25" s="9"/>
      <c r="O25" s="10"/>
      <c r="P25" s="12"/>
      <c r="Q25" s="13"/>
    </row>
    <row r="26" spans="2:17" s="3" customFormat="1" ht="19.7" customHeight="1" x14ac:dyDescent="0.15">
      <c r="B26" s="39"/>
      <c r="C26" s="15"/>
      <c r="D26" s="15"/>
      <c r="E26" s="15"/>
      <c r="F26" s="15"/>
      <c r="G26" s="31"/>
      <c r="H26" s="18"/>
      <c r="I26" s="16"/>
      <c r="J26" s="15"/>
      <c r="K26" s="39"/>
      <c r="L26" s="10"/>
      <c r="M26" s="13"/>
      <c r="N26" s="9"/>
      <c r="O26" s="10"/>
      <c r="P26" s="12"/>
      <c r="Q26" s="13"/>
    </row>
    <row r="27" spans="2:17" s="3" customFormat="1" ht="19.7" customHeight="1" x14ac:dyDescent="0.15">
      <c r="B27" s="39"/>
      <c r="C27" s="15"/>
      <c r="D27" s="15"/>
      <c r="E27" s="15"/>
      <c r="F27" s="15"/>
      <c r="G27" s="31"/>
      <c r="H27" s="18"/>
      <c r="I27" s="22"/>
      <c r="J27" s="15"/>
      <c r="K27" s="39"/>
      <c r="L27" s="10"/>
      <c r="M27" s="13"/>
      <c r="N27" s="9"/>
      <c r="O27" s="10"/>
      <c r="P27" s="12"/>
      <c r="Q27" s="13"/>
    </row>
    <row r="28" spans="2:17" s="3" customFormat="1" ht="19.7" customHeight="1" x14ac:dyDescent="0.15">
      <c r="B28" s="39"/>
      <c r="C28" s="15"/>
      <c r="D28" s="15"/>
      <c r="E28" s="15"/>
      <c r="F28" s="15"/>
      <c r="G28" s="31"/>
      <c r="H28" s="18"/>
      <c r="I28" s="22"/>
      <c r="J28" s="15"/>
      <c r="K28" s="39"/>
      <c r="L28" s="10"/>
      <c r="M28" s="13"/>
      <c r="N28" s="9"/>
      <c r="O28" s="10"/>
      <c r="P28" s="12"/>
      <c r="Q28" s="13"/>
    </row>
    <row r="29" spans="2:17" s="3" customFormat="1" ht="19.7" customHeight="1" x14ac:dyDescent="0.15">
      <c r="B29" s="39"/>
      <c r="C29" s="15"/>
      <c r="D29" s="15"/>
      <c r="E29" s="15"/>
      <c r="F29" s="15"/>
      <c r="G29" s="31"/>
      <c r="H29" s="18"/>
      <c r="I29" s="22"/>
      <c r="J29" s="15"/>
      <c r="K29" s="10"/>
      <c r="L29" s="10"/>
      <c r="M29" s="13"/>
      <c r="N29" s="9"/>
      <c r="O29" s="10"/>
      <c r="P29" s="12"/>
      <c r="Q29" s="13"/>
    </row>
    <row r="30" spans="2:17" s="3" customFormat="1" ht="19.7" customHeight="1" x14ac:dyDescent="0.15">
      <c r="B30" s="39"/>
      <c r="C30" s="15"/>
      <c r="D30" s="15"/>
      <c r="E30" s="15"/>
      <c r="F30" s="15"/>
      <c r="G30" s="31"/>
      <c r="H30" s="31"/>
      <c r="I30" s="22"/>
      <c r="J30" s="15"/>
      <c r="K30" s="10"/>
      <c r="L30" s="10"/>
      <c r="M30" s="13"/>
      <c r="N30" s="9"/>
      <c r="O30" s="10"/>
      <c r="P30" s="12"/>
      <c r="Q30" s="13"/>
    </row>
    <row r="31" spans="2:17" s="3" customFormat="1" ht="19.7" customHeight="1" x14ac:dyDescent="0.15">
      <c r="B31" s="39"/>
      <c r="C31" s="15"/>
      <c r="D31" s="15"/>
      <c r="E31" s="15"/>
      <c r="F31" s="15"/>
      <c r="G31" s="31"/>
      <c r="H31" s="31"/>
      <c r="I31" s="22"/>
      <c r="J31" s="15"/>
      <c r="K31" s="10"/>
      <c r="L31" s="10"/>
      <c r="M31" s="13"/>
      <c r="N31" s="9"/>
      <c r="O31" s="10"/>
      <c r="P31" s="12"/>
      <c r="Q31" s="13"/>
    </row>
    <row r="32" spans="2:17" s="3" customFormat="1" ht="19.7" customHeight="1" x14ac:dyDescent="0.15">
      <c r="B32" s="39"/>
      <c r="C32" s="15"/>
      <c r="D32" s="15"/>
      <c r="E32" s="15"/>
      <c r="F32" s="15"/>
      <c r="G32" s="31"/>
      <c r="H32" s="31"/>
      <c r="I32" s="22"/>
      <c r="J32" s="15"/>
      <c r="K32" s="10"/>
      <c r="L32" s="10"/>
      <c r="M32" s="13"/>
      <c r="N32" s="9"/>
      <c r="O32" s="10"/>
      <c r="P32" s="12"/>
      <c r="Q32" s="13"/>
    </row>
    <row r="33" spans="2:17" s="3" customFormat="1" ht="19.7" customHeight="1" x14ac:dyDescent="0.15">
      <c r="B33" s="39"/>
      <c r="C33" s="15"/>
      <c r="D33" s="15"/>
      <c r="E33" s="15"/>
      <c r="F33" s="15"/>
      <c r="G33" s="31"/>
      <c r="H33" s="31"/>
      <c r="I33" s="22"/>
      <c r="J33" s="15"/>
      <c r="K33" s="10"/>
      <c r="L33" s="10"/>
      <c r="M33" s="13"/>
      <c r="N33" s="9"/>
      <c r="O33" s="10"/>
      <c r="P33" s="12"/>
      <c r="Q33" s="13"/>
    </row>
    <row r="34" spans="2:17" s="3" customFormat="1" ht="19.7" customHeight="1" x14ac:dyDescent="0.15">
      <c r="B34" s="39"/>
      <c r="C34" s="15"/>
      <c r="D34" s="15"/>
      <c r="E34" s="15"/>
      <c r="F34" s="15"/>
      <c r="G34" s="31"/>
      <c r="H34" s="18"/>
      <c r="I34" s="16"/>
      <c r="J34" s="15"/>
      <c r="K34" s="10"/>
      <c r="L34" s="10"/>
      <c r="M34" s="13"/>
      <c r="N34" s="9"/>
      <c r="O34" s="10"/>
      <c r="P34" s="12"/>
      <c r="Q34" s="13"/>
    </row>
    <row r="35" spans="2:17" s="3" customFormat="1" ht="19.7" customHeight="1" x14ac:dyDescent="0.15">
      <c r="B35" s="39"/>
      <c r="C35" s="15"/>
      <c r="D35" s="15"/>
      <c r="E35" s="35"/>
      <c r="F35" s="15"/>
      <c r="G35" s="31"/>
      <c r="H35" s="18"/>
      <c r="I35" s="14"/>
      <c r="J35" s="15"/>
      <c r="K35" s="10"/>
      <c r="L35" s="10"/>
      <c r="M35" s="13"/>
      <c r="N35" s="9"/>
      <c r="O35" s="10"/>
      <c r="P35" s="12"/>
      <c r="Q35" s="13"/>
    </row>
    <row r="36" spans="2:17" s="3" customFormat="1" ht="19.7" customHeight="1" x14ac:dyDescent="0.15">
      <c r="B36" s="39"/>
      <c r="C36" s="15"/>
      <c r="D36" s="15"/>
      <c r="E36" s="35"/>
      <c r="F36" s="15"/>
      <c r="G36" s="31"/>
      <c r="H36" s="18"/>
      <c r="I36" s="14"/>
      <c r="J36" s="15"/>
      <c r="K36" s="10"/>
      <c r="L36" s="10"/>
      <c r="M36" s="13"/>
      <c r="N36" s="9"/>
      <c r="O36" s="10"/>
      <c r="P36" s="12"/>
      <c r="Q36" s="13"/>
    </row>
    <row r="37" spans="2:17" s="3" customFormat="1" ht="19.7" customHeight="1" x14ac:dyDescent="0.15">
      <c r="B37" s="39"/>
      <c r="C37" s="15"/>
      <c r="D37" s="15"/>
      <c r="E37" s="35"/>
      <c r="F37" s="15"/>
      <c r="G37" s="31"/>
      <c r="H37" s="18"/>
      <c r="I37" s="14"/>
      <c r="J37" s="15"/>
      <c r="K37" s="37"/>
      <c r="L37" s="10"/>
      <c r="M37" s="13"/>
      <c r="N37" s="9"/>
      <c r="O37" s="10"/>
      <c r="P37" s="12"/>
      <c r="Q37" s="13"/>
    </row>
    <row r="38" spans="2:17" s="3" customFormat="1" ht="19.7" customHeight="1" x14ac:dyDescent="0.15">
      <c r="B38" s="39"/>
      <c r="C38" s="15"/>
      <c r="D38" s="15"/>
      <c r="E38" s="35"/>
      <c r="F38" s="15"/>
      <c r="G38" s="38"/>
      <c r="H38" s="18"/>
      <c r="I38" s="14"/>
      <c r="J38" s="15"/>
      <c r="K38" s="37"/>
      <c r="L38" s="10"/>
      <c r="M38" s="13"/>
      <c r="N38" s="9"/>
      <c r="O38" s="10"/>
      <c r="P38" s="12"/>
      <c r="Q38" s="13"/>
    </row>
    <row r="39" spans="2:17" s="3" customFormat="1" ht="19.7" customHeight="1" x14ac:dyDescent="0.15">
      <c r="B39" s="39"/>
      <c r="C39" s="15"/>
      <c r="D39" s="15"/>
      <c r="E39" s="35"/>
      <c r="F39" s="15"/>
      <c r="G39" s="31"/>
      <c r="H39" s="18"/>
      <c r="I39" s="14"/>
      <c r="J39" s="17"/>
      <c r="K39" s="37"/>
      <c r="L39" s="10"/>
      <c r="M39" s="13"/>
      <c r="N39" s="9"/>
      <c r="O39" s="10"/>
      <c r="P39" s="12"/>
      <c r="Q39" s="13"/>
    </row>
    <row r="40" spans="2:17" s="3" customFormat="1" ht="19.7" customHeight="1" x14ac:dyDescent="0.15">
      <c r="B40" s="9"/>
      <c r="C40" s="15"/>
      <c r="D40" s="15"/>
      <c r="E40" s="15"/>
      <c r="F40" s="15"/>
      <c r="G40" s="31"/>
      <c r="H40" s="31"/>
      <c r="I40" s="36"/>
      <c r="J40" s="15"/>
      <c r="K40" s="10"/>
      <c r="L40" s="10"/>
      <c r="M40" s="13"/>
      <c r="N40" s="9"/>
      <c r="O40" s="10"/>
      <c r="P40" s="12"/>
      <c r="Q40" s="13"/>
    </row>
    <row r="41" spans="2:17" s="3" customFormat="1" ht="19.7" customHeight="1" x14ac:dyDescent="0.15">
      <c r="B41" s="9"/>
      <c r="C41" s="15"/>
      <c r="D41" s="15"/>
      <c r="E41" s="15"/>
      <c r="F41" s="15"/>
      <c r="G41" s="31"/>
      <c r="H41" s="31">
        <f t="shared" ref="H41:H42" si="1">F41*G41</f>
        <v>0</v>
      </c>
      <c r="I41" s="36"/>
      <c r="J41" s="15"/>
      <c r="K41" s="10"/>
      <c r="L41" s="10"/>
      <c r="M41" s="13"/>
      <c r="N41" s="9"/>
      <c r="O41" s="10"/>
      <c r="P41" s="12"/>
      <c r="Q41" s="13"/>
    </row>
    <row r="42" spans="2:17" s="3" customFormat="1" ht="19.7" customHeight="1" x14ac:dyDescent="0.15">
      <c r="B42" s="9"/>
      <c r="C42" s="9"/>
      <c r="D42" s="9"/>
      <c r="E42" s="10"/>
      <c r="F42" s="10"/>
      <c r="G42" s="10"/>
      <c r="H42" s="31">
        <f t="shared" si="1"/>
        <v>0</v>
      </c>
      <c r="I42" s="11"/>
      <c r="J42" s="10"/>
      <c r="K42" s="10"/>
      <c r="L42" s="10"/>
      <c r="M42" s="13"/>
      <c r="N42" s="9"/>
      <c r="O42" s="10"/>
      <c r="P42" s="12"/>
      <c r="Q42" s="13"/>
    </row>
  </sheetData>
  <autoFilter ref="B9:O42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2EC8B-E8F8-40AD-A086-F847B08F753B}">
  <dimension ref="A1:B5"/>
  <sheetViews>
    <sheetView view="pageBreakPreview" zoomScaleNormal="100" zoomScaleSheetLayoutView="100" workbookViewId="0">
      <selection activeCell="F15" sqref="F14:F15"/>
    </sheetView>
  </sheetViews>
  <sheetFormatPr defaultRowHeight="13.5" x14ac:dyDescent="0.15"/>
  <cols>
    <col min="1" max="1" width="12.125" bestFit="1" customWidth="1"/>
    <col min="2" max="2" width="20.75" bestFit="1" customWidth="1"/>
  </cols>
  <sheetData>
    <row r="1" spans="1:2" ht="17.25" x14ac:dyDescent="0.15">
      <c r="A1" s="34" t="s">
        <v>11</v>
      </c>
      <c r="B1" s="1" t="s">
        <v>25</v>
      </c>
    </row>
    <row r="2" spans="1:2" ht="17.25" x14ac:dyDescent="0.15">
      <c r="A2" s="34" t="s">
        <v>10</v>
      </c>
      <c r="B2" s="6" t="s">
        <v>22</v>
      </c>
    </row>
    <row r="3" spans="1:2" ht="17.25" x14ac:dyDescent="0.15">
      <c r="A3" s="34" t="s">
        <v>12</v>
      </c>
      <c r="B3" s="6">
        <v>201045</v>
      </c>
    </row>
    <row r="4" spans="1:2" ht="17.25" x14ac:dyDescent="0.15">
      <c r="A4" s="34" t="s">
        <v>13</v>
      </c>
      <c r="B4" s="7">
        <v>44946</v>
      </c>
    </row>
    <row r="5" spans="1:2" ht="17.25" x14ac:dyDescent="0.15">
      <c r="A5" s="34" t="s">
        <v>14</v>
      </c>
      <c r="B5" s="7">
        <v>45056</v>
      </c>
    </row>
  </sheetData>
  <phoneticPr fontId="15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0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原価表</vt:lpstr>
      <vt:lpstr>表紙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2023-01-10T11:04:14Z</cp:lastPrinted>
  <dcterms:created xsi:type="dcterms:W3CDTF">2011-12-13T06:48:43Z</dcterms:created>
  <dcterms:modified xsi:type="dcterms:W3CDTF">2023-10-19T06:07:03Z</dcterms:modified>
</cp:coreProperties>
</file>