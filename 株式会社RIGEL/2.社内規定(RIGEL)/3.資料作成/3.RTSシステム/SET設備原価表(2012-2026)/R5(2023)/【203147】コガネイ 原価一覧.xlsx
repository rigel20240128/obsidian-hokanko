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AE37D89-90FF-45C1-9444-80B89A7BD6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原価表!$B$9:$O$25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4" i="1"/>
  <c r="H23" i="1"/>
  <c r="H10" i="1"/>
  <c r="J2" i="1" l="1"/>
</calcChain>
</file>

<file path=xl/sharedStrings.xml><?xml version="1.0" encoding="utf-8"?>
<sst xmlns="http://schemas.openxmlformats.org/spreadsheetml/2006/main" count="83" uniqueCount="53">
  <si>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</si>
  <si>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</si>
  <si>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</si>
  <si>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</si>
  <si>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</si>
  <si>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</si>
  <si>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</si>
  <si>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</si>
  <si>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</si>
  <si>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</si>
  <si>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</si>
  <si>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</si>
  <si>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</si>
  <si>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</si>
  <si>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</si>
  <si>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</si>
  <si>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</si>
  <si>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</si>
  <si>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</si>
  <si>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</si>
  <si>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</si>
  <si>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</si>
  <si>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</si>
  <si>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</si>
  <si>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</si>
  <si>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在庫</t>
    <rPh sb="0" eb="2">
      <t>ザイコ</t>
    </rPh>
    <phoneticPr fontId="2"/>
  </si>
  <si>
    <t>JANOME</t>
    <phoneticPr fontId="2"/>
  </si>
  <si>
    <t>JR3203-SET02</t>
    <phoneticPr fontId="2"/>
  </si>
  <si>
    <t>JR3-TB2</t>
    <phoneticPr fontId="2"/>
  </si>
  <si>
    <t>設計費</t>
    <rPh sb="0" eb="3">
      <t>セッケイヒ</t>
    </rPh>
    <phoneticPr fontId="2"/>
  </si>
  <si>
    <t>■SETA0131-Y01(ﾂｰﾙﾌﾟﾚｰﾄ)</t>
  </si>
  <si>
    <t>MSHSM6-10</t>
  </si>
  <si>
    <t>CSHSM-ST-M4-6</t>
  </si>
  <si>
    <t>ﾃｨｰﾁﾝｸﾞﾍﾟﾝﾀﾞﾝﾄ</t>
    <phoneticPr fontId="2"/>
  </si>
  <si>
    <t>■SETA0131-X01(ﾜｰｸﾌﾟﾚｰﾄ)</t>
  </si>
  <si>
    <t>シージー（コガネイ）</t>
    <phoneticPr fontId="2"/>
  </si>
  <si>
    <t>原田</t>
    <rPh sb="0" eb="2">
      <t>ハラダ</t>
    </rPh>
    <phoneticPr fontId="2"/>
  </si>
  <si>
    <t>■SETA0131-X02(ﾌﾟﾚｰﾄ)</t>
    <phoneticPr fontId="2"/>
  </si>
  <si>
    <t>■SETA0131-X03(ﾌﾟﾚｰﾄ)</t>
  </si>
  <si>
    <t>MVBLK-AMW-3AD-FDCNX</t>
  </si>
  <si>
    <t>客先手配</t>
    <rPh sb="0" eb="2">
      <t>キャクサキ</t>
    </rPh>
    <rPh sb="2" eb="4">
      <t>テハイ</t>
    </rPh>
    <phoneticPr fontId="2"/>
  </si>
  <si>
    <t>MVBLK-AMW-3AU-BYK2M</t>
  </si>
  <si>
    <t>DA-15SF-N</t>
  </si>
  <si>
    <t>DA-C8-J10-F1-1R</t>
  </si>
  <si>
    <t>RDA-37HT-M2.6</t>
  </si>
  <si>
    <t>DB-37SP</t>
  </si>
  <si>
    <t>CS-06-20</t>
  </si>
  <si>
    <t>ｺﾈｸﾀ</t>
  </si>
  <si>
    <t>DSUBﾌｰﾄﾞ､ｱｸｾｻﾘｰ</t>
  </si>
  <si>
    <t>D SUB､D02､D02-M15 ｼﾘｰｽﾞ</t>
  </si>
  <si>
    <t>FASTENING</t>
  </si>
  <si>
    <t>ﾉｯｸﾋﾟﾝ(MSHSM)</t>
  </si>
  <si>
    <t>ﾛｯｶｸｱﾅﾂｷﾎﾞﾙﾄ(ｽﾁｰﾙｾｲ)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</si>
</sst>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7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5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Q20" sqref="Q20:Q21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9" customWidth="1"/>
  </cols>
  <sheetData>
    <row r="2" spans="2:17" ht="20.100000000000001" customHeight="1" x14ac:dyDescent="0.15">
      <c r="B2" s="40" t="s">
        <v>11</v>
      </c>
      <c r="C2" s="40"/>
      <c r="D2" s="40"/>
      <c r="E2" s="2" t="s">
        <v>35</v>
      </c>
      <c r="G2" s="41" t="s">
        <v>15</v>
      </c>
      <c r="H2" s="42"/>
      <c r="I2" s="43"/>
      <c r="J2" s="3">
        <f>SUM(H:H)</f>
        <v>94108</v>
      </c>
    </row>
    <row r="3" spans="2:17" ht="20.100000000000001" customHeight="1" x14ac:dyDescent="0.15">
      <c r="B3" s="40" t="s">
        <v>10</v>
      </c>
      <c r="C3" s="40"/>
      <c r="D3" s="40"/>
      <c r="E3" s="7" t="s">
        <v>36</v>
      </c>
    </row>
    <row r="4" spans="2:17" ht="20.100000000000001" customHeight="1" x14ac:dyDescent="0.15">
      <c r="B4" s="40" t="s">
        <v>12</v>
      </c>
      <c r="C4" s="40"/>
      <c r="D4" s="40"/>
      <c r="E4" s="7">
        <v>203147</v>
      </c>
      <c r="J4" s="8"/>
    </row>
    <row r="5" spans="2:17" ht="20.100000000000001" customHeight="1" x14ac:dyDescent="0.15">
      <c r="B5" s="40" t="s">
        <v>13</v>
      </c>
      <c r="C5" s="40"/>
      <c r="D5" s="40"/>
      <c r="E5" s="9"/>
      <c r="J5" s="8"/>
    </row>
    <row r="6" spans="2:17" ht="20.100000000000001" customHeight="1" x14ac:dyDescent="0.15">
      <c r="B6" s="40" t="s">
        <v>14</v>
      </c>
      <c r="C6" s="40"/>
      <c r="D6" s="40"/>
      <c r="E6" s="9">
        <v>44981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26</v>
      </c>
      <c r="D10" s="13" t="s">
        <v>26</v>
      </c>
      <c r="E10" s="18" t="s">
        <v>27</v>
      </c>
      <c r="F10" s="20">
        <v>1</v>
      </c>
      <c r="G10" s="31"/>
      <c r="H10" s="31">
        <f>F10*G10</f>
        <v>0</v>
      </c>
      <c r="I10" s="15"/>
      <c r="J10" s="18"/>
      <c r="K10" s="18" t="s">
        <v>25</v>
      </c>
      <c r="L10" s="14"/>
      <c r="M10" s="16"/>
      <c r="N10" s="13"/>
      <c r="O10" s="14"/>
      <c r="P10" s="16"/>
      <c r="Q10" s="17"/>
    </row>
    <row r="11" spans="2:17" s="4" customFormat="1" ht="19.7" customHeight="1" x14ac:dyDescent="0.15">
      <c r="B11" s="37">
        <v>2</v>
      </c>
      <c r="C11" s="13" t="s">
        <v>22</v>
      </c>
      <c r="D11" s="13" t="s">
        <v>22</v>
      </c>
      <c r="E11" s="24" t="s">
        <v>45</v>
      </c>
      <c r="F11" s="24">
        <v>1</v>
      </c>
      <c r="G11" s="24">
        <v>418</v>
      </c>
      <c r="H11" s="31">
        <f t="shared" ref="H11:H22" si="0">F11*G11</f>
        <v>418</v>
      </c>
      <c r="I11" s="21"/>
      <c r="J11" s="24" t="s">
        <v>47</v>
      </c>
      <c r="K11" s="14"/>
      <c r="L11" s="14"/>
      <c r="M11" s="16"/>
      <c r="N11" s="13"/>
      <c r="O11" s="14"/>
      <c r="P11" s="16"/>
      <c r="Q11" s="17">
        <v>44974</v>
      </c>
    </row>
    <row r="12" spans="2:17" s="4" customFormat="1" ht="19.7" customHeight="1" x14ac:dyDescent="0.15">
      <c r="B12" s="38"/>
      <c r="C12" s="13" t="s">
        <v>22</v>
      </c>
      <c r="D12" s="13" t="s">
        <v>22</v>
      </c>
      <c r="E12" s="24" t="s">
        <v>42</v>
      </c>
      <c r="F12" s="24">
        <v>1</v>
      </c>
      <c r="G12" s="24">
        <v>328</v>
      </c>
      <c r="H12" s="31">
        <f t="shared" si="0"/>
        <v>328</v>
      </c>
      <c r="I12" s="21"/>
      <c r="J12" s="24" t="s">
        <v>49</v>
      </c>
      <c r="K12" s="14"/>
      <c r="L12" s="14"/>
      <c r="M12" s="16"/>
      <c r="N12" s="13"/>
      <c r="O12" s="14"/>
      <c r="P12" s="16"/>
      <c r="Q12" s="17">
        <v>44974</v>
      </c>
    </row>
    <row r="13" spans="2:17" s="4" customFormat="1" ht="19.7" customHeight="1" x14ac:dyDescent="0.15">
      <c r="B13" s="38"/>
      <c r="C13" s="13" t="s">
        <v>22</v>
      </c>
      <c r="D13" s="13" t="s">
        <v>22</v>
      </c>
      <c r="E13" s="24" t="s">
        <v>44</v>
      </c>
      <c r="F13" s="24">
        <v>1</v>
      </c>
      <c r="G13" s="24">
        <v>391</v>
      </c>
      <c r="H13" s="31">
        <f t="shared" si="0"/>
        <v>391</v>
      </c>
      <c r="I13" s="15"/>
      <c r="J13" s="24" t="s">
        <v>48</v>
      </c>
      <c r="K13" s="14"/>
      <c r="L13" s="14"/>
      <c r="M13" s="16"/>
      <c r="N13" s="13"/>
      <c r="O13" s="14"/>
      <c r="P13" s="16"/>
      <c r="Q13" s="17">
        <v>44974</v>
      </c>
    </row>
    <row r="14" spans="2:17" s="4" customFormat="1" ht="19.7" customHeight="1" x14ac:dyDescent="0.15">
      <c r="B14" s="39"/>
      <c r="C14" s="13" t="s">
        <v>22</v>
      </c>
      <c r="D14" s="13" t="s">
        <v>22</v>
      </c>
      <c r="E14" s="24" t="s">
        <v>43</v>
      </c>
      <c r="F14" s="24">
        <v>1</v>
      </c>
      <c r="G14" s="24">
        <v>528</v>
      </c>
      <c r="H14" s="31">
        <f t="shared" si="0"/>
        <v>528</v>
      </c>
      <c r="I14" s="15"/>
      <c r="J14" s="24" t="s">
        <v>47</v>
      </c>
      <c r="K14" s="14"/>
      <c r="L14" s="14"/>
      <c r="M14" s="16"/>
      <c r="N14" s="13"/>
      <c r="O14" s="14"/>
      <c r="P14" s="16"/>
      <c r="Q14" s="17">
        <v>44974</v>
      </c>
    </row>
    <row r="15" spans="2:17" s="4" customFormat="1" ht="19.7" customHeight="1" x14ac:dyDescent="0.15">
      <c r="B15" s="13">
        <v>3</v>
      </c>
      <c r="C15" s="13" t="s">
        <v>26</v>
      </c>
      <c r="D15" s="13" t="s">
        <v>26</v>
      </c>
      <c r="E15" s="22" t="s">
        <v>28</v>
      </c>
      <c r="F15" s="20">
        <v>1</v>
      </c>
      <c r="G15" s="31"/>
      <c r="H15" s="31">
        <f t="shared" si="0"/>
        <v>0</v>
      </c>
      <c r="I15" s="21"/>
      <c r="J15" s="23" t="s">
        <v>33</v>
      </c>
      <c r="K15" s="18" t="s">
        <v>25</v>
      </c>
      <c r="L15" s="14"/>
      <c r="M15" s="16"/>
      <c r="N15" s="13"/>
      <c r="O15" s="14"/>
      <c r="P15" s="16"/>
      <c r="Q15" s="17">
        <v>44974</v>
      </c>
    </row>
    <row r="16" spans="2:17" s="4" customFormat="1" ht="19.7" customHeight="1" x14ac:dyDescent="0.15">
      <c r="B16" s="37">
        <v>4</v>
      </c>
      <c r="C16" s="13" t="s">
        <v>22</v>
      </c>
      <c r="D16" s="13" t="s">
        <v>22</v>
      </c>
      <c r="E16" s="24" t="s">
        <v>41</v>
      </c>
      <c r="F16" s="24">
        <v>1</v>
      </c>
      <c r="G16" s="24">
        <v>7339</v>
      </c>
      <c r="H16" s="31">
        <f t="shared" si="0"/>
        <v>7339</v>
      </c>
      <c r="I16" s="19"/>
      <c r="J16" s="23" t="s">
        <v>30</v>
      </c>
      <c r="K16" s="14"/>
      <c r="L16" s="14"/>
      <c r="M16" s="16"/>
      <c r="N16" s="13"/>
      <c r="O16" s="14"/>
      <c r="P16" s="16"/>
      <c r="Q16" s="17">
        <v>44974</v>
      </c>
    </row>
    <row r="17" spans="2:17" s="4" customFormat="1" ht="19.7" customHeight="1" x14ac:dyDescent="0.15">
      <c r="B17" s="38"/>
      <c r="C17" s="13" t="s">
        <v>22</v>
      </c>
      <c r="D17" s="13" t="s">
        <v>22</v>
      </c>
      <c r="E17" s="24" t="s">
        <v>31</v>
      </c>
      <c r="F17" s="24">
        <v>2</v>
      </c>
      <c r="G17" s="24">
        <v>190</v>
      </c>
      <c r="H17" s="31">
        <f t="shared" si="0"/>
        <v>380</v>
      </c>
      <c r="I17" s="19"/>
      <c r="J17" s="24" t="s">
        <v>51</v>
      </c>
      <c r="K17" s="14"/>
      <c r="L17" s="14"/>
      <c r="M17" s="16"/>
      <c r="N17" s="13"/>
      <c r="O17" s="14"/>
      <c r="P17" s="16"/>
      <c r="Q17" s="17">
        <v>44974</v>
      </c>
    </row>
    <row r="18" spans="2:17" s="4" customFormat="1" ht="19.7" customHeight="1" x14ac:dyDescent="0.15">
      <c r="B18" s="39"/>
      <c r="C18" s="13" t="s">
        <v>22</v>
      </c>
      <c r="D18" s="13" t="s">
        <v>22</v>
      </c>
      <c r="E18" s="24" t="s">
        <v>32</v>
      </c>
      <c r="F18" s="24">
        <v>2</v>
      </c>
      <c r="G18" s="24">
        <v>70</v>
      </c>
      <c r="H18" s="31">
        <f t="shared" si="0"/>
        <v>140</v>
      </c>
      <c r="I18" s="19"/>
      <c r="J18" s="24" t="s">
        <v>50</v>
      </c>
      <c r="K18" s="14"/>
      <c r="L18" s="14"/>
      <c r="M18" s="16"/>
      <c r="N18" s="13"/>
      <c r="O18" s="14"/>
      <c r="P18" s="16"/>
      <c r="Q18" s="17">
        <v>44974</v>
      </c>
    </row>
    <row r="19" spans="2:17" s="4" customFormat="1" ht="19.7" customHeight="1" x14ac:dyDescent="0.15">
      <c r="B19" s="37">
        <v>5</v>
      </c>
      <c r="C19" s="13" t="s">
        <v>22</v>
      </c>
      <c r="D19" s="13" t="s">
        <v>22</v>
      </c>
      <c r="E19" s="24" t="s">
        <v>39</v>
      </c>
      <c r="F19" s="24">
        <v>1</v>
      </c>
      <c r="G19" s="24">
        <v>9500</v>
      </c>
      <c r="H19" s="31">
        <f t="shared" si="0"/>
        <v>9500</v>
      </c>
      <c r="I19" s="26"/>
      <c r="J19" s="25" t="s">
        <v>34</v>
      </c>
      <c r="K19" s="14"/>
      <c r="L19" s="14"/>
      <c r="M19" s="16"/>
      <c r="N19" s="13"/>
      <c r="O19" s="14"/>
      <c r="P19" s="16"/>
      <c r="Q19" s="17">
        <v>44974</v>
      </c>
    </row>
    <row r="20" spans="2:17" s="4" customFormat="1" ht="19.7" customHeight="1" x14ac:dyDescent="0.15">
      <c r="B20" s="38"/>
      <c r="C20" s="13" t="s">
        <v>22</v>
      </c>
      <c r="D20" s="13" t="s">
        <v>22</v>
      </c>
      <c r="E20" s="34" t="s">
        <v>40</v>
      </c>
      <c r="F20" s="35">
        <v>1</v>
      </c>
      <c r="G20" s="36">
        <v>0</v>
      </c>
      <c r="H20" s="36">
        <f t="shared" si="0"/>
        <v>0</v>
      </c>
      <c r="I20" s="19"/>
      <c r="J20" s="25" t="s">
        <v>37</v>
      </c>
      <c r="K20" s="14"/>
      <c r="L20" s="14"/>
      <c r="M20" s="16"/>
      <c r="N20" s="13"/>
      <c r="O20" s="14"/>
      <c r="P20" s="16"/>
      <c r="Q20" s="17"/>
    </row>
    <row r="21" spans="2:17" s="4" customFormat="1" ht="19.7" customHeight="1" x14ac:dyDescent="0.15">
      <c r="B21" s="38"/>
      <c r="C21" s="13" t="s">
        <v>22</v>
      </c>
      <c r="D21" s="13" t="s">
        <v>22</v>
      </c>
      <c r="E21" s="34" t="s">
        <v>40</v>
      </c>
      <c r="F21" s="35">
        <v>1</v>
      </c>
      <c r="G21" s="36">
        <v>0</v>
      </c>
      <c r="H21" s="36">
        <f t="shared" si="0"/>
        <v>0</v>
      </c>
      <c r="I21" s="19"/>
      <c r="J21" s="25" t="s">
        <v>38</v>
      </c>
      <c r="K21" s="14"/>
      <c r="L21" s="14"/>
      <c r="M21" s="16"/>
      <c r="N21" s="13"/>
      <c r="O21" s="14"/>
      <c r="P21" s="16"/>
      <c r="Q21" s="17"/>
    </row>
    <row r="22" spans="2:17" s="4" customFormat="1" ht="19.7" customHeight="1" x14ac:dyDescent="0.15">
      <c r="B22" s="39"/>
      <c r="C22" s="13" t="s">
        <v>22</v>
      </c>
      <c r="D22" s="13" t="s">
        <v>22</v>
      </c>
      <c r="E22" s="24" t="s">
        <v>46</v>
      </c>
      <c r="F22" s="24">
        <v>6</v>
      </c>
      <c r="G22" s="24">
        <v>14</v>
      </c>
      <c r="H22" s="31">
        <f t="shared" si="0"/>
        <v>84</v>
      </c>
      <c r="I22" s="26"/>
      <c r="J22" s="24" t="s">
        <v>52</v>
      </c>
      <c r="K22" s="14"/>
      <c r="L22" s="14"/>
      <c r="M22" s="16"/>
      <c r="N22" s="13"/>
      <c r="O22" s="14"/>
      <c r="P22" s="16"/>
      <c r="Q22" s="17">
        <v>44974</v>
      </c>
    </row>
    <row r="23" spans="2:17" s="4" customFormat="1" ht="19.7" customHeight="1" x14ac:dyDescent="0.15">
      <c r="B23" s="37">
        <v>6</v>
      </c>
      <c r="C23" s="13" t="s">
        <v>23</v>
      </c>
      <c r="D23" s="13" t="s">
        <v>23</v>
      </c>
      <c r="E23" s="25" t="s">
        <v>29</v>
      </c>
      <c r="F23" s="20">
        <v>10</v>
      </c>
      <c r="G23" s="31">
        <v>5000</v>
      </c>
      <c r="H23" s="31">
        <f t="shared" ref="H23:H24" si="1">F23*G23</f>
        <v>50000</v>
      </c>
      <c r="I23" s="26"/>
      <c r="J23" s="25"/>
      <c r="K23" s="14"/>
      <c r="L23" s="14"/>
      <c r="M23" s="16"/>
      <c r="N23" s="13"/>
      <c r="O23" s="14"/>
      <c r="P23" s="16"/>
      <c r="Q23" s="17"/>
    </row>
    <row r="24" spans="2:17" s="4" customFormat="1" ht="19.7" customHeight="1" x14ac:dyDescent="0.15">
      <c r="B24" s="39"/>
      <c r="C24" s="13" t="s">
        <v>23</v>
      </c>
      <c r="D24" s="13" t="s">
        <v>23</v>
      </c>
      <c r="E24" s="25" t="s">
        <v>24</v>
      </c>
      <c r="F24" s="20">
        <v>5</v>
      </c>
      <c r="G24" s="31">
        <v>5000</v>
      </c>
      <c r="H24" s="32">
        <f t="shared" si="1"/>
        <v>25000</v>
      </c>
      <c r="I24" s="26"/>
      <c r="J24" s="25"/>
      <c r="K24" s="14"/>
      <c r="L24" s="14"/>
      <c r="M24" s="16"/>
      <c r="N24" s="13"/>
      <c r="O24" s="14"/>
      <c r="P24" s="16"/>
      <c r="Q24" s="17"/>
    </row>
    <row r="25" spans="2:17" s="4" customFormat="1" ht="19.7" customHeight="1" x14ac:dyDescent="0.15">
      <c r="B25" s="13"/>
      <c r="C25" s="27"/>
      <c r="D25" s="27"/>
      <c r="E25" s="24"/>
      <c r="F25" s="24"/>
      <c r="G25" s="31"/>
      <c r="H25" s="31"/>
      <c r="I25" s="19"/>
      <c r="J25" s="33"/>
      <c r="K25" s="13"/>
      <c r="L25" s="13"/>
      <c r="M25" s="16"/>
      <c r="N25" s="13"/>
      <c r="O25" s="28"/>
      <c r="P25" s="28"/>
      <c r="Q25" s="17"/>
    </row>
  </sheetData>
  <autoFilter ref="B9:O25" xr:uid="{00000000-0009-0000-0000-000000000000}"/>
  <mergeCells count="10">
    <mergeCell ref="B11:B14"/>
    <mergeCell ref="B23:B24"/>
    <mergeCell ref="B16:B18"/>
    <mergeCell ref="B6:D6"/>
    <mergeCell ref="G2:I2"/>
    <mergeCell ref="B2:D2"/>
    <mergeCell ref="B3:D3"/>
    <mergeCell ref="B4:D4"/>
    <mergeCell ref="B5:D5"/>
    <mergeCell ref="B19:B22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2023-02-17T04:10:19Z</dcterms:modified>
</cp:coreProperties>
</file>