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Sv-ap\data\製品管理部(機材)出荷管理課・資材調達課\機材・資材調達課(ﾛﾎﾞｯﾄ部品手配)\"/>
    </mc:Choice>
  </mc:AlternateContent>
  <xr:revisionPtr revIDLastSave="0" documentId="13_ncr:1_{E39A8486-5CD8-42ED-A604-BF3542E4F24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原価表" sheetId="1" r:id="rId1"/>
  </sheets>
  <definedNames>
    <definedName name="_xlnm._FilterDatabase" localSheetId="0" hidden="1">原価表!$B$9:$O$24</definedName>
  </definedNames>
  <calcPr calcId="18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1" i="1" l="1"/>
  <c r="H12" i="1"/>
  <c r="H13" i="1"/>
  <c r="H14" i="1"/>
  <c r="H15" i="1"/>
  <c r="H16" i="1"/>
  <c r="H17" i="1"/>
  <c r="H18" i="1"/>
  <c r="H19" i="1"/>
  <c r="H20" i="1"/>
  <c r="H21" i="1"/>
  <c r="H23" i="1" l="1"/>
  <c r="H22" i="1"/>
  <c r="H10" i="1"/>
  <c r="J2" i="1" l="1"/>
</calcChain>
</file>

<file path=xl/sharedStrings.xml><?xml version="1.0" encoding="utf-8"?>
<sst xmlns="http://schemas.openxmlformats.org/spreadsheetml/2006/main" count="78" uniqueCount="50">
  <si>
    <t>数量</t>
  </si>
  <si>
    <t>単価</t>
  </si>
  <si>
    <t>金額</t>
  </si>
  <si>
    <t>詳細</t>
    <rPh sb="0" eb="2">
      <t>ショウサイ</t>
    </rPh>
    <phoneticPr fontId="3"/>
  </si>
  <si>
    <t>見積り分類</t>
    <rPh sb="0" eb="2">
      <t>ミツモ</t>
    </rPh>
    <rPh sb="3" eb="5">
      <t>ブンルイ</t>
    </rPh>
    <phoneticPr fontId="2"/>
  </si>
  <si>
    <t>仕入先</t>
    <rPh sb="0" eb="2">
      <t>シイレ</t>
    </rPh>
    <rPh sb="2" eb="3">
      <t>サキ</t>
    </rPh>
    <phoneticPr fontId="2"/>
  </si>
  <si>
    <t>発注日</t>
    <rPh sb="0" eb="2">
      <t>ハッチュウ</t>
    </rPh>
    <rPh sb="2" eb="3">
      <t>ヒ</t>
    </rPh>
    <phoneticPr fontId="2"/>
  </si>
  <si>
    <t>納期</t>
    <rPh sb="0" eb="2">
      <t>ノウ</t>
    </rPh>
    <phoneticPr fontId="2"/>
  </si>
  <si>
    <t>品名 / 型式</t>
    <rPh sb="0" eb="2">
      <t>ヒンメイ</t>
    </rPh>
    <rPh sb="5" eb="7">
      <t>カタシキ</t>
    </rPh>
    <phoneticPr fontId="3"/>
  </si>
  <si>
    <t>メーカー</t>
    <phoneticPr fontId="2"/>
  </si>
  <si>
    <t>担当営業</t>
    <rPh sb="0" eb="2">
      <t>タントウ</t>
    </rPh>
    <rPh sb="2" eb="4">
      <t>エイギョウ</t>
    </rPh>
    <phoneticPr fontId="2"/>
  </si>
  <si>
    <t>お客先名</t>
    <rPh sb="1" eb="3">
      <t>キャクサキ</t>
    </rPh>
    <rPh sb="3" eb="4">
      <t>メイ</t>
    </rPh>
    <phoneticPr fontId="2"/>
  </si>
  <si>
    <t>受注番号</t>
    <rPh sb="0" eb="2">
      <t>ジュチュウ</t>
    </rPh>
    <rPh sb="2" eb="4">
      <t>バンゴウ</t>
    </rPh>
    <phoneticPr fontId="2"/>
  </si>
  <si>
    <t>希望納期</t>
    <rPh sb="0" eb="2">
      <t>キボウ</t>
    </rPh>
    <rPh sb="2" eb="4">
      <t>ノウ</t>
    </rPh>
    <phoneticPr fontId="2"/>
  </si>
  <si>
    <t>最終納品</t>
    <rPh sb="0" eb="2">
      <t>サイシュウ</t>
    </rPh>
    <rPh sb="2" eb="4">
      <t>ノウヒン</t>
    </rPh>
    <phoneticPr fontId="2"/>
  </si>
  <si>
    <t>合計金額</t>
    <rPh sb="0" eb="2">
      <t>ゴウケイ</t>
    </rPh>
    <rPh sb="2" eb="4">
      <t>キンガク</t>
    </rPh>
    <phoneticPr fontId="2"/>
  </si>
  <si>
    <t>技術分類</t>
    <rPh sb="0" eb="2">
      <t>ギジュツ</t>
    </rPh>
    <rPh sb="2" eb="4">
      <t>ブンルイ</t>
    </rPh>
    <phoneticPr fontId="2"/>
  </si>
  <si>
    <t>備考</t>
    <rPh sb="0" eb="2">
      <t>ビコウ</t>
    </rPh>
    <phoneticPr fontId="2"/>
  </si>
  <si>
    <t>分類合計</t>
    <rPh sb="0" eb="2">
      <t>ブンルイ</t>
    </rPh>
    <rPh sb="2" eb="4">
      <t>ゴウケイ</t>
    </rPh>
    <phoneticPr fontId="2"/>
  </si>
  <si>
    <t>発注</t>
    <rPh sb="0" eb="2">
      <t>ハッチュウ</t>
    </rPh>
    <phoneticPr fontId="2"/>
  </si>
  <si>
    <t>入荷予定日</t>
    <rPh sb="0" eb="2">
      <t>ニュウカ</t>
    </rPh>
    <rPh sb="2" eb="4">
      <t>ヨテイ</t>
    </rPh>
    <rPh sb="4" eb="5">
      <t>ヒ</t>
    </rPh>
    <phoneticPr fontId="2"/>
  </si>
  <si>
    <t>入荷日</t>
    <rPh sb="0" eb="2">
      <t>ニュウカ</t>
    </rPh>
    <rPh sb="2" eb="3">
      <t>ビ</t>
    </rPh>
    <phoneticPr fontId="2"/>
  </si>
  <si>
    <t>MISUMI</t>
    <phoneticPr fontId="2"/>
  </si>
  <si>
    <t>SET</t>
    <phoneticPr fontId="2"/>
  </si>
  <si>
    <t>組立費</t>
    <rPh sb="0" eb="3">
      <t>クミタテヒ</t>
    </rPh>
    <phoneticPr fontId="2"/>
  </si>
  <si>
    <t>JANOME</t>
    <phoneticPr fontId="2"/>
  </si>
  <si>
    <t>設計費</t>
    <rPh sb="0" eb="3">
      <t>セッケイヒ</t>
    </rPh>
    <phoneticPr fontId="2"/>
  </si>
  <si>
    <t>CSHSM-ST-M4-6</t>
  </si>
  <si>
    <t>シージー（コガネイ）</t>
    <phoneticPr fontId="2"/>
  </si>
  <si>
    <t>原田</t>
    <rPh sb="0" eb="2">
      <t>ハラダ</t>
    </rPh>
    <phoneticPr fontId="2"/>
  </si>
  <si>
    <t>JR3303-SET02</t>
    <phoneticPr fontId="2"/>
  </si>
  <si>
    <t>入荷待ち</t>
    <rPh sb="0" eb="2">
      <t>ニュウカ</t>
    </rPh>
    <rPh sb="2" eb="3">
      <t>マ</t>
    </rPh>
    <phoneticPr fontId="2"/>
  </si>
  <si>
    <t>■SETA0132-Y01(ﾂｰﾙﾌﾟﾚｰﾄ)</t>
    <phoneticPr fontId="2"/>
  </si>
  <si>
    <t>MVBLK-AMW-3AD-9CK3P</t>
  </si>
  <si>
    <t>■SETA0132-X01A(ﾜｰｸﾌﾟﾚｰﾄ)</t>
    <phoneticPr fontId="2"/>
  </si>
  <si>
    <t>■SETA0132-X02A(ﾌﾟﾚｰﾄ)</t>
    <phoneticPr fontId="2"/>
  </si>
  <si>
    <t>■SETA0132-X03A(ﾌﾟﾚｰﾄ)</t>
    <phoneticPr fontId="2"/>
  </si>
  <si>
    <t>MVBLK-AMW-3AM-1TYNF</t>
  </si>
  <si>
    <t>客先手配</t>
    <rPh sb="0" eb="4">
      <t>キャクサキテハイ</t>
    </rPh>
    <phoneticPr fontId="2"/>
  </si>
  <si>
    <t>MVSHM-3N03052-3AM-XL257</t>
  </si>
  <si>
    <t>■SETA0132-Z01(ﾚｷﾞｭﾚｰﾀｰﾌﾟﾚｰﾄ)</t>
    <phoneticPr fontId="2"/>
  </si>
  <si>
    <t>RDA-9HT-UNC</t>
  </si>
  <si>
    <t>RDA-37HT-M2.6</t>
  </si>
  <si>
    <t>DB-9SP</t>
  </si>
  <si>
    <t>DB-37SP</t>
  </si>
  <si>
    <t>CS-06-20</t>
  </si>
  <si>
    <t>DSUBﾌｰﾄﾞ､ｱｸｾｻﾘｰ</t>
  </si>
  <si>
    <t>ｺﾈｸﾀ</t>
  </si>
  <si>
    <t>FASTENING</t>
  </si>
  <si>
    <t>ﾛｯｶｸｱﾅﾂｷﾎﾞﾙﾄ(ｽﾁｰﾙｾｲ)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</si>
</sst>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  <numFmt numFmtId="180" formatCode="0_ ;[Red]\-0\ "/>
  </numFmts>
  <fonts count="7" x14ac:knownFonts="1">
    <font>
      <sz val="11"/>
      <color theme="1"/>
      <name val="ＭＳ Ｐゴシック"/>
      <family val="3"/>
      <charset val="128"/>
      <scheme val="minor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4"/>
      <color indexed="8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name val="ＭＳ Ｐ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6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4" fillId="0" borderId="1" xfId="0" applyFont="1" applyBorder="1" applyAlignment="1">
      <alignment horizontal="center" vertical="center" shrinkToFit="1"/>
    </xf>
    <xf numFmtId="176" fontId="5" fillId="0" borderId="1" xfId="0" applyNumberFormat="1" applyFont="1" applyBorder="1">
      <alignment vertical="center"/>
    </xf>
    <xf numFmtId="0" fontId="0" fillId="0" borderId="0" xfId="0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179" fontId="0" fillId="0" borderId="0" xfId="0" applyNumberFormat="1">
      <alignment vertical="center"/>
    </xf>
    <xf numFmtId="0" fontId="4" fillId="0" borderId="1" xfId="0" applyFont="1" applyBorder="1" applyAlignment="1">
      <alignment horizontal="center" vertical="center"/>
    </xf>
    <xf numFmtId="38" fontId="0" fillId="0" borderId="0" xfId="0" applyNumberFormat="1">
      <alignment vertical="center"/>
    </xf>
    <xf numFmtId="177" fontId="4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77" fontId="4" fillId="0" borderId="0" xfId="0" applyNumberFormat="1" applyFont="1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79" fontId="0" fillId="0" borderId="1" xfId="0" applyNumberForma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right" vertical="center"/>
    </xf>
    <xf numFmtId="0" fontId="6" fillId="0" borderId="2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0" fillId="0" borderId="1" xfId="0" applyBorder="1">
      <alignment vertical="center"/>
    </xf>
    <xf numFmtId="0" fontId="0" fillId="0" borderId="1" xfId="0" applyBorder="1" applyAlignment="1"/>
    <xf numFmtId="0" fontId="0" fillId="0" borderId="1" xfId="0" applyBorder="1" applyAlignment="1">
      <alignment horizontal="right" vertical="center"/>
    </xf>
    <xf numFmtId="3" fontId="6" fillId="0" borderId="1" xfId="0" applyNumberFormat="1" applyFont="1" applyBorder="1" applyAlignment="1">
      <alignment horizontal="center" vertical="center"/>
    </xf>
    <xf numFmtId="56" fontId="0" fillId="0" borderId="1" xfId="0" applyNumberFormat="1" applyBorder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right" vertical="center"/>
    </xf>
    <xf numFmtId="3" fontId="0" fillId="0" borderId="1" xfId="0" applyNumberFormat="1" applyBorder="1" applyAlignment="1">
      <alignment horizontal="right" vertical="center"/>
    </xf>
    <xf numFmtId="3" fontId="0" fillId="0" borderId="2" xfId="0" applyNumberFormat="1" applyBorder="1" applyAlignment="1">
      <alignment horizontal="right" vertical="center"/>
    </xf>
    <xf numFmtId="49" fontId="1" fillId="0" borderId="5" xfId="0" applyNumberFormat="1" applyFont="1" applyBorder="1">
      <alignment vertical="center"/>
    </xf>
    <xf numFmtId="0" fontId="6" fillId="3" borderId="1" xfId="0" applyFont="1" applyFill="1" applyBorder="1">
      <alignment vertical="center"/>
    </xf>
    <xf numFmtId="0" fontId="6" fillId="3" borderId="1" xfId="0" applyFont="1" applyFill="1" applyBorder="1" applyAlignment="1">
      <alignment horizontal="right" vertical="center"/>
    </xf>
    <xf numFmtId="3" fontId="0" fillId="3" borderId="1" xfId="0" applyNumberFormat="1" applyFill="1" applyBorder="1" applyAlignment="1">
      <alignment horizontal="right" vertical="center"/>
    </xf>
    <xf numFmtId="0" fontId="6" fillId="3" borderId="1" xfId="0" applyFont="1" applyFill="1" applyBorder="1" applyAlignment="1">
      <alignment horizontal="center" vertical="center"/>
    </xf>
    <xf numFmtId="0" fontId="0" fillId="3" borderId="1" xfId="0" applyFill="1" applyBorder="1" applyAlignment="1"/>
    <xf numFmtId="3" fontId="0" fillId="3" borderId="1" xfId="0" applyNumberFormat="1" applyFill="1" applyBorder="1" applyAlignment="1">
      <alignment horizontal="center" vertical="center"/>
    </xf>
    <xf numFmtId="3" fontId="0" fillId="0" borderId="6" xfId="0" applyNumberFormat="1" applyBorder="1" applyAlignment="1">
      <alignment horizontal="center" vertical="center"/>
    </xf>
    <xf numFmtId="3" fontId="0" fillId="0" borderId="7" xfId="0" applyNumberFormat="1" applyBorder="1" applyAlignment="1">
      <alignment horizontal="center" vertical="center"/>
    </xf>
    <xf numFmtId="3" fontId="0" fillId="0" borderId="8" xfId="0" applyNumberForma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Q24"/>
  <sheetViews>
    <sheetView tabSelected="1" zoomScaleNormal="100" workbookViewId="0">
      <pane xSplit="10" ySplit="9" topLeftCell="O10" activePane="bottomRight" state="frozen"/>
      <selection pane="topRight" activeCell="K1" sqref="K1"/>
      <selection pane="bottomLeft" activeCell="A9" sqref="A9"/>
      <selection pane="bottomRight" activeCell="A17" sqref="A17:XFD17"/>
    </sheetView>
  </sheetViews>
  <sheetFormatPr defaultColWidth="9" defaultRowHeight="13.5" x14ac:dyDescent="0.15"/>
  <cols>
    <col min="1" max="1" width="2.625" customWidth="1"/>
    <col min="2" max="2" width="20.125" style="4" bestFit="1" customWidth="1"/>
    <col min="3" max="3" width="14.375" bestFit="1" customWidth="1"/>
    <col min="4" max="4" width="13.125" bestFit="1" customWidth="1"/>
    <col min="5" max="5" width="40.625" customWidth="1"/>
    <col min="6" max="6" width="6.25" customWidth="1"/>
    <col min="7" max="8" width="9.875" style="29" bestFit="1" customWidth="1"/>
    <col min="9" max="9" width="7.5" style="1" customWidth="1"/>
    <col min="10" max="10" width="35.25" bestFit="1" customWidth="1"/>
    <col min="11" max="11" width="34.625" bestFit="1" customWidth="1"/>
    <col min="12" max="12" width="11" style="4" customWidth="1"/>
    <col min="13" max="13" width="13.75" style="5" customWidth="1"/>
    <col min="14" max="14" width="6.375" customWidth="1"/>
    <col min="15" max="15" width="26.25" style="1" customWidth="1"/>
    <col min="16" max="16" width="27.5" style="6" customWidth="1"/>
    <col min="17" max="17" width="15.625" style="28" customWidth="1"/>
  </cols>
  <sheetData>
    <row r="2" spans="2:17" ht="20.100000000000001" customHeight="1" x14ac:dyDescent="0.15">
      <c r="B2" s="42" t="s">
        <v>11</v>
      </c>
      <c r="C2" s="42"/>
      <c r="D2" s="42"/>
      <c r="E2" s="2" t="s">
        <v>28</v>
      </c>
      <c r="G2" s="43" t="s">
        <v>15</v>
      </c>
      <c r="H2" s="44"/>
      <c r="I2" s="45"/>
      <c r="J2" s="3">
        <f>SUM(H:H)</f>
        <v>103052</v>
      </c>
    </row>
    <row r="3" spans="2:17" ht="20.100000000000001" customHeight="1" x14ac:dyDescent="0.15">
      <c r="B3" s="42" t="s">
        <v>10</v>
      </c>
      <c r="C3" s="42"/>
      <c r="D3" s="42"/>
      <c r="E3" s="7" t="s">
        <v>29</v>
      </c>
    </row>
    <row r="4" spans="2:17" ht="20.100000000000001" customHeight="1" x14ac:dyDescent="0.15">
      <c r="B4" s="42" t="s">
        <v>12</v>
      </c>
      <c r="C4" s="42"/>
      <c r="D4" s="42"/>
      <c r="E4" s="7">
        <v>203150</v>
      </c>
      <c r="J4" s="8"/>
    </row>
    <row r="5" spans="2:17" ht="20.100000000000001" customHeight="1" x14ac:dyDescent="0.15">
      <c r="B5" s="42" t="s">
        <v>13</v>
      </c>
      <c r="C5" s="42"/>
      <c r="D5" s="42"/>
      <c r="E5" s="9"/>
      <c r="J5" s="8"/>
    </row>
    <row r="6" spans="2:17" ht="20.100000000000001" customHeight="1" x14ac:dyDescent="0.15">
      <c r="B6" s="42" t="s">
        <v>14</v>
      </c>
      <c r="C6" s="42"/>
      <c r="D6" s="42"/>
      <c r="E6" s="9">
        <v>44981</v>
      </c>
      <c r="J6" s="8"/>
    </row>
    <row r="7" spans="2:17" ht="20.100000000000001" customHeight="1" x14ac:dyDescent="0.15">
      <c r="B7" s="10"/>
      <c r="C7" s="10"/>
      <c r="D7" s="10"/>
      <c r="E7" s="11"/>
      <c r="J7" s="8"/>
      <c r="L7" s="12"/>
    </row>
    <row r="9" spans="2:17" s="4" customFormat="1" ht="19.7" customHeight="1" x14ac:dyDescent="0.15">
      <c r="B9" s="13" t="s">
        <v>4</v>
      </c>
      <c r="C9" s="13" t="s">
        <v>9</v>
      </c>
      <c r="D9" s="13" t="s">
        <v>5</v>
      </c>
      <c r="E9" s="14" t="s">
        <v>8</v>
      </c>
      <c r="F9" s="14" t="s">
        <v>0</v>
      </c>
      <c r="G9" s="30" t="s">
        <v>1</v>
      </c>
      <c r="H9" s="31" t="s">
        <v>2</v>
      </c>
      <c r="I9" s="15" t="s">
        <v>18</v>
      </c>
      <c r="J9" s="14" t="s">
        <v>3</v>
      </c>
      <c r="K9" s="14" t="s">
        <v>17</v>
      </c>
      <c r="L9" s="14" t="s">
        <v>16</v>
      </c>
      <c r="M9" s="16" t="s">
        <v>6</v>
      </c>
      <c r="N9" s="13" t="s">
        <v>19</v>
      </c>
      <c r="O9" s="14" t="s">
        <v>7</v>
      </c>
      <c r="P9" s="16" t="s">
        <v>20</v>
      </c>
      <c r="Q9" s="17" t="s">
        <v>21</v>
      </c>
    </row>
    <row r="10" spans="2:17" s="4" customFormat="1" ht="19.7" customHeight="1" x14ac:dyDescent="0.15">
      <c r="B10" s="13">
        <v>1</v>
      </c>
      <c r="C10" s="13" t="s">
        <v>25</v>
      </c>
      <c r="D10" s="13" t="s">
        <v>25</v>
      </c>
      <c r="E10" s="18" t="s">
        <v>30</v>
      </c>
      <c r="F10" s="20">
        <v>1</v>
      </c>
      <c r="G10" s="30"/>
      <c r="H10" s="31">
        <f>F10*G10</f>
        <v>0</v>
      </c>
      <c r="I10" s="15"/>
      <c r="J10" s="18"/>
      <c r="K10" s="18" t="s">
        <v>31</v>
      </c>
      <c r="L10" s="14"/>
      <c r="M10" s="16"/>
      <c r="N10" s="13"/>
      <c r="O10" s="14"/>
      <c r="P10" s="16"/>
      <c r="Q10" s="17"/>
    </row>
    <row r="11" spans="2:17" s="4" customFormat="1" ht="19.7" customHeight="1" x14ac:dyDescent="0.15">
      <c r="B11" s="39">
        <v>2</v>
      </c>
      <c r="C11" s="13" t="s">
        <v>22</v>
      </c>
      <c r="D11" s="13" t="s">
        <v>22</v>
      </c>
      <c r="E11" s="23" t="s">
        <v>44</v>
      </c>
      <c r="F11" s="23">
        <v>1</v>
      </c>
      <c r="G11" s="23">
        <v>418</v>
      </c>
      <c r="H11" s="30">
        <f t="shared" ref="H11:H21" si="0">F11*G11</f>
        <v>418</v>
      </c>
      <c r="I11" s="21"/>
      <c r="J11" s="23" t="s">
        <v>47</v>
      </c>
      <c r="K11" s="14"/>
      <c r="L11" s="14"/>
      <c r="M11" s="16"/>
      <c r="N11" s="13"/>
      <c r="O11" s="14"/>
      <c r="P11" s="16"/>
      <c r="Q11" s="17">
        <v>44974</v>
      </c>
    </row>
    <row r="12" spans="2:17" s="4" customFormat="1" ht="19.7" customHeight="1" x14ac:dyDescent="0.15">
      <c r="B12" s="40"/>
      <c r="C12" s="13" t="s">
        <v>22</v>
      </c>
      <c r="D12" s="13" t="s">
        <v>22</v>
      </c>
      <c r="E12" s="23" t="s">
        <v>43</v>
      </c>
      <c r="F12" s="23">
        <v>1</v>
      </c>
      <c r="G12" s="23">
        <v>168</v>
      </c>
      <c r="H12" s="30">
        <f t="shared" si="0"/>
        <v>168</v>
      </c>
      <c r="I12" s="21"/>
      <c r="J12" s="23" t="s">
        <v>47</v>
      </c>
      <c r="K12" s="14"/>
      <c r="L12" s="14"/>
      <c r="M12" s="16"/>
      <c r="N12" s="13"/>
      <c r="O12" s="14"/>
      <c r="P12" s="16"/>
      <c r="Q12" s="17">
        <v>44974</v>
      </c>
    </row>
    <row r="13" spans="2:17" s="4" customFormat="1" ht="19.7" customHeight="1" x14ac:dyDescent="0.15">
      <c r="B13" s="40"/>
      <c r="C13" s="13" t="s">
        <v>22</v>
      </c>
      <c r="D13" s="13" t="s">
        <v>22</v>
      </c>
      <c r="E13" s="23" t="s">
        <v>42</v>
      </c>
      <c r="F13" s="23">
        <v>1</v>
      </c>
      <c r="G13" s="23">
        <v>391</v>
      </c>
      <c r="H13" s="30">
        <f t="shared" si="0"/>
        <v>391</v>
      </c>
      <c r="I13" s="15"/>
      <c r="J13" s="23" t="s">
        <v>46</v>
      </c>
      <c r="K13" s="14"/>
      <c r="L13" s="14"/>
      <c r="M13" s="16"/>
      <c r="N13" s="13"/>
      <c r="O13" s="14"/>
      <c r="P13" s="16"/>
      <c r="Q13" s="17">
        <v>44974</v>
      </c>
    </row>
    <row r="14" spans="2:17" s="4" customFormat="1" ht="19.7" customHeight="1" x14ac:dyDescent="0.15">
      <c r="B14" s="41"/>
      <c r="C14" s="13" t="s">
        <v>22</v>
      </c>
      <c r="D14" s="13" t="s">
        <v>22</v>
      </c>
      <c r="E14" s="23" t="s">
        <v>41</v>
      </c>
      <c r="F14" s="23">
        <v>1</v>
      </c>
      <c r="G14" s="23">
        <v>266</v>
      </c>
      <c r="H14" s="30">
        <f t="shared" si="0"/>
        <v>266</v>
      </c>
      <c r="I14" s="15"/>
      <c r="J14" s="23" t="s">
        <v>46</v>
      </c>
      <c r="K14" s="14"/>
      <c r="L14" s="14"/>
      <c r="M14" s="16"/>
      <c r="N14" s="13"/>
      <c r="O14" s="14"/>
      <c r="P14" s="16"/>
      <c r="Q14" s="17">
        <v>44974</v>
      </c>
    </row>
    <row r="15" spans="2:17" s="4" customFormat="1" ht="19.7" customHeight="1" x14ac:dyDescent="0.15">
      <c r="B15" s="39">
        <v>3</v>
      </c>
      <c r="C15" s="13" t="s">
        <v>22</v>
      </c>
      <c r="D15" s="13" t="s">
        <v>22</v>
      </c>
      <c r="E15" s="23" t="s">
        <v>33</v>
      </c>
      <c r="F15" s="23">
        <v>1</v>
      </c>
      <c r="G15" s="23">
        <v>6889</v>
      </c>
      <c r="H15" s="30">
        <f t="shared" si="0"/>
        <v>6889</v>
      </c>
      <c r="I15" s="19"/>
      <c r="J15" s="22" t="s">
        <v>32</v>
      </c>
      <c r="K15" s="14"/>
      <c r="L15" s="14"/>
      <c r="M15" s="16"/>
      <c r="N15" s="13"/>
      <c r="O15" s="14"/>
      <c r="P15" s="16"/>
      <c r="Q15" s="17">
        <v>44974</v>
      </c>
    </row>
    <row r="16" spans="2:17" s="4" customFormat="1" ht="19.7" customHeight="1" x14ac:dyDescent="0.15">
      <c r="B16" s="41"/>
      <c r="C16" s="13" t="s">
        <v>22</v>
      </c>
      <c r="D16" s="13" t="s">
        <v>22</v>
      </c>
      <c r="E16" s="23" t="s">
        <v>27</v>
      </c>
      <c r="F16" s="23">
        <v>2</v>
      </c>
      <c r="G16" s="23">
        <v>70</v>
      </c>
      <c r="H16" s="30">
        <f t="shared" si="0"/>
        <v>140</v>
      </c>
      <c r="I16" s="19"/>
      <c r="J16" t="s">
        <v>48</v>
      </c>
      <c r="K16" s="14"/>
      <c r="L16" s="14"/>
      <c r="M16" s="16"/>
      <c r="N16" s="13"/>
      <c r="O16" s="14"/>
      <c r="P16" s="16"/>
      <c r="Q16" s="17">
        <v>44974</v>
      </c>
    </row>
    <row r="17" spans="2:17" s="4" customFormat="1" ht="19.7" customHeight="1" x14ac:dyDescent="0.15">
      <c r="B17" s="39">
        <v>4</v>
      </c>
      <c r="C17" s="13" t="s">
        <v>22</v>
      </c>
      <c r="D17" s="13" t="s">
        <v>22</v>
      </c>
      <c r="E17" s="23" t="s">
        <v>37</v>
      </c>
      <c r="F17" s="23">
        <v>1</v>
      </c>
      <c r="G17" s="23">
        <v>17406</v>
      </c>
      <c r="H17" s="30">
        <f t="shared" si="0"/>
        <v>17406</v>
      </c>
      <c r="I17" s="25"/>
      <c r="J17" s="24" t="s">
        <v>34</v>
      </c>
      <c r="K17" s="14"/>
      <c r="L17" s="14"/>
      <c r="M17" s="16"/>
      <c r="N17" s="13"/>
      <c r="O17" s="14"/>
      <c r="P17" s="16"/>
      <c r="Q17" s="17">
        <v>44974</v>
      </c>
    </row>
    <row r="18" spans="2:17" s="4" customFormat="1" ht="19.7" customHeight="1" x14ac:dyDescent="0.15">
      <c r="B18" s="40"/>
      <c r="C18" s="38" t="s">
        <v>22</v>
      </c>
      <c r="D18" s="38" t="s">
        <v>22</v>
      </c>
      <c r="E18" s="33" t="s">
        <v>38</v>
      </c>
      <c r="F18" s="34">
        <v>1</v>
      </c>
      <c r="G18" s="35">
        <v>0</v>
      </c>
      <c r="H18" s="35">
        <f t="shared" si="0"/>
        <v>0</v>
      </c>
      <c r="I18" s="36"/>
      <c r="J18" s="37" t="s">
        <v>35</v>
      </c>
      <c r="K18" s="14"/>
      <c r="L18" s="14"/>
      <c r="M18" s="16"/>
      <c r="N18" s="13"/>
      <c r="O18" s="14"/>
      <c r="P18" s="16"/>
      <c r="Q18" s="17"/>
    </row>
    <row r="19" spans="2:17" s="4" customFormat="1" ht="19.7" customHeight="1" x14ac:dyDescent="0.15">
      <c r="B19" s="40"/>
      <c r="C19" s="38" t="s">
        <v>22</v>
      </c>
      <c r="D19" s="38" t="s">
        <v>22</v>
      </c>
      <c r="E19" s="33" t="s">
        <v>38</v>
      </c>
      <c r="F19" s="34">
        <v>1</v>
      </c>
      <c r="G19" s="35">
        <v>0</v>
      </c>
      <c r="H19" s="35">
        <f t="shared" si="0"/>
        <v>0</v>
      </c>
      <c r="I19" s="36"/>
      <c r="J19" s="37" t="s">
        <v>36</v>
      </c>
      <c r="K19" s="14"/>
      <c r="L19" s="14"/>
      <c r="M19" s="16"/>
      <c r="N19" s="13"/>
      <c r="O19" s="14"/>
      <c r="P19" s="16"/>
      <c r="Q19" s="17"/>
    </row>
    <row r="20" spans="2:17" s="4" customFormat="1" ht="19.7" customHeight="1" x14ac:dyDescent="0.15">
      <c r="B20" s="40"/>
      <c r="C20" s="13" t="s">
        <v>22</v>
      </c>
      <c r="D20" s="13" t="s">
        <v>22</v>
      </c>
      <c r="E20" s="23" t="s">
        <v>45</v>
      </c>
      <c r="F20" s="23">
        <v>6</v>
      </c>
      <c r="G20" s="23">
        <v>14</v>
      </c>
      <c r="H20" s="30">
        <f t="shared" si="0"/>
        <v>84</v>
      </c>
      <c r="I20" s="25"/>
      <c r="J20" t="s">
        <v>49</v>
      </c>
      <c r="K20" s="14"/>
      <c r="L20" s="14"/>
      <c r="M20" s="16"/>
      <c r="N20" s="13"/>
      <c r="O20" s="14"/>
      <c r="P20" s="16"/>
      <c r="Q20" s="17">
        <v>44974</v>
      </c>
    </row>
    <row r="21" spans="2:17" s="4" customFormat="1" ht="19.7" customHeight="1" x14ac:dyDescent="0.15">
      <c r="B21" s="41"/>
      <c r="C21" s="13" t="s">
        <v>22</v>
      </c>
      <c r="D21" s="13" t="s">
        <v>22</v>
      </c>
      <c r="E21" s="23" t="s">
        <v>39</v>
      </c>
      <c r="F21" s="23">
        <v>1</v>
      </c>
      <c r="G21" s="23">
        <v>2290</v>
      </c>
      <c r="H21" s="30">
        <f t="shared" si="0"/>
        <v>2290</v>
      </c>
      <c r="I21" s="25"/>
      <c r="J21" s="24" t="s">
        <v>40</v>
      </c>
      <c r="K21" s="14"/>
      <c r="L21" s="14"/>
      <c r="M21" s="16"/>
      <c r="N21" s="13"/>
      <c r="O21" s="14"/>
      <c r="P21" s="16"/>
      <c r="Q21" s="17">
        <v>44974</v>
      </c>
    </row>
    <row r="22" spans="2:17" s="4" customFormat="1" ht="19.7" customHeight="1" x14ac:dyDescent="0.15">
      <c r="B22" s="39">
        <v>5</v>
      </c>
      <c r="C22" s="13" t="s">
        <v>23</v>
      </c>
      <c r="D22" s="13" t="s">
        <v>23</v>
      </c>
      <c r="E22" s="24" t="s">
        <v>26</v>
      </c>
      <c r="F22" s="20">
        <v>10</v>
      </c>
      <c r="G22" s="30">
        <v>5000</v>
      </c>
      <c r="H22" s="31">
        <f t="shared" ref="H22:H23" si="1">F22*G22</f>
        <v>50000</v>
      </c>
      <c r="I22" s="25"/>
      <c r="J22" s="24"/>
      <c r="K22" s="14"/>
      <c r="L22" s="14"/>
      <c r="M22" s="16"/>
      <c r="N22" s="13"/>
      <c r="O22" s="14"/>
      <c r="P22" s="16"/>
      <c r="Q22" s="17"/>
    </row>
    <row r="23" spans="2:17" s="4" customFormat="1" ht="19.7" customHeight="1" x14ac:dyDescent="0.15">
      <c r="B23" s="41"/>
      <c r="C23" s="13" t="s">
        <v>23</v>
      </c>
      <c r="D23" s="13" t="s">
        <v>23</v>
      </c>
      <c r="E23" s="24" t="s">
        <v>24</v>
      </c>
      <c r="F23" s="20">
        <v>5</v>
      </c>
      <c r="G23" s="30">
        <v>5000</v>
      </c>
      <c r="H23" s="31">
        <f t="shared" si="1"/>
        <v>25000</v>
      </c>
      <c r="I23" s="25"/>
      <c r="J23" s="24"/>
      <c r="K23" s="14"/>
      <c r="L23" s="14"/>
      <c r="M23" s="16"/>
      <c r="N23" s="13"/>
      <c r="O23" s="14"/>
      <c r="P23" s="16"/>
      <c r="Q23" s="17"/>
    </row>
    <row r="24" spans="2:17" s="4" customFormat="1" ht="19.7" customHeight="1" x14ac:dyDescent="0.15">
      <c r="B24" s="13"/>
      <c r="C24" s="26"/>
      <c r="D24" s="26"/>
      <c r="E24" s="23"/>
      <c r="F24" s="23"/>
      <c r="G24" s="30"/>
      <c r="H24" s="30"/>
      <c r="I24" s="19"/>
      <c r="J24" s="32"/>
      <c r="K24" s="13"/>
      <c r="L24" s="13"/>
      <c r="M24" s="16"/>
      <c r="N24" s="13"/>
      <c r="O24" s="27"/>
      <c r="P24" s="27"/>
      <c r="Q24" s="17"/>
    </row>
  </sheetData>
  <autoFilter ref="B9:O24" xr:uid="{00000000-0009-0000-0000-000000000000}"/>
  <mergeCells count="10">
    <mergeCell ref="B11:B14"/>
    <mergeCell ref="B22:B23"/>
    <mergeCell ref="B15:B16"/>
    <mergeCell ref="B6:D6"/>
    <mergeCell ref="G2:I2"/>
    <mergeCell ref="B2:D2"/>
    <mergeCell ref="B3:D3"/>
    <mergeCell ref="B4:D4"/>
    <mergeCell ref="B5:D5"/>
    <mergeCell ref="B17:B21"/>
  </mergeCells>
  <phoneticPr fontId="2"/>
  <pageMargins left="0.2" right="0.2" top="0.36" bottom="0.41" header="0.3" footer="0.3"/>
  <pageSetup paperSize="9"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原価表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SATOH</dc:creator>
  <cp:lastModifiedBy>shinohara</cp:lastModifiedBy>
  <cp:lastPrinted>2021-05-10T06:26:28Z</cp:lastPrinted>
  <dcterms:created xsi:type="dcterms:W3CDTF">2011-12-13T06:48:43Z</dcterms:created>
  <dcterms:modified xsi:type="dcterms:W3CDTF">2023-02-17T04:09:20Z</dcterms:modified>
</cp:coreProperties>
</file>