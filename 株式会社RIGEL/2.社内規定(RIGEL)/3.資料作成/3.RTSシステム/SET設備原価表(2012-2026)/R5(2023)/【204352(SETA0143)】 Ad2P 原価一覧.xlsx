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37BF878-3439-4E08-9301-0D6BC1231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原価表!$B$9:$O$21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13" i="1"/>
  <c r="J2" i="1" l="1"/>
</calcChain>
</file>

<file path=xl/sharedStrings.xml><?xml version="1.0" encoding="utf-8"?>
<sst xmlns="http://schemas.openxmlformats.org/spreadsheetml/2006/main" count="106" uniqueCount="73">
  <si>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</si>
  <si>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</si>
  <si>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</si>
  <si>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</si>
  <si>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</si>
  <si>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</si>
  <si>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</si>
  <si>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</si>
  <si>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</si>
  <si>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</si>
  <si>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</si>
  <si>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</si>
  <si>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</si>
  <si>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</si>
  <si>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</si>
  <si>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</si>
  <si>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</si>
  <si>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</si>
  <si>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</si>
  <si>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</si>
  <si>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</si>
  <si>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</si>
  <si>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</si>
  <si>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</si>
  <si>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</si>
  <si>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</si>
  <si>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</si>
  <si>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</si>
  <si>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</si>
  <si>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</si>
  <si>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</si>
  <si>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</si>
  <si>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</si>
  <si>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</si>
  <si>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</si>
  <si>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</si>
  <si>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</si>
  <si>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</si>
  <si>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</si>
  <si>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</si>
  <si>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</si>
  <si>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</si>
  <si>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</si>
  <si>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</si>
  <si>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</si>
  <si>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</si>
  <si>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</si>
  <si>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</si>
  <si>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</si>
  <si>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AXEND</t>
    <phoneticPr fontId="2"/>
  </si>
  <si>
    <t>ｹｼｰﾙ</t>
    <phoneticPr fontId="2"/>
  </si>
  <si>
    <t>MISUMI</t>
    <phoneticPr fontId="2"/>
  </si>
  <si>
    <t>DB-9SP</t>
  </si>
  <si>
    <t>ｺﾈｸﾀ</t>
  </si>
  <si>
    <t>DE-C8-J9-B21R</t>
  </si>
  <si>
    <t>DSUBﾌｰﾄﾞ</t>
  </si>
  <si>
    <t>MVBLK-AMW-2GE-YGJMD</t>
  </si>
  <si>
    <t>MVBLK-AMW-2GE-59G47</t>
  </si>
  <si>
    <t>MVBLK-AMW-2GE-YKRXP</t>
  </si>
  <si>
    <t>SSH-C（Syringe Support）</t>
  </si>
  <si>
    <t>SSH-B（Syringe guide）</t>
  </si>
  <si>
    <t>SSH-A（Holder Base)</t>
  </si>
  <si>
    <t>10ccAdapter</t>
    <phoneticPr fontId="11"/>
  </si>
  <si>
    <t>5ccAdapter</t>
    <phoneticPr fontId="11"/>
  </si>
  <si>
    <t>3ccAdapter</t>
    <phoneticPr fontId="11"/>
  </si>
  <si>
    <t>CONNECT</t>
    <phoneticPr fontId="2"/>
  </si>
  <si>
    <t>CRKW4-6</t>
  </si>
  <si>
    <t>ＥＵタイプ電源に変更</t>
    <phoneticPr fontId="2"/>
  </si>
  <si>
    <t>AXHD-01001K　ﾁｯﾌﾟﾃﾞｨﾃｸﾄｾﾝｻｰ</t>
    <phoneticPr fontId="2"/>
  </si>
  <si>
    <t>設計費</t>
    <rPh sb="0" eb="3">
      <t>セッケイヒ</t>
    </rPh>
    <phoneticPr fontId="2"/>
  </si>
  <si>
    <t>組立費</t>
    <rPh sb="0" eb="3">
      <t>クミタテヒ</t>
    </rPh>
    <phoneticPr fontId="2"/>
  </si>
  <si>
    <t>ｼﾞｭｼﾛｰﾚｯﾄﾂｷﾈｼﾞ-ﾀﾝﾋﾟﾝ ｺﾊﾞｺ-</t>
  </si>
  <si>
    <t xml:space="preserve">AXA400-HV-P (PNP）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</si>
</sst>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56" fontId="0" fillId="0" borderId="1" xfId="0" applyNumberForma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56" fontId="9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3"/>
  <sheetViews>
    <sheetView tabSelected="1" zoomScale="85" zoomScaleNormal="85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E12" sqref="E12"/>
    </sheetView>
  </sheetViews>
  <sheetFormatPr defaultColWidth="9" defaultRowHeight="13.5" x14ac:dyDescent="0.15"/>
  <cols>
    <col min="1" max="1" width="2.625" customWidth="1"/>
    <col min="2" max="2" width="20.125" style="11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11" customWidth="1"/>
    <col min="13" max="13" width="13.75" style="12" customWidth="1"/>
    <col min="14" max="14" width="6.375" customWidth="1"/>
    <col min="15" max="15" width="13.25" style="1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47" t="s">
        <v>11</v>
      </c>
      <c r="C2" s="47"/>
      <c r="D2" s="47"/>
      <c r="E2" s="9" t="s">
        <v>49</v>
      </c>
      <c r="G2" s="48" t="s">
        <v>15</v>
      </c>
      <c r="H2" s="49"/>
      <c r="I2" s="50"/>
      <c r="J2" s="10">
        <f>SUM(H:H)</f>
        <v>76395</v>
      </c>
    </row>
    <row r="3" spans="2:17" ht="20.100000000000001" customHeight="1" x14ac:dyDescent="0.15">
      <c r="B3" s="47" t="s">
        <v>10</v>
      </c>
      <c r="C3" s="47"/>
      <c r="D3" s="47"/>
      <c r="E3" s="15" t="s">
        <v>50</v>
      </c>
    </row>
    <row r="4" spans="2:17" ht="20.100000000000001" customHeight="1" x14ac:dyDescent="0.15">
      <c r="B4" s="47" t="s">
        <v>12</v>
      </c>
      <c r="C4" s="47"/>
      <c r="D4" s="47"/>
      <c r="E4" s="15">
        <v>204352</v>
      </c>
      <c r="J4" s="16"/>
    </row>
    <row r="5" spans="2:17" ht="20.100000000000001" customHeight="1" x14ac:dyDescent="0.15">
      <c r="B5" s="47" t="s">
        <v>13</v>
      </c>
      <c r="C5" s="47"/>
      <c r="D5" s="47"/>
      <c r="E5" s="17"/>
      <c r="J5" s="16"/>
    </row>
    <row r="6" spans="2:17" ht="20.100000000000001" customHeight="1" x14ac:dyDescent="0.15">
      <c r="B6" s="47" t="s">
        <v>14</v>
      </c>
      <c r="C6" s="47"/>
      <c r="D6" s="47"/>
      <c r="E6" s="17">
        <v>45030</v>
      </c>
      <c r="J6" s="16"/>
    </row>
    <row r="7" spans="2:17" ht="20.100000000000001" customHeight="1" x14ac:dyDescent="0.15">
      <c r="B7" s="18"/>
      <c r="C7" s="18"/>
      <c r="D7" s="18"/>
      <c r="E7" s="19"/>
      <c r="J7" s="16"/>
      <c r="L7" s="20"/>
    </row>
    <row r="9" spans="2:17" s="11" customFormat="1" ht="19.7" customHeight="1" x14ac:dyDescent="0.15">
      <c r="B9" s="21" t="s">
        <v>4</v>
      </c>
      <c r="C9" s="21" t="s">
        <v>9</v>
      </c>
      <c r="D9" s="21" t="s">
        <v>5</v>
      </c>
      <c r="E9" s="22" t="s">
        <v>8</v>
      </c>
      <c r="F9" s="22" t="s">
        <v>0</v>
      </c>
      <c r="G9" s="22" t="s">
        <v>1</v>
      </c>
      <c r="H9" s="23" t="s">
        <v>2</v>
      </c>
      <c r="I9" s="23" t="s">
        <v>18</v>
      </c>
      <c r="J9" s="22" t="s">
        <v>3</v>
      </c>
      <c r="K9" s="22" t="s">
        <v>17</v>
      </c>
      <c r="L9" s="22" t="s">
        <v>16</v>
      </c>
      <c r="M9" s="24" t="s">
        <v>6</v>
      </c>
      <c r="N9" s="21" t="s">
        <v>19</v>
      </c>
      <c r="O9" s="22" t="s">
        <v>7</v>
      </c>
      <c r="P9" s="24" t="s">
        <v>20</v>
      </c>
      <c r="Q9" s="25" t="s">
        <v>21</v>
      </c>
    </row>
    <row r="10" spans="2:17" s="11" customFormat="1" ht="19.7" customHeight="1" x14ac:dyDescent="0.15">
      <c r="B10" s="21">
        <v>1</v>
      </c>
      <c r="C10" s="21" t="s">
        <v>47</v>
      </c>
      <c r="D10" s="21" t="s">
        <v>47</v>
      </c>
      <c r="E10" s="26" t="s">
        <v>72</v>
      </c>
      <c r="F10" s="28">
        <v>1</v>
      </c>
      <c r="G10" s="22"/>
      <c r="H10" s="23"/>
      <c r="I10" s="23"/>
      <c r="J10" s="26"/>
      <c r="K10" s="42"/>
      <c r="L10" s="22"/>
      <c r="M10" s="24"/>
      <c r="N10" s="21"/>
      <c r="O10" s="22"/>
      <c r="P10" s="24"/>
      <c r="Q10" s="25">
        <v>45027</v>
      </c>
    </row>
    <row r="11" spans="2:17" s="11" customFormat="1" ht="19.7" customHeight="1" x14ac:dyDescent="0.15">
      <c r="B11" s="21">
        <v>2</v>
      </c>
      <c r="C11" s="21" t="s">
        <v>47</v>
      </c>
      <c r="D11" s="21" t="s">
        <v>47</v>
      </c>
      <c r="E11" s="26" t="s">
        <v>67</v>
      </c>
      <c r="F11" s="28">
        <v>1</v>
      </c>
      <c r="G11" s="22"/>
      <c r="H11" s="23"/>
      <c r="I11" s="23"/>
      <c r="J11" s="26"/>
      <c r="K11" s="42"/>
      <c r="L11" s="22"/>
      <c r="M11" s="24"/>
      <c r="N11" s="21"/>
      <c r="O11" s="22"/>
      <c r="P11" s="24"/>
      <c r="Q11" s="25"/>
    </row>
    <row r="12" spans="2:17" s="11" customFormat="1" ht="19.7" customHeight="1" x14ac:dyDescent="0.15">
      <c r="B12" s="21">
        <v>3</v>
      </c>
      <c r="C12" s="21" t="s">
        <v>47</v>
      </c>
      <c r="D12" s="21" t="s">
        <v>47</v>
      </c>
      <c r="E12" s="26" t="s">
        <v>68</v>
      </c>
      <c r="F12" s="28">
        <v>1</v>
      </c>
      <c r="G12" s="22"/>
      <c r="H12" s="23"/>
      <c r="I12" s="23"/>
      <c r="J12" s="26"/>
      <c r="K12" s="42"/>
      <c r="L12" s="22"/>
      <c r="M12" s="24"/>
      <c r="N12" s="21"/>
      <c r="O12" s="22"/>
      <c r="P12" s="24"/>
      <c r="Q12" s="25"/>
    </row>
    <row r="13" spans="2:17" s="11" customFormat="1" ht="19.7" customHeight="1" x14ac:dyDescent="0.15">
      <c r="B13" s="44">
        <v>4</v>
      </c>
      <c r="C13" s="35" t="s">
        <v>51</v>
      </c>
      <c r="D13" s="35" t="s">
        <v>51</v>
      </c>
      <c r="E13" s="32" t="s">
        <v>52</v>
      </c>
      <c r="F13" s="32">
        <v>1</v>
      </c>
      <c r="G13" s="32">
        <v>168</v>
      </c>
      <c r="H13" s="32">
        <f>F13*G13</f>
        <v>168</v>
      </c>
      <c r="I13" s="34"/>
      <c r="J13" s="32" t="s">
        <v>53</v>
      </c>
      <c r="K13" s="21"/>
      <c r="L13" s="22"/>
      <c r="M13" s="24">
        <v>44994</v>
      </c>
      <c r="N13" s="21"/>
      <c r="O13" s="22"/>
      <c r="P13" s="24">
        <v>45005</v>
      </c>
      <c r="Q13" s="25">
        <v>45005</v>
      </c>
    </row>
    <row r="14" spans="2:17" s="11" customFormat="1" ht="19.7" customHeight="1" x14ac:dyDescent="0.15">
      <c r="B14" s="45"/>
      <c r="C14" s="35" t="s">
        <v>51</v>
      </c>
      <c r="D14" s="35" t="s">
        <v>51</v>
      </c>
      <c r="E14" s="32" t="s">
        <v>54</v>
      </c>
      <c r="F14" s="32">
        <v>1</v>
      </c>
      <c r="G14" s="32">
        <v>388</v>
      </c>
      <c r="H14" s="32">
        <f t="shared" ref="H14:H23" si="0">F14*G14</f>
        <v>388</v>
      </c>
      <c r="I14" s="27"/>
      <c r="J14" s="32" t="s">
        <v>55</v>
      </c>
      <c r="K14" s="21"/>
      <c r="L14" s="22"/>
      <c r="M14" s="24">
        <v>44994</v>
      </c>
      <c r="N14" s="21"/>
      <c r="O14" s="22"/>
      <c r="P14" s="24">
        <v>45005</v>
      </c>
      <c r="Q14" s="25">
        <v>45005</v>
      </c>
    </row>
    <row r="15" spans="2:17" s="11" customFormat="1" ht="19.7" customHeight="1" x14ac:dyDescent="0.15">
      <c r="B15" s="46">
        <v>8</v>
      </c>
      <c r="C15" s="35" t="s">
        <v>51</v>
      </c>
      <c r="D15" s="35" t="s">
        <v>51</v>
      </c>
      <c r="E15" s="32" t="s">
        <v>56</v>
      </c>
      <c r="F15" s="32">
        <v>1</v>
      </c>
      <c r="G15" s="32">
        <v>6020</v>
      </c>
      <c r="H15" s="32">
        <f t="shared" si="0"/>
        <v>6020</v>
      </c>
      <c r="I15" s="27"/>
      <c r="J15" s="36" t="s">
        <v>61</v>
      </c>
      <c r="K15" s="21"/>
      <c r="L15" s="22"/>
      <c r="M15" s="24">
        <v>44994</v>
      </c>
      <c r="N15" s="21"/>
      <c r="O15" s="37"/>
      <c r="P15" s="24">
        <v>45005</v>
      </c>
      <c r="Q15" s="25">
        <v>45005</v>
      </c>
    </row>
    <row r="16" spans="2:17" s="11" customFormat="1" ht="19.7" customHeight="1" x14ac:dyDescent="0.15">
      <c r="B16" s="46"/>
      <c r="C16" s="35" t="s">
        <v>51</v>
      </c>
      <c r="D16" s="35" t="s">
        <v>51</v>
      </c>
      <c r="E16" s="32" t="s">
        <v>57</v>
      </c>
      <c r="F16" s="32">
        <v>1</v>
      </c>
      <c r="G16" s="32">
        <v>5419</v>
      </c>
      <c r="H16" s="32">
        <f t="shared" si="0"/>
        <v>5419</v>
      </c>
      <c r="I16" s="27"/>
      <c r="J16" s="36" t="s">
        <v>60</v>
      </c>
      <c r="K16" s="21"/>
      <c r="L16" s="22"/>
      <c r="M16" s="24">
        <v>44994</v>
      </c>
      <c r="N16" s="21"/>
      <c r="O16" s="37"/>
      <c r="P16" s="24">
        <v>45005</v>
      </c>
      <c r="Q16" s="25">
        <v>45005</v>
      </c>
    </row>
    <row r="17" spans="2:17" s="11" customFormat="1" ht="19.7" customHeight="1" x14ac:dyDescent="0.15">
      <c r="B17" s="46"/>
      <c r="C17" s="35" t="s">
        <v>51</v>
      </c>
      <c r="D17" s="35" t="s">
        <v>51</v>
      </c>
      <c r="E17" s="32" t="s">
        <v>58</v>
      </c>
      <c r="F17" s="32">
        <v>1</v>
      </c>
      <c r="G17" s="32">
        <v>5330</v>
      </c>
      <c r="H17" s="32">
        <f t="shared" si="0"/>
        <v>5330</v>
      </c>
      <c r="I17" s="27"/>
      <c r="J17" s="36" t="s">
        <v>59</v>
      </c>
      <c r="K17" s="21"/>
      <c r="L17" s="22"/>
      <c r="M17" s="24">
        <v>44994</v>
      </c>
      <c r="N17" s="21"/>
      <c r="O17" s="37"/>
      <c r="P17" s="24">
        <v>45005</v>
      </c>
      <c r="Q17" s="25">
        <v>45005</v>
      </c>
    </row>
    <row r="18" spans="2:17" s="11" customFormat="1" ht="19.7" customHeight="1" x14ac:dyDescent="0.15">
      <c r="B18" s="46"/>
      <c r="C18" s="35" t="s">
        <v>51</v>
      </c>
      <c r="D18" s="35" t="s">
        <v>51</v>
      </c>
      <c r="E18" s="32" t="s">
        <v>66</v>
      </c>
      <c r="F18" s="32">
        <v>1</v>
      </c>
      <c r="G18" s="32">
        <v>70</v>
      </c>
      <c r="H18" s="32">
        <f t="shared" si="0"/>
        <v>70</v>
      </c>
      <c r="I18" s="27"/>
      <c r="J18" t="s">
        <v>71</v>
      </c>
      <c r="K18" s="21"/>
      <c r="L18" s="22"/>
      <c r="M18" s="24">
        <v>44994</v>
      </c>
      <c r="N18" s="21"/>
      <c r="O18" s="37"/>
      <c r="P18" s="24">
        <v>45005</v>
      </c>
      <c r="Q18" s="25">
        <v>45005</v>
      </c>
    </row>
    <row r="19" spans="2:17" s="11" customFormat="1" ht="19.7" customHeight="1" x14ac:dyDescent="0.15">
      <c r="B19" s="46"/>
      <c r="C19" s="35" t="s">
        <v>65</v>
      </c>
      <c r="D19" s="35" t="s">
        <v>65</v>
      </c>
      <c r="E19" s="32" t="s">
        <v>62</v>
      </c>
      <c r="F19" s="32">
        <v>1</v>
      </c>
      <c r="G19" s="32">
        <v>3000</v>
      </c>
      <c r="H19" s="32">
        <f t="shared" si="0"/>
        <v>3000</v>
      </c>
      <c r="I19" s="27"/>
      <c r="J19" s="32" t="s">
        <v>62</v>
      </c>
      <c r="K19" s="42"/>
      <c r="L19" s="22"/>
      <c r="M19" s="24">
        <v>44994</v>
      </c>
      <c r="N19" s="21"/>
      <c r="O19" s="43">
        <v>45009</v>
      </c>
      <c r="P19" s="43">
        <v>45009</v>
      </c>
      <c r="Q19" s="25">
        <v>45005</v>
      </c>
    </row>
    <row r="20" spans="2:17" s="11" customFormat="1" ht="19.7" customHeight="1" x14ac:dyDescent="0.15">
      <c r="B20" s="46"/>
      <c r="C20" s="35" t="s">
        <v>65</v>
      </c>
      <c r="D20" s="35" t="s">
        <v>65</v>
      </c>
      <c r="E20" s="32" t="s">
        <v>63</v>
      </c>
      <c r="F20" s="32">
        <v>1</v>
      </c>
      <c r="G20" s="32">
        <v>3000</v>
      </c>
      <c r="H20" s="32">
        <f t="shared" si="0"/>
        <v>3000</v>
      </c>
      <c r="I20" s="27"/>
      <c r="J20" s="32" t="s">
        <v>63</v>
      </c>
      <c r="K20" s="42"/>
      <c r="L20" s="22"/>
      <c r="M20" s="24">
        <v>44994</v>
      </c>
      <c r="N20" s="21"/>
      <c r="O20" s="43">
        <v>45009</v>
      </c>
      <c r="P20" s="43">
        <v>45009</v>
      </c>
      <c r="Q20" s="25">
        <v>45005</v>
      </c>
    </row>
    <row r="21" spans="2:17" s="11" customFormat="1" ht="19.7" customHeight="1" x14ac:dyDescent="0.15">
      <c r="B21" s="45"/>
      <c r="C21" s="35" t="s">
        <v>65</v>
      </c>
      <c r="D21" s="35" t="s">
        <v>65</v>
      </c>
      <c r="E21" s="32" t="s">
        <v>64</v>
      </c>
      <c r="F21" s="32">
        <v>1</v>
      </c>
      <c r="G21" s="32">
        <v>3000</v>
      </c>
      <c r="H21" s="32">
        <f t="shared" si="0"/>
        <v>3000</v>
      </c>
      <c r="I21" s="27"/>
      <c r="J21" s="32" t="s">
        <v>64</v>
      </c>
      <c r="K21" s="42"/>
      <c r="L21" s="22"/>
      <c r="M21" s="24">
        <v>44994</v>
      </c>
      <c r="N21" s="21"/>
      <c r="O21" s="43">
        <v>45009</v>
      </c>
      <c r="P21" s="43">
        <v>45009</v>
      </c>
      <c r="Q21" s="25">
        <v>45005</v>
      </c>
    </row>
    <row r="22" spans="2:17" s="11" customFormat="1" ht="19.7" customHeight="1" x14ac:dyDescent="0.15">
      <c r="B22" s="41"/>
      <c r="C22" s="21" t="s">
        <v>47</v>
      </c>
      <c r="D22" s="21" t="s">
        <v>47</v>
      </c>
      <c r="E22" s="32" t="s">
        <v>69</v>
      </c>
      <c r="F22" s="32">
        <v>5</v>
      </c>
      <c r="G22" s="32">
        <v>5000</v>
      </c>
      <c r="H22" s="32">
        <f t="shared" si="0"/>
        <v>25000</v>
      </c>
      <c r="I22" s="27"/>
      <c r="J22" s="32"/>
      <c r="K22" s="40"/>
      <c r="L22" s="22"/>
      <c r="M22" s="24"/>
      <c r="N22" s="21"/>
      <c r="O22" s="37"/>
      <c r="P22" s="24"/>
      <c r="Q22" s="25"/>
    </row>
    <row r="23" spans="2:17" ht="19.5" customHeight="1" x14ac:dyDescent="0.15">
      <c r="B23" s="22"/>
      <c r="C23" s="21" t="s">
        <v>47</v>
      </c>
      <c r="D23" s="21" t="s">
        <v>47</v>
      </c>
      <c r="E23" s="32" t="s">
        <v>70</v>
      </c>
      <c r="F23" s="32">
        <v>5</v>
      </c>
      <c r="G23" s="32">
        <v>5000</v>
      </c>
      <c r="H23" s="32">
        <f t="shared" si="0"/>
        <v>25000</v>
      </c>
      <c r="I23" s="34"/>
      <c r="J23" s="32"/>
      <c r="K23" s="32"/>
      <c r="L23" s="22"/>
      <c r="M23" s="24"/>
      <c r="N23" s="32"/>
      <c r="O23" s="34"/>
      <c r="P23" s="38"/>
      <c r="Q23" s="39"/>
    </row>
  </sheetData>
  <autoFilter ref="B9:O21" xr:uid="{00000000-0009-0000-0000-000000000000}"/>
  <mergeCells count="8">
    <mergeCell ref="B13:B14"/>
    <mergeCell ref="B15:B21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4" t="s">
        <v>26</v>
      </c>
    </row>
    <row r="6" spans="1:6" ht="20.100000000000001" customHeight="1" x14ac:dyDescent="0.15">
      <c r="B6" s="6">
        <v>1</v>
      </c>
      <c r="C6" s="7" t="s">
        <v>29</v>
      </c>
      <c r="D6" s="7" t="s">
        <v>30</v>
      </c>
      <c r="E6" s="6">
        <v>2</v>
      </c>
      <c r="F6" s="51" t="s">
        <v>33</v>
      </c>
    </row>
    <row r="7" spans="1:6" ht="20.100000000000001" customHeight="1" x14ac:dyDescent="0.15">
      <c r="B7" s="6">
        <v>2</v>
      </c>
      <c r="C7" s="8" t="s">
        <v>27</v>
      </c>
      <c r="D7" s="7" t="s">
        <v>28</v>
      </c>
      <c r="E7" s="6">
        <v>2</v>
      </c>
      <c r="F7" s="52"/>
    </row>
    <row r="8" spans="1:6" ht="20.100000000000001" customHeight="1" x14ac:dyDescent="0.15">
      <c r="B8" s="6">
        <v>3</v>
      </c>
      <c r="C8" s="7" t="s">
        <v>37</v>
      </c>
      <c r="D8" s="7" t="s">
        <v>38</v>
      </c>
      <c r="E8" s="6">
        <v>2</v>
      </c>
      <c r="F8" s="53"/>
    </row>
    <row r="9" spans="1:6" ht="20.100000000000001" customHeight="1" x14ac:dyDescent="0.15">
      <c r="B9" s="2">
        <v>4</v>
      </c>
      <c r="C9" s="5" t="s">
        <v>32</v>
      </c>
      <c r="D9" s="5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1:B5"/>
  <sheetViews>
    <sheetView view="pageBreakPreview" zoomScaleNormal="100" zoomScaleSheetLayoutView="100" workbookViewId="0">
      <selection activeCell="B13" sqref="B13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33" t="s">
        <v>11</v>
      </c>
      <c r="B1" s="9" t="s">
        <v>48</v>
      </c>
    </row>
    <row r="2" spans="1:2" ht="17.25" x14ac:dyDescent="0.15">
      <c r="A2" s="33" t="s">
        <v>10</v>
      </c>
      <c r="B2" s="15" t="s">
        <v>39</v>
      </c>
    </row>
    <row r="3" spans="1:2" ht="17.25" x14ac:dyDescent="0.15">
      <c r="A3" s="33" t="s">
        <v>12</v>
      </c>
      <c r="B3" s="15">
        <v>186734</v>
      </c>
    </row>
    <row r="4" spans="1:2" ht="17.25" x14ac:dyDescent="0.15">
      <c r="A4" s="33" t="s">
        <v>13</v>
      </c>
      <c r="B4" s="17"/>
    </row>
    <row r="5" spans="1:2" ht="17.25" x14ac:dyDescent="0.15">
      <c r="A5" s="33" t="s">
        <v>14</v>
      </c>
      <c r="B5" s="17">
        <v>44357</v>
      </c>
    </row>
  </sheetData>
  <phoneticPr fontId="10"/>
  <pageMargins left="0.7" right="0.7" top="0.75" bottom="0.75" header="0.3" footer="0.3"/>
  <pageSetup paperSize="9" scale="2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0"/>
    <col min="4" max="4" width="27.375" bestFit="1" customWidth="1"/>
  </cols>
  <sheetData>
    <row r="6" spans="3:5" x14ac:dyDescent="0.15">
      <c r="C6" s="31" t="s">
        <v>40</v>
      </c>
      <c r="D6" s="22" t="s">
        <v>41</v>
      </c>
      <c r="E6" s="22" t="s">
        <v>42</v>
      </c>
    </row>
    <row r="7" spans="3:5" x14ac:dyDescent="0.15">
      <c r="C7" s="31">
        <v>10</v>
      </c>
      <c r="D7" s="29" t="s">
        <v>43</v>
      </c>
      <c r="E7" s="27">
        <v>2</v>
      </c>
    </row>
    <row r="8" spans="3:5" x14ac:dyDescent="0.15">
      <c r="C8" s="31">
        <v>22.5</v>
      </c>
      <c r="D8" s="29" t="s">
        <v>44</v>
      </c>
      <c r="E8" s="27">
        <v>2</v>
      </c>
    </row>
    <row r="9" spans="3:5" x14ac:dyDescent="0.15">
      <c r="C9" s="31">
        <v>30</v>
      </c>
      <c r="D9" s="29" t="s">
        <v>45</v>
      </c>
      <c r="E9" s="27">
        <v>2</v>
      </c>
    </row>
    <row r="10" spans="3:5" x14ac:dyDescent="0.15">
      <c r="C10" s="31">
        <v>35</v>
      </c>
      <c r="D10" s="29" t="s">
        <v>46</v>
      </c>
      <c r="E10" s="27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2023-04-11T04:59:34Z</dcterms:modified>
</cp:coreProperties>
</file>