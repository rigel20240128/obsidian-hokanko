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CD8D80D-D4CF-4920-A3DE-BBD3F70FAA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Sheet1!$B$8:$O$49</definedName>
  </definedNames>
  <calcPr calcId="181029"/>
</workbook>
</file>

<file path=xl/calcChain.xml><?xml version="1.0" encoding="utf-8"?>
<calcChain xmlns="http://schemas.openxmlformats.org/spreadsheetml/2006/main">
  <c r="H44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2" i="1" l="1"/>
  <c r="H13" i="1"/>
  <c r="H46" i="1" l="1"/>
  <c r="H45" i="1"/>
  <c r="H14" i="1"/>
  <c r="H49" i="1"/>
  <c r="H48" i="1"/>
  <c r="H47" i="1"/>
  <c r="H15" i="1"/>
  <c r="H10" i="1"/>
  <c r="H9" i="1"/>
  <c r="H11" i="1"/>
  <c r="J2" i="1" l="1"/>
</calcChain>
</file>

<file path=xl/sharedStrings.xml><?xml version="1.0" encoding="utf-8"?>
<sst xmlns="http://schemas.openxmlformats.org/spreadsheetml/2006/main" count="186" uniqueCount="90">
  <si>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</si>
  <si>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</si>
  <si>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</si>
  <si>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</si>
  <si>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</si>
  <si>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</si>
  <si>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</si>
  <si>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</si>
  <si>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</si>
  <si>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</si>
  <si>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</si>
  <si>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</si>
  <si>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</si>
  <si>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</si>
  <si>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</si>
  <si>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</si>
  <si>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</si>
  <si>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</si>
  <si>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</si>
  <si>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</si>
  <si>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</si>
  <si>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</si>
  <si>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荷造り運賃</t>
    <rPh sb="0" eb="1">
      <t>ニ</t>
    </rPh>
    <rPh sb="1" eb="2">
      <t>ツク</t>
    </rPh>
    <rPh sb="3" eb="5">
      <t>ウンチン</t>
    </rPh>
    <phoneticPr fontId="2"/>
  </si>
  <si>
    <t>B仕様 オプションスイッチ付(捨て打ちSW）</t>
    <rPh sb="1" eb="3">
      <t>シヨウ</t>
    </rPh>
    <rPh sb="13" eb="14">
      <t>ツキ</t>
    </rPh>
    <rPh sb="15" eb="16">
      <t>ス</t>
    </rPh>
    <rPh sb="17" eb="18">
      <t>ウ</t>
    </rPh>
    <phoneticPr fontId="2"/>
  </si>
  <si>
    <t>I/O-S増設費用（オプション）</t>
    <rPh sb="5" eb="7">
      <t>ゾウセツ</t>
    </rPh>
    <rPh sb="7" eb="9">
      <t>ヒヨウ</t>
    </rPh>
    <phoneticPr fontId="2"/>
  </si>
  <si>
    <t>卓上型ロボット ＪＲ3403 片持ち 外部スイッチ仕様（NPN）</t>
    <rPh sb="0" eb="2">
      <t>タクジョウ</t>
    </rPh>
    <rPh sb="2" eb="3">
      <t>ガタ</t>
    </rPh>
    <rPh sb="15" eb="17">
      <t>カタモ</t>
    </rPh>
    <rPh sb="19" eb="21">
      <t>ガイブ</t>
    </rPh>
    <rPh sb="25" eb="27">
      <t>シヨウ</t>
    </rPh>
    <phoneticPr fontId="2"/>
  </si>
  <si>
    <r>
      <t>卓上型ロボット</t>
    </r>
    <r>
      <rPr>
        <sz val="11"/>
        <color indexed="8"/>
        <rFont val="ＭＳ Ｐゴシック"/>
        <family val="3"/>
        <charset val="128"/>
      </rPr>
      <t>JR3000シリーズ(3軸）</t>
    </r>
    <rPh sb="0" eb="2">
      <t>タクジョウ</t>
    </rPh>
    <rPh sb="2" eb="3">
      <t>ガタ</t>
    </rPh>
    <rPh sb="19" eb="20">
      <t>ジク</t>
    </rPh>
    <phoneticPr fontId="2"/>
  </si>
  <si>
    <t>小山金属</t>
    <rPh sb="0" eb="2">
      <t>コヤマ</t>
    </rPh>
    <rPh sb="2" eb="4">
      <t>キンゾク</t>
    </rPh>
    <phoneticPr fontId="2"/>
  </si>
  <si>
    <t>福島</t>
    <rPh sb="0" eb="2">
      <t>フクシマ</t>
    </rPh>
    <phoneticPr fontId="2"/>
  </si>
  <si>
    <t>JR3-Cpts2</t>
    <phoneticPr fontId="2"/>
  </si>
  <si>
    <t>PCソフト</t>
    <phoneticPr fontId="2"/>
  </si>
  <si>
    <t>ミスミ</t>
    <phoneticPr fontId="2"/>
  </si>
  <si>
    <t xml:space="preserve">NWC5E-STP1-Y-GY-2 </t>
  </si>
  <si>
    <t>CAT5e STP （より線） やわらか LANケーブル</t>
  </si>
  <si>
    <t>PCソフト接続ケーブル</t>
    <rPh sb="5" eb="7">
      <t>セツゾク</t>
    </rPh>
    <phoneticPr fontId="2"/>
  </si>
  <si>
    <t>MVSHM-AW03003009053-2R3-Y46NX</t>
    <phoneticPr fontId="2"/>
  </si>
  <si>
    <t>メビィー加工品(ケーブルキャリア板金)</t>
    <phoneticPr fontId="2"/>
  </si>
  <si>
    <t>ヘッド部ケーブルキャリア</t>
    <phoneticPr fontId="2"/>
  </si>
  <si>
    <t>CBSTSR4-12</t>
    <phoneticPr fontId="2"/>
  </si>
  <si>
    <t>超極低頭六角穴付ボルト</t>
    <phoneticPr fontId="2"/>
  </si>
  <si>
    <t>SZ16F-4-060-25</t>
    <phoneticPr fontId="2"/>
  </si>
  <si>
    <t>ケーブルキャリア</t>
    <phoneticPr fontId="2"/>
  </si>
  <si>
    <t>P1-FABAN-20240967</t>
    <phoneticPr fontId="2"/>
  </si>
  <si>
    <t>L板金(ケーブルキャリア板金）</t>
    <phoneticPr fontId="2"/>
  </si>
  <si>
    <t>FADAS-SUD-T2-A70-B20-L42-X21-H20-G37-M5-Y5-V32-S10-NA4</t>
    <phoneticPr fontId="2"/>
  </si>
  <si>
    <t>L曲げ板金</t>
    <phoneticPr fontId="2"/>
  </si>
  <si>
    <t>SUNCO</t>
    <phoneticPr fontId="2"/>
  </si>
  <si>
    <t>CSPRD-SUS-M5-6</t>
    <phoneticPr fontId="2"/>
  </si>
  <si>
    <t>十字穴付（+）丸皿小ねじ(SUNCO）</t>
    <phoneticPr fontId="2"/>
  </si>
  <si>
    <t>JPLRS5-P6.0-B7</t>
    <phoneticPr fontId="2"/>
  </si>
  <si>
    <t>マーカーピン</t>
    <phoneticPr fontId="2"/>
  </si>
  <si>
    <t>ツールベールユニット</t>
    <phoneticPr fontId="2"/>
  </si>
  <si>
    <t>MVBLK-AMW-2RA-3C4Z9</t>
    <phoneticPr fontId="2"/>
  </si>
  <si>
    <t>メビィー加工品(SETD0060-Y01 JRN-ATP300ツールベース)</t>
    <phoneticPr fontId="2"/>
  </si>
  <si>
    <t>BVHVU6-3</t>
    <phoneticPr fontId="2"/>
  </si>
  <si>
    <t>ハンドバルブ</t>
    <phoneticPr fontId="2"/>
  </si>
  <si>
    <t>ATP300A加圧ON/OFF切替バルブ</t>
    <rPh sb="7" eb="9">
      <t>カアツ</t>
    </rPh>
    <rPh sb="15" eb="17">
      <t>キリカエ</t>
    </rPh>
    <phoneticPr fontId="2"/>
  </si>
  <si>
    <t>SCB4-35</t>
    <phoneticPr fontId="2"/>
  </si>
  <si>
    <t>六角穴付ボルト</t>
    <rPh sb="0" eb="2">
      <t>ロッカク</t>
    </rPh>
    <rPh sb="2" eb="4">
      <t>アナツ</t>
    </rPh>
    <phoneticPr fontId="2"/>
  </si>
  <si>
    <t>バルブホルダ</t>
    <phoneticPr fontId="2"/>
  </si>
  <si>
    <t>SCB4-20</t>
    <phoneticPr fontId="2"/>
  </si>
  <si>
    <t>残検シリンダカートリッジ取付ユニット</t>
    <phoneticPr fontId="2"/>
  </si>
  <si>
    <t>JPLRS4-P5-B7</t>
    <phoneticPr fontId="2"/>
  </si>
  <si>
    <t>JSDAS-SUD-A104-B12-T3-L94-M4</t>
    <phoneticPr fontId="2"/>
  </si>
  <si>
    <t>板金</t>
    <rPh sb="0" eb="2">
      <t>バンキン</t>
    </rPh>
    <phoneticPr fontId="2"/>
  </si>
  <si>
    <t>HHPSNA5</t>
    <phoneticPr fontId="2"/>
  </si>
  <si>
    <t>アルミ長穴蝶番</t>
    <phoneticPr fontId="2"/>
  </si>
  <si>
    <t>CBSTS5-6</t>
    <phoneticPr fontId="2"/>
  </si>
  <si>
    <t>極低頭六角穴付ボルト</t>
    <phoneticPr fontId="2"/>
  </si>
  <si>
    <t>PKBSA</t>
    <phoneticPr fontId="2"/>
  </si>
  <si>
    <t>スナップ錠</t>
    <phoneticPr fontId="2"/>
  </si>
  <si>
    <t>SCB2-6</t>
    <phoneticPr fontId="2"/>
  </si>
  <si>
    <t>NA3GH-24-2-2</t>
    <phoneticPr fontId="2"/>
  </si>
  <si>
    <t>ケーブル</t>
    <phoneticPr fontId="2"/>
  </si>
  <si>
    <t>I/Oケーブル</t>
    <phoneticPr fontId="2"/>
  </si>
  <si>
    <t>DC-37PF-N</t>
    <phoneticPr fontId="2"/>
  </si>
  <si>
    <t>Dsubコネクタ(37Pin オス)</t>
    <phoneticPr fontId="2"/>
  </si>
  <si>
    <t>＊組立課在庫品を使用下さい。</t>
    <rPh sb="1" eb="4">
      <t>クミタテカ</t>
    </rPh>
    <rPh sb="4" eb="6">
      <t>ザイコ</t>
    </rPh>
    <rPh sb="6" eb="7">
      <t>ヒン</t>
    </rPh>
    <rPh sb="8" eb="10">
      <t>シヨウ</t>
    </rPh>
    <rPh sb="10" eb="11">
      <t>クダ</t>
    </rPh>
    <phoneticPr fontId="2"/>
  </si>
  <si>
    <t>DEU-9PF-F0</t>
    <phoneticPr fontId="2"/>
  </si>
  <si>
    <t>Dsubコネクタ(9Pin オス)</t>
    <phoneticPr fontId="2"/>
  </si>
  <si>
    <t>DE-C8-J9-B51R</t>
    <phoneticPr fontId="2"/>
  </si>
  <si>
    <t>Dsubコネクタフード(9Pin)</t>
    <phoneticPr fontId="2"/>
  </si>
  <si>
    <t>DC-C8-J13-B51R</t>
    <phoneticPr fontId="2"/>
  </si>
  <si>
    <t>Dsubコネクタフード(37Pin)</t>
    <phoneticPr fontId="2"/>
  </si>
  <si>
    <t>タイショー</t>
    <phoneticPr fontId="2"/>
  </si>
  <si>
    <t>SETD0050-Y03</t>
  </si>
  <si>
    <t>スライドレール</t>
    <phoneticPr fontId="2"/>
  </si>
  <si>
    <t>SETD0050-Y04</t>
  </si>
  <si>
    <t>開閉式新カートリッジホルダ(300)右</t>
    <phoneticPr fontId="2"/>
  </si>
  <si>
    <t>SETD0060-Y02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</si>
</sst>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;[Red]\-#,##0\ "/>
    <numFmt numFmtId="183" formatCode="0_ ;[Red]\-0\ "/>
  </numFmts>
  <fonts count="10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81" fontId="0" fillId="0" borderId="1" xfId="0" applyNumberForma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56" fontId="8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right" vertical="center"/>
    </xf>
    <xf numFmtId="176" fontId="0" fillId="3" borderId="1" xfId="0" applyNumberFormat="1" applyFont="1" applyFill="1" applyBorder="1" applyAlignment="1">
      <alignment horizontal="right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6" fontId="0" fillId="3" borderId="1" xfId="0" applyNumberFormat="1" applyFont="1" applyFill="1" applyBorder="1" applyAlignment="1">
      <alignment vertical="center"/>
    </xf>
    <xf numFmtId="0" fontId="0" fillId="3" borderId="2" xfId="0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181" fontId="0" fillId="0" borderId="1" xfId="0" applyNumberFormat="1" applyFon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>
      <alignment vertical="center"/>
    </xf>
    <xf numFmtId="181" fontId="0" fillId="0" borderId="1" xfId="0" applyNumberFormat="1" applyFont="1" applyBorder="1">
      <alignment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182" fontId="0" fillId="0" borderId="1" xfId="0" applyNumberForma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180" fontId="6" fillId="0" borderId="1" xfId="0" applyNumberFormat="1" applyFont="1" applyFill="1" applyBorder="1" applyAlignment="1">
      <alignment horizontal="right" vertical="center"/>
    </xf>
    <xf numFmtId="38" fontId="8" fillId="0" borderId="1" xfId="0" applyNumberFormat="1" applyFont="1" applyFill="1" applyBorder="1" applyAlignment="1">
      <alignment horizontal="right" vertical="center"/>
    </xf>
    <xf numFmtId="38" fontId="0" fillId="0" borderId="1" xfId="0" applyNumberFormat="1" applyFill="1" applyBorder="1">
      <alignment vertical="center"/>
    </xf>
    <xf numFmtId="38" fontId="6" fillId="0" borderId="1" xfId="0" applyNumberFormat="1" applyFont="1" applyFill="1" applyBorder="1">
      <alignment vertical="center"/>
    </xf>
    <xf numFmtId="0" fontId="8" fillId="0" borderId="5" xfId="0" applyFont="1" applyFill="1" applyBorder="1" applyAlignment="1">
      <alignment horizontal="left" vertical="center"/>
    </xf>
    <xf numFmtId="183" fontId="8" fillId="0" borderId="1" xfId="0" applyNumberFormat="1" applyFont="1" applyFill="1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49" fontId="9" fillId="0" borderId="1" xfId="0" applyNumberFormat="1" applyFont="1" applyFill="1" applyBorder="1">
      <alignment vertical="center"/>
    </xf>
    <xf numFmtId="183" fontId="0" fillId="0" borderId="1" xfId="0" applyNumberForma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56" fontId="0" fillId="0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183" fontId="8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9" fontId="0" fillId="3" borderId="1" xfId="0" applyNumberFormat="1" applyFont="1" applyFill="1" applyBorder="1" applyAlignment="1">
      <alignment horizontal="center" vertical="center"/>
    </xf>
    <xf numFmtId="56" fontId="0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8"/>
  <sheetViews>
    <sheetView tabSelected="1" zoomScale="85" zoomScaleNormal="85" workbookViewId="0">
      <selection activeCell="E7" sqref="E7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52.625" customWidth="1"/>
    <col min="6" max="6" width="6.25" customWidth="1"/>
    <col min="7" max="8" width="9.875" bestFit="1" customWidth="1"/>
    <col min="9" max="9" width="5.75" style="11" customWidth="1"/>
    <col min="10" max="10" width="31" customWidth="1"/>
    <col min="11" max="11" width="2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7" customWidth="1"/>
    <col min="17" max="17" width="15.625" style="18" customWidth="1"/>
  </cols>
  <sheetData>
    <row r="2" spans="2:17" ht="20.100000000000001" customHeight="1" x14ac:dyDescent="0.15">
      <c r="B2" s="94" t="s">
        <v>10</v>
      </c>
      <c r="C2" s="94"/>
      <c r="D2" s="94"/>
      <c r="E2" s="12" t="s">
        <v>27</v>
      </c>
      <c r="G2" s="95" t="s">
        <v>14</v>
      </c>
      <c r="H2" s="96"/>
      <c r="I2" s="97"/>
      <c r="J2" s="10">
        <f>SUM(H:H)</f>
        <v>875519</v>
      </c>
      <c r="K2" s="6"/>
      <c r="L2" s="7"/>
    </row>
    <row r="3" spans="2:17" ht="20.100000000000001" customHeight="1" x14ac:dyDescent="0.15">
      <c r="B3" s="94" t="s">
        <v>9</v>
      </c>
      <c r="C3" s="94"/>
      <c r="D3" s="94"/>
      <c r="E3" s="8" t="s">
        <v>28</v>
      </c>
    </row>
    <row r="4" spans="2:17" ht="20.100000000000001" customHeight="1" x14ac:dyDescent="0.15">
      <c r="B4" s="94" t="s">
        <v>11</v>
      </c>
      <c r="C4" s="94"/>
      <c r="D4" s="94"/>
      <c r="E4" s="8">
        <v>189366</v>
      </c>
    </row>
    <row r="5" spans="2:17" ht="20.100000000000001" customHeight="1" x14ac:dyDescent="0.15">
      <c r="B5" s="94" t="s">
        <v>12</v>
      </c>
      <c r="C5" s="94"/>
      <c r="D5" s="94"/>
      <c r="E5" s="9">
        <v>44449</v>
      </c>
    </row>
    <row r="6" spans="2:17" ht="20.100000000000001" customHeight="1" x14ac:dyDescent="0.15">
      <c r="B6" s="94" t="s">
        <v>13</v>
      </c>
      <c r="C6" s="94"/>
      <c r="D6" s="94"/>
      <c r="E6" s="9">
        <v>44466</v>
      </c>
    </row>
    <row r="7" spans="2:17" x14ac:dyDescent="0.15">
      <c r="F7" s="1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9" t="s">
        <v>20</v>
      </c>
    </row>
    <row r="9" spans="2:17" s="3" customFormat="1" ht="19.899999999999999" customHeight="1" x14ac:dyDescent="0.15">
      <c r="B9" s="4">
        <v>2</v>
      </c>
      <c r="C9" s="4" t="s">
        <v>21</v>
      </c>
      <c r="D9" s="4" t="s">
        <v>21</v>
      </c>
      <c r="E9" s="31" t="s">
        <v>25</v>
      </c>
      <c r="F9" s="21">
        <v>1</v>
      </c>
      <c r="G9" s="36">
        <v>700000</v>
      </c>
      <c r="H9" s="59">
        <f t="shared" ref="H9:H46" si="0">F9*G9</f>
        <v>700000</v>
      </c>
      <c r="I9" s="30"/>
      <c r="J9" s="31" t="s">
        <v>26</v>
      </c>
      <c r="K9" s="22"/>
      <c r="L9" s="1"/>
      <c r="M9" s="26">
        <v>44414</v>
      </c>
      <c r="N9" s="23"/>
      <c r="O9" s="34">
        <v>44449</v>
      </c>
      <c r="P9" s="34">
        <v>44449</v>
      </c>
      <c r="Q9" s="27">
        <v>44449</v>
      </c>
    </row>
    <row r="10" spans="2:17" s="3" customFormat="1" ht="19.899999999999999" customHeight="1" x14ac:dyDescent="0.15">
      <c r="B10" s="4">
        <v>7</v>
      </c>
      <c r="C10" s="4" t="s">
        <v>21</v>
      </c>
      <c r="D10" s="4" t="s">
        <v>21</v>
      </c>
      <c r="E10" s="31" t="s">
        <v>23</v>
      </c>
      <c r="F10" s="21">
        <v>1</v>
      </c>
      <c r="G10" s="36">
        <v>31500</v>
      </c>
      <c r="H10" s="59">
        <f t="shared" si="0"/>
        <v>31500</v>
      </c>
      <c r="I10" s="30"/>
      <c r="J10" s="28"/>
      <c r="K10" s="22"/>
      <c r="L10" s="1"/>
      <c r="M10" s="26">
        <v>44414</v>
      </c>
      <c r="N10" s="23"/>
      <c r="O10" s="34">
        <v>44449</v>
      </c>
      <c r="P10" s="34">
        <v>44449</v>
      </c>
      <c r="Q10" s="27">
        <v>44449</v>
      </c>
    </row>
    <row r="11" spans="2:17" s="3" customFormat="1" ht="19.899999999999999" customHeight="1" x14ac:dyDescent="0.15">
      <c r="B11" s="4">
        <v>5</v>
      </c>
      <c r="C11" s="4" t="s">
        <v>21</v>
      </c>
      <c r="D11" s="4" t="s">
        <v>21</v>
      </c>
      <c r="E11" s="20" t="s">
        <v>24</v>
      </c>
      <c r="F11" s="21">
        <v>1</v>
      </c>
      <c r="G11" s="37">
        <v>14000</v>
      </c>
      <c r="H11" s="59">
        <f t="shared" si="0"/>
        <v>14000</v>
      </c>
      <c r="I11" s="2"/>
      <c r="J11" s="22"/>
      <c r="K11" s="22"/>
      <c r="L11" s="1"/>
      <c r="M11" s="26">
        <v>44414</v>
      </c>
      <c r="N11" s="23"/>
      <c r="O11" s="34">
        <v>44449</v>
      </c>
      <c r="P11" s="34">
        <v>44449</v>
      </c>
      <c r="Q11" s="27">
        <v>44449</v>
      </c>
    </row>
    <row r="12" spans="2:17" s="3" customFormat="1" ht="19.899999999999999" customHeight="1" x14ac:dyDescent="0.15">
      <c r="B12" s="4">
        <v>6</v>
      </c>
      <c r="C12" s="4" t="s">
        <v>21</v>
      </c>
      <c r="D12" s="4" t="s">
        <v>21</v>
      </c>
      <c r="E12" s="56" t="s">
        <v>29</v>
      </c>
      <c r="F12" s="21">
        <v>1</v>
      </c>
      <c r="G12" s="37">
        <v>30000</v>
      </c>
      <c r="H12" s="59">
        <f t="shared" si="0"/>
        <v>30000</v>
      </c>
      <c r="I12" s="2"/>
      <c r="J12" s="22" t="s">
        <v>30</v>
      </c>
      <c r="K12" s="22"/>
      <c r="L12" s="1"/>
      <c r="M12" s="26">
        <v>44414</v>
      </c>
      <c r="N12" s="23"/>
      <c r="O12" s="34">
        <v>44449</v>
      </c>
      <c r="P12" s="34">
        <v>44449</v>
      </c>
      <c r="Q12" s="27">
        <v>44449</v>
      </c>
    </row>
    <row r="13" spans="2:17" s="3" customFormat="1" ht="19.899999999999999" customHeight="1" x14ac:dyDescent="0.15">
      <c r="B13" s="4">
        <v>1</v>
      </c>
      <c r="C13" s="4" t="s">
        <v>21</v>
      </c>
      <c r="D13" s="4" t="s">
        <v>21</v>
      </c>
      <c r="E13" s="20" t="s">
        <v>22</v>
      </c>
      <c r="F13" s="21">
        <v>1</v>
      </c>
      <c r="G13" s="37">
        <v>12000</v>
      </c>
      <c r="H13" s="59">
        <f t="shared" si="0"/>
        <v>12000</v>
      </c>
      <c r="I13" s="2"/>
      <c r="J13" s="22"/>
      <c r="K13" s="22"/>
      <c r="L13" s="1"/>
      <c r="M13" s="26">
        <v>44414</v>
      </c>
      <c r="N13" s="23"/>
      <c r="O13" s="34">
        <v>44449</v>
      </c>
      <c r="P13" s="34">
        <v>44449</v>
      </c>
      <c r="Q13" s="27"/>
    </row>
    <row r="14" spans="2:17" s="3" customFormat="1" ht="19.899999999999999" customHeight="1" x14ac:dyDescent="0.15">
      <c r="B14" s="4"/>
      <c r="C14" s="4"/>
      <c r="D14" s="4"/>
      <c r="E14" s="20"/>
      <c r="F14" s="21"/>
      <c r="G14" s="57"/>
      <c r="H14" s="58">
        <f t="shared" si="0"/>
        <v>0</v>
      </c>
      <c r="I14" s="2"/>
      <c r="J14" s="22"/>
      <c r="K14" s="22"/>
      <c r="L14" s="1"/>
      <c r="M14" s="26"/>
      <c r="N14" s="23"/>
      <c r="O14" s="34"/>
      <c r="P14" s="34"/>
      <c r="Q14" s="27"/>
    </row>
    <row r="15" spans="2:17" s="3" customFormat="1" ht="19.899999999999999" customHeight="1" x14ac:dyDescent="0.15">
      <c r="B15" s="4"/>
      <c r="C15" s="4"/>
      <c r="D15" s="4"/>
      <c r="E15" s="20"/>
      <c r="F15" s="21"/>
      <c r="G15" s="24"/>
      <c r="H15" s="35">
        <f t="shared" si="0"/>
        <v>0</v>
      </c>
      <c r="I15" s="2"/>
      <c r="J15" s="22"/>
      <c r="K15" s="22"/>
      <c r="L15" s="1"/>
      <c r="M15" s="26"/>
      <c r="N15" s="23"/>
      <c r="O15" s="25"/>
      <c r="P15" s="26"/>
      <c r="Q15" s="27"/>
    </row>
    <row r="16" spans="2:17" s="3" customFormat="1" ht="19.899999999999999" customHeight="1" x14ac:dyDescent="0.15">
      <c r="B16" s="4">
        <v>6</v>
      </c>
      <c r="C16" s="4" t="s">
        <v>31</v>
      </c>
      <c r="D16" s="4" t="s">
        <v>31</v>
      </c>
      <c r="E16" s="61" t="s">
        <v>32</v>
      </c>
      <c r="F16" s="62">
        <v>1</v>
      </c>
      <c r="G16" s="63">
        <v>830</v>
      </c>
      <c r="H16" s="64">
        <f t="shared" si="0"/>
        <v>830</v>
      </c>
      <c r="I16" s="65"/>
      <c r="J16" s="66" t="s">
        <v>33</v>
      </c>
      <c r="K16" s="1"/>
      <c r="L16" s="1" t="s">
        <v>34</v>
      </c>
      <c r="M16" s="14">
        <v>44419</v>
      </c>
      <c r="N16" s="4"/>
      <c r="O16" s="1"/>
      <c r="P16" s="14">
        <v>44435</v>
      </c>
      <c r="Q16" s="19">
        <v>44435</v>
      </c>
    </row>
    <row r="17" spans="2:17" s="3" customFormat="1" ht="19.899999999999999" customHeight="1" x14ac:dyDescent="0.15">
      <c r="B17" s="4">
        <v>8</v>
      </c>
      <c r="C17" s="4" t="s">
        <v>31</v>
      </c>
      <c r="D17" s="4" t="s">
        <v>31</v>
      </c>
      <c r="E17" s="61" t="s">
        <v>35</v>
      </c>
      <c r="F17" s="67">
        <v>1</v>
      </c>
      <c r="G17" s="68">
        <v>6750</v>
      </c>
      <c r="H17" s="64">
        <f t="shared" si="0"/>
        <v>6750</v>
      </c>
      <c r="I17" s="69"/>
      <c r="J17" s="22" t="s">
        <v>36</v>
      </c>
      <c r="K17" s="20"/>
      <c r="L17" s="25" t="s">
        <v>37</v>
      </c>
      <c r="M17" s="14">
        <v>44419</v>
      </c>
      <c r="N17" s="4"/>
      <c r="O17" s="1"/>
      <c r="P17" s="14">
        <v>44435</v>
      </c>
      <c r="Q17" s="19">
        <v>44435</v>
      </c>
    </row>
    <row r="18" spans="2:17" s="3" customFormat="1" ht="19.899999999999999" customHeight="1" x14ac:dyDescent="0.15">
      <c r="B18" s="4">
        <v>8</v>
      </c>
      <c r="C18" s="4" t="s">
        <v>31</v>
      </c>
      <c r="D18" s="4" t="s">
        <v>31</v>
      </c>
      <c r="E18" s="61" t="s">
        <v>38</v>
      </c>
      <c r="F18" s="67">
        <v>2</v>
      </c>
      <c r="G18" s="68">
        <v>280</v>
      </c>
      <c r="H18" s="64">
        <f t="shared" si="0"/>
        <v>560</v>
      </c>
      <c r="I18" s="69"/>
      <c r="J18" s="22" t="s">
        <v>39</v>
      </c>
      <c r="K18" s="20"/>
      <c r="L18" s="25" t="s">
        <v>37</v>
      </c>
      <c r="M18" s="14">
        <v>44419</v>
      </c>
      <c r="N18" s="4"/>
      <c r="O18" s="1"/>
      <c r="P18" s="14">
        <v>44435</v>
      </c>
      <c r="Q18" s="19">
        <v>44435</v>
      </c>
    </row>
    <row r="19" spans="2:17" s="3" customFormat="1" ht="19.899999999999999" customHeight="1" x14ac:dyDescent="0.15">
      <c r="B19" s="4">
        <v>8</v>
      </c>
      <c r="C19" s="4" t="s">
        <v>31</v>
      </c>
      <c r="D19" s="4" t="s">
        <v>31</v>
      </c>
      <c r="E19" s="61" t="s">
        <v>40</v>
      </c>
      <c r="F19" s="67">
        <v>1</v>
      </c>
      <c r="G19" s="68">
        <v>5660</v>
      </c>
      <c r="H19" s="64">
        <f t="shared" si="0"/>
        <v>5660</v>
      </c>
      <c r="I19" s="69"/>
      <c r="J19" s="22" t="s">
        <v>41</v>
      </c>
      <c r="K19" s="20"/>
      <c r="L19" s="25" t="s">
        <v>37</v>
      </c>
      <c r="M19" s="14">
        <v>44419</v>
      </c>
      <c r="N19" s="4"/>
      <c r="O19" s="1"/>
      <c r="P19" s="14">
        <v>44435</v>
      </c>
      <c r="Q19" s="19">
        <v>44435</v>
      </c>
    </row>
    <row r="20" spans="2:17" s="3" customFormat="1" ht="19.899999999999999" customHeight="1" x14ac:dyDescent="0.15">
      <c r="B20" s="4">
        <v>8</v>
      </c>
      <c r="C20" s="4" t="s">
        <v>31</v>
      </c>
      <c r="D20" s="4" t="s">
        <v>31</v>
      </c>
      <c r="E20" s="61" t="s">
        <v>42</v>
      </c>
      <c r="F20" s="67">
        <v>1</v>
      </c>
      <c r="G20" s="68">
        <v>3466</v>
      </c>
      <c r="H20" s="64">
        <f t="shared" si="0"/>
        <v>3466</v>
      </c>
      <c r="I20" s="69"/>
      <c r="J20" s="22" t="s">
        <v>43</v>
      </c>
      <c r="K20" s="20"/>
      <c r="L20" s="25" t="s">
        <v>37</v>
      </c>
      <c r="M20" s="14">
        <v>44419</v>
      </c>
      <c r="N20" s="4"/>
      <c r="O20" s="1"/>
      <c r="P20" s="14">
        <v>44435</v>
      </c>
      <c r="Q20" s="19">
        <v>44435</v>
      </c>
    </row>
    <row r="21" spans="2:17" s="3" customFormat="1" ht="19.899999999999999" customHeight="1" x14ac:dyDescent="0.15">
      <c r="B21" s="4">
        <v>8</v>
      </c>
      <c r="C21" s="4" t="s">
        <v>31</v>
      </c>
      <c r="D21" s="4" t="s">
        <v>31</v>
      </c>
      <c r="E21" s="61" t="s">
        <v>44</v>
      </c>
      <c r="F21" s="67">
        <v>1</v>
      </c>
      <c r="G21" s="68">
        <v>2030</v>
      </c>
      <c r="H21" s="64">
        <f t="shared" si="0"/>
        <v>2030</v>
      </c>
      <c r="I21" s="69"/>
      <c r="J21" s="22" t="s">
        <v>45</v>
      </c>
      <c r="K21" s="20"/>
      <c r="L21" s="25" t="s">
        <v>37</v>
      </c>
      <c r="M21" s="14">
        <v>44419</v>
      </c>
      <c r="N21" s="4"/>
      <c r="O21" s="1"/>
      <c r="P21" s="14">
        <v>44435</v>
      </c>
      <c r="Q21" s="19">
        <v>44435</v>
      </c>
    </row>
    <row r="22" spans="2:17" s="3" customFormat="1" ht="19.899999999999999" customHeight="1" x14ac:dyDescent="0.15">
      <c r="B22" s="4">
        <v>8</v>
      </c>
      <c r="C22" s="4" t="s">
        <v>46</v>
      </c>
      <c r="D22" s="4" t="s">
        <v>31</v>
      </c>
      <c r="E22" s="61" t="s">
        <v>47</v>
      </c>
      <c r="F22" s="67">
        <v>10</v>
      </c>
      <c r="G22" s="68">
        <v>32</v>
      </c>
      <c r="H22" s="64">
        <f t="shared" si="0"/>
        <v>320</v>
      </c>
      <c r="I22" s="69"/>
      <c r="J22" s="22" t="s">
        <v>48</v>
      </c>
      <c r="K22" s="20"/>
      <c r="L22" s="25" t="s">
        <v>37</v>
      </c>
      <c r="M22" s="14">
        <v>44419</v>
      </c>
      <c r="N22" s="4"/>
      <c r="O22" s="1"/>
      <c r="P22" s="14">
        <v>44435</v>
      </c>
      <c r="Q22" s="19">
        <v>44435</v>
      </c>
    </row>
    <row r="23" spans="2:17" s="3" customFormat="1" ht="19.899999999999999" customHeight="1" x14ac:dyDescent="0.15">
      <c r="B23" s="4">
        <v>8</v>
      </c>
      <c r="C23" s="4" t="s">
        <v>31</v>
      </c>
      <c r="D23" s="4" t="s">
        <v>31</v>
      </c>
      <c r="E23" s="61" t="s">
        <v>49</v>
      </c>
      <c r="F23" s="67">
        <v>2</v>
      </c>
      <c r="G23" s="68">
        <v>1320</v>
      </c>
      <c r="H23" s="64">
        <f t="shared" si="0"/>
        <v>2640</v>
      </c>
      <c r="I23" s="69"/>
      <c r="J23" s="22" t="s">
        <v>50</v>
      </c>
      <c r="K23" s="20"/>
      <c r="L23" s="25" t="s">
        <v>51</v>
      </c>
      <c r="M23" s="14">
        <v>44419</v>
      </c>
      <c r="N23" s="4"/>
      <c r="O23" s="1"/>
      <c r="P23" s="14">
        <v>44435</v>
      </c>
      <c r="Q23" s="19">
        <v>44435</v>
      </c>
    </row>
    <row r="24" spans="2:17" s="3" customFormat="1" ht="19.899999999999999" customHeight="1" x14ac:dyDescent="0.15">
      <c r="B24" s="4">
        <v>8</v>
      </c>
      <c r="C24" s="4" t="s">
        <v>31</v>
      </c>
      <c r="D24" s="4" t="s">
        <v>31</v>
      </c>
      <c r="E24" s="61" t="s">
        <v>52</v>
      </c>
      <c r="F24" s="67">
        <v>1</v>
      </c>
      <c r="G24" s="68">
        <v>19788</v>
      </c>
      <c r="H24" s="64">
        <f t="shared" si="0"/>
        <v>19788</v>
      </c>
      <c r="I24" s="69"/>
      <c r="J24" s="22" t="s">
        <v>53</v>
      </c>
      <c r="K24" s="20"/>
      <c r="L24" s="25" t="s">
        <v>51</v>
      </c>
      <c r="M24" s="14">
        <v>44419</v>
      </c>
      <c r="N24" s="4"/>
      <c r="O24" s="1"/>
      <c r="P24" s="14">
        <v>44435</v>
      </c>
      <c r="Q24" s="19">
        <v>44435</v>
      </c>
    </row>
    <row r="25" spans="2:17" s="3" customFormat="1" ht="19.899999999999999" customHeight="1" x14ac:dyDescent="0.15">
      <c r="B25" s="4">
        <v>8</v>
      </c>
      <c r="C25" s="4" t="s">
        <v>31</v>
      </c>
      <c r="D25" s="4" t="s">
        <v>31</v>
      </c>
      <c r="E25" s="61" t="s">
        <v>54</v>
      </c>
      <c r="F25" s="67">
        <v>1</v>
      </c>
      <c r="G25" s="68">
        <v>860</v>
      </c>
      <c r="H25" s="64">
        <f t="shared" si="0"/>
        <v>860</v>
      </c>
      <c r="I25" s="69"/>
      <c r="J25" s="22" t="s">
        <v>55</v>
      </c>
      <c r="K25" s="20"/>
      <c r="L25" s="25" t="s">
        <v>56</v>
      </c>
      <c r="M25" s="14">
        <v>44419</v>
      </c>
      <c r="N25" s="4"/>
      <c r="O25" s="1"/>
      <c r="P25" s="14">
        <v>44435</v>
      </c>
      <c r="Q25" s="19">
        <v>44435</v>
      </c>
    </row>
    <row r="26" spans="2:17" s="3" customFormat="1" ht="19.899999999999999" customHeight="1" x14ac:dyDescent="0.15">
      <c r="B26" s="4">
        <v>8</v>
      </c>
      <c r="C26" s="4" t="s">
        <v>31</v>
      </c>
      <c r="D26" s="4" t="s">
        <v>31</v>
      </c>
      <c r="E26" s="61" t="s">
        <v>57</v>
      </c>
      <c r="F26" s="67">
        <v>2</v>
      </c>
      <c r="G26" s="68">
        <v>249</v>
      </c>
      <c r="H26" s="64">
        <f t="shared" si="0"/>
        <v>498</v>
      </c>
      <c r="I26" s="69"/>
      <c r="J26" s="22" t="s">
        <v>58</v>
      </c>
      <c r="K26" s="20"/>
      <c r="L26" s="25" t="s">
        <v>59</v>
      </c>
      <c r="M26" s="14">
        <v>44419</v>
      </c>
      <c r="N26" s="4"/>
      <c r="O26" s="1"/>
      <c r="P26" s="14">
        <v>44435</v>
      </c>
      <c r="Q26" s="19">
        <v>44435</v>
      </c>
    </row>
    <row r="27" spans="2:17" s="3" customFormat="1" ht="19.899999999999999" customHeight="1" x14ac:dyDescent="0.15">
      <c r="B27" s="4">
        <v>8</v>
      </c>
      <c r="C27" s="4" t="s">
        <v>31</v>
      </c>
      <c r="D27" s="4" t="s">
        <v>31</v>
      </c>
      <c r="E27" s="61" t="s">
        <v>60</v>
      </c>
      <c r="F27" s="67">
        <v>2</v>
      </c>
      <c r="G27" s="68">
        <v>226</v>
      </c>
      <c r="H27" s="64">
        <f t="shared" si="0"/>
        <v>452</v>
      </c>
      <c r="I27" s="69"/>
      <c r="J27" s="22" t="s">
        <v>58</v>
      </c>
      <c r="K27" s="20"/>
      <c r="L27" s="1" t="s">
        <v>61</v>
      </c>
      <c r="M27" s="14">
        <v>44419</v>
      </c>
      <c r="N27" s="4"/>
      <c r="O27" s="1"/>
      <c r="P27" s="14">
        <v>44435</v>
      </c>
      <c r="Q27" s="19">
        <v>44435</v>
      </c>
    </row>
    <row r="28" spans="2:17" s="3" customFormat="1" ht="19.899999999999999" customHeight="1" x14ac:dyDescent="0.15">
      <c r="B28" s="4">
        <v>8</v>
      </c>
      <c r="C28" s="4" t="s">
        <v>31</v>
      </c>
      <c r="D28" s="4" t="s">
        <v>31</v>
      </c>
      <c r="E28" s="70" t="s">
        <v>62</v>
      </c>
      <c r="F28" s="71">
        <v>1</v>
      </c>
      <c r="G28" s="68">
        <v>1260</v>
      </c>
      <c r="H28" s="64">
        <f t="shared" si="0"/>
        <v>1260</v>
      </c>
      <c r="I28" s="2"/>
      <c r="J28" s="72" t="s">
        <v>50</v>
      </c>
      <c r="K28" s="20"/>
      <c r="L28" s="1" t="s">
        <v>61</v>
      </c>
      <c r="M28" s="14">
        <v>44419</v>
      </c>
      <c r="N28" s="4"/>
      <c r="O28" s="1"/>
      <c r="P28" s="14">
        <v>44435</v>
      </c>
      <c r="Q28" s="19">
        <v>44435</v>
      </c>
    </row>
    <row r="29" spans="2:17" s="3" customFormat="1" ht="19.899999999999999" customHeight="1" x14ac:dyDescent="0.15">
      <c r="B29" s="4">
        <v>8</v>
      </c>
      <c r="C29" s="4" t="s">
        <v>31</v>
      </c>
      <c r="D29" s="4" t="s">
        <v>31</v>
      </c>
      <c r="E29" s="61" t="s">
        <v>63</v>
      </c>
      <c r="F29" s="67">
        <v>1</v>
      </c>
      <c r="G29" s="68">
        <v>1230</v>
      </c>
      <c r="H29" s="64">
        <f t="shared" si="0"/>
        <v>1230</v>
      </c>
      <c r="I29" s="69"/>
      <c r="J29" s="22" t="s">
        <v>64</v>
      </c>
      <c r="K29" s="22"/>
      <c r="L29" s="1" t="s">
        <v>61</v>
      </c>
      <c r="M29" s="14">
        <v>44419</v>
      </c>
      <c r="N29" s="4"/>
      <c r="O29" s="1"/>
      <c r="P29" s="14">
        <v>44435</v>
      </c>
      <c r="Q29" s="19">
        <v>44435</v>
      </c>
    </row>
    <row r="30" spans="2:17" s="3" customFormat="1" ht="19.899999999999999" customHeight="1" x14ac:dyDescent="0.15">
      <c r="B30" s="4">
        <v>8</v>
      </c>
      <c r="C30" s="4" t="s">
        <v>31</v>
      </c>
      <c r="D30" s="4" t="s">
        <v>31</v>
      </c>
      <c r="E30" s="61" t="s">
        <v>60</v>
      </c>
      <c r="F30" s="67">
        <v>2</v>
      </c>
      <c r="G30" s="68">
        <v>226</v>
      </c>
      <c r="H30" s="64">
        <f t="shared" si="0"/>
        <v>452</v>
      </c>
      <c r="I30" s="69"/>
      <c r="J30" s="22" t="s">
        <v>58</v>
      </c>
      <c r="K30" s="22"/>
      <c r="L30" s="1" t="s">
        <v>61</v>
      </c>
      <c r="M30" s="14">
        <v>44419</v>
      </c>
      <c r="N30" s="4"/>
      <c r="O30" s="1"/>
      <c r="P30" s="14">
        <v>44435</v>
      </c>
      <c r="Q30" s="19">
        <v>44435</v>
      </c>
    </row>
    <row r="31" spans="2:17" s="3" customFormat="1" ht="19.899999999999999" customHeight="1" x14ac:dyDescent="0.15">
      <c r="B31" s="4">
        <v>8</v>
      </c>
      <c r="C31" s="4" t="s">
        <v>31</v>
      </c>
      <c r="D31" s="4" t="s">
        <v>31</v>
      </c>
      <c r="E31" s="61" t="s">
        <v>65</v>
      </c>
      <c r="F31" s="67">
        <v>1</v>
      </c>
      <c r="G31" s="68">
        <v>400</v>
      </c>
      <c r="H31" s="64">
        <f t="shared" si="0"/>
        <v>400</v>
      </c>
      <c r="I31" s="69"/>
      <c r="J31" s="22" t="s">
        <v>66</v>
      </c>
      <c r="K31" s="22"/>
      <c r="L31" s="1" t="s">
        <v>61</v>
      </c>
      <c r="M31" s="14">
        <v>44419</v>
      </c>
      <c r="N31" s="4"/>
      <c r="O31" s="1"/>
      <c r="P31" s="14">
        <v>44435</v>
      </c>
      <c r="Q31" s="19">
        <v>44435</v>
      </c>
    </row>
    <row r="32" spans="2:17" s="3" customFormat="1" ht="19.899999999999999" customHeight="1" x14ac:dyDescent="0.15">
      <c r="B32" s="4">
        <v>8</v>
      </c>
      <c r="C32" s="4" t="s">
        <v>31</v>
      </c>
      <c r="D32" s="4" t="s">
        <v>31</v>
      </c>
      <c r="E32" s="61" t="s">
        <v>67</v>
      </c>
      <c r="F32" s="67">
        <v>10</v>
      </c>
      <c r="G32" s="68">
        <v>235</v>
      </c>
      <c r="H32" s="64">
        <f t="shared" si="0"/>
        <v>2350</v>
      </c>
      <c r="I32" s="69"/>
      <c r="J32" s="22" t="s">
        <v>68</v>
      </c>
      <c r="K32" s="73"/>
      <c r="L32" s="1" t="s">
        <v>61</v>
      </c>
      <c r="M32" s="14">
        <v>44419</v>
      </c>
      <c r="N32" s="4"/>
      <c r="O32" s="1"/>
      <c r="P32" s="14">
        <v>44435</v>
      </c>
      <c r="Q32" s="19">
        <v>44435</v>
      </c>
    </row>
    <row r="33" spans="2:17" s="3" customFormat="1" ht="19.899999999999999" customHeight="1" x14ac:dyDescent="0.15">
      <c r="B33" s="4">
        <v>8</v>
      </c>
      <c r="C33" s="4" t="s">
        <v>31</v>
      </c>
      <c r="D33" s="4" t="s">
        <v>31</v>
      </c>
      <c r="E33" s="61" t="s">
        <v>69</v>
      </c>
      <c r="F33" s="67">
        <v>1</v>
      </c>
      <c r="G33" s="68">
        <v>277</v>
      </c>
      <c r="H33" s="64">
        <f t="shared" si="0"/>
        <v>277</v>
      </c>
      <c r="I33" s="69"/>
      <c r="J33" s="22" t="s">
        <v>70</v>
      </c>
      <c r="K33" s="22"/>
      <c r="L33" s="1" t="s">
        <v>61</v>
      </c>
      <c r="M33" s="14">
        <v>44419</v>
      </c>
      <c r="N33" s="4"/>
      <c r="O33" s="1"/>
      <c r="P33" s="14">
        <v>44435</v>
      </c>
      <c r="Q33" s="19">
        <v>44435</v>
      </c>
    </row>
    <row r="34" spans="2:17" s="3" customFormat="1" ht="19.899999999999999" customHeight="1" x14ac:dyDescent="0.15">
      <c r="B34" s="4">
        <v>8</v>
      </c>
      <c r="C34" s="4" t="s">
        <v>31</v>
      </c>
      <c r="D34" s="4" t="s">
        <v>31</v>
      </c>
      <c r="E34" s="61" t="s">
        <v>71</v>
      </c>
      <c r="F34" s="67">
        <v>10</v>
      </c>
      <c r="G34" s="68">
        <v>72</v>
      </c>
      <c r="H34" s="64">
        <f t="shared" si="0"/>
        <v>720</v>
      </c>
      <c r="I34" s="69"/>
      <c r="J34" s="22" t="s">
        <v>58</v>
      </c>
      <c r="K34" s="73"/>
      <c r="L34" s="1" t="s">
        <v>61</v>
      </c>
      <c r="M34" s="14">
        <v>44419</v>
      </c>
      <c r="N34" s="4"/>
      <c r="O34" s="1"/>
      <c r="P34" s="14">
        <v>44435</v>
      </c>
      <c r="Q34" s="19">
        <v>44435</v>
      </c>
    </row>
    <row r="35" spans="2:17" s="3" customFormat="1" ht="19.899999999999999" customHeight="1" x14ac:dyDescent="0.15">
      <c r="B35" s="4">
        <v>4</v>
      </c>
      <c r="C35" s="4" t="s">
        <v>31</v>
      </c>
      <c r="D35" s="4" t="s">
        <v>31</v>
      </c>
      <c r="E35" s="61" t="s">
        <v>72</v>
      </c>
      <c r="F35" s="67">
        <v>1</v>
      </c>
      <c r="G35" s="68">
        <v>1276</v>
      </c>
      <c r="H35" s="64">
        <f t="shared" si="0"/>
        <v>1276</v>
      </c>
      <c r="I35" s="69"/>
      <c r="J35" s="22" t="s">
        <v>73</v>
      </c>
      <c r="K35" s="22"/>
      <c r="L35" s="1" t="s">
        <v>74</v>
      </c>
      <c r="M35" s="14">
        <v>44419</v>
      </c>
      <c r="N35" s="4"/>
      <c r="O35" s="1"/>
      <c r="P35" s="14">
        <v>44435</v>
      </c>
      <c r="Q35" s="19">
        <v>44435</v>
      </c>
    </row>
    <row r="36" spans="2:17" s="3" customFormat="1" ht="19.899999999999999" customHeight="1" x14ac:dyDescent="0.15">
      <c r="B36" s="4">
        <v>4</v>
      </c>
      <c r="C36" s="4" t="s">
        <v>31</v>
      </c>
      <c r="D36" s="4" t="s">
        <v>31</v>
      </c>
      <c r="E36" s="61" t="s">
        <v>75</v>
      </c>
      <c r="F36" s="67">
        <v>1</v>
      </c>
      <c r="G36" s="68">
        <v>0</v>
      </c>
      <c r="H36" s="64">
        <f t="shared" si="0"/>
        <v>0</v>
      </c>
      <c r="I36" s="69"/>
      <c r="J36" s="22" t="s">
        <v>76</v>
      </c>
      <c r="K36" s="73" t="s">
        <v>77</v>
      </c>
      <c r="L36" s="1" t="s">
        <v>74</v>
      </c>
      <c r="M36" s="14"/>
      <c r="N36" s="4"/>
      <c r="O36" s="1"/>
      <c r="P36" s="14"/>
      <c r="Q36" s="19"/>
    </row>
    <row r="37" spans="2:17" s="3" customFormat="1" ht="19.899999999999999" customHeight="1" x14ac:dyDescent="0.15">
      <c r="B37" s="4">
        <v>4</v>
      </c>
      <c r="C37" s="4" t="s">
        <v>31</v>
      </c>
      <c r="D37" s="4" t="s">
        <v>31</v>
      </c>
      <c r="E37" s="61" t="s">
        <v>78</v>
      </c>
      <c r="F37" s="67">
        <v>1</v>
      </c>
      <c r="G37" s="68">
        <v>0</v>
      </c>
      <c r="H37" s="64">
        <f t="shared" si="0"/>
        <v>0</v>
      </c>
      <c r="I37" s="69"/>
      <c r="J37" s="22" t="s">
        <v>79</v>
      </c>
      <c r="K37" s="73" t="s">
        <v>77</v>
      </c>
      <c r="L37" s="1" t="s">
        <v>74</v>
      </c>
      <c r="M37" s="14"/>
      <c r="N37" s="4"/>
      <c r="O37" s="1"/>
      <c r="P37" s="14"/>
      <c r="Q37" s="19"/>
    </row>
    <row r="38" spans="2:17" s="3" customFormat="1" ht="19.899999999999999" customHeight="1" x14ac:dyDescent="0.15">
      <c r="B38" s="4">
        <v>4</v>
      </c>
      <c r="C38" s="4" t="s">
        <v>31</v>
      </c>
      <c r="D38" s="4" t="s">
        <v>31</v>
      </c>
      <c r="E38" s="61" t="s">
        <v>80</v>
      </c>
      <c r="F38" s="67">
        <v>1</v>
      </c>
      <c r="G38" s="68">
        <v>0</v>
      </c>
      <c r="H38" s="64">
        <f t="shared" si="0"/>
        <v>0</v>
      </c>
      <c r="I38" s="69"/>
      <c r="J38" s="22" t="s">
        <v>81</v>
      </c>
      <c r="K38" s="73" t="s">
        <v>77</v>
      </c>
      <c r="L38" s="1" t="s">
        <v>74</v>
      </c>
      <c r="M38" s="14"/>
      <c r="N38" s="4"/>
      <c r="O38" s="1"/>
      <c r="P38" s="14"/>
      <c r="Q38" s="19"/>
    </row>
    <row r="39" spans="2:17" s="3" customFormat="1" ht="19.899999999999999" customHeight="1" x14ac:dyDescent="0.15">
      <c r="B39" s="4">
        <v>4</v>
      </c>
      <c r="C39" s="4" t="s">
        <v>31</v>
      </c>
      <c r="D39" s="4" t="s">
        <v>31</v>
      </c>
      <c r="E39" s="61" t="s">
        <v>82</v>
      </c>
      <c r="F39" s="67">
        <v>1</v>
      </c>
      <c r="G39" s="68">
        <v>0</v>
      </c>
      <c r="H39" s="64">
        <f t="shared" si="0"/>
        <v>0</v>
      </c>
      <c r="I39" s="69"/>
      <c r="J39" s="22" t="s">
        <v>83</v>
      </c>
      <c r="K39" s="73" t="s">
        <v>77</v>
      </c>
      <c r="L39" s="1" t="s">
        <v>74</v>
      </c>
      <c r="M39" s="14"/>
      <c r="N39" s="4"/>
      <c r="O39" s="1"/>
      <c r="P39" s="14"/>
      <c r="Q39" s="19"/>
    </row>
    <row r="40" spans="2:17" s="3" customFormat="1" ht="19.899999999999999" customHeight="1" x14ac:dyDescent="0.15">
      <c r="B40" s="4"/>
      <c r="C40" s="23"/>
      <c r="D40" s="23"/>
      <c r="E40" s="61"/>
      <c r="F40" s="67"/>
      <c r="G40" s="68"/>
      <c r="H40" s="64">
        <f t="shared" si="0"/>
        <v>0</v>
      </c>
      <c r="I40" s="69"/>
      <c r="J40" s="22"/>
      <c r="K40" s="22"/>
      <c r="L40" s="1"/>
      <c r="M40" s="14"/>
      <c r="N40" s="4"/>
      <c r="O40" s="74"/>
      <c r="P40" s="14"/>
      <c r="Q40" s="19"/>
    </row>
    <row r="41" spans="2:17" s="3" customFormat="1" ht="19.899999999999999" customHeight="1" x14ac:dyDescent="0.15">
      <c r="B41" s="4"/>
      <c r="C41" s="23"/>
      <c r="D41" s="23"/>
      <c r="E41" s="61"/>
      <c r="F41" s="67"/>
      <c r="G41" s="68"/>
      <c r="H41" s="64">
        <f t="shared" si="0"/>
        <v>0</v>
      </c>
      <c r="I41" s="69"/>
      <c r="J41" s="22"/>
      <c r="K41" s="22"/>
      <c r="L41" s="1"/>
      <c r="M41" s="14"/>
      <c r="N41" s="4"/>
      <c r="O41" s="74"/>
      <c r="P41" s="14"/>
      <c r="Q41" s="19"/>
    </row>
    <row r="42" spans="2:17" s="87" customFormat="1" ht="19.899999999999999" customHeight="1" x14ac:dyDescent="0.15">
      <c r="B42" s="75">
        <v>8</v>
      </c>
      <c r="C42" s="76" t="s">
        <v>84</v>
      </c>
      <c r="D42" s="76" t="s">
        <v>84</v>
      </c>
      <c r="E42" s="77" t="s">
        <v>85</v>
      </c>
      <c r="F42" s="78">
        <v>1</v>
      </c>
      <c r="G42" s="79">
        <v>6700</v>
      </c>
      <c r="H42" s="80">
        <f>F42*G42</f>
        <v>6700</v>
      </c>
      <c r="I42" s="81"/>
      <c r="J42" s="82" t="s">
        <v>86</v>
      </c>
      <c r="K42" s="82"/>
      <c r="L42" s="83" t="s">
        <v>61</v>
      </c>
      <c r="M42" s="84">
        <v>44427</v>
      </c>
      <c r="N42" s="75"/>
      <c r="O42" s="85">
        <v>44441</v>
      </c>
      <c r="P42" s="84"/>
      <c r="Q42" s="86">
        <v>44441</v>
      </c>
    </row>
    <row r="43" spans="2:17" s="91" customFormat="1" ht="19.899999999999999" customHeight="1" x14ac:dyDescent="0.15">
      <c r="B43" s="75">
        <v>8</v>
      </c>
      <c r="C43" s="76" t="s">
        <v>84</v>
      </c>
      <c r="D43" s="76" t="s">
        <v>84</v>
      </c>
      <c r="E43" s="77" t="s">
        <v>87</v>
      </c>
      <c r="F43" s="78">
        <v>1</v>
      </c>
      <c r="G43" s="79">
        <v>21300</v>
      </c>
      <c r="H43" s="80">
        <f>F43*G43</f>
        <v>21300</v>
      </c>
      <c r="I43" s="81"/>
      <c r="J43" s="82" t="s">
        <v>88</v>
      </c>
      <c r="K43" s="82"/>
      <c r="L43" s="83" t="s">
        <v>61</v>
      </c>
      <c r="M43" s="84">
        <v>44427</v>
      </c>
      <c r="N43" s="42"/>
      <c r="O43" s="85">
        <v>44441</v>
      </c>
      <c r="P43" s="88"/>
      <c r="Q43" s="90">
        <v>44441</v>
      </c>
    </row>
    <row r="44" spans="2:17" s="91" customFormat="1" ht="19.899999999999999" customHeight="1" x14ac:dyDescent="0.15">
      <c r="B44" s="75">
        <v>8</v>
      </c>
      <c r="C44" s="76" t="s">
        <v>84</v>
      </c>
      <c r="D44" s="76" t="s">
        <v>84</v>
      </c>
      <c r="E44" s="77" t="s">
        <v>89</v>
      </c>
      <c r="F44" s="78">
        <v>1</v>
      </c>
      <c r="G44" s="79">
        <v>8200</v>
      </c>
      <c r="H44" s="80">
        <f>F44*G44</f>
        <v>8200</v>
      </c>
      <c r="I44" s="81"/>
      <c r="J44" s="82" t="s">
        <v>59</v>
      </c>
      <c r="K44" s="82"/>
      <c r="L44" s="92" t="s">
        <v>59</v>
      </c>
      <c r="M44" s="84">
        <v>44427</v>
      </c>
      <c r="N44" s="42"/>
      <c r="O44" s="85">
        <v>44441</v>
      </c>
      <c r="P44" s="88"/>
      <c r="Q44" s="90">
        <v>44441</v>
      </c>
    </row>
    <row r="45" spans="2:17" s="91" customFormat="1" ht="19.899999999999999" customHeight="1" x14ac:dyDescent="0.15">
      <c r="B45" s="42"/>
      <c r="C45" s="42"/>
      <c r="D45" s="42"/>
      <c r="E45" s="46"/>
      <c r="F45" s="43"/>
      <c r="G45" s="48"/>
      <c r="H45" s="48">
        <f t="shared" si="0"/>
        <v>0</v>
      </c>
      <c r="I45" s="45"/>
      <c r="J45" s="46"/>
      <c r="K45" s="46"/>
      <c r="L45" s="93"/>
      <c r="M45" s="88"/>
      <c r="N45" s="42"/>
      <c r="O45" s="89"/>
      <c r="P45" s="88"/>
      <c r="Q45" s="90"/>
    </row>
    <row r="46" spans="2:17" s="41" customFormat="1" ht="19.899999999999999" customHeight="1" x14ac:dyDescent="0.15">
      <c r="B46" s="42"/>
      <c r="C46" s="42"/>
      <c r="D46" s="42"/>
      <c r="E46" s="46"/>
      <c r="F46" s="43"/>
      <c r="G46" s="44"/>
      <c r="H46" s="29">
        <f t="shared" si="0"/>
        <v>0</v>
      </c>
      <c r="I46" s="45"/>
      <c r="J46" s="49"/>
      <c r="K46" s="47"/>
      <c r="L46" s="28"/>
      <c r="M46" s="39"/>
      <c r="N46" s="38"/>
      <c r="O46" s="55"/>
      <c r="P46" s="39"/>
      <c r="Q46" s="40"/>
    </row>
    <row r="47" spans="2:17" s="41" customFormat="1" ht="19.899999999999999" customHeight="1" x14ac:dyDescent="0.15">
      <c r="B47" s="38"/>
      <c r="C47" s="38"/>
      <c r="D47" s="38"/>
      <c r="E47" s="50"/>
      <c r="F47" s="51"/>
      <c r="G47" s="52"/>
      <c r="H47" s="29">
        <f>F47*G47</f>
        <v>0</v>
      </c>
      <c r="I47" s="30"/>
      <c r="J47" s="31"/>
      <c r="K47" s="31"/>
      <c r="L47" s="28"/>
      <c r="M47" s="39"/>
      <c r="N47" s="38"/>
      <c r="O47" s="28"/>
      <c r="P47" s="39"/>
      <c r="Q47" s="40"/>
    </row>
    <row r="48" spans="2:17" s="41" customFormat="1" ht="19.899999999999999" customHeight="1" x14ac:dyDescent="0.15">
      <c r="B48" s="38"/>
      <c r="C48" s="38"/>
      <c r="D48" s="38"/>
      <c r="E48" s="53"/>
      <c r="F48" s="54"/>
      <c r="G48" s="52"/>
      <c r="H48" s="29">
        <f>F48*G48</f>
        <v>0</v>
      </c>
      <c r="I48" s="30"/>
      <c r="J48" s="31"/>
      <c r="K48" s="31"/>
      <c r="L48" s="28"/>
      <c r="M48" s="39"/>
      <c r="N48" s="38"/>
      <c r="O48" s="28"/>
      <c r="P48" s="39"/>
      <c r="Q48" s="40"/>
    </row>
    <row r="49" spans="2:17" s="41" customFormat="1" ht="19.899999999999999" customHeight="1" x14ac:dyDescent="0.15">
      <c r="B49" s="38"/>
      <c r="C49" s="38"/>
      <c r="D49" s="38"/>
      <c r="E49" s="53"/>
      <c r="F49" s="54"/>
      <c r="G49" s="52"/>
      <c r="H49" s="29">
        <f>F49*G49</f>
        <v>0</v>
      </c>
      <c r="I49" s="30"/>
      <c r="J49" s="31"/>
      <c r="K49" s="31"/>
      <c r="L49" s="28"/>
      <c r="M49" s="39"/>
      <c r="N49" s="38"/>
      <c r="O49" s="28"/>
      <c r="P49" s="39"/>
      <c r="Q49" s="40"/>
    </row>
    <row r="53" spans="2:17" x14ac:dyDescent="0.15">
      <c r="M53" s="15"/>
    </row>
    <row r="54" spans="2:17" x14ac:dyDescent="0.15">
      <c r="M54" s="16"/>
    </row>
    <row r="55" spans="2:17" x14ac:dyDescent="0.15">
      <c r="M55" s="15"/>
    </row>
    <row r="56" spans="2:17" x14ac:dyDescent="0.15">
      <c r="H56" s="33"/>
      <c r="M56" s="16"/>
    </row>
    <row r="57" spans="2:17" x14ac:dyDescent="0.15">
      <c r="H57" s="33"/>
    </row>
    <row r="58" spans="2:17" x14ac:dyDescent="0.15">
      <c r="H58" s="33"/>
    </row>
    <row r="59" spans="2:17" x14ac:dyDescent="0.15">
      <c r="H59" s="33"/>
    </row>
    <row r="60" spans="2:17" x14ac:dyDescent="0.15">
      <c r="H60" s="33"/>
    </row>
    <row r="61" spans="2:17" x14ac:dyDescent="0.15">
      <c r="H61" s="33"/>
    </row>
    <row r="62" spans="2:17" x14ac:dyDescent="0.15">
      <c r="H62" s="33"/>
    </row>
    <row r="63" spans="2:17" x14ac:dyDescent="0.15">
      <c r="H63" s="33"/>
    </row>
    <row r="64" spans="2:17" x14ac:dyDescent="0.15">
      <c r="H64" s="33"/>
    </row>
    <row r="65" spans="8:8" x14ac:dyDescent="0.15">
      <c r="H65" s="33"/>
    </row>
    <row r="66" spans="8:8" x14ac:dyDescent="0.15">
      <c r="H66" s="33"/>
    </row>
    <row r="67" spans="8:8" x14ac:dyDescent="0.15">
      <c r="H67" s="33"/>
    </row>
    <row r="68" spans="8:8" x14ac:dyDescent="0.15">
      <c r="H68" s="33"/>
    </row>
    <row r="69" spans="8:8" x14ac:dyDescent="0.15">
      <c r="H69" s="33"/>
    </row>
    <row r="70" spans="8:8" x14ac:dyDescent="0.15">
      <c r="H70" s="33"/>
    </row>
    <row r="71" spans="8:8" x14ac:dyDescent="0.15">
      <c r="H71" s="33"/>
    </row>
    <row r="72" spans="8:8" x14ac:dyDescent="0.15">
      <c r="H72" s="33"/>
    </row>
    <row r="73" spans="8:8" x14ac:dyDescent="0.15">
      <c r="H73" s="33"/>
    </row>
    <row r="74" spans="8:8" x14ac:dyDescent="0.15">
      <c r="H74" s="33"/>
    </row>
    <row r="75" spans="8:8" x14ac:dyDescent="0.15">
      <c r="H75" s="33"/>
    </row>
    <row r="76" spans="8:8" x14ac:dyDescent="0.15">
      <c r="H76" s="33"/>
    </row>
    <row r="77" spans="8:8" x14ac:dyDescent="0.15">
      <c r="H77" s="33"/>
    </row>
    <row r="78" spans="8:8" x14ac:dyDescent="0.15">
      <c r="H78" s="33"/>
    </row>
    <row r="79" spans="8:8" x14ac:dyDescent="0.15">
      <c r="H79" s="33"/>
    </row>
    <row r="80" spans="8:8" x14ac:dyDescent="0.15">
      <c r="H80" s="33"/>
    </row>
    <row r="81" spans="8:8" x14ac:dyDescent="0.15">
      <c r="H81" s="33"/>
    </row>
    <row r="82" spans="8:8" x14ac:dyDescent="0.15">
      <c r="H82" s="33"/>
    </row>
    <row r="83" spans="8:8" x14ac:dyDescent="0.15">
      <c r="H83" s="33"/>
    </row>
    <row r="84" spans="8:8" x14ac:dyDescent="0.15">
      <c r="H84" s="33"/>
    </row>
    <row r="85" spans="8:8" x14ac:dyDescent="0.15">
      <c r="H85" s="33"/>
    </row>
    <row r="86" spans="8:8" x14ac:dyDescent="0.15">
      <c r="H86" s="33"/>
    </row>
    <row r="87" spans="8:8" x14ac:dyDescent="0.15">
      <c r="H87" s="33"/>
    </row>
    <row r="88" spans="8:8" x14ac:dyDescent="0.15">
      <c r="H88" s="32"/>
    </row>
  </sheetData>
  <autoFilter ref="B8:O4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200" zoomScaleNormal="140" zoomScaleSheetLayoutView="200" workbookViewId="0">
      <selection activeCell="C3" sqref="C3"/>
    </sheetView>
  </sheetViews>
  <sheetFormatPr defaultRowHeight="13.5" x14ac:dyDescent="0.15"/>
  <cols>
    <col min="1" max="1" width="12.125" bestFit="1" customWidth="1"/>
    <col min="2" max="2" width="19.625" bestFit="1" customWidth="1"/>
  </cols>
  <sheetData>
    <row r="1" spans="1:2" ht="17.25" x14ac:dyDescent="0.15">
      <c r="A1" s="60" t="s">
        <v>10</v>
      </c>
      <c r="B1" s="12" t="s">
        <v>27</v>
      </c>
    </row>
    <row r="2" spans="1:2" ht="17.25" x14ac:dyDescent="0.15">
      <c r="A2" s="60" t="s">
        <v>9</v>
      </c>
      <c r="B2" s="8" t="s">
        <v>28</v>
      </c>
    </row>
    <row r="3" spans="1:2" ht="17.25" x14ac:dyDescent="0.15">
      <c r="A3" s="60" t="s">
        <v>11</v>
      </c>
      <c r="B3" s="8">
        <v>189366</v>
      </c>
    </row>
    <row r="4" spans="1:2" ht="17.25" x14ac:dyDescent="0.15">
      <c r="A4" s="60" t="s">
        <v>12</v>
      </c>
      <c r="B4" s="9">
        <v>44449</v>
      </c>
    </row>
    <row r="5" spans="1:2" ht="17.25" x14ac:dyDescent="0.15">
      <c r="A5" s="60" t="s">
        <v>13</v>
      </c>
      <c r="B5" s="9"/>
    </row>
  </sheetData>
  <phoneticPr fontId="2"/>
  <pageMargins left="0.7" right="0.7" top="0.75" bottom="0.75" header="0.3" footer="0.3"/>
  <pageSetup paperSize="9" scale="2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2021-08-11T06:14:58Z</cp:lastPrinted>
  <dcterms:created xsi:type="dcterms:W3CDTF">2011-12-13T06:48:43Z</dcterms:created>
  <dcterms:modified xsi:type="dcterms:W3CDTF">2021-09-22T08:45:33Z</dcterms:modified>
</cp:coreProperties>
</file>