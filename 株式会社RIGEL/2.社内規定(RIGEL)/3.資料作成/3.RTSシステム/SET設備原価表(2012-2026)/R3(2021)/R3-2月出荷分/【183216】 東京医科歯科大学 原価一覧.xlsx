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B72B5D71-D1BA-4326-A2D3-58FC012D7FB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治具手配数量" sheetId="2" r:id="rId2"/>
    <sheet name="Sheet3" sheetId="3" r:id="rId3"/>
    <sheet name="表紙" sheetId="4" r:id="rId4"/>
  </sheets>
  <definedNames>
    <definedName name="_xlnm._FilterDatabase" localSheetId="0" hidden="1">原価表!$B$9:$O$41</definedName>
  </definedNames>
  <calcPr calcId="181029"/>
  <fileRecoveryPr autoRecover="0"/>
</workbook>
</file>

<file path=xl/calcChain.xml><?xml version="1.0" encoding="utf-8"?>
<calcChain xmlns="http://schemas.openxmlformats.org/spreadsheetml/2006/main">
  <c r="H28" i="1" l="1"/>
  <c r="H27" i="1"/>
  <c r="H26" i="1"/>
  <c r="H25" i="1"/>
  <c r="H24" i="1"/>
  <c r="H23" i="1"/>
  <c r="J2" i="1" l="1"/>
</calcChain>
</file>

<file path=xl/sharedStrings.xml><?xml version="1.0" encoding="utf-8"?>
<sst xmlns="http://schemas.openxmlformats.org/spreadsheetml/2006/main" count="195" uniqueCount="105">
  <si>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</si>
  <si>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</si>
  <si>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</si>
  <si>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</si>
  <si>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</si>
  <si>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</si>
  <si>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</si>
  <si>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</si>
  <si>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</si>
  <si>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</si>
  <si>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</si>
  <si>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</si>
  <si>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</si>
  <si>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</si>
  <si>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</si>
  <si>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</si>
  <si>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</si>
  <si>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</si>
  <si>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</si>
  <si>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</si>
  <si>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</si>
  <si>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</si>
  <si>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型　式</t>
    <rPh sb="0" eb="1">
      <t>ガタ</t>
    </rPh>
    <rPh sb="2" eb="3">
      <t>シキ</t>
    </rPh>
    <phoneticPr fontId="2"/>
  </si>
  <si>
    <t>図　番</t>
    <rPh sb="0" eb="1">
      <t>ズ</t>
    </rPh>
    <rPh sb="2" eb="3">
      <t>バン</t>
    </rPh>
    <phoneticPr fontId="2"/>
  </si>
  <si>
    <t>数 量</t>
    <rPh sb="0" eb="1">
      <t>スウ</t>
    </rPh>
    <rPh sb="2" eb="3">
      <t>リョウ</t>
    </rPh>
    <phoneticPr fontId="2"/>
  </si>
  <si>
    <t>№</t>
    <phoneticPr fontId="2"/>
  </si>
  <si>
    <t>備 考</t>
    <rPh sb="0" eb="1">
      <t>ビ</t>
    </rPh>
    <rPh sb="2" eb="3">
      <t>コウ</t>
    </rPh>
    <phoneticPr fontId="2"/>
  </si>
  <si>
    <t>SS40079</t>
    <phoneticPr fontId="2"/>
  </si>
  <si>
    <t>740,752,780用ﾎﾙﾀﾞ(P=25)</t>
    <rPh sb="11" eb="12">
      <t>ヨウ</t>
    </rPh>
    <phoneticPr fontId="2"/>
  </si>
  <si>
    <t>147826-Y01</t>
    <phoneticPr fontId="2"/>
  </si>
  <si>
    <t>ﾂｰﾙ取付板</t>
    <rPh sb="3" eb="5">
      <t>トリツケ</t>
    </rPh>
    <rPh sb="5" eb="6">
      <t>イタ</t>
    </rPh>
    <phoneticPr fontId="2"/>
  </si>
  <si>
    <t>ﾌﾞｻﾞｰBOX(残検付)</t>
    <rPh sb="9" eb="10">
      <t>ザン</t>
    </rPh>
    <rPh sb="10" eb="11">
      <t>ケン</t>
    </rPh>
    <rPh sb="11" eb="12">
      <t>ツキ</t>
    </rPh>
    <phoneticPr fontId="2"/>
  </si>
  <si>
    <t>TJ0040-02-001A</t>
    <phoneticPr fontId="2"/>
  </si>
  <si>
    <t>冶具加工品</t>
    <rPh sb="0" eb="2">
      <t>ジグ</t>
    </rPh>
    <rPh sb="2" eb="5">
      <t>カコウヒン</t>
    </rPh>
    <phoneticPr fontId="2"/>
  </si>
  <si>
    <t>製作品</t>
    <rPh sb="0" eb="3">
      <t>セイサクヒン</t>
    </rPh>
    <phoneticPr fontId="2"/>
  </si>
  <si>
    <t>★SKG(155591)向け 治具・製作品 数量</t>
    <rPh sb="12" eb="13">
      <t>ム</t>
    </rPh>
    <rPh sb="15" eb="17">
      <t>ジグ</t>
    </rPh>
    <rPh sb="18" eb="21">
      <t>セイサクヒン</t>
    </rPh>
    <rPh sb="22" eb="24">
      <t>スウリョウ</t>
    </rPh>
    <phoneticPr fontId="2"/>
  </si>
  <si>
    <t>作成：2018.02.27</t>
    <rPh sb="0" eb="2">
      <t>サクセイ</t>
    </rPh>
    <phoneticPr fontId="2"/>
  </si>
  <si>
    <t>150688-Z01</t>
    <phoneticPr fontId="2"/>
  </si>
  <si>
    <t>ｱﾝﾌﾟ固定L板金</t>
    <rPh sb="4" eb="6">
      <t>コテイ</t>
    </rPh>
    <rPh sb="7" eb="9">
      <t>バンキン</t>
    </rPh>
    <phoneticPr fontId="2"/>
  </si>
  <si>
    <t>東京医科歯科大学</t>
    <rPh sb="0" eb="8">
      <t>トウキョウイカシカダイガク</t>
    </rPh>
    <phoneticPr fontId="2"/>
  </si>
  <si>
    <t>関口</t>
    <rPh sb="0" eb="2">
      <t>セキグチ</t>
    </rPh>
    <phoneticPr fontId="2"/>
  </si>
  <si>
    <t>AXA-SV(300x300)</t>
    <phoneticPr fontId="2"/>
  </si>
  <si>
    <t>■183216-Y01(ﾂｰﾙｼﾞｸﾞ）</t>
  </si>
  <si>
    <t>■183216-X01(ｼﾞｸﾞﾍﾞｰｽﾞ）</t>
  </si>
  <si>
    <t>■183216-X02(ﾜｰｸｼﾞｸﾞ）</t>
    <phoneticPr fontId="2"/>
  </si>
  <si>
    <t>■183216-Z01（捨て打ちﾌﾟﾚｰﾄL）</t>
    <phoneticPr fontId="2"/>
  </si>
  <si>
    <t>■183216-Z02（捨て打ちﾌﾟﾚｰﾄR）</t>
    <phoneticPr fontId="2"/>
  </si>
  <si>
    <t>■183216-Z03（ｶｯﾌﾟﾌﾟﾚｰﾄ）</t>
  </si>
  <si>
    <t>KNCLSS4-8-20</t>
  </si>
  <si>
    <t>MC01-S1</t>
    <phoneticPr fontId="2"/>
  </si>
  <si>
    <t>MVBLK-AMW-2HG-5YX79</t>
  </si>
  <si>
    <t>SS40079</t>
  </si>
  <si>
    <t>MVBLK-AMW-2HG-NR2BL</t>
  </si>
  <si>
    <t>MVBLK-AMW-2HG-TDLTU</t>
  </si>
  <si>
    <t>MVSHM-3N02052014027-2HG-35261</t>
  </si>
  <si>
    <t>MVSHM-3N02052014027-2HG-J1TMJ</t>
    <phoneticPr fontId="2"/>
  </si>
  <si>
    <t>MVSHM-3N01000005010-2HG-HR3ZE</t>
  </si>
  <si>
    <t>■183216-X04(10mmﾌﾟﾚｰﾄ）</t>
    <phoneticPr fontId="2"/>
  </si>
  <si>
    <t>■183216-X05(22.5mmﾌﾟﾚｰﾄ）</t>
    <phoneticPr fontId="2"/>
  </si>
  <si>
    <t>■183216-X06(30mmﾌﾟﾚｰﾄ）</t>
    <phoneticPr fontId="2"/>
  </si>
  <si>
    <t>■183216-X07(35mmﾌﾟﾚｰﾄ）</t>
    <phoneticPr fontId="2"/>
  </si>
  <si>
    <t>A寸法</t>
    <rPh sb="1" eb="3">
      <t>スンポウ</t>
    </rPh>
    <phoneticPr fontId="2"/>
  </si>
  <si>
    <t>図面番号</t>
    <rPh sb="0" eb="2">
      <t>ズメン</t>
    </rPh>
    <rPh sb="2" eb="4">
      <t>バンゴウ</t>
    </rPh>
    <phoneticPr fontId="2"/>
  </si>
  <si>
    <t>数量</t>
    <rPh sb="0" eb="2">
      <t>スウリョウ</t>
    </rPh>
    <phoneticPr fontId="2"/>
  </si>
  <si>
    <t>TAISHO</t>
    <phoneticPr fontId="2"/>
  </si>
  <si>
    <t>MISUMI</t>
    <phoneticPr fontId="2"/>
  </si>
  <si>
    <t>183216-X04(10.0mmﾌﾟﾚｰﾄ）</t>
    <phoneticPr fontId="2"/>
  </si>
  <si>
    <t>183216-X05(22.5mmﾌﾟﾚｰﾄ）</t>
    <phoneticPr fontId="2"/>
  </si>
  <si>
    <t>183216-X06(30.0mmﾌﾟﾚｰﾄ）</t>
    <phoneticPr fontId="2"/>
  </si>
  <si>
    <t>183216-X07(35.0mmﾌﾟﾚｰﾄ）</t>
    <phoneticPr fontId="2"/>
  </si>
  <si>
    <t>■183216-X03(ﾃﾌﾛﾝﾌﾟﾚｰﾄ）</t>
    <phoneticPr fontId="2"/>
  </si>
  <si>
    <t>■SS40079(ﾊﾞﾙﾌﾞﾎﾙﾀﾞ)</t>
    <phoneticPr fontId="2"/>
  </si>
  <si>
    <t>ﾄｸﾞﾙｸﾗﾝﾌﾟ</t>
  </si>
  <si>
    <t>ｷﾝｿﾞｸｶﾗｰ (KNCLSS)</t>
  </si>
  <si>
    <t>WEB発注済</t>
    <rPh sb="3" eb="6">
      <t>ハッチュウスミ</t>
    </rPh>
    <phoneticPr fontId="2"/>
  </si>
  <si>
    <t>SP</t>
    <phoneticPr fontId="2"/>
  </si>
  <si>
    <t>MDA-37H-UNC</t>
  </si>
  <si>
    <t>DE-9PF-N</t>
  </si>
  <si>
    <t>DE-C8-J9-F21R</t>
  </si>
  <si>
    <t>DC-37PF-N</t>
  </si>
  <si>
    <t>EMID-SUBｺﾈｸﾀ</t>
  </si>
  <si>
    <t>DSUBﾌｰﾄﾞ､ｱｸｾｻﾘｰ</t>
  </si>
  <si>
    <t>ARP20K-01H-1</t>
  </si>
  <si>
    <t>SMC ﾚｷﾞｭﾚｰﾀ ARPｼﾘｰｽﾞ</t>
  </si>
  <si>
    <t>KQ2Z04-01AS</t>
  </si>
  <si>
    <t>SMC ﾜﾝﾀｯﾁﾂｷﾞﾃ KQ2Zｼﾘｰｽﾞ</t>
  </si>
  <si>
    <t>KQ2L04-01AS</t>
  </si>
  <si>
    <t>SMC ﾐﾘﾜﾝﾀｯﾁﾂｷﾞﾃKQ2</t>
  </si>
  <si>
    <t>G46E-2-01M-C</t>
  </si>
  <si>
    <t>SMC ｱﾂﾘｮｸｹｲ Gｼﾘｰｽﾞ</t>
  </si>
  <si>
    <t>KQ2H04-M5N</t>
  </si>
  <si>
    <t>SMC ﾜﾝﾀｯﾁﾂｷﾞﾃ KQ2Hｼﾘｰｽﾞ</t>
  </si>
  <si>
    <t>MSHRT3</t>
  </si>
  <si>
    <t>ｼｭﾄﾞｳｷﾘｶｴﾍﾞﾝ(MSHRT)</t>
  </si>
  <si>
    <t>KQ2H06-M5N</t>
  </si>
  <si>
    <t>KQ2L04-M5N</t>
  </si>
  <si>
    <t>SMC ﾜﾝﾀｯﾁﾂｷﾞﾃ KQ2Lｼﾘｰｽﾞ</t>
  </si>
  <si>
    <t>MVSHM-3N02050017018-2J5-3H8RU</t>
  </si>
  <si>
    <t>ﾒｳﾞｨｰ_ﾊﾞﾝｷﾝ</t>
  </si>
  <si>
    <t>CBSTSR4-16</t>
  </si>
  <si>
    <t>KNCLSS4-8-10</t>
  </si>
  <si>
    <t>ｺﾞｸﾃｲﾄｳﾎﾞﾙﾄ(CBSTSR)</t>
  </si>
  <si>
    <t>本社着</t>
    <rPh sb="0" eb="2">
      <t>ホンシャ</t>
    </rPh>
    <rPh sb="2" eb="3">
      <t>ツ</t>
    </rPh>
    <phoneticPr fontId="2"/>
  </si>
  <si>
    <t>本社着</t>
    <rPh sb="0" eb="3">
      <t>ホンシャツ</t>
    </rPh>
    <phoneticPr fontId="2"/>
  </si>
  <si>
    <t>松本さんへ</t>
    <rPh sb="0" eb="2">
      <t>マツモト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</si>
</sst>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0.0_ 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Font="1">
      <alignment vertical="center"/>
    </xf>
    <xf numFmtId="176" fontId="5" fillId="0" borderId="1" xfId="0" applyNumberFormat="1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179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8" fontId="0" fillId="0" borderId="0" xfId="0" applyNumberFormat="1" applyFon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5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56" fontId="6" fillId="0" borderId="1" xfId="0" applyNumberFormat="1" applyFont="1" applyFill="1" applyBorder="1" applyAlignment="1">
      <alignment horizontal="center" vertical="center"/>
    </xf>
    <xf numFmtId="179" fontId="0" fillId="0" borderId="0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181" fontId="0" fillId="0" borderId="0" xfId="0" applyNumberFormat="1">
      <alignment vertical="center"/>
    </xf>
    <xf numFmtId="18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9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7"/>
  <sheetViews>
    <sheetView tabSelected="1" zoomScale="85" zoomScaleNormal="85" workbookViewId="0">
      <pane xSplit="10" ySplit="9" topLeftCell="K28" activePane="bottomRight" state="frozen"/>
      <selection pane="topRight" activeCell="K1" sqref="K1"/>
      <selection pane="bottomLeft" activeCell="A9" sqref="A9"/>
      <selection pane="bottomRight" activeCell="P44" sqref="P44"/>
    </sheetView>
  </sheetViews>
  <sheetFormatPr defaultColWidth="9" defaultRowHeight="13.5" x14ac:dyDescent="0.15"/>
  <cols>
    <col min="1" max="1" width="2.625" style="11" customWidth="1"/>
    <col min="2" max="2" width="20.125" style="20" bestFit="1" customWidth="1"/>
    <col min="3" max="3" width="14.375" style="11" bestFit="1" customWidth="1"/>
    <col min="4" max="4" width="13.125" style="11" bestFit="1" customWidth="1"/>
    <col min="5" max="5" width="40.625" style="11" customWidth="1"/>
    <col min="6" max="6" width="6.25" style="11" customWidth="1"/>
    <col min="7" max="8" width="9.875" style="11" bestFit="1" customWidth="1"/>
    <col min="9" max="9" width="5.75" style="16" customWidth="1"/>
    <col min="10" max="10" width="35.25" style="11" bestFit="1" customWidth="1"/>
    <col min="11" max="11" width="22.375" style="11" bestFit="1" customWidth="1"/>
    <col min="12" max="12" width="11" style="20" customWidth="1"/>
    <col min="13" max="13" width="13.75" style="15" customWidth="1"/>
    <col min="14" max="14" width="6.375" style="11" customWidth="1"/>
    <col min="15" max="15" width="13.25" style="16" customWidth="1"/>
    <col min="16" max="16" width="14.5" style="17" customWidth="1"/>
    <col min="17" max="17" width="15.625" style="18" customWidth="1"/>
    <col min="18" max="16384" width="9" style="11"/>
  </cols>
  <sheetData>
    <row r="2" spans="2:17" ht="20.100000000000001" customHeight="1" x14ac:dyDescent="0.15">
      <c r="B2" s="59" t="s">
        <v>11</v>
      </c>
      <c r="C2" s="59"/>
      <c r="D2" s="59"/>
      <c r="E2" s="10" t="s">
        <v>39</v>
      </c>
      <c r="G2" s="60" t="s">
        <v>15</v>
      </c>
      <c r="H2" s="61"/>
      <c r="I2" s="62"/>
      <c r="J2" s="12">
        <f>SUM(H:H)</f>
        <v>139247</v>
      </c>
      <c r="K2" s="13"/>
      <c r="L2" s="14"/>
    </row>
    <row r="3" spans="2:17" ht="20.100000000000001" customHeight="1" x14ac:dyDescent="0.15">
      <c r="B3" s="59" t="s">
        <v>10</v>
      </c>
      <c r="C3" s="59"/>
      <c r="D3" s="59"/>
      <c r="E3" s="19" t="s">
        <v>40</v>
      </c>
    </row>
    <row r="4" spans="2:17" ht="20.100000000000001" customHeight="1" x14ac:dyDescent="0.15">
      <c r="B4" s="59" t="s">
        <v>12</v>
      </c>
      <c r="C4" s="59"/>
      <c r="D4" s="59"/>
      <c r="E4" s="19">
        <v>183216</v>
      </c>
      <c r="J4" s="21"/>
    </row>
    <row r="5" spans="2:17" ht="20.100000000000001" customHeight="1" x14ac:dyDescent="0.15">
      <c r="B5" s="59" t="s">
        <v>13</v>
      </c>
      <c r="C5" s="59"/>
      <c r="D5" s="59"/>
      <c r="E5" s="22"/>
      <c r="J5" s="21"/>
    </row>
    <row r="6" spans="2:17" ht="20.100000000000001" customHeight="1" x14ac:dyDescent="0.15">
      <c r="B6" s="59" t="s">
        <v>14</v>
      </c>
      <c r="C6" s="59"/>
      <c r="D6" s="59"/>
      <c r="E6" s="22">
        <v>44252</v>
      </c>
      <c r="J6" s="21"/>
    </row>
    <row r="7" spans="2:17" ht="20.100000000000001" customHeight="1" x14ac:dyDescent="0.15">
      <c r="B7" s="23"/>
      <c r="C7" s="23"/>
      <c r="D7" s="23"/>
      <c r="E7" s="24"/>
      <c r="J7" s="21"/>
      <c r="L7" s="25"/>
    </row>
    <row r="9" spans="2:17" s="31" customFormat="1" ht="19.7" customHeight="1" x14ac:dyDescent="0.15">
      <c r="B9" s="26" t="s">
        <v>4</v>
      </c>
      <c r="C9" s="26" t="s">
        <v>9</v>
      </c>
      <c r="D9" s="26" t="s">
        <v>5</v>
      </c>
      <c r="E9" s="27" t="s">
        <v>8</v>
      </c>
      <c r="F9" s="27" t="s">
        <v>0</v>
      </c>
      <c r="G9" s="27" t="s">
        <v>1</v>
      </c>
      <c r="H9" s="28" t="s">
        <v>2</v>
      </c>
      <c r="I9" s="28" t="s">
        <v>18</v>
      </c>
      <c r="J9" s="27" t="s">
        <v>3</v>
      </c>
      <c r="K9" s="27" t="s">
        <v>17</v>
      </c>
      <c r="L9" s="27" t="s">
        <v>16</v>
      </c>
      <c r="M9" s="29" t="s">
        <v>6</v>
      </c>
      <c r="N9" s="26" t="s">
        <v>19</v>
      </c>
      <c r="O9" s="27" t="s">
        <v>7</v>
      </c>
      <c r="P9" s="29" t="s">
        <v>20</v>
      </c>
      <c r="Q9" s="30" t="s">
        <v>21</v>
      </c>
    </row>
    <row r="10" spans="2:17" s="31" customFormat="1" ht="19.7" customHeight="1" x14ac:dyDescent="0.15">
      <c r="B10" s="26">
        <v>1</v>
      </c>
      <c r="C10" s="36"/>
      <c r="D10" s="36"/>
      <c r="E10" s="42" t="s">
        <v>41</v>
      </c>
      <c r="F10" s="38">
        <v>1</v>
      </c>
      <c r="G10" s="38"/>
      <c r="H10" s="38"/>
      <c r="I10" s="39"/>
      <c r="J10" s="43"/>
      <c r="K10" s="27"/>
      <c r="L10" s="27"/>
      <c r="M10" s="29"/>
      <c r="N10" s="26"/>
      <c r="O10" s="27"/>
      <c r="P10" s="29"/>
      <c r="Q10" s="30"/>
    </row>
    <row r="11" spans="2:17" s="31" customFormat="1" ht="19.7" customHeight="1" x14ac:dyDescent="0.15">
      <c r="B11" s="26">
        <v>9</v>
      </c>
      <c r="C11" s="36" t="s">
        <v>65</v>
      </c>
      <c r="D11" s="36" t="s">
        <v>65</v>
      </c>
      <c r="E11" s="42" t="s">
        <v>42</v>
      </c>
      <c r="F11" s="38">
        <v>1</v>
      </c>
      <c r="G11" s="50">
        <v>9002</v>
      </c>
      <c r="H11" s="51">
        <v>9002</v>
      </c>
      <c r="I11" s="39"/>
      <c r="J11" s="43" t="s">
        <v>50</v>
      </c>
      <c r="K11" s="27" t="s">
        <v>74</v>
      </c>
      <c r="L11" s="27"/>
      <c r="M11" s="29"/>
      <c r="N11" s="26"/>
      <c r="O11" s="27"/>
      <c r="P11" s="29"/>
      <c r="Q11" s="30">
        <v>44221</v>
      </c>
    </row>
    <row r="12" spans="2:17" s="31" customFormat="1" ht="19.7" customHeight="1" x14ac:dyDescent="0.15">
      <c r="B12" s="26">
        <v>10</v>
      </c>
      <c r="C12" s="36" t="s">
        <v>65</v>
      </c>
      <c r="D12" s="36" t="s">
        <v>65</v>
      </c>
      <c r="E12" s="45" t="s">
        <v>43</v>
      </c>
      <c r="F12" s="50">
        <v>1</v>
      </c>
      <c r="G12" s="50">
        <v>7788</v>
      </c>
      <c r="H12" s="51">
        <v>7788</v>
      </c>
      <c r="I12" s="39"/>
      <c r="J12" s="43" t="s">
        <v>53</v>
      </c>
      <c r="K12" s="27" t="s">
        <v>74</v>
      </c>
      <c r="L12" s="27"/>
      <c r="M12" s="29"/>
      <c r="N12" s="26"/>
      <c r="O12" s="27"/>
      <c r="P12" s="29"/>
      <c r="Q12" s="30">
        <v>44221</v>
      </c>
    </row>
    <row r="13" spans="2:17" s="31" customFormat="1" ht="19.7" customHeight="1" x14ac:dyDescent="0.15">
      <c r="B13" s="26">
        <v>10</v>
      </c>
      <c r="C13" s="36" t="s">
        <v>65</v>
      </c>
      <c r="D13" s="36" t="s">
        <v>65</v>
      </c>
      <c r="E13" s="45" t="s">
        <v>44</v>
      </c>
      <c r="F13" s="50">
        <v>1</v>
      </c>
      <c r="G13" s="50">
        <v>9346</v>
      </c>
      <c r="H13" s="50">
        <v>9346</v>
      </c>
      <c r="I13" s="37"/>
      <c r="J13" s="43" t="s">
        <v>52</v>
      </c>
      <c r="K13" s="27" t="s">
        <v>74</v>
      </c>
      <c r="L13" s="26"/>
      <c r="M13" s="29"/>
      <c r="N13" s="26"/>
      <c r="O13" s="32"/>
      <c r="P13" s="29"/>
      <c r="Q13" s="30">
        <v>44221</v>
      </c>
    </row>
    <row r="14" spans="2:17" s="31" customFormat="1" ht="19.7" customHeight="1" x14ac:dyDescent="0.15">
      <c r="B14" s="26">
        <v>10</v>
      </c>
      <c r="C14" s="36" t="s">
        <v>65</v>
      </c>
      <c r="D14" s="36" t="s">
        <v>65</v>
      </c>
      <c r="E14" s="45" t="s">
        <v>45</v>
      </c>
      <c r="F14" s="50">
        <v>1</v>
      </c>
      <c r="G14" s="50">
        <v>3070</v>
      </c>
      <c r="H14" s="50">
        <v>3070</v>
      </c>
      <c r="I14" s="37"/>
      <c r="J14" s="44" t="s">
        <v>54</v>
      </c>
      <c r="K14" s="27" t="s">
        <v>74</v>
      </c>
      <c r="L14" s="26"/>
      <c r="M14" s="29"/>
      <c r="N14" s="26"/>
      <c r="O14" s="32"/>
      <c r="P14" s="29"/>
      <c r="Q14" s="30">
        <v>44221</v>
      </c>
    </row>
    <row r="15" spans="2:17" s="31" customFormat="1" ht="19.7" customHeight="1" x14ac:dyDescent="0.15">
      <c r="B15" s="26">
        <v>10</v>
      </c>
      <c r="C15" s="36" t="s">
        <v>65</v>
      </c>
      <c r="D15" s="36" t="s">
        <v>65</v>
      </c>
      <c r="E15" s="40" t="s">
        <v>46</v>
      </c>
      <c r="F15" s="50">
        <v>1</v>
      </c>
      <c r="G15" s="50">
        <v>3070</v>
      </c>
      <c r="H15" s="50">
        <v>3070</v>
      </c>
      <c r="I15" s="37"/>
      <c r="J15" s="44" t="s">
        <v>55</v>
      </c>
      <c r="K15" s="27" t="s">
        <v>74</v>
      </c>
      <c r="L15" s="26"/>
      <c r="M15" s="29"/>
      <c r="N15" s="26"/>
      <c r="O15" s="34"/>
      <c r="P15" s="29"/>
      <c r="Q15" s="30">
        <v>44221</v>
      </c>
    </row>
    <row r="16" spans="2:17" s="31" customFormat="1" ht="19.7" customHeight="1" x14ac:dyDescent="0.15">
      <c r="B16" s="26">
        <v>10</v>
      </c>
      <c r="C16" s="36" t="s">
        <v>65</v>
      </c>
      <c r="D16" s="36" t="s">
        <v>65</v>
      </c>
      <c r="E16" s="40" t="s">
        <v>47</v>
      </c>
      <c r="F16" s="50">
        <v>2</v>
      </c>
      <c r="G16" s="50">
        <v>1760</v>
      </c>
      <c r="H16" s="50">
        <v>3520</v>
      </c>
      <c r="I16" s="37"/>
      <c r="J16" s="44" t="s">
        <v>56</v>
      </c>
      <c r="K16" s="27" t="s">
        <v>74</v>
      </c>
      <c r="L16" s="27"/>
      <c r="M16" s="29"/>
      <c r="N16" s="26"/>
      <c r="O16" s="27"/>
      <c r="P16" s="32"/>
      <c r="Q16" s="30">
        <v>44221</v>
      </c>
    </row>
    <row r="17" spans="2:17" s="31" customFormat="1" ht="19.7" customHeight="1" x14ac:dyDescent="0.15">
      <c r="B17" s="26">
        <v>10</v>
      </c>
      <c r="C17" s="36" t="s">
        <v>65</v>
      </c>
      <c r="D17" s="36" t="s">
        <v>65</v>
      </c>
      <c r="E17" s="40" t="s">
        <v>49</v>
      </c>
      <c r="F17" s="50">
        <v>2</v>
      </c>
      <c r="G17" s="50">
        <v>1410</v>
      </c>
      <c r="H17" s="50">
        <v>2820</v>
      </c>
      <c r="I17" s="37"/>
      <c r="J17" s="50" t="s">
        <v>72</v>
      </c>
      <c r="K17" s="27" t="s">
        <v>74</v>
      </c>
      <c r="L17" s="27"/>
      <c r="M17" s="29"/>
      <c r="N17" s="26"/>
      <c r="O17" s="27"/>
      <c r="P17" s="32"/>
      <c r="Q17" s="30">
        <v>44221</v>
      </c>
    </row>
    <row r="18" spans="2:17" s="31" customFormat="1" ht="19.7" customHeight="1" x14ac:dyDescent="0.15">
      <c r="B18" s="26">
        <v>10</v>
      </c>
      <c r="C18" s="36" t="s">
        <v>65</v>
      </c>
      <c r="D18" s="36" t="s">
        <v>65</v>
      </c>
      <c r="E18" s="40" t="s">
        <v>48</v>
      </c>
      <c r="F18" s="50">
        <v>8</v>
      </c>
      <c r="G18" s="50">
        <v>340</v>
      </c>
      <c r="H18" s="50">
        <v>2720</v>
      </c>
      <c r="I18" s="37"/>
      <c r="J18" s="50" t="s">
        <v>73</v>
      </c>
      <c r="K18" s="27" t="s">
        <v>74</v>
      </c>
      <c r="L18" s="27"/>
      <c r="M18" s="29"/>
      <c r="N18" s="26"/>
      <c r="O18" s="27"/>
      <c r="P18" s="32"/>
      <c r="Q18" s="30">
        <v>44221</v>
      </c>
    </row>
    <row r="19" spans="2:17" s="31" customFormat="1" ht="19.7" customHeight="1" x14ac:dyDescent="0.15">
      <c r="B19" s="26">
        <v>10</v>
      </c>
      <c r="C19" s="36" t="s">
        <v>65</v>
      </c>
      <c r="D19" s="36" t="s">
        <v>65</v>
      </c>
      <c r="E19" s="50" t="s">
        <v>79</v>
      </c>
      <c r="F19" s="50">
        <v>1</v>
      </c>
      <c r="G19" s="50">
        <v>638</v>
      </c>
      <c r="H19" s="50">
        <v>638</v>
      </c>
      <c r="I19" s="37"/>
      <c r="J19" s="50" t="s">
        <v>80</v>
      </c>
      <c r="K19" s="27"/>
      <c r="L19" s="27"/>
      <c r="M19" s="29"/>
      <c r="N19" s="26"/>
      <c r="O19" s="27"/>
      <c r="P19" s="32"/>
      <c r="Q19" s="29">
        <v>44210</v>
      </c>
    </row>
    <row r="20" spans="2:17" s="31" customFormat="1" ht="19.7" customHeight="1" x14ac:dyDescent="0.15">
      <c r="B20" s="26">
        <v>10</v>
      </c>
      <c r="C20" s="36" t="s">
        <v>65</v>
      </c>
      <c r="D20" s="36" t="s">
        <v>65</v>
      </c>
      <c r="E20" s="50" t="s">
        <v>76</v>
      </c>
      <c r="F20" s="50">
        <v>1</v>
      </c>
      <c r="G20" s="50">
        <v>553</v>
      </c>
      <c r="H20" s="50">
        <v>553</v>
      </c>
      <c r="I20" s="37"/>
      <c r="J20" s="50" t="s">
        <v>81</v>
      </c>
      <c r="K20" s="27"/>
      <c r="L20" s="27"/>
      <c r="M20" s="29"/>
      <c r="N20" s="26"/>
      <c r="O20" s="27"/>
      <c r="P20" s="29"/>
      <c r="Q20" s="29">
        <v>44210</v>
      </c>
    </row>
    <row r="21" spans="2:17" s="31" customFormat="1" ht="19.7" customHeight="1" x14ac:dyDescent="0.15">
      <c r="B21" s="26">
        <v>10</v>
      </c>
      <c r="C21" s="36" t="s">
        <v>65</v>
      </c>
      <c r="D21" s="36" t="s">
        <v>65</v>
      </c>
      <c r="E21" s="50" t="s">
        <v>77</v>
      </c>
      <c r="F21" s="50">
        <v>2</v>
      </c>
      <c r="G21" s="50">
        <v>308</v>
      </c>
      <c r="H21" s="50">
        <v>616</v>
      </c>
      <c r="I21" s="37"/>
      <c r="J21" s="50" t="s">
        <v>80</v>
      </c>
      <c r="K21" s="27"/>
      <c r="L21" s="27"/>
      <c r="M21" s="29"/>
      <c r="N21" s="26"/>
      <c r="O21" s="27"/>
      <c r="P21" s="32"/>
      <c r="Q21" s="29">
        <v>44210</v>
      </c>
    </row>
    <row r="22" spans="2:17" s="31" customFormat="1" ht="19.7" customHeight="1" x14ac:dyDescent="0.15">
      <c r="B22" s="26">
        <v>10</v>
      </c>
      <c r="C22" s="36" t="s">
        <v>65</v>
      </c>
      <c r="D22" s="36" t="s">
        <v>65</v>
      </c>
      <c r="E22" s="50" t="s">
        <v>78</v>
      </c>
      <c r="F22" s="50">
        <v>2</v>
      </c>
      <c r="G22" s="50">
        <v>498</v>
      </c>
      <c r="H22" s="50">
        <v>996</v>
      </c>
      <c r="I22" s="37"/>
      <c r="J22" s="50" t="s">
        <v>81</v>
      </c>
      <c r="K22" s="27"/>
      <c r="L22" s="27"/>
      <c r="M22" s="29"/>
      <c r="N22" s="26"/>
      <c r="O22" s="27"/>
      <c r="P22" s="29"/>
      <c r="Q22" s="29">
        <v>44210</v>
      </c>
    </row>
    <row r="23" spans="2:17" s="31" customFormat="1" ht="19.7" customHeight="1" x14ac:dyDescent="0.15">
      <c r="B23" s="26">
        <v>9</v>
      </c>
      <c r="C23" s="36" t="s">
        <v>64</v>
      </c>
      <c r="D23" s="36" t="s">
        <v>64</v>
      </c>
      <c r="E23" s="42" t="s">
        <v>71</v>
      </c>
      <c r="F23" s="38">
        <v>2</v>
      </c>
      <c r="G23" s="38">
        <v>6200</v>
      </c>
      <c r="H23" s="38">
        <f>F23*G23</f>
        <v>12400</v>
      </c>
      <c r="I23" s="37"/>
      <c r="J23" s="43" t="s">
        <v>51</v>
      </c>
      <c r="K23" s="27"/>
      <c r="L23" s="27"/>
      <c r="M23" s="29">
        <v>44216</v>
      </c>
      <c r="N23" s="26"/>
      <c r="O23" s="27"/>
      <c r="P23" s="32"/>
      <c r="Q23" s="30">
        <v>44218</v>
      </c>
    </row>
    <row r="24" spans="2:17" s="31" customFormat="1" ht="19.7" customHeight="1" x14ac:dyDescent="0.15">
      <c r="B24" s="26">
        <v>10</v>
      </c>
      <c r="C24" s="36" t="s">
        <v>64</v>
      </c>
      <c r="D24" s="36" t="s">
        <v>64</v>
      </c>
      <c r="E24" s="45" t="s">
        <v>70</v>
      </c>
      <c r="F24" s="38">
        <v>5</v>
      </c>
      <c r="G24" s="41">
        <v>3500</v>
      </c>
      <c r="H24" s="38">
        <f t="shared" ref="H24:H28" si="0">F24*G24</f>
        <v>17500</v>
      </c>
      <c r="I24" s="37"/>
      <c r="J24" s="43"/>
      <c r="K24" s="27"/>
      <c r="L24" s="26"/>
      <c r="M24" s="29">
        <v>44216</v>
      </c>
      <c r="N24" s="26"/>
      <c r="O24" s="32"/>
      <c r="P24" s="29"/>
      <c r="Q24" s="30">
        <v>44218</v>
      </c>
    </row>
    <row r="25" spans="2:17" s="31" customFormat="1" ht="19.7" customHeight="1" x14ac:dyDescent="0.15">
      <c r="B25" s="26">
        <v>10</v>
      </c>
      <c r="C25" s="36" t="s">
        <v>64</v>
      </c>
      <c r="D25" s="36" t="s">
        <v>64</v>
      </c>
      <c r="E25" s="45" t="s">
        <v>57</v>
      </c>
      <c r="F25" s="38">
        <v>2</v>
      </c>
      <c r="G25" s="41">
        <v>4200</v>
      </c>
      <c r="H25" s="38">
        <f t="shared" si="0"/>
        <v>8400</v>
      </c>
      <c r="I25" s="37"/>
      <c r="J25" s="43"/>
      <c r="K25" s="27"/>
      <c r="L25" s="26"/>
      <c r="M25" s="29">
        <v>44216</v>
      </c>
      <c r="N25" s="26"/>
      <c r="O25" s="32"/>
      <c r="P25" s="29"/>
      <c r="Q25" s="30">
        <v>44218</v>
      </c>
    </row>
    <row r="26" spans="2:17" s="31" customFormat="1" ht="19.7" customHeight="1" x14ac:dyDescent="0.15">
      <c r="B26" s="26">
        <v>10</v>
      </c>
      <c r="C26" s="36" t="s">
        <v>64</v>
      </c>
      <c r="D26" s="36" t="s">
        <v>64</v>
      </c>
      <c r="E26" s="45" t="s">
        <v>58</v>
      </c>
      <c r="F26" s="40">
        <v>2</v>
      </c>
      <c r="G26" s="41">
        <v>4100</v>
      </c>
      <c r="H26" s="38">
        <f t="shared" si="0"/>
        <v>8200</v>
      </c>
      <c r="I26" s="37"/>
      <c r="J26" s="44"/>
      <c r="K26" s="33"/>
      <c r="L26" s="26"/>
      <c r="M26" s="29">
        <v>44216</v>
      </c>
      <c r="N26" s="26"/>
      <c r="O26" s="34"/>
      <c r="P26" s="29"/>
      <c r="Q26" s="30">
        <v>44218</v>
      </c>
    </row>
    <row r="27" spans="2:17" s="31" customFormat="1" ht="19.7" customHeight="1" x14ac:dyDescent="0.15">
      <c r="B27" s="26">
        <v>10</v>
      </c>
      <c r="C27" s="36" t="s">
        <v>64</v>
      </c>
      <c r="D27" s="36" t="s">
        <v>64</v>
      </c>
      <c r="E27" s="45" t="s">
        <v>59</v>
      </c>
      <c r="F27" s="40">
        <v>2</v>
      </c>
      <c r="G27" s="41">
        <v>4000</v>
      </c>
      <c r="H27" s="38">
        <f t="shared" si="0"/>
        <v>8000</v>
      </c>
      <c r="I27" s="39"/>
      <c r="J27" s="44"/>
      <c r="K27" s="27"/>
      <c r="L27" s="27"/>
      <c r="M27" s="29">
        <v>44216</v>
      </c>
      <c r="N27" s="26"/>
      <c r="O27" s="27"/>
      <c r="P27" s="29"/>
      <c r="Q27" s="30">
        <v>44218</v>
      </c>
    </row>
    <row r="28" spans="2:17" s="31" customFormat="1" ht="19.7" customHeight="1" x14ac:dyDescent="0.15">
      <c r="B28" s="26">
        <v>10</v>
      </c>
      <c r="C28" s="36" t="s">
        <v>64</v>
      </c>
      <c r="D28" s="36" t="s">
        <v>64</v>
      </c>
      <c r="E28" s="45" t="s">
        <v>60</v>
      </c>
      <c r="F28" s="40">
        <v>2</v>
      </c>
      <c r="G28" s="41">
        <v>4000</v>
      </c>
      <c r="H28" s="38">
        <f t="shared" si="0"/>
        <v>8000</v>
      </c>
      <c r="I28" s="39"/>
      <c r="J28" s="44"/>
      <c r="K28" s="27"/>
      <c r="L28" s="26"/>
      <c r="M28" s="29">
        <v>44216</v>
      </c>
      <c r="N28" s="26"/>
      <c r="O28" s="32"/>
      <c r="P28" s="29"/>
      <c r="Q28" s="30">
        <v>44218</v>
      </c>
    </row>
    <row r="29" spans="2:17" s="31" customFormat="1" ht="19.7" customHeight="1" x14ac:dyDescent="0.15">
      <c r="B29" s="26"/>
      <c r="C29" s="36"/>
      <c r="D29" s="36"/>
      <c r="E29" s="42"/>
      <c r="F29" s="38"/>
      <c r="G29" s="38"/>
      <c r="H29" s="38"/>
      <c r="I29" s="39"/>
      <c r="J29" s="43"/>
      <c r="K29" s="27"/>
      <c r="L29" s="27"/>
      <c r="M29" s="29"/>
      <c r="N29" s="26"/>
      <c r="O29" s="27"/>
      <c r="P29" s="29"/>
      <c r="Q29" s="30"/>
    </row>
    <row r="30" spans="2:17" customFormat="1" ht="19.5" customHeight="1" x14ac:dyDescent="0.15">
      <c r="B30" s="26">
        <v>10</v>
      </c>
      <c r="C30" s="53" t="s">
        <v>65</v>
      </c>
      <c r="D30" s="53" t="s">
        <v>65</v>
      </c>
      <c r="E30" s="50" t="s">
        <v>82</v>
      </c>
      <c r="F30" s="50">
        <v>2</v>
      </c>
      <c r="G30" s="50">
        <v>5756</v>
      </c>
      <c r="H30" s="50">
        <v>11512</v>
      </c>
      <c r="I30" s="55"/>
      <c r="J30" s="50" t="s">
        <v>83</v>
      </c>
      <c r="K30" s="48" t="s">
        <v>74</v>
      </c>
      <c r="L30" s="48"/>
      <c r="M30" s="54">
        <v>44228</v>
      </c>
      <c r="N30" s="50"/>
      <c r="O30" s="55"/>
      <c r="P30" s="56"/>
      <c r="Q30" s="58">
        <v>44235</v>
      </c>
    </row>
    <row r="31" spans="2:17" customFormat="1" ht="19.5" customHeight="1" x14ac:dyDescent="0.15">
      <c r="B31" s="26">
        <v>10</v>
      </c>
      <c r="C31" s="53" t="s">
        <v>65</v>
      </c>
      <c r="D31" s="53" t="s">
        <v>65</v>
      </c>
      <c r="E31" s="50" t="s">
        <v>84</v>
      </c>
      <c r="F31" s="50">
        <v>2</v>
      </c>
      <c r="G31" s="50">
        <v>468</v>
      </c>
      <c r="H31" s="50">
        <v>936</v>
      </c>
      <c r="I31" s="55"/>
      <c r="J31" s="50" t="s">
        <v>85</v>
      </c>
      <c r="K31" s="48" t="s">
        <v>74</v>
      </c>
      <c r="L31" s="48"/>
      <c r="M31" s="54">
        <v>44228</v>
      </c>
      <c r="N31" s="50"/>
      <c r="O31" s="55"/>
      <c r="P31" s="56"/>
      <c r="Q31" s="58">
        <v>44235</v>
      </c>
    </row>
    <row r="32" spans="2:17" customFormat="1" ht="19.5" customHeight="1" x14ac:dyDescent="0.15">
      <c r="B32" s="26">
        <v>10</v>
      </c>
      <c r="C32" s="53" t="s">
        <v>65</v>
      </c>
      <c r="D32" s="53" t="s">
        <v>65</v>
      </c>
      <c r="E32" s="50" t="s">
        <v>86</v>
      </c>
      <c r="F32" s="50">
        <v>2</v>
      </c>
      <c r="G32" s="50">
        <v>216</v>
      </c>
      <c r="H32" s="50">
        <v>432</v>
      </c>
      <c r="I32" s="55"/>
      <c r="J32" s="50" t="s">
        <v>87</v>
      </c>
      <c r="K32" s="48" t="s">
        <v>74</v>
      </c>
      <c r="L32" s="48"/>
      <c r="M32" s="54">
        <v>44228</v>
      </c>
      <c r="N32" s="50"/>
      <c r="O32" s="55"/>
      <c r="P32" s="56"/>
      <c r="Q32" s="58">
        <v>44235</v>
      </c>
    </row>
    <row r="33" spans="2:17" customFormat="1" ht="19.5" customHeight="1" x14ac:dyDescent="0.15">
      <c r="B33" s="26">
        <v>10</v>
      </c>
      <c r="C33" s="53" t="s">
        <v>65</v>
      </c>
      <c r="D33" s="53" t="s">
        <v>65</v>
      </c>
      <c r="E33" s="50" t="s">
        <v>88</v>
      </c>
      <c r="F33" s="50">
        <v>2</v>
      </c>
      <c r="G33" s="50">
        <v>2464</v>
      </c>
      <c r="H33" s="50">
        <v>4928</v>
      </c>
      <c r="I33" s="55"/>
      <c r="J33" s="50" t="s">
        <v>89</v>
      </c>
      <c r="K33" s="48" t="s">
        <v>74</v>
      </c>
      <c r="L33" s="48"/>
      <c r="M33" s="54">
        <v>44228</v>
      </c>
      <c r="N33" s="50"/>
      <c r="O33" s="55"/>
      <c r="P33" s="56"/>
      <c r="Q33" s="58">
        <v>44235</v>
      </c>
    </row>
    <row r="34" spans="2:17" customFormat="1" ht="19.5" customHeight="1" x14ac:dyDescent="0.15">
      <c r="B34" s="26">
        <v>10</v>
      </c>
      <c r="C34" s="53" t="s">
        <v>65</v>
      </c>
      <c r="D34" s="53" t="s">
        <v>65</v>
      </c>
      <c r="E34" s="50" t="s">
        <v>90</v>
      </c>
      <c r="F34" s="50">
        <v>2</v>
      </c>
      <c r="G34" s="50">
        <v>218</v>
      </c>
      <c r="H34" s="50">
        <v>436</v>
      </c>
      <c r="I34" s="55"/>
      <c r="J34" s="50" t="s">
        <v>91</v>
      </c>
      <c r="K34" s="48" t="s">
        <v>74</v>
      </c>
      <c r="L34" s="48"/>
      <c r="M34" s="54">
        <v>44228</v>
      </c>
      <c r="N34" s="50"/>
      <c r="O34" s="55"/>
      <c r="P34" s="56"/>
      <c r="Q34" s="58">
        <v>44235</v>
      </c>
    </row>
    <row r="35" spans="2:17" customFormat="1" ht="19.5" customHeight="1" x14ac:dyDescent="0.15">
      <c r="B35" s="26">
        <v>10</v>
      </c>
      <c r="C35" s="53" t="s">
        <v>65</v>
      </c>
      <c r="D35" s="53" t="s">
        <v>65</v>
      </c>
      <c r="E35" s="50" t="s">
        <v>92</v>
      </c>
      <c r="F35" s="50">
        <v>2</v>
      </c>
      <c r="G35" s="50">
        <v>2830</v>
      </c>
      <c r="H35" s="50">
        <v>5660</v>
      </c>
      <c r="I35" s="55"/>
      <c r="J35" s="50" t="s">
        <v>93</v>
      </c>
      <c r="K35" s="48" t="s">
        <v>74</v>
      </c>
      <c r="L35" s="48"/>
      <c r="M35" s="54">
        <v>44228</v>
      </c>
      <c r="N35" s="50"/>
      <c r="O35" s="55"/>
      <c r="P35" s="56"/>
      <c r="Q35" s="58">
        <v>44235</v>
      </c>
    </row>
    <row r="36" spans="2:17" customFormat="1" ht="19.5" customHeight="1" x14ac:dyDescent="0.15">
      <c r="B36" s="26">
        <v>10</v>
      </c>
      <c r="C36" s="53" t="s">
        <v>65</v>
      </c>
      <c r="D36" s="53" t="s">
        <v>65</v>
      </c>
      <c r="E36" s="50" t="s">
        <v>94</v>
      </c>
      <c r="F36" s="50">
        <v>2</v>
      </c>
      <c r="G36" s="50">
        <v>226</v>
      </c>
      <c r="H36" s="50">
        <v>452</v>
      </c>
      <c r="I36" s="55"/>
      <c r="J36" s="50" t="s">
        <v>91</v>
      </c>
      <c r="K36" s="48" t="s">
        <v>74</v>
      </c>
      <c r="L36" s="48"/>
      <c r="M36" s="54">
        <v>44228</v>
      </c>
      <c r="N36" s="50"/>
      <c r="O36" s="55"/>
      <c r="P36" s="56"/>
      <c r="Q36" s="58">
        <v>44235</v>
      </c>
    </row>
    <row r="37" spans="2:17" customFormat="1" ht="19.5" customHeight="1" x14ac:dyDescent="0.15">
      <c r="B37" s="26">
        <v>10</v>
      </c>
      <c r="C37" s="53" t="s">
        <v>65</v>
      </c>
      <c r="D37" s="53" t="s">
        <v>65</v>
      </c>
      <c r="E37" s="50" t="s">
        <v>95</v>
      </c>
      <c r="F37" s="50">
        <v>2</v>
      </c>
      <c r="G37" s="50">
        <v>311</v>
      </c>
      <c r="H37" s="50">
        <v>622</v>
      </c>
      <c r="I37" s="55"/>
      <c r="J37" s="50" t="s">
        <v>96</v>
      </c>
      <c r="K37" s="48" t="s">
        <v>74</v>
      </c>
      <c r="L37" s="48"/>
      <c r="M37" s="54">
        <v>44228</v>
      </c>
      <c r="N37" s="50"/>
      <c r="O37" s="55"/>
      <c r="P37" s="56"/>
      <c r="Q37" s="58">
        <v>44235</v>
      </c>
    </row>
    <row r="38" spans="2:17" customFormat="1" ht="19.5" customHeight="1" x14ac:dyDescent="0.15">
      <c r="B38" s="26">
        <v>10</v>
      </c>
      <c r="C38" s="53" t="s">
        <v>65</v>
      </c>
      <c r="D38" s="53" t="s">
        <v>65</v>
      </c>
      <c r="E38" s="50" t="s">
        <v>97</v>
      </c>
      <c r="F38" s="50">
        <v>1</v>
      </c>
      <c r="G38" s="50">
        <v>3310</v>
      </c>
      <c r="H38" s="50">
        <v>3310</v>
      </c>
      <c r="I38" s="55"/>
      <c r="J38" s="50" t="s">
        <v>98</v>
      </c>
      <c r="K38" s="48" t="s">
        <v>74</v>
      </c>
      <c r="L38" s="48"/>
      <c r="M38" s="54">
        <v>44228</v>
      </c>
      <c r="N38" s="50"/>
      <c r="O38" s="55"/>
      <c r="P38" s="56"/>
      <c r="Q38" s="58">
        <v>44235</v>
      </c>
    </row>
    <row r="39" spans="2:17" customFormat="1" ht="19.5" customHeight="1" x14ac:dyDescent="0.15">
      <c r="B39" s="48"/>
      <c r="C39" s="50"/>
      <c r="D39" s="50"/>
      <c r="E39" s="50"/>
      <c r="F39" s="50"/>
      <c r="G39" s="50"/>
      <c r="H39" s="50"/>
      <c r="I39" s="55"/>
      <c r="J39" s="50"/>
      <c r="K39" s="50"/>
      <c r="L39" s="48"/>
      <c r="M39" s="54"/>
      <c r="N39" s="50"/>
      <c r="O39" s="55"/>
      <c r="P39" s="56"/>
      <c r="Q39" s="57"/>
    </row>
    <row r="40" spans="2:17" s="31" customFormat="1" ht="19.7" customHeight="1" x14ac:dyDescent="0.15">
      <c r="B40" s="26">
        <v>10</v>
      </c>
      <c r="C40" s="53" t="s">
        <v>65</v>
      </c>
      <c r="D40" s="53" t="s">
        <v>65</v>
      </c>
      <c r="E40" s="50" t="s">
        <v>99</v>
      </c>
      <c r="F40" s="50">
        <v>4</v>
      </c>
      <c r="G40" s="50">
        <v>280</v>
      </c>
      <c r="H40" s="50">
        <v>1120</v>
      </c>
      <c r="I40" s="37"/>
      <c r="J40" s="50" t="s">
        <v>101</v>
      </c>
      <c r="K40" s="48" t="s">
        <v>74</v>
      </c>
      <c r="L40" s="27"/>
      <c r="M40" s="29">
        <v>44251</v>
      </c>
      <c r="N40" s="26"/>
      <c r="O40" s="27"/>
      <c r="P40" s="29" t="s">
        <v>102</v>
      </c>
      <c r="Q40" s="30"/>
    </row>
    <row r="41" spans="2:17" s="31" customFormat="1" ht="19.7" customHeight="1" x14ac:dyDescent="0.15">
      <c r="B41" s="26">
        <v>10</v>
      </c>
      <c r="C41" s="53" t="s">
        <v>65</v>
      </c>
      <c r="D41" s="53" t="s">
        <v>65</v>
      </c>
      <c r="E41" s="50" t="s">
        <v>100</v>
      </c>
      <c r="F41" s="50">
        <v>8</v>
      </c>
      <c r="G41" s="50">
        <v>260</v>
      </c>
      <c r="H41" s="50">
        <v>2080</v>
      </c>
      <c r="I41" s="37"/>
      <c r="J41" s="50" t="s">
        <v>73</v>
      </c>
      <c r="K41" s="48" t="s">
        <v>74</v>
      </c>
      <c r="L41" s="26"/>
      <c r="M41" s="29">
        <v>44251</v>
      </c>
      <c r="N41" s="26"/>
      <c r="O41" s="32"/>
      <c r="P41" s="29" t="s">
        <v>103</v>
      </c>
      <c r="Q41" s="29"/>
    </row>
    <row r="42" spans="2:17" customFormat="1" ht="19.5" customHeight="1" x14ac:dyDescent="0.15">
      <c r="B42" s="48"/>
      <c r="C42" s="50"/>
      <c r="D42" s="50"/>
      <c r="E42" s="50"/>
      <c r="F42" s="50"/>
      <c r="G42" s="50"/>
      <c r="H42" s="50"/>
      <c r="I42" s="55"/>
      <c r="J42" s="50"/>
      <c r="K42" s="50"/>
      <c r="L42" s="48"/>
      <c r="M42" s="54"/>
      <c r="N42" s="50"/>
      <c r="O42" s="55"/>
      <c r="P42" s="56"/>
      <c r="Q42" s="57"/>
    </row>
    <row r="43" spans="2:17" s="31" customFormat="1" ht="19.7" customHeight="1" x14ac:dyDescent="0.15">
      <c r="B43" s="26">
        <v>10</v>
      </c>
      <c r="C43" s="53" t="s">
        <v>65</v>
      </c>
      <c r="D43" s="53" t="s">
        <v>65</v>
      </c>
      <c r="E43" s="50" t="s">
        <v>99</v>
      </c>
      <c r="F43" s="50">
        <v>4</v>
      </c>
      <c r="G43" s="50">
        <v>280</v>
      </c>
      <c r="H43" s="50">
        <v>1120</v>
      </c>
      <c r="I43" s="37"/>
      <c r="J43" s="50" t="s">
        <v>101</v>
      </c>
      <c r="K43" s="48" t="s">
        <v>74</v>
      </c>
      <c r="L43" s="27"/>
      <c r="M43" s="29">
        <v>44252</v>
      </c>
      <c r="N43" s="26"/>
      <c r="O43" s="27"/>
      <c r="P43" s="29" t="s">
        <v>104</v>
      </c>
      <c r="Q43" s="30"/>
    </row>
    <row r="47" spans="2:17" x14ac:dyDescent="0.15">
      <c r="M47" s="35"/>
    </row>
    <row r="67" spans="11:11" x14ac:dyDescent="0.15">
      <c r="K67" s="11" t="s">
        <v>75</v>
      </c>
    </row>
  </sheetData>
  <autoFilter ref="B9:O41" xr:uid="{00000000-0009-0000-0000-000000000000}">
    <sortState xmlns:xlrd2="http://schemas.microsoft.com/office/spreadsheetml/2017/richdata2" ref="B10:O41">
      <sortCondition ref="D9:D41"/>
    </sortState>
  </autoFilter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"/>
  <sheetViews>
    <sheetView workbookViewId="0">
      <selection activeCell="F17" sqref="F17"/>
    </sheetView>
  </sheetViews>
  <sheetFormatPr defaultRowHeight="13.5" x14ac:dyDescent="0.15"/>
  <cols>
    <col min="1" max="1" width="5.625" customWidth="1"/>
    <col min="2" max="2" width="3.5" bestFit="1" customWidth="1"/>
    <col min="3" max="3" width="17.625" customWidth="1"/>
    <col min="4" max="4" width="25.75" bestFit="1" customWidth="1"/>
    <col min="5" max="5" width="5.875" bestFit="1" customWidth="1"/>
    <col min="6" max="6" width="15.625" customWidth="1"/>
  </cols>
  <sheetData>
    <row r="2" spans="1:6" x14ac:dyDescent="0.15">
      <c r="D2" s="1"/>
      <c r="F2" s="1" t="s">
        <v>36</v>
      </c>
    </row>
    <row r="3" spans="1:6" x14ac:dyDescent="0.15">
      <c r="A3" s="3" t="s">
        <v>35</v>
      </c>
    </row>
    <row r="5" spans="1:6" x14ac:dyDescent="0.15">
      <c r="B5" s="4" t="s">
        <v>25</v>
      </c>
      <c r="C5" s="4" t="s">
        <v>23</v>
      </c>
      <c r="D5" s="4" t="s">
        <v>22</v>
      </c>
      <c r="E5" s="4" t="s">
        <v>24</v>
      </c>
      <c r="F5" s="5" t="s">
        <v>26</v>
      </c>
    </row>
    <row r="6" spans="1:6" ht="20.100000000000001" customHeight="1" x14ac:dyDescent="0.15">
      <c r="B6" s="7">
        <v>1</v>
      </c>
      <c r="C6" s="8" t="s">
        <v>29</v>
      </c>
      <c r="D6" s="8" t="s">
        <v>30</v>
      </c>
      <c r="E6" s="7">
        <v>2</v>
      </c>
      <c r="F6" s="63" t="s">
        <v>33</v>
      </c>
    </row>
    <row r="7" spans="1:6" ht="20.100000000000001" customHeight="1" x14ac:dyDescent="0.15">
      <c r="B7" s="7">
        <v>2</v>
      </c>
      <c r="C7" s="9" t="s">
        <v>27</v>
      </c>
      <c r="D7" s="8" t="s">
        <v>28</v>
      </c>
      <c r="E7" s="7">
        <v>2</v>
      </c>
      <c r="F7" s="64"/>
    </row>
    <row r="8" spans="1:6" ht="20.100000000000001" customHeight="1" x14ac:dyDescent="0.15">
      <c r="B8" s="7">
        <v>3</v>
      </c>
      <c r="C8" s="8" t="s">
        <v>37</v>
      </c>
      <c r="D8" s="8" t="s">
        <v>38</v>
      </c>
      <c r="E8" s="7">
        <v>2</v>
      </c>
      <c r="F8" s="65"/>
    </row>
    <row r="9" spans="1:6" ht="20.100000000000001" customHeight="1" x14ac:dyDescent="0.15">
      <c r="B9" s="2">
        <v>4</v>
      </c>
      <c r="C9" s="6" t="s">
        <v>32</v>
      </c>
      <c r="D9" s="6" t="s">
        <v>31</v>
      </c>
      <c r="E9" s="2">
        <v>2</v>
      </c>
      <c r="F9" s="2" t="s">
        <v>34</v>
      </c>
    </row>
  </sheetData>
  <mergeCells count="1">
    <mergeCell ref="F6:F8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E10"/>
  <sheetViews>
    <sheetView workbookViewId="0">
      <selection activeCell="C6" sqref="C6:E10"/>
    </sheetView>
  </sheetViews>
  <sheetFormatPr defaultRowHeight="13.5" x14ac:dyDescent="0.15"/>
  <cols>
    <col min="3" max="3" width="9" style="46"/>
    <col min="4" max="4" width="27.375" bestFit="1" customWidth="1"/>
  </cols>
  <sheetData>
    <row r="6" spans="3:5" x14ac:dyDescent="0.15">
      <c r="C6" s="47" t="s">
        <v>61</v>
      </c>
      <c r="D6" s="48" t="s">
        <v>62</v>
      </c>
      <c r="E6" s="48" t="s">
        <v>63</v>
      </c>
    </row>
    <row r="7" spans="3:5" x14ac:dyDescent="0.15">
      <c r="C7" s="47">
        <v>10</v>
      </c>
      <c r="D7" s="44" t="s">
        <v>66</v>
      </c>
      <c r="E7" s="37">
        <v>2</v>
      </c>
    </row>
    <row r="8" spans="3:5" x14ac:dyDescent="0.15">
      <c r="C8" s="47">
        <v>22.5</v>
      </c>
      <c r="D8" s="44" t="s">
        <v>67</v>
      </c>
      <c r="E8" s="49">
        <v>2</v>
      </c>
    </row>
    <row r="9" spans="3:5" x14ac:dyDescent="0.15">
      <c r="C9" s="47">
        <v>30</v>
      </c>
      <c r="D9" s="44" t="s">
        <v>68</v>
      </c>
      <c r="E9" s="49">
        <v>2</v>
      </c>
    </row>
    <row r="10" spans="3:5" x14ac:dyDescent="0.15">
      <c r="C10" s="47">
        <v>35</v>
      </c>
      <c r="D10" s="44" t="s">
        <v>69</v>
      </c>
      <c r="E10" s="49">
        <v>2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1E5D-F5C3-49F1-8491-8ECB7519FF8B}">
  <dimension ref="A1:B5"/>
  <sheetViews>
    <sheetView view="pageBreakPreview" zoomScale="60" zoomScaleNormal="100" workbookViewId="0">
      <selection activeCell="O46" sqref="O46"/>
    </sheetView>
  </sheetViews>
  <sheetFormatPr defaultRowHeight="13.5" x14ac:dyDescent="0.15"/>
  <cols>
    <col min="1" max="1" width="12.125" bestFit="1" customWidth="1"/>
    <col min="2" max="2" width="23.5" bestFit="1" customWidth="1"/>
  </cols>
  <sheetData>
    <row r="1" spans="1:2" ht="17.25" x14ac:dyDescent="0.15">
      <c r="A1" s="52" t="s">
        <v>11</v>
      </c>
      <c r="B1" s="10" t="s">
        <v>39</v>
      </c>
    </row>
    <row r="2" spans="1:2" ht="17.25" x14ac:dyDescent="0.15">
      <c r="A2" s="52" t="s">
        <v>10</v>
      </c>
      <c r="B2" s="19" t="s">
        <v>40</v>
      </c>
    </row>
    <row r="3" spans="1:2" ht="17.25" x14ac:dyDescent="0.15">
      <c r="A3" s="52" t="s">
        <v>12</v>
      </c>
      <c r="B3" s="19">
        <v>183216</v>
      </c>
    </row>
    <row r="4" spans="1:2" ht="17.25" x14ac:dyDescent="0.15">
      <c r="A4" s="52" t="s">
        <v>13</v>
      </c>
      <c r="B4" s="22"/>
    </row>
    <row r="5" spans="1:2" ht="17.25" x14ac:dyDescent="0.15">
      <c r="A5" s="52" t="s">
        <v>14</v>
      </c>
      <c r="B5" s="22">
        <v>44252</v>
      </c>
    </row>
  </sheetData>
  <phoneticPr fontId="10"/>
  <printOptions horizontalCentered="1"/>
  <pageMargins left="0.70866141732283472" right="0.70866141732283472" top="0.74803149606299213" bottom="0.74803149606299213" header="0.31496062992125984" footer="0.31496062992125984"/>
  <pageSetup paperSize="9" scale="20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原価表</vt:lpstr>
      <vt:lpstr>治具手配数量</vt:lpstr>
      <vt:lpstr>Sheet3</vt:lpstr>
      <vt:lpstr>表紙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2021-01-20T01:55:17Z</cp:lastPrinted>
  <dcterms:created xsi:type="dcterms:W3CDTF">2011-12-13T06:48:43Z</dcterms:created>
  <dcterms:modified xsi:type="dcterms:W3CDTF">2021-02-26T07:22:42Z</dcterms:modified>
</cp:coreProperties>
</file>