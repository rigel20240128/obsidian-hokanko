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Sv-ap\data\製品管理部(機材)出荷管理課・資材調達課\機材・資材調達課(ﾛﾎﾞｯﾄ部品手配)\"/>
    </mc:Choice>
  </mc:AlternateContent>
  <xr:revisionPtr revIDLastSave="0" documentId="13_ncr:1_{44D5E709-3902-4996-AAC7-91F48CB401A6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原価表" sheetId="1" r:id="rId1"/>
  </sheets>
  <definedNames>
    <definedName name="_xlnm._FilterDatabase" localSheetId="0" hidden="1">原価表!$B$9:$O$9</definedName>
  </definedNames>
  <calcPr calcId="181029"/>
  <fileRecoveryPr autoRecover="0"/>
</workbook>
</file>

<file path=xl/calcChain.xml><?xml version="1.0" encoding="utf-8"?>
<calcChain xmlns="http://schemas.openxmlformats.org/spreadsheetml/2006/main">
  <c r="H40" i="1" l="1"/>
  <c r="H39" i="1"/>
  <c r="J2" i="1" s="1"/>
  <c r="H38" i="1"/>
  <c r="H37" i="1"/>
</calcChain>
</file>

<file path=xl/sharedStrings.xml><?xml version="1.0" encoding="utf-8"?>
<sst xmlns="http://schemas.openxmlformats.org/spreadsheetml/2006/main" count="164" uniqueCount="87">
  <si>
    <t>数量</t>
  </si>
  <si>
    <t>単価</t>
  </si>
  <si>
    <t>金額</t>
  </si>
  <si>
    <t>詳細</t>
    <rPh sb="0" eb="2">
      <t>ショウサイ</t>
    </rPh>
    <phoneticPr fontId="2"/>
  </si>
  <si>
    <t>見積り分類</t>
    <rPh sb="0" eb="2">
      <t>ミツモ</t>
    </rPh>
    <rPh sb="3" eb="5">
      <t>ブンルイ</t>
    </rPh>
    <phoneticPr fontId="1"/>
  </si>
  <si>
    <t>仕入先</t>
    <rPh sb="0" eb="2">
      <t>シイレ</t>
    </rPh>
    <rPh sb="2" eb="3">
      <t>サキ</t>
    </rPh>
    <phoneticPr fontId="1"/>
  </si>
  <si>
    <t>発注日</t>
    <rPh sb="0" eb="2">
      <t>ハッチュウ</t>
    </rPh>
    <rPh sb="2" eb="3">
      <t>ヒ</t>
    </rPh>
    <phoneticPr fontId="1"/>
  </si>
  <si>
    <t>納期</t>
    <rPh sb="0" eb="2">
      <t>ノウ</t>
    </rPh>
    <phoneticPr fontId="1"/>
  </si>
  <si>
    <t>品名 / 型式</t>
    <rPh sb="0" eb="2">
      <t>ヒンメイ</t>
    </rPh>
    <rPh sb="5" eb="7">
      <t>カタシキ</t>
    </rPh>
    <phoneticPr fontId="2"/>
  </si>
  <si>
    <t>メーカー</t>
    <phoneticPr fontId="1"/>
  </si>
  <si>
    <t>担当営業</t>
    <rPh sb="0" eb="2">
      <t>タントウ</t>
    </rPh>
    <rPh sb="2" eb="4">
      <t>エイギョウ</t>
    </rPh>
    <phoneticPr fontId="1"/>
  </si>
  <si>
    <t>お客先名</t>
    <rPh sb="1" eb="3">
      <t>キャクサキ</t>
    </rPh>
    <rPh sb="3" eb="4">
      <t>メイ</t>
    </rPh>
    <phoneticPr fontId="1"/>
  </si>
  <si>
    <t>受注番号</t>
    <rPh sb="0" eb="2">
      <t>ジュチュウ</t>
    </rPh>
    <rPh sb="2" eb="4">
      <t>バンゴウ</t>
    </rPh>
    <phoneticPr fontId="1"/>
  </si>
  <si>
    <t>希望納期</t>
    <rPh sb="0" eb="2">
      <t>キボウ</t>
    </rPh>
    <rPh sb="2" eb="4">
      <t>ノウ</t>
    </rPh>
    <phoneticPr fontId="1"/>
  </si>
  <si>
    <t>最終納品</t>
    <rPh sb="0" eb="2">
      <t>サイシュウ</t>
    </rPh>
    <rPh sb="2" eb="4">
      <t>ノウヒン</t>
    </rPh>
    <phoneticPr fontId="1"/>
  </si>
  <si>
    <t>合計金額</t>
    <rPh sb="0" eb="2">
      <t>ゴウケイ</t>
    </rPh>
    <rPh sb="2" eb="4">
      <t>キンガク</t>
    </rPh>
    <phoneticPr fontId="1"/>
  </si>
  <si>
    <t>技術分類</t>
    <rPh sb="0" eb="2">
      <t>ギジュツ</t>
    </rPh>
    <rPh sb="2" eb="4">
      <t>ブンルイ</t>
    </rPh>
    <phoneticPr fontId="1"/>
  </si>
  <si>
    <t>備考</t>
    <rPh sb="0" eb="2">
      <t>ビコウ</t>
    </rPh>
    <phoneticPr fontId="1"/>
  </si>
  <si>
    <t>分類合計</t>
    <rPh sb="0" eb="2">
      <t>ブンルイ</t>
    </rPh>
    <rPh sb="2" eb="4">
      <t>ゴウケイ</t>
    </rPh>
    <phoneticPr fontId="1"/>
  </si>
  <si>
    <t>発注</t>
    <rPh sb="0" eb="2">
      <t>ハッチュウ</t>
    </rPh>
    <phoneticPr fontId="1"/>
  </si>
  <si>
    <t>入荷予定日</t>
    <rPh sb="0" eb="2">
      <t>ニュウカ</t>
    </rPh>
    <rPh sb="2" eb="4">
      <t>ヨテイ</t>
    </rPh>
    <rPh sb="4" eb="5">
      <t>ヒ</t>
    </rPh>
    <phoneticPr fontId="1"/>
  </si>
  <si>
    <t>入荷日</t>
    <rPh sb="0" eb="2">
      <t>ニュウカ</t>
    </rPh>
    <rPh sb="2" eb="3">
      <t>ビ</t>
    </rPh>
    <phoneticPr fontId="1"/>
  </si>
  <si>
    <t>マルニックス</t>
    <phoneticPr fontId="1"/>
  </si>
  <si>
    <t>山澤</t>
    <rPh sb="0" eb="2">
      <t>ヤマサワ</t>
    </rPh>
    <phoneticPr fontId="1"/>
  </si>
  <si>
    <t>Panasonic</t>
    <phoneticPr fontId="1"/>
  </si>
  <si>
    <t>ANPVC2260</t>
    <phoneticPr fontId="1"/>
  </si>
  <si>
    <t>2Mｶﾒﾗ</t>
    <phoneticPr fontId="1"/>
  </si>
  <si>
    <t>ANPV0202ADP</t>
    <phoneticPr fontId="1"/>
  </si>
  <si>
    <t>ｲﾒｰｼﾞﾁｪｯｶ PV200</t>
    <phoneticPr fontId="1"/>
  </si>
  <si>
    <t>ANPVC8105R</t>
    <phoneticPr fontId="1"/>
  </si>
  <si>
    <t>ｶﾒﾗｹｰﾌﾞﾙ</t>
    <phoneticPr fontId="1"/>
  </si>
  <si>
    <t>ANPVP03</t>
    <phoneticPr fontId="1"/>
  </si>
  <si>
    <t>ｷｰﾊﾟｯﾄ</t>
    <phoneticPr fontId="1"/>
  </si>
  <si>
    <t>JANOME</t>
    <phoneticPr fontId="1"/>
  </si>
  <si>
    <t>JR3303</t>
    <phoneticPr fontId="1"/>
  </si>
  <si>
    <t>JR3-TB2　 在庫</t>
    <rPh sb="9" eb="11">
      <t>ザイコ</t>
    </rPh>
    <phoneticPr fontId="1"/>
  </si>
  <si>
    <t>CC-link増設</t>
    <rPh sb="7" eb="9">
      <t>ゾウセツ</t>
    </rPh>
    <phoneticPr fontId="1"/>
  </si>
  <si>
    <t>COM2増設</t>
    <rPh sb="4" eb="6">
      <t>ゾウセツ</t>
    </rPh>
    <phoneticPr fontId="1"/>
  </si>
  <si>
    <t>MISUMI</t>
    <phoneticPr fontId="1"/>
  </si>
  <si>
    <t>ライト</t>
  </si>
  <si>
    <t>荷造り運賃</t>
    <rPh sb="0" eb="2">
      <t>ニヅク</t>
    </rPh>
    <rPh sb="3" eb="5">
      <t>ウンチン</t>
    </rPh>
    <phoneticPr fontId="1"/>
  </si>
  <si>
    <t>Utechnology</t>
    <phoneticPr fontId="1"/>
  </si>
  <si>
    <t>UDR-16W48</t>
    <phoneticPr fontId="1"/>
  </si>
  <si>
    <t>LED照明</t>
    <rPh sb="3" eb="5">
      <t>ショウメイ</t>
    </rPh>
    <phoneticPr fontId="1"/>
  </si>
  <si>
    <t>UPD2410W-2</t>
    <phoneticPr fontId="1"/>
  </si>
  <si>
    <t>LEDｺﾝﾄﾛｰﾗｰ</t>
    <phoneticPr fontId="1"/>
  </si>
  <si>
    <t>UC-5M</t>
    <phoneticPr fontId="1"/>
  </si>
  <si>
    <t>ｹｰﾌﾞﾙｷｬﾘｱ (MHSCF)</t>
    <phoneticPr fontId="1"/>
  </si>
  <si>
    <t>VSO</t>
    <phoneticPr fontId="1"/>
  </si>
  <si>
    <t>VS-MC1-40</t>
    <phoneticPr fontId="1"/>
  </si>
  <si>
    <t>ﾚﾝｽﾞ</t>
    <phoneticPr fontId="1"/>
  </si>
  <si>
    <t>LCD-AD173SESB</t>
  </si>
  <si>
    <t>ｴｷｼｮｳﾃﾞｨｽﾌﾟﾚｲ</t>
  </si>
  <si>
    <t>Web発注済</t>
    <rPh sb="3" eb="5">
      <t>ハッチュウ</t>
    </rPh>
    <rPh sb="5" eb="6">
      <t>スミ</t>
    </rPh>
    <phoneticPr fontId="1"/>
  </si>
  <si>
    <t>C06-09F-09F-910</t>
  </si>
  <si>
    <t>9FF-232ｹｰﾌﾞﾙ C18</t>
  </si>
  <si>
    <t>MDM-PS-A-37-3</t>
  </si>
  <si>
    <t>DSUBﾊｰﾈｽ(ﾓｰﾙﾄﾞ)</t>
  </si>
  <si>
    <t>MWS-DS37A-HT37</t>
  </si>
  <si>
    <t>ﾈｼﾞﾍﾝｶﾝｼｷﾀﾝｼﾀﾞｲ</t>
  </si>
  <si>
    <t>DE-9PF-N</t>
  </si>
  <si>
    <t>ﾆﾎﾝｺｳｸｳﾃﾞﾝｼ EMID-SUBｺﾈｸﾀ</t>
  </si>
  <si>
    <t>DE-C8-J9-F21R</t>
  </si>
  <si>
    <t>DSUBﾌｰﾄﾞ､ｱｸｾｻﾘｰ</t>
    <phoneticPr fontId="1"/>
  </si>
  <si>
    <t>MPSCS2560-60-13-S</t>
  </si>
  <si>
    <t>ｹｰﾌﾞﾙｷｬﾘｱ (MHSCF)</t>
  </si>
  <si>
    <t>KC-VMH5</t>
  </si>
  <si>
    <t>ｺﾞｸﾎﾞｿﾃﾞｨｽﾌﾟﾚｲｹｰﾌﾞﾙ</t>
  </si>
  <si>
    <t>MVBLK-AMW-2JK-DLSX4</t>
  </si>
  <si>
    <t>50_TU0214-02-050A_スペーサ</t>
  </si>
  <si>
    <t>MVSHM-3N02050018019-2JK-5SAP6</t>
  </si>
  <si>
    <t>51_TU0214-02-051A_ｷｬﾘｱBKT（ﾚｰｻﾞｰ1)</t>
  </si>
  <si>
    <t>MVSHM-3N02050013052-2JK-E1CL2</t>
  </si>
  <si>
    <t>52_TU0214-02-052A_ｷｬﾘｱBKT（ﾚｰｻﾞｰ2)</t>
    <phoneticPr fontId="1"/>
  </si>
  <si>
    <t>MVBLK-AMW-2JK-U1B94</t>
  </si>
  <si>
    <t>■SETA0028-02-A（ﾂｰﾙﾌﾟﾚｰﾄ）</t>
  </si>
  <si>
    <t>MVBLK-AMW-2JK-C3K5J</t>
  </si>
  <si>
    <t>■SETA0028-02-B（CCDﾌﾟﾚｰﾄ）</t>
  </si>
  <si>
    <t>MVSHM-3N01550003006-2JK-TLMWB</t>
  </si>
  <si>
    <t>■SETA0028-02-C（LEDﾌﾟﾚｰﾄ）</t>
  </si>
  <si>
    <t>MVBLK-AMW-2JK-9UUGZ</t>
  </si>
  <si>
    <t>■SETA0028-02-D（ﾍﾟﾙﾁｪﾌﾟﾚｰﾄ）</t>
  </si>
  <si>
    <t>SLSBWRK7-50</t>
  </si>
  <si>
    <t>ﾛｯｶｸｼﾁｭｳ SLSBWRK</t>
  </si>
  <si>
    <t>SLSBWRK7-20</t>
  </si>
  <si>
    <t>2/24 ﾀｲｼｮ-着</t>
    <rPh sb="10" eb="11">
      <t>チャク</t>
    </rPh>
    <phoneticPr fontId="1"/>
  </si>
  <si>
    <t>　　　　　 ﾀｲｼｮ-着</t>
    <rPh sb="11" eb="12">
      <t>チャク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</si>
</sst>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  <numFmt numFmtId="180" formatCode="0_ ;[Red]\-0\ "/>
  </numFmts>
  <fonts count="28" x14ac:knownFonts="1"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1"/>
      <color theme="0"/>
      <name val="ＭＳ Ｐゴシック"/>
      <family val="3"/>
      <charset val="128"/>
      <scheme val="minor"/>
    </font>
    <font>
      <b/>
      <sz val="18"/>
      <color theme="3"/>
      <name val="ＭＳ Ｐゴシック"/>
      <family val="3"/>
      <charset val="128"/>
      <scheme val="major"/>
    </font>
    <font>
      <b/>
      <sz val="11"/>
      <color theme="0"/>
      <name val="ＭＳ Ｐゴシック"/>
      <family val="3"/>
      <charset val="128"/>
      <scheme val="minor"/>
    </font>
    <font>
      <sz val="11"/>
      <color rgb="FF9C6500"/>
      <name val="ＭＳ Ｐゴシック"/>
      <family val="3"/>
      <charset val="128"/>
      <scheme val="minor"/>
    </font>
    <font>
      <sz val="11"/>
      <color rgb="FFFA7D00"/>
      <name val="ＭＳ Ｐゴシック"/>
      <family val="3"/>
      <charset val="128"/>
      <scheme val="minor"/>
    </font>
    <font>
      <sz val="11"/>
      <color rgb="FF9C0006"/>
      <name val="ＭＳ Ｐゴシック"/>
      <family val="3"/>
      <charset val="128"/>
      <scheme val="minor"/>
    </font>
    <font>
      <b/>
      <sz val="11"/>
      <color rgb="FFFA7D00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b/>
      <sz val="15"/>
      <color theme="3"/>
      <name val="ＭＳ Ｐゴシック"/>
      <family val="3"/>
      <charset val="128"/>
      <scheme val="minor"/>
    </font>
    <font>
      <b/>
      <sz val="13"/>
      <color theme="3"/>
      <name val="ＭＳ Ｐゴシック"/>
      <family val="3"/>
      <charset val="128"/>
      <scheme val="minor"/>
    </font>
    <font>
      <b/>
      <sz val="11"/>
      <color theme="3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1"/>
      <color rgb="FF3F3F3F"/>
      <name val="ＭＳ Ｐゴシック"/>
      <family val="3"/>
      <charset val="128"/>
      <scheme val="minor"/>
    </font>
    <font>
      <i/>
      <sz val="11"/>
      <color rgb="FF7F7F7F"/>
      <name val="ＭＳ Ｐゴシック"/>
      <family val="3"/>
      <charset val="128"/>
      <scheme val="minor"/>
    </font>
    <font>
      <sz val="11"/>
      <color rgb="FF3F3F76"/>
      <name val="ＭＳ Ｐゴシック"/>
      <family val="3"/>
      <charset val="128"/>
      <scheme val="minor"/>
    </font>
    <font>
      <sz val="11"/>
      <color rgb="FF006100"/>
      <name val="ＭＳ Ｐゴシック"/>
      <family val="3"/>
      <charset val="128"/>
      <scheme val="minor"/>
    </font>
    <font>
      <sz val="12"/>
      <color theme="1"/>
      <name val="ＭＳ Ｐゴシック"/>
      <family val="3"/>
      <charset val="128"/>
      <scheme val="major"/>
    </font>
    <font>
      <sz val="12"/>
      <name val="ＭＳ Ｐゴシック"/>
      <family val="3"/>
      <charset val="128"/>
      <scheme val="major"/>
    </font>
    <font>
      <sz val="12"/>
      <color theme="1"/>
      <name val="ＭＳ Ｐゴシック"/>
      <family val="3"/>
      <charset val="128"/>
      <scheme val="minor"/>
    </font>
    <font>
      <b/>
      <sz val="12"/>
      <color rgb="FFFF0000"/>
      <name val="ＭＳ Ｐゴシック"/>
      <family val="3"/>
      <charset val="128"/>
      <scheme val="minor"/>
    </font>
    <font>
      <sz val="12"/>
      <color rgb="FFFF0000"/>
      <name val="ＭＳ Ｐゴシック"/>
      <family val="3"/>
      <charset val="128"/>
      <scheme val="minor"/>
    </font>
    <font>
      <sz val="12"/>
      <color theme="1"/>
      <name val="ＭＳ Ｐゴシック"/>
      <family val="3"/>
      <charset val="128"/>
    </font>
  </fonts>
  <fills count="3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165">
    <xf numFmtId="0" fontId="0" fillId="0" borderId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27" borderId="6" applyNumberFormat="0" applyAlignment="0" applyProtection="0">
      <alignment vertical="center"/>
    </xf>
    <xf numFmtId="0" fontId="8" fillId="27" borderId="6" applyNumberFormat="0" applyAlignment="0" applyProtection="0">
      <alignment vertical="center"/>
    </xf>
    <xf numFmtId="0" fontId="8" fillId="27" borderId="6" applyNumberFormat="0" applyAlignment="0" applyProtection="0">
      <alignment vertical="center"/>
    </xf>
    <xf numFmtId="0" fontId="8" fillId="27" borderId="6" applyNumberFormat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5" fillId="29" borderId="7" applyNumberFormat="0" applyFont="0" applyAlignment="0" applyProtection="0">
      <alignment vertical="center"/>
    </xf>
    <xf numFmtId="0" fontId="5" fillId="29" borderId="7" applyNumberFormat="0" applyFont="0" applyAlignment="0" applyProtection="0">
      <alignment vertical="center"/>
    </xf>
    <xf numFmtId="0" fontId="5" fillId="29" borderId="7" applyNumberFormat="0" applyFont="0" applyAlignment="0" applyProtection="0">
      <alignment vertical="center"/>
    </xf>
    <xf numFmtId="0" fontId="5" fillId="29" borderId="7" applyNumberFormat="0" applyFont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2" fillId="31" borderId="9" applyNumberFormat="0" applyAlignment="0" applyProtection="0">
      <alignment vertical="center"/>
    </xf>
    <xf numFmtId="0" fontId="12" fillId="31" borderId="9" applyNumberFormat="0" applyAlignment="0" applyProtection="0">
      <alignment vertical="center"/>
    </xf>
    <xf numFmtId="0" fontId="12" fillId="31" borderId="9" applyNumberFormat="0" applyAlignment="0" applyProtection="0">
      <alignment vertical="center"/>
    </xf>
    <xf numFmtId="0" fontId="12" fillId="31" borderId="9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31" borderId="14" applyNumberFormat="0" applyAlignment="0" applyProtection="0">
      <alignment vertical="center"/>
    </xf>
    <xf numFmtId="0" fontId="18" fillId="31" borderId="14" applyNumberFormat="0" applyAlignment="0" applyProtection="0">
      <alignment vertical="center"/>
    </xf>
    <xf numFmtId="0" fontId="18" fillId="31" borderId="14" applyNumberFormat="0" applyAlignment="0" applyProtection="0">
      <alignment vertical="center"/>
    </xf>
    <xf numFmtId="0" fontId="18" fillId="31" borderId="14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32" borderId="9" applyNumberFormat="0" applyAlignment="0" applyProtection="0">
      <alignment vertical="center"/>
    </xf>
    <xf numFmtId="0" fontId="20" fillId="32" borderId="9" applyNumberFormat="0" applyAlignment="0" applyProtection="0">
      <alignment vertical="center"/>
    </xf>
    <xf numFmtId="0" fontId="20" fillId="32" borderId="9" applyNumberFormat="0" applyAlignment="0" applyProtection="0">
      <alignment vertical="center"/>
    </xf>
    <xf numFmtId="0" fontId="20" fillId="32" borderId="9" applyNumberFormat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65">
    <xf numFmtId="0" fontId="0" fillId="0" borderId="0" xfId="0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3" fontId="0" fillId="0" borderId="1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>
      <alignment vertical="center"/>
    </xf>
    <xf numFmtId="0" fontId="0" fillId="0" borderId="0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7" fontId="4" fillId="0" borderId="1" xfId="0" applyNumberFormat="1" applyFont="1" applyBorder="1" applyAlignment="1">
      <alignment horizontal="center" vertical="center"/>
    </xf>
    <xf numFmtId="176" fontId="3" fillId="0" borderId="1" xfId="0" applyNumberFormat="1" applyFont="1" applyBorder="1">
      <alignment vertical="center"/>
    </xf>
    <xf numFmtId="0" fontId="0" fillId="0" borderId="0" xfId="0" applyAlignment="1">
      <alignment horizontal="right" vertical="center"/>
    </xf>
    <xf numFmtId="0" fontId="4" fillId="0" borderId="1" xfId="0" applyFont="1" applyBorder="1" applyAlignment="1">
      <alignment horizontal="center" vertical="center" shrinkToFit="1"/>
    </xf>
    <xf numFmtId="179" fontId="0" fillId="0" borderId="0" xfId="0" applyNumberFormat="1" applyAlignment="1">
      <alignment horizontal="center" vertical="center"/>
    </xf>
    <xf numFmtId="179" fontId="0" fillId="0" borderId="1" xfId="0" applyNumberFormat="1" applyFill="1" applyBorder="1" applyAlignment="1">
      <alignment horizontal="center" vertical="center"/>
    </xf>
    <xf numFmtId="179" fontId="0" fillId="0" borderId="0" xfId="0" applyNumberFormat="1">
      <alignment vertical="center"/>
    </xf>
    <xf numFmtId="178" fontId="0" fillId="0" borderId="1" xfId="0" applyNumberFormat="1" applyFill="1" applyBorder="1" applyAlignment="1">
      <alignment horizontal="center" vertical="center"/>
    </xf>
    <xf numFmtId="38" fontId="0" fillId="0" borderId="0" xfId="0" applyNumberFormat="1">
      <alignment vertical="center"/>
    </xf>
    <xf numFmtId="177" fontId="4" fillId="0" borderId="0" xfId="0" applyNumberFormat="1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3" fontId="0" fillId="0" borderId="0" xfId="0" applyNumberFormat="1">
      <alignment vertical="center"/>
    </xf>
    <xf numFmtId="0" fontId="0" fillId="0" borderId="1" xfId="0" applyBorder="1">
      <alignment vertical="center"/>
    </xf>
    <xf numFmtId="178" fontId="0" fillId="0" borderId="0" xfId="0" applyNumberFormat="1" applyAlignment="1">
      <alignment horizontal="center" vertical="center"/>
    </xf>
    <xf numFmtId="0" fontId="22" fillId="34" borderId="0" xfId="0" applyFont="1" applyFill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179" fontId="22" fillId="34" borderId="1" xfId="0" applyNumberFormat="1" applyFont="1" applyFill="1" applyBorder="1" applyAlignment="1">
      <alignment horizontal="center" vertical="center"/>
    </xf>
    <xf numFmtId="178" fontId="22" fillId="34" borderId="1" xfId="0" applyNumberFormat="1" applyFont="1" applyFill="1" applyBorder="1" applyAlignment="1">
      <alignment horizontal="center" vertical="center"/>
    </xf>
    <xf numFmtId="0" fontId="22" fillId="0" borderId="1" xfId="0" applyFont="1" applyBorder="1">
      <alignment vertical="center"/>
    </xf>
    <xf numFmtId="0" fontId="22" fillId="0" borderId="1" xfId="0" applyFont="1" applyBorder="1" applyAlignment="1">
      <alignment horizontal="right" vertical="center"/>
    </xf>
    <xf numFmtId="0" fontId="22" fillId="0" borderId="0" xfId="0" applyFont="1">
      <alignment vertical="center"/>
    </xf>
    <xf numFmtId="178" fontId="22" fillId="0" borderId="1" xfId="0" applyNumberFormat="1" applyFont="1" applyBorder="1" applyAlignment="1">
      <alignment horizontal="center" vertical="center"/>
    </xf>
    <xf numFmtId="3" fontId="24" fillId="34" borderId="1" xfId="0" applyNumberFormat="1" applyFont="1" applyFill="1" applyBorder="1" applyAlignment="1">
      <alignment horizontal="center" vertical="center"/>
    </xf>
    <xf numFmtId="0" fontId="24" fillId="34" borderId="1" xfId="0" applyFont="1" applyFill="1" applyBorder="1" applyAlignment="1">
      <alignment horizontal="center" vertical="center"/>
    </xf>
    <xf numFmtId="0" fontId="24" fillId="34" borderId="1" xfId="0" applyFont="1" applyFill="1" applyBorder="1" applyAlignment="1">
      <alignment horizontal="right" vertical="center"/>
    </xf>
    <xf numFmtId="38" fontId="24" fillId="34" borderId="1" xfId="0" applyNumberFormat="1" applyFont="1" applyFill="1" applyBorder="1" applyAlignment="1">
      <alignment vertical="center"/>
    </xf>
    <xf numFmtId="0" fontId="24" fillId="34" borderId="2" xfId="0" applyFont="1" applyFill="1" applyBorder="1" applyAlignment="1">
      <alignment horizontal="center" vertical="center"/>
    </xf>
    <xf numFmtId="0" fontId="25" fillId="34" borderId="1" xfId="0" applyFont="1" applyFill="1" applyBorder="1" applyAlignment="1">
      <alignment vertical="center" wrapText="1"/>
    </xf>
    <xf numFmtId="179" fontId="24" fillId="34" borderId="1" xfId="0" applyNumberFormat="1" applyFont="1" applyFill="1" applyBorder="1" applyAlignment="1">
      <alignment horizontal="center" vertical="center"/>
    </xf>
    <xf numFmtId="178" fontId="24" fillId="34" borderId="1" xfId="0" applyNumberFormat="1" applyFont="1" applyFill="1" applyBorder="1" applyAlignment="1">
      <alignment horizontal="center" vertical="center"/>
    </xf>
    <xf numFmtId="0" fontId="24" fillId="34" borderId="1" xfId="0" applyFont="1" applyFill="1" applyBorder="1" applyAlignment="1">
      <alignment vertical="center"/>
    </xf>
    <xf numFmtId="0" fontId="24" fillId="34" borderId="1" xfId="0" applyFont="1" applyFill="1" applyBorder="1" applyAlignment="1">
      <alignment horizontal="left" vertical="center"/>
    </xf>
    <xf numFmtId="0" fontId="26" fillId="34" borderId="3" xfId="0" applyFont="1" applyFill="1" applyBorder="1" applyAlignment="1">
      <alignment horizontal="center" vertical="center"/>
    </xf>
    <xf numFmtId="3" fontId="26" fillId="34" borderId="1" xfId="0" applyNumberFormat="1" applyFont="1" applyFill="1" applyBorder="1" applyAlignment="1">
      <alignment horizontal="center" vertical="center"/>
    </xf>
    <xf numFmtId="176" fontId="24" fillId="34" borderId="1" xfId="0" applyNumberFormat="1" applyFont="1" applyFill="1" applyBorder="1">
      <alignment vertical="center"/>
    </xf>
    <xf numFmtId="0" fontId="24" fillId="34" borderId="1" xfId="0" applyFont="1" applyFill="1" applyBorder="1">
      <alignment vertical="center"/>
    </xf>
    <xf numFmtId="176" fontId="24" fillId="34" borderId="2" xfId="0" applyNumberFormat="1" applyFont="1" applyFill="1" applyBorder="1">
      <alignment vertical="center"/>
    </xf>
    <xf numFmtId="0" fontId="27" fillId="34" borderId="1" xfId="0" applyFont="1" applyFill="1" applyBorder="1">
      <alignment vertical="center"/>
    </xf>
    <xf numFmtId="38" fontId="24" fillId="34" borderId="1" xfId="0" applyNumberFormat="1" applyFont="1" applyFill="1" applyBorder="1">
      <alignment vertical="center"/>
    </xf>
    <xf numFmtId="0" fontId="24" fillId="34" borderId="1" xfId="0" applyFont="1" applyFill="1" applyBorder="1" applyAlignment="1">
      <alignment horizontal="right"/>
    </xf>
    <xf numFmtId="56" fontId="24" fillId="34" borderId="1" xfId="0" applyNumberFormat="1" applyFont="1" applyFill="1" applyBorder="1" applyAlignment="1">
      <alignment horizontal="center" vertical="center"/>
    </xf>
    <xf numFmtId="3" fontId="22" fillId="0" borderId="1" xfId="0" applyNumberFormat="1" applyFont="1" applyBorder="1" applyAlignment="1">
      <alignment horizontal="center" vertical="center"/>
    </xf>
    <xf numFmtId="49" fontId="22" fillId="0" borderId="1" xfId="0" applyNumberFormat="1" applyFont="1" applyBorder="1" applyAlignment="1">
      <alignment horizontal="left" vertical="center"/>
    </xf>
    <xf numFmtId="0" fontId="23" fillId="0" borderId="1" xfId="0" applyFont="1" applyBorder="1">
      <alignment vertical="center"/>
    </xf>
    <xf numFmtId="0" fontId="26" fillId="3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179" fontId="0" fillId="0" borderId="1" xfId="0" applyNumberFormat="1" applyBorder="1">
      <alignment vertical="center"/>
    </xf>
    <xf numFmtId="178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56" fontId="22" fillId="0" borderId="1" xfId="0" applyNumberFormat="1" applyFont="1" applyBorder="1" applyAlignment="1">
      <alignment horizontal="right" vertical="center"/>
    </xf>
    <xf numFmtId="0" fontId="4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38" fontId="0" fillId="34" borderId="1" xfId="0" applyNumberFormat="1" applyFill="1" applyBorder="1">
      <alignment vertical="center"/>
    </xf>
  </cellXfs>
  <cellStyles count="165">
    <cellStyle name="20% - アクセント 1 2" xfId="1" xr:uid="{00000000-0005-0000-0000-000000000000}"/>
    <cellStyle name="20% - アクセント 1 3" xfId="2" xr:uid="{00000000-0005-0000-0000-000001000000}"/>
    <cellStyle name="20% - アクセント 1 4" xfId="3" xr:uid="{00000000-0005-0000-0000-000002000000}"/>
    <cellStyle name="20% - アクセント 1 5" xfId="4" xr:uid="{00000000-0005-0000-0000-000003000000}"/>
    <cellStyle name="20% - アクセント 2 2" xfId="5" xr:uid="{00000000-0005-0000-0000-000004000000}"/>
    <cellStyle name="20% - アクセント 2 3" xfId="6" xr:uid="{00000000-0005-0000-0000-000005000000}"/>
    <cellStyle name="20% - アクセント 2 4" xfId="7" xr:uid="{00000000-0005-0000-0000-000006000000}"/>
    <cellStyle name="20% - アクセント 2 5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3 5" xfId="12" xr:uid="{00000000-0005-0000-0000-00000B000000}"/>
    <cellStyle name="20% - アクセント 4 2" xfId="13" xr:uid="{00000000-0005-0000-0000-00000C000000}"/>
    <cellStyle name="20% - アクセント 4 3" xfId="14" xr:uid="{00000000-0005-0000-0000-00000D000000}"/>
    <cellStyle name="20% - アクセント 4 4" xfId="15" xr:uid="{00000000-0005-0000-0000-00000E000000}"/>
    <cellStyle name="20% - アクセント 4 5" xfId="16" xr:uid="{00000000-0005-0000-0000-00000F000000}"/>
    <cellStyle name="20% - アクセント 5 2" xfId="17" xr:uid="{00000000-0005-0000-0000-000010000000}"/>
    <cellStyle name="20% - アクセント 5 3" xfId="18" xr:uid="{00000000-0005-0000-0000-000011000000}"/>
    <cellStyle name="20% - アクセント 5 4" xfId="19" xr:uid="{00000000-0005-0000-0000-000012000000}"/>
    <cellStyle name="20% - アクセント 5 5" xfId="20" xr:uid="{00000000-0005-0000-0000-000013000000}"/>
    <cellStyle name="20% - アクセント 6 2" xfId="21" xr:uid="{00000000-0005-0000-0000-000014000000}"/>
    <cellStyle name="20% - アクセント 6 3" xfId="22" xr:uid="{00000000-0005-0000-0000-000015000000}"/>
    <cellStyle name="20% - アクセント 6 4" xfId="23" xr:uid="{00000000-0005-0000-0000-000016000000}"/>
    <cellStyle name="20% - アクセント 6 5" xfId="24" xr:uid="{00000000-0005-0000-0000-000017000000}"/>
    <cellStyle name="40% - アクセント 1 2" xfId="25" xr:uid="{00000000-0005-0000-0000-000018000000}"/>
    <cellStyle name="40% - アクセント 1 3" xfId="26" xr:uid="{00000000-0005-0000-0000-000019000000}"/>
    <cellStyle name="40% - アクセント 1 4" xfId="27" xr:uid="{00000000-0005-0000-0000-00001A000000}"/>
    <cellStyle name="40% - アクセント 1 5" xfId="28" xr:uid="{00000000-0005-0000-0000-00001B000000}"/>
    <cellStyle name="40% - アクセント 2 2" xfId="29" xr:uid="{00000000-0005-0000-0000-00001C000000}"/>
    <cellStyle name="40% - アクセント 2 3" xfId="30" xr:uid="{00000000-0005-0000-0000-00001D000000}"/>
    <cellStyle name="40% - アクセント 2 4" xfId="31" xr:uid="{00000000-0005-0000-0000-00001E000000}"/>
    <cellStyle name="40% - アクセント 2 5" xfId="32" xr:uid="{00000000-0005-0000-0000-00001F000000}"/>
    <cellStyle name="40% - アクセント 3 2" xfId="33" xr:uid="{00000000-0005-0000-0000-000020000000}"/>
    <cellStyle name="40% - アクセント 3 3" xfId="34" xr:uid="{00000000-0005-0000-0000-000021000000}"/>
    <cellStyle name="40% - アクセント 3 4" xfId="35" xr:uid="{00000000-0005-0000-0000-000022000000}"/>
    <cellStyle name="40% - アクセント 3 5" xfId="36" xr:uid="{00000000-0005-0000-0000-000023000000}"/>
    <cellStyle name="40% - アクセント 4 2" xfId="37" xr:uid="{00000000-0005-0000-0000-000024000000}"/>
    <cellStyle name="40% - アクセント 4 3" xfId="38" xr:uid="{00000000-0005-0000-0000-000025000000}"/>
    <cellStyle name="40% - アクセント 4 4" xfId="39" xr:uid="{00000000-0005-0000-0000-000026000000}"/>
    <cellStyle name="40% - アクセント 4 5" xfId="40" xr:uid="{00000000-0005-0000-0000-000027000000}"/>
    <cellStyle name="40% - アクセント 5 2" xfId="41" xr:uid="{00000000-0005-0000-0000-000028000000}"/>
    <cellStyle name="40% - アクセント 5 3" xfId="42" xr:uid="{00000000-0005-0000-0000-000029000000}"/>
    <cellStyle name="40% - アクセント 5 4" xfId="43" xr:uid="{00000000-0005-0000-0000-00002A000000}"/>
    <cellStyle name="40% - アクセント 5 5" xfId="44" xr:uid="{00000000-0005-0000-0000-00002B000000}"/>
    <cellStyle name="40% - アクセント 6 2" xfId="45" xr:uid="{00000000-0005-0000-0000-00002C000000}"/>
    <cellStyle name="40% - アクセント 6 3" xfId="46" xr:uid="{00000000-0005-0000-0000-00002D000000}"/>
    <cellStyle name="40% - アクセント 6 4" xfId="47" xr:uid="{00000000-0005-0000-0000-00002E000000}"/>
    <cellStyle name="40% - アクセント 6 5" xfId="48" xr:uid="{00000000-0005-0000-0000-00002F000000}"/>
    <cellStyle name="60% - アクセント 1 2" xfId="49" xr:uid="{00000000-0005-0000-0000-000030000000}"/>
    <cellStyle name="60% - アクセント 1 3" xfId="50" xr:uid="{00000000-0005-0000-0000-000031000000}"/>
    <cellStyle name="60% - アクセント 1 4" xfId="51" xr:uid="{00000000-0005-0000-0000-000032000000}"/>
    <cellStyle name="60% - アクセント 1 5" xfId="52" xr:uid="{00000000-0005-0000-0000-000033000000}"/>
    <cellStyle name="60% - アクセント 2 2" xfId="53" xr:uid="{00000000-0005-0000-0000-000034000000}"/>
    <cellStyle name="60% - アクセント 2 3" xfId="54" xr:uid="{00000000-0005-0000-0000-000035000000}"/>
    <cellStyle name="60% - アクセント 2 4" xfId="55" xr:uid="{00000000-0005-0000-0000-000036000000}"/>
    <cellStyle name="60% - アクセント 2 5" xfId="56" xr:uid="{00000000-0005-0000-0000-000037000000}"/>
    <cellStyle name="60% - アクセント 3 2" xfId="57" xr:uid="{00000000-0005-0000-0000-000038000000}"/>
    <cellStyle name="60% - アクセント 3 3" xfId="58" xr:uid="{00000000-0005-0000-0000-000039000000}"/>
    <cellStyle name="60% - アクセント 3 4" xfId="59" xr:uid="{00000000-0005-0000-0000-00003A000000}"/>
    <cellStyle name="60% - アクセント 3 5" xfId="60" xr:uid="{00000000-0005-0000-0000-00003B000000}"/>
    <cellStyle name="60% - アクセント 4 2" xfId="61" xr:uid="{00000000-0005-0000-0000-00003C000000}"/>
    <cellStyle name="60% - アクセント 4 3" xfId="62" xr:uid="{00000000-0005-0000-0000-00003D000000}"/>
    <cellStyle name="60% - アクセント 4 4" xfId="63" xr:uid="{00000000-0005-0000-0000-00003E000000}"/>
    <cellStyle name="60% - アクセント 4 5" xfId="64" xr:uid="{00000000-0005-0000-0000-00003F000000}"/>
    <cellStyle name="60% - アクセント 5 2" xfId="65" xr:uid="{00000000-0005-0000-0000-000040000000}"/>
    <cellStyle name="60% - アクセント 5 3" xfId="66" xr:uid="{00000000-0005-0000-0000-000041000000}"/>
    <cellStyle name="60% - アクセント 5 4" xfId="67" xr:uid="{00000000-0005-0000-0000-000042000000}"/>
    <cellStyle name="60% - アクセント 5 5" xfId="68" xr:uid="{00000000-0005-0000-0000-000043000000}"/>
    <cellStyle name="60% - アクセント 6 2" xfId="69" xr:uid="{00000000-0005-0000-0000-000044000000}"/>
    <cellStyle name="60% - アクセント 6 3" xfId="70" xr:uid="{00000000-0005-0000-0000-000045000000}"/>
    <cellStyle name="60% - アクセント 6 4" xfId="71" xr:uid="{00000000-0005-0000-0000-000046000000}"/>
    <cellStyle name="60% - アクセント 6 5" xfId="72" xr:uid="{00000000-0005-0000-0000-000047000000}"/>
    <cellStyle name="アクセント 1 2" xfId="73" xr:uid="{00000000-0005-0000-0000-000048000000}"/>
    <cellStyle name="アクセント 1 3" xfId="74" xr:uid="{00000000-0005-0000-0000-000049000000}"/>
    <cellStyle name="アクセント 1 4" xfId="75" xr:uid="{00000000-0005-0000-0000-00004A000000}"/>
    <cellStyle name="アクセント 1 5" xfId="76" xr:uid="{00000000-0005-0000-0000-00004B000000}"/>
    <cellStyle name="アクセント 2 2" xfId="77" xr:uid="{00000000-0005-0000-0000-00004C000000}"/>
    <cellStyle name="アクセント 2 3" xfId="78" xr:uid="{00000000-0005-0000-0000-00004D000000}"/>
    <cellStyle name="アクセント 2 4" xfId="79" xr:uid="{00000000-0005-0000-0000-00004E000000}"/>
    <cellStyle name="アクセント 2 5" xfId="80" xr:uid="{00000000-0005-0000-0000-00004F000000}"/>
    <cellStyle name="アクセント 3 2" xfId="81" xr:uid="{00000000-0005-0000-0000-000050000000}"/>
    <cellStyle name="アクセント 3 3" xfId="82" xr:uid="{00000000-0005-0000-0000-000051000000}"/>
    <cellStyle name="アクセント 3 4" xfId="83" xr:uid="{00000000-0005-0000-0000-000052000000}"/>
    <cellStyle name="アクセント 3 5" xfId="84" xr:uid="{00000000-0005-0000-0000-000053000000}"/>
    <cellStyle name="アクセント 4 2" xfId="85" xr:uid="{00000000-0005-0000-0000-000054000000}"/>
    <cellStyle name="アクセント 4 3" xfId="86" xr:uid="{00000000-0005-0000-0000-000055000000}"/>
    <cellStyle name="アクセント 4 4" xfId="87" xr:uid="{00000000-0005-0000-0000-000056000000}"/>
    <cellStyle name="アクセント 4 5" xfId="88" xr:uid="{00000000-0005-0000-0000-000057000000}"/>
    <cellStyle name="アクセント 5 2" xfId="89" xr:uid="{00000000-0005-0000-0000-000058000000}"/>
    <cellStyle name="アクセント 5 3" xfId="90" xr:uid="{00000000-0005-0000-0000-000059000000}"/>
    <cellStyle name="アクセント 5 4" xfId="91" xr:uid="{00000000-0005-0000-0000-00005A000000}"/>
    <cellStyle name="アクセント 5 5" xfId="92" xr:uid="{00000000-0005-0000-0000-00005B000000}"/>
    <cellStyle name="アクセント 6 2" xfId="93" xr:uid="{00000000-0005-0000-0000-00005C000000}"/>
    <cellStyle name="アクセント 6 3" xfId="94" xr:uid="{00000000-0005-0000-0000-00005D000000}"/>
    <cellStyle name="アクセント 6 4" xfId="95" xr:uid="{00000000-0005-0000-0000-00005E000000}"/>
    <cellStyle name="アクセント 6 5" xfId="96" xr:uid="{00000000-0005-0000-0000-00005F000000}"/>
    <cellStyle name="タイトル 2" xfId="97" xr:uid="{00000000-0005-0000-0000-000060000000}"/>
    <cellStyle name="タイトル 3" xfId="98" xr:uid="{00000000-0005-0000-0000-000061000000}"/>
    <cellStyle name="タイトル 4" xfId="99" xr:uid="{00000000-0005-0000-0000-000062000000}"/>
    <cellStyle name="タイトル 5" xfId="100" xr:uid="{00000000-0005-0000-0000-000063000000}"/>
    <cellStyle name="チェック セル 2" xfId="101" xr:uid="{00000000-0005-0000-0000-000064000000}"/>
    <cellStyle name="チェック セル 3" xfId="102" xr:uid="{00000000-0005-0000-0000-000065000000}"/>
    <cellStyle name="チェック セル 4" xfId="103" xr:uid="{00000000-0005-0000-0000-000066000000}"/>
    <cellStyle name="チェック セル 5" xfId="104" xr:uid="{00000000-0005-0000-0000-000067000000}"/>
    <cellStyle name="どちらでもない 2" xfId="105" xr:uid="{00000000-0005-0000-0000-000068000000}"/>
    <cellStyle name="どちらでもない 3" xfId="106" xr:uid="{00000000-0005-0000-0000-000069000000}"/>
    <cellStyle name="どちらでもない 4" xfId="107" xr:uid="{00000000-0005-0000-0000-00006A000000}"/>
    <cellStyle name="どちらでもない 5" xfId="108" xr:uid="{00000000-0005-0000-0000-00006B000000}"/>
    <cellStyle name="メモ 2" xfId="109" xr:uid="{00000000-0005-0000-0000-00006C000000}"/>
    <cellStyle name="メモ 3" xfId="110" xr:uid="{00000000-0005-0000-0000-00006D000000}"/>
    <cellStyle name="メモ 4" xfId="111" xr:uid="{00000000-0005-0000-0000-00006E000000}"/>
    <cellStyle name="メモ 5" xfId="112" xr:uid="{00000000-0005-0000-0000-00006F000000}"/>
    <cellStyle name="リンク セル 2" xfId="113" xr:uid="{00000000-0005-0000-0000-000070000000}"/>
    <cellStyle name="リンク セル 3" xfId="114" xr:uid="{00000000-0005-0000-0000-000071000000}"/>
    <cellStyle name="リンク セル 4" xfId="115" xr:uid="{00000000-0005-0000-0000-000072000000}"/>
    <cellStyle name="リンク セル 5" xfId="116" xr:uid="{00000000-0005-0000-0000-000073000000}"/>
    <cellStyle name="悪い 2" xfId="117" xr:uid="{00000000-0005-0000-0000-000074000000}"/>
    <cellStyle name="悪い 3" xfId="118" xr:uid="{00000000-0005-0000-0000-000075000000}"/>
    <cellStyle name="悪い 4" xfId="119" xr:uid="{00000000-0005-0000-0000-000076000000}"/>
    <cellStyle name="悪い 5" xfId="120" xr:uid="{00000000-0005-0000-0000-000077000000}"/>
    <cellStyle name="計算 2" xfId="121" xr:uid="{00000000-0005-0000-0000-000078000000}"/>
    <cellStyle name="計算 3" xfId="122" xr:uid="{00000000-0005-0000-0000-000079000000}"/>
    <cellStyle name="計算 4" xfId="123" xr:uid="{00000000-0005-0000-0000-00007A000000}"/>
    <cellStyle name="計算 5" xfId="124" xr:uid="{00000000-0005-0000-0000-00007B000000}"/>
    <cellStyle name="警告文 2" xfId="125" xr:uid="{00000000-0005-0000-0000-00007C000000}"/>
    <cellStyle name="警告文 3" xfId="126" xr:uid="{00000000-0005-0000-0000-00007D000000}"/>
    <cellStyle name="警告文 4" xfId="127" xr:uid="{00000000-0005-0000-0000-00007E000000}"/>
    <cellStyle name="警告文 5" xfId="128" xr:uid="{00000000-0005-0000-0000-00007F000000}"/>
    <cellStyle name="見出し 1 2" xfId="129" xr:uid="{00000000-0005-0000-0000-000080000000}"/>
    <cellStyle name="見出し 1 3" xfId="130" xr:uid="{00000000-0005-0000-0000-000081000000}"/>
    <cellStyle name="見出し 1 4" xfId="131" xr:uid="{00000000-0005-0000-0000-000082000000}"/>
    <cellStyle name="見出し 1 5" xfId="132" xr:uid="{00000000-0005-0000-0000-000083000000}"/>
    <cellStyle name="見出し 2 2" xfId="133" xr:uid="{00000000-0005-0000-0000-000084000000}"/>
    <cellStyle name="見出し 2 3" xfId="134" xr:uid="{00000000-0005-0000-0000-000085000000}"/>
    <cellStyle name="見出し 2 4" xfId="135" xr:uid="{00000000-0005-0000-0000-000086000000}"/>
    <cellStyle name="見出し 2 5" xfId="136" xr:uid="{00000000-0005-0000-0000-000087000000}"/>
    <cellStyle name="見出し 3 2" xfId="137" xr:uid="{00000000-0005-0000-0000-000088000000}"/>
    <cellStyle name="見出し 3 3" xfId="138" xr:uid="{00000000-0005-0000-0000-000089000000}"/>
    <cellStyle name="見出し 3 4" xfId="139" xr:uid="{00000000-0005-0000-0000-00008A000000}"/>
    <cellStyle name="見出し 3 5" xfId="140" xr:uid="{00000000-0005-0000-0000-00008B000000}"/>
    <cellStyle name="見出し 4 2" xfId="141" xr:uid="{00000000-0005-0000-0000-00008C000000}"/>
    <cellStyle name="見出し 4 3" xfId="142" xr:uid="{00000000-0005-0000-0000-00008D000000}"/>
    <cellStyle name="見出し 4 4" xfId="143" xr:uid="{00000000-0005-0000-0000-00008E000000}"/>
    <cellStyle name="見出し 4 5" xfId="144" xr:uid="{00000000-0005-0000-0000-00008F000000}"/>
    <cellStyle name="集計 2" xfId="145" xr:uid="{00000000-0005-0000-0000-000090000000}"/>
    <cellStyle name="集計 3" xfId="146" xr:uid="{00000000-0005-0000-0000-000091000000}"/>
    <cellStyle name="集計 4" xfId="147" xr:uid="{00000000-0005-0000-0000-000092000000}"/>
    <cellStyle name="集計 5" xfId="148" xr:uid="{00000000-0005-0000-0000-000093000000}"/>
    <cellStyle name="出力 2" xfId="149" xr:uid="{00000000-0005-0000-0000-000094000000}"/>
    <cellStyle name="出力 3" xfId="150" xr:uid="{00000000-0005-0000-0000-000095000000}"/>
    <cellStyle name="出力 4" xfId="151" xr:uid="{00000000-0005-0000-0000-000096000000}"/>
    <cellStyle name="出力 5" xfId="152" xr:uid="{00000000-0005-0000-0000-000097000000}"/>
    <cellStyle name="説明文 2" xfId="153" xr:uid="{00000000-0005-0000-0000-000098000000}"/>
    <cellStyle name="説明文 3" xfId="154" xr:uid="{00000000-0005-0000-0000-000099000000}"/>
    <cellStyle name="説明文 4" xfId="155" xr:uid="{00000000-0005-0000-0000-00009A000000}"/>
    <cellStyle name="説明文 5" xfId="156" xr:uid="{00000000-0005-0000-0000-00009B000000}"/>
    <cellStyle name="入力 2" xfId="157" xr:uid="{00000000-0005-0000-0000-00009C000000}"/>
    <cellStyle name="入力 3" xfId="158" xr:uid="{00000000-0005-0000-0000-00009D000000}"/>
    <cellStyle name="入力 4" xfId="159" xr:uid="{00000000-0005-0000-0000-00009E000000}"/>
    <cellStyle name="入力 5" xfId="160" xr:uid="{00000000-0005-0000-0000-00009F000000}"/>
    <cellStyle name="標準" xfId="0" builtinId="0"/>
    <cellStyle name="良い 2" xfId="161" xr:uid="{00000000-0005-0000-0000-0000A1000000}"/>
    <cellStyle name="良い 3" xfId="162" xr:uid="{00000000-0005-0000-0000-0000A2000000}"/>
    <cellStyle name="良い 4" xfId="163" xr:uid="{00000000-0005-0000-0000-0000A3000000}"/>
    <cellStyle name="良い 5" xfId="164" xr:uid="{00000000-0005-0000-0000-0000A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Q44"/>
  <sheetViews>
    <sheetView tabSelected="1" zoomScale="70" zoomScaleNormal="70" workbookViewId="0">
      <pane xSplit="10" ySplit="9" topLeftCell="K25" activePane="bottomRight" state="frozen"/>
      <selection pane="topRight" activeCell="K1" sqref="K1"/>
      <selection pane="bottomLeft" activeCell="A9" sqref="A9"/>
      <selection pane="bottomRight" activeCell="N47" sqref="N47"/>
    </sheetView>
  </sheetViews>
  <sheetFormatPr defaultRowHeight="13.5" x14ac:dyDescent="0.15"/>
  <cols>
    <col min="1" max="1" width="2.625" customWidth="1"/>
    <col min="2" max="2" width="15" style="4" bestFit="1" customWidth="1"/>
    <col min="3" max="3" width="14.375" bestFit="1" customWidth="1"/>
    <col min="4" max="4" width="13.125" bestFit="1" customWidth="1"/>
    <col min="5" max="5" width="64.875" bestFit="1" customWidth="1"/>
    <col min="6" max="6" width="6.25" style="4" customWidth="1"/>
    <col min="7" max="7" width="12.5" bestFit="1" customWidth="1"/>
    <col min="8" max="8" width="11.375" bestFit="1" customWidth="1"/>
    <col min="9" max="9" width="5.75" style="10" customWidth="1"/>
    <col min="10" max="10" width="54.25" bestFit="1" customWidth="1"/>
    <col min="11" max="11" width="37.25" bestFit="1" customWidth="1"/>
    <col min="12" max="12" width="11" style="4" customWidth="1"/>
    <col min="13" max="13" width="15.375" style="12" customWidth="1"/>
    <col min="14" max="14" width="6.375" customWidth="1"/>
    <col min="15" max="15" width="13.25" style="10" customWidth="1"/>
    <col min="16" max="16" width="19.375" style="14" customWidth="1"/>
    <col min="17" max="17" width="22" style="22" customWidth="1"/>
  </cols>
  <sheetData>
    <row r="2" spans="2:17" ht="20.100000000000001" customHeight="1" x14ac:dyDescent="0.15">
      <c r="B2" s="60" t="s">
        <v>11</v>
      </c>
      <c r="C2" s="60"/>
      <c r="D2" s="60"/>
      <c r="E2" s="11" t="s">
        <v>22</v>
      </c>
      <c r="G2" s="61" t="s">
        <v>15</v>
      </c>
      <c r="H2" s="62"/>
      <c r="I2" s="63"/>
      <c r="J2" s="9">
        <f>SUM(H:H)</f>
        <v>187261</v>
      </c>
      <c r="K2" s="5"/>
      <c r="L2" s="6"/>
    </row>
    <row r="3" spans="2:17" ht="20.100000000000001" customHeight="1" x14ac:dyDescent="0.15">
      <c r="B3" s="60" t="s">
        <v>10</v>
      </c>
      <c r="C3" s="60"/>
      <c r="D3" s="60"/>
      <c r="E3" s="7" t="s">
        <v>23</v>
      </c>
    </row>
    <row r="4" spans="2:17" ht="20.100000000000001" customHeight="1" x14ac:dyDescent="0.15">
      <c r="B4" s="60" t="s">
        <v>12</v>
      </c>
      <c r="C4" s="60"/>
      <c r="D4" s="60"/>
      <c r="E4" s="7">
        <v>183189</v>
      </c>
      <c r="J4" s="16"/>
      <c r="K4" s="20"/>
    </row>
    <row r="5" spans="2:17" ht="20.100000000000001" customHeight="1" x14ac:dyDescent="0.15">
      <c r="B5" s="60" t="s">
        <v>13</v>
      </c>
      <c r="C5" s="60"/>
      <c r="D5" s="60"/>
      <c r="E5" s="8"/>
      <c r="J5" s="16"/>
      <c r="K5" s="20"/>
    </row>
    <row r="6" spans="2:17" ht="20.100000000000001" customHeight="1" x14ac:dyDescent="0.15">
      <c r="B6" s="60" t="s">
        <v>14</v>
      </c>
      <c r="C6" s="60"/>
      <c r="D6" s="60"/>
      <c r="E6" s="8"/>
      <c r="J6" s="16"/>
      <c r="K6" s="20"/>
    </row>
    <row r="7" spans="2:17" ht="20.100000000000001" customHeight="1" x14ac:dyDescent="0.15">
      <c r="B7" s="18"/>
      <c r="C7" s="18"/>
      <c r="D7" s="18"/>
      <c r="E7" s="17"/>
      <c r="J7" s="16"/>
      <c r="K7" s="20"/>
      <c r="L7" s="19"/>
    </row>
    <row r="9" spans="2:17" s="2" customFormat="1" ht="19.5" customHeight="1" x14ac:dyDescent="0.15">
      <c r="B9" s="3" t="s">
        <v>4</v>
      </c>
      <c r="C9" s="3" t="s">
        <v>9</v>
      </c>
      <c r="D9" s="3" t="s">
        <v>5</v>
      </c>
      <c r="E9" s="1" t="s">
        <v>8</v>
      </c>
      <c r="F9" s="1" t="s">
        <v>0</v>
      </c>
      <c r="G9" s="1" t="s">
        <v>1</v>
      </c>
      <c r="H9" s="1" t="s">
        <v>2</v>
      </c>
      <c r="I9" s="1" t="s">
        <v>18</v>
      </c>
      <c r="J9" s="1" t="s">
        <v>3</v>
      </c>
      <c r="K9" s="1" t="s">
        <v>17</v>
      </c>
      <c r="L9" s="1" t="s">
        <v>16</v>
      </c>
      <c r="M9" s="13" t="s">
        <v>6</v>
      </c>
      <c r="N9" s="3" t="s">
        <v>19</v>
      </c>
      <c r="O9" s="1" t="s">
        <v>7</v>
      </c>
      <c r="P9" s="13" t="s">
        <v>20</v>
      </c>
      <c r="Q9" s="15" t="s">
        <v>21</v>
      </c>
    </row>
    <row r="10" spans="2:17" s="23" customFormat="1" ht="19.5" customHeight="1" x14ac:dyDescent="0.15">
      <c r="B10" s="31">
        <v>1</v>
      </c>
      <c r="C10" s="31" t="s">
        <v>33</v>
      </c>
      <c r="D10" s="31" t="s">
        <v>33</v>
      </c>
      <c r="E10" s="39" t="s">
        <v>34</v>
      </c>
      <c r="F10" s="48">
        <v>1</v>
      </c>
      <c r="G10" s="33"/>
      <c r="H10" s="34"/>
      <c r="I10" s="35"/>
      <c r="J10" s="36"/>
      <c r="K10" s="41"/>
      <c r="L10" s="32"/>
      <c r="M10" s="37">
        <v>44187</v>
      </c>
      <c r="N10" s="31"/>
      <c r="O10" s="49">
        <v>44225</v>
      </c>
      <c r="P10" s="37">
        <v>44225</v>
      </c>
      <c r="Q10" s="38">
        <v>44225</v>
      </c>
    </row>
    <row r="11" spans="2:17" s="23" customFormat="1" ht="19.5" customHeight="1" x14ac:dyDescent="0.15">
      <c r="B11" s="31">
        <v>2</v>
      </c>
      <c r="C11" s="31" t="s">
        <v>33</v>
      </c>
      <c r="D11" s="31" t="s">
        <v>33</v>
      </c>
      <c r="E11" s="39" t="s">
        <v>35</v>
      </c>
      <c r="F11" s="48">
        <v>1</v>
      </c>
      <c r="G11" s="33"/>
      <c r="H11" s="34"/>
      <c r="I11" s="35"/>
      <c r="J11" s="36"/>
      <c r="K11" s="41"/>
      <c r="L11" s="32"/>
      <c r="M11" s="37"/>
      <c r="N11" s="31"/>
      <c r="O11" s="49"/>
      <c r="P11" s="37"/>
      <c r="Q11" s="38"/>
    </row>
    <row r="12" spans="2:17" s="23" customFormat="1" ht="19.5" customHeight="1" x14ac:dyDescent="0.15">
      <c r="B12" s="31">
        <v>4</v>
      </c>
      <c r="C12" s="31" t="s">
        <v>33</v>
      </c>
      <c r="D12" s="31" t="s">
        <v>33</v>
      </c>
      <c r="E12" s="39" t="s">
        <v>36</v>
      </c>
      <c r="F12" s="48">
        <v>1</v>
      </c>
      <c r="G12" s="33"/>
      <c r="H12" s="34"/>
      <c r="I12" s="35"/>
      <c r="J12" s="36"/>
      <c r="K12" s="41"/>
      <c r="L12" s="32"/>
      <c r="M12" s="37">
        <v>44187</v>
      </c>
      <c r="N12" s="31"/>
      <c r="O12" s="49">
        <v>44225</v>
      </c>
      <c r="P12" s="37">
        <v>44225</v>
      </c>
      <c r="Q12" s="38">
        <v>44225</v>
      </c>
    </row>
    <row r="13" spans="2:17" s="23" customFormat="1" ht="19.5" customHeight="1" x14ac:dyDescent="0.15">
      <c r="B13" s="31">
        <v>5</v>
      </c>
      <c r="C13" s="31" t="s">
        <v>33</v>
      </c>
      <c r="D13" s="31" t="s">
        <v>33</v>
      </c>
      <c r="E13" s="39" t="s">
        <v>37</v>
      </c>
      <c r="F13" s="48">
        <v>1</v>
      </c>
      <c r="G13" s="33"/>
      <c r="H13" s="34"/>
      <c r="I13" s="35"/>
      <c r="J13" s="36"/>
      <c r="K13" s="41"/>
      <c r="L13" s="32"/>
      <c r="M13" s="37">
        <v>44187</v>
      </c>
      <c r="N13" s="31"/>
      <c r="O13" s="49">
        <v>44225</v>
      </c>
      <c r="P13" s="37">
        <v>44225</v>
      </c>
      <c r="Q13" s="38">
        <v>44225</v>
      </c>
    </row>
    <row r="14" spans="2:17" s="23" customFormat="1" ht="19.5" customHeight="1" x14ac:dyDescent="0.15">
      <c r="B14" s="31"/>
      <c r="C14" s="31" t="s">
        <v>33</v>
      </c>
      <c r="D14" s="31" t="s">
        <v>33</v>
      </c>
      <c r="E14" s="39" t="s">
        <v>40</v>
      </c>
      <c r="F14" s="48">
        <v>1</v>
      </c>
      <c r="G14" s="33"/>
      <c r="H14" s="34"/>
      <c r="I14" s="35"/>
      <c r="J14" s="36"/>
      <c r="K14" s="41"/>
      <c r="L14" s="32"/>
      <c r="M14" s="37">
        <v>44187</v>
      </c>
      <c r="N14" s="31"/>
      <c r="O14" s="49">
        <v>44225</v>
      </c>
      <c r="P14" s="37">
        <v>44225</v>
      </c>
      <c r="Q14" s="38"/>
    </row>
    <row r="15" spans="2:17" s="29" customFormat="1" ht="19.5" customHeight="1" x14ac:dyDescent="0.15">
      <c r="B15" s="24">
        <v>9</v>
      </c>
      <c r="C15" s="31" t="s">
        <v>24</v>
      </c>
      <c r="D15" s="31" t="s">
        <v>39</v>
      </c>
      <c r="E15" s="46" t="s">
        <v>25</v>
      </c>
      <c r="F15" s="48">
        <v>1</v>
      </c>
      <c r="G15" s="43"/>
      <c r="H15" s="44"/>
      <c r="I15" s="45"/>
      <c r="J15" s="44" t="s">
        <v>26</v>
      </c>
      <c r="K15" s="41"/>
      <c r="L15" s="24"/>
      <c r="M15" s="25">
        <v>44187</v>
      </c>
      <c r="N15" s="27"/>
      <c r="O15" s="49">
        <v>44225</v>
      </c>
      <c r="P15" s="25">
        <v>43859</v>
      </c>
      <c r="Q15" s="26">
        <v>44225</v>
      </c>
    </row>
    <row r="16" spans="2:17" s="29" customFormat="1" ht="19.5" customHeight="1" x14ac:dyDescent="0.15">
      <c r="B16" s="24">
        <v>9</v>
      </c>
      <c r="C16" s="31" t="s">
        <v>24</v>
      </c>
      <c r="D16" s="31" t="s">
        <v>39</v>
      </c>
      <c r="E16" s="40" t="s">
        <v>27</v>
      </c>
      <c r="F16" s="48">
        <v>1</v>
      </c>
      <c r="G16" s="43"/>
      <c r="H16" s="47"/>
      <c r="I16" s="45"/>
      <c r="J16" s="44" t="s">
        <v>28</v>
      </c>
      <c r="K16" s="41"/>
      <c r="L16" s="24"/>
      <c r="M16" s="25">
        <v>44187</v>
      </c>
      <c r="N16" s="27"/>
      <c r="O16" s="49">
        <v>44225</v>
      </c>
      <c r="P16" s="25">
        <v>43859</v>
      </c>
      <c r="Q16" s="26">
        <v>44225</v>
      </c>
    </row>
    <row r="17" spans="2:17" s="29" customFormat="1" ht="19.5" customHeight="1" x14ac:dyDescent="0.15">
      <c r="B17" s="24">
        <v>9</v>
      </c>
      <c r="C17" s="31" t="s">
        <v>24</v>
      </c>
      <c r="D17" s="31" t="s">
        <v>39</v>
      </c>
      <c r="E17" s="46" t="s">
        <v>29</v>
      </c>
      <c r="F17" s="48">
        <v>1</v>
      </c>
      <c r="G17" s="43"/>
      <c r="H17" s="44"/>
      <c r="I17" s="45"/>
      <c r="J17" s="44" t="s">
        <v>30</v>
      </c>
      <c r="K17" s="41"/>
      <c r="L17" s="24"/>
      <c r="M17" s="25">
        <v>44187</v>
      </c>
      <c r="N17" s="27"/>
      <c r="O17" s="49">
        <v>44225</v>
      </c>
      <c r="P17" s="25">
        <v>43859</v>
      </c>
      <c r="Q17" s="26">
        <v>44225</v>
      </c>
    </row>
    <row r="18" spans="2:17" s="29" customFormat="1" ht="19.5" customHeight="1" x14ac:dyDescent="0.15">
      <c r="B18" s="24">
        <v>9</v>
      </c>
      <c r="C18" s="31" t="s">
        <v>24</v>
      </c>
      <c r="D18" s="31" t="s">
        <v>39</v>
      </c>
      <c r="E18" s="46" t="s">
        <v>31</v>
      </c>
      <c r="F18" s="48">
        <v>1</v>
      </c>
      <c r="G18" s="43"/>
      <c r="H18" s="44"/>
      <c r="I18" s="45"/>
      <c r="J18" s="44" t="s">
        <v>32</v>
      </c>
      <c r="K18" s="41"/>
      <c r="L18" s="24"/>
      <c r="M18" s="25">
        <v>44187</v>
      </c>
      <c r="N18" s="27"/>
      <c r="O18" s="49">
        <v>44225</v>
      </c>
      <c r="P18" s="25">
        <v>43859</v>
      </c>
      <c r="Q18" s="26">
        <v>44225</v>
      </c>
    </row>
    <row r="19" spans="2:17" s="29" customFormat="1" ht="19.5" customHeight="1" x14ac:dyDescent="0.15">
      <c r="B19" s="24"/>
      <c r="C19" s="31"/>
      <c r="D19" s="42"/>
      <c r="E19" s="46"/>
      <c r="F19" s="48"/>
      <c r="G19" s="43"/>
      <c r="H19" s="44"/>
      <c r="I19" s="43"/>
      <c r="J19" s="44"/>
      <c r="K19" s="53"/>
      <c r="L19" s="24"/>
      <c r="M19" s="25"/>
      <c r="N19" s="27"/>
      <c r="O19" s="28"/>
      <c r="P19" s="25"/>
      <c r="Q19" s="26"/>
    </row>
    <row r="20" spans="2:17" s="29" customFormat="1" ht="19.5" customHeight="1" x14ac:dyDescent="0.15">
      <c r="B20" s="24"/>
      <c r="C20" s="24" t="s">
        <v>38</v>
      </c>
      <c r="D20" s="24" t="s">
        <v>38</v>
      </c>
      <c r="E20" s="21" t="s">
        <v>51</v>
      </c>
      <c r="F20" s="21">
        <v>1</v>
      </c>
      <c r="G20" s="21">
        <v>18332</v>
      </c>
      <c r="H20" s="21">
        <v>18332</v>
      </c>
      <c r="I20" s="27"/>
      <c r="J20" s="21" t="s">
        <v>52</v>
      </c>
      <c r="K20" s="32" t="s">
        <v>53</v>
      </c>
      <c r="L20" s="59"/>
      <c r="M20" s="59">
        <v>44242</v>
      </c>
      <c r="N20" s="30"/>
      <c r="O20" s="27"/>
      <c r="P20" s="27"/>
      <c r="Q20" s="27"/>
    </row>
    <row r="21" spans="2:17" s="29" customFormat="1" ht="19.5" customHeight="1" x14ac:dyDescent="0.15">
      <c r="B21" s="24"/>
      <c r="C21" s="24" t="s">
        <v>38</v>
      </c>
      <c r="D21" s="24" t="s">
        <v>38</v>
      </c>
      <c r="E21" s="21" t="s">
        <v>54</v>
      </c>
      <c r="F21" s="21">
        <v>1</v>
      </c>
      <c r="G21" s="21">
        <v>618</v>
      </c>
      <c r="H21" s="21">
        <v>618</v>
      </c>
      <c r="I21" s="27"/>
      <c r="J21" s="21" t="s">
        <v>55</v>
      </c>
      <c r="K21" s="32" t="s">
        <v>53</v>
      </c>
      <c r="L21" s="59"/>
      <c r="M21" s="59">
        <v>44242</v>
      </c>
      <c r="N21" s="30"/>
      <c r="O21" s="27"/>
      <c r="P21" s="27"/>
      <c r="Q21" s="27"/>
    </row>
    <row r="22" spans="2:17" s="29" customFormat="1" ht="19.5" customHeight="1" x14ac:dyDescent="0.15">
      <c r="B22" s="24"/>
      <c r="C22" s="24" t="s">
        <v>38</v>
      </c>
      <c r="D22" s="24" t="s">
        <v>38</v>
      </c>
      <c r="E22" s="21" t="s">
        <v>56</v>
      </c>
      <c r="F22" s="21">
        <v>1</v>
      </c>
      <c r="G22" s="21">
        <v>1995</v>
      </c>
      <c r="H22" s="21">
        <v>1995</v>
      </c>
      <c r="I22" s="27"/>
      <c r="J22" s="21" t="s">
        <v>57</v>
      </c>
      <c r="K22" s="32" t="s">
        <v>53</v>
      </c>
      <c r="L22" s="59"/>
      <c r="M22" s="59">
        <v>44242</v>
      </c>
      <c r="N22" s="30"/>
      <c r="O22" s="27"/>
      <c r="P22" s="27"/>
      <c r="Q22" s="27"/>
    </row>
    <row r="23" spans="2:17" s="29" customFormat="1" ht="19.5" customHeight="1" x14ac:dyDescent="0.15">
      <c r="B23" s="24"/>
      <c r="C23" s="24" t="s">
        <v>38</v>
      </c>
      <c r="D23" s="24" t="s">
        <v>38</v>
      </c>
      <c r="E23" s="21" t="s">
        <v>58</v>
      </c>
      <c r="F23" s="21">
        <v>1</v>
      </c>
      <c r="G23" s="21">
        <v>4570</v>
      </c>
      <c r="H23" s="21">
        <v>4570</v>
      </c>
      <c r="I23" s="27"/>
      <c r="J23" s="21" t="s">
        <v>59</v>
      </c>
      <c r="K23" s="32" t="s">
        <v>53</v>
      </c>
      <c r="L23" s="59"/>
      <c r="M23" s="59">
        <v>44242</v>
      </c>
      <c r="N23" s="30"/>
      <c r="O23" s="27"/>
      <c r="P23" s="27"/>
      <c r="Q23" s="27"/>
    </row>
    <row r="24" spans="2:17" ht="19.5" customHeight="1" x14ac:dyDescent="0.15">
      <c r="B24" s="24"/>
      <c r="C24" s="24" t="s">
        <v>38</v>
      </c>
      <c r="D24" s="24" t="s">
        <v>38</v>
      </c>
      <c r="E24" s="21" t="s">
        <v>60</v>
      </c>
      <c r="F24" s="21">
        <v>1</v>
      </c>
      <c r="G24" s="21">
        <v>308</v>
      </c>
      <c r="H24" s="21">
        <v>308</v>
      </c>
      <c r="I24" s="54"/>
      <c r="J24" s="21" t="s">
        <v>61</v>
      </c>
      <c r="K24" s="32" t="s">
        <v>53</v>
      </c>
      <c r="L24" s="59"/>
      <c r="M24" s="59">
        <v>44242</v>
      </c>
      <c r="N24" s="56"/>
      <c r="O24" s="21"/>
      <c r="P24" s="21"/>
      <c r="Q24" s="21"/>
    </row>
    <row r="25" spans="2:17" ht="19.5" customHeight="1" x14ac:dyDescent="0.15">
      <c r="B25" s="24"/>
      <c r="C25" s="24" t="s">
        <v>38</v>
      </c>
      <c r="D25" s="24" t="s">
        <v>38</v>
      </c>
      <c r="E25" s="21" t="s">
        <v>62</v>
      </c>
      <c r="F25" s="21">
        <v>1</v>
      </c>
      <c r="G25" s="21">
        <v>498</v>
      </c>
      <c r="H25" s="21">
        <v>498</v>
      </c>
      <c r="I25" s="54"/>
      <c r="J25" s="21" t="s">
        <v>63</v>
      </c>
      <c r="K25" s="32" t="s">
        <v>53</v>
      </c>
      <c r="L25" s="59"/>
      <c r="M25" s="59">
        <v>44242</v>
      </c>
      <c r="N25" s="56"/>
      <c r="O25" s="21"/>
      <c r="P25" s="21"/>
      <c r="Q25" s="21"/>
    </row>
    <row r="26" spans="2:17" ht="19.5" customHeight="1" x14ac:dyDescent="0.15">
      <c r="B26" s="24"/>
      <c r="C26" s="24" t="s">
        <v>38</v>
      </c>
      <c r="D26" s="24" t="s">
        <v>38</v>
      </c>
      <c r="E26" s="21" t="s">
        <v>64</v>
      </c>
      <c r="F26" s="21">
        <v>1</v>
      </c>
      <c r="G26" s="21">
        <v>7390</v>
      </c>
      <c r="H26" s="21">
        <v>7390</v>
      </c>
      <c r="I26" s="54"/>
      <c r="J26" s="21" t="s">
        <v>65</v>
      </c>
      <c r="K26" s="32" t="s">
        <v>53</v>
      </c>
      <c r="L26" s="59"/>
      <c r="M26" s="59">
        <v>44242</v>
      </c>
      <c r="N26" s="56"/>
      <c r="O26" s="21"/>
      <c r="P26" s="21"/>
      <c r="Q26" s="21"/>
    </row>
    <row r="27" spans="2:17" ht="19.5" customHeight="1" x14ac:dyDescent="0.15">
      <c r="B27" s="24"/>
      <c r="C27" s="24" t="s">
        <v>38</v>
      </c>
      <c r="D27" s="24" t="s">
        <v>38</v>
      </c>
      <c r="E27" s="21" t="s">
        <v>66</v>
      </c>
      <c r="F27" s="21">
        <v>1</v>
      </c>
      <c r="G27" s="21">
        <v>1870</v>
      </c>
      <c r="H27" s="21">
        <v>1870</v>
      </c>
      <c r="I27" s="54"/>
      <c r="J27" s="21" t="s">
        <v>67</v>
      </c>
      <c r="K27" s="32" t="s">
        <v>53</v>
      </c>
      <c r="L27" s="59"/>
      <c r="M27" s="59">
        <v>44242</v>
      </c>
      <c r="N27" s="56"/>
      <c r="O27" s="21"/>
      <c r="P27" s="21"/>
      <c r="Q27" s="21"/>
    </row>
    <row r="28" spans="2:17" ht="19.5" customHeight="1" x14ac:dyDescent="0.15">
      <c r="B28" s="24"/>
      <c r="C28" s="24" t="s">
        <v>38</v>
      </c>
      <c r="D28" s="24" t="s">
        <v>38</v>
      </c>
      <c r="E28" s="21" t="s">
        <v>68</v>
      </c>
      <c r="F28" s="21">
        <v>1</v>
      </c>
      <c r="G28" s="21">
        <v>4666</v>
      </c>
      <c r="H28" s="21">
        <v>4666</v>
      </c>
      <c r="I28" s="54"/>
      <c r="J28" s="21" t="s">
        <v>69</v>
      </c>
      <c r="K28" s="32" t="s">
        <v>53</v>
      </c>
      <c r="L28" s="59"/>
      <c r="M28" s="59">
        <v>44242</v>
      </c>
      <c r="N28" s="56"/>
      <c r="O28" s="21"/>
      <c r="P28" s="21"/>
      <c r="Q28" s="21"/>
    </row>
    <row r="29" spans="2:17" ht="19.5" customHeight="1" x14ac:dyDescent="0.15">
      <c r="B29" s="24"/>
      <c r="C29" s="24" t="s">
        <v>38</v>
      </c>
      <c r="D29" s="24" t="s">
        <v>38</v>
      </c>
      <c r="E29" s="21" t="s">
        <v>70</v>
      </c>
      <c r="F29" s="21">
        <v>1</v>
      </c>
      <c r="G29" s="21">
        <v>2990</v>
      </c>
      <c r="H29" s="21">
        <v>2990</v>
      </c>
      <c r="I29" s="54"/>
      <c r="J29" s="21" t="s">
        <v>71</v>
      </c>
      <c r="K29" s="32" t="s">
        <v>53</v>
      </c>
      <c r="L29" s="59"/>
      <c r="M29" s="59">
        <v>44242</v>
      </c>
      <c r="N29" s="56"/>
      <c r="O29" s="21"/>
      <c r="P29" s="21"/>
      <c r="Q29" s="21"/>
    </row>
    <row r="30" spans="2:17" ht="19.5" customHeight="1" x14ac:dyDescent="0.15">
      <c r="B30" s="24"/>
      <c r="C30" s="24" t="s">
        <v>38</v>
      </c>
      <c r="D30" s="24" t="s">
        <v>38</v>
      </c>
      <c r="E30" s="21" t="s">
        <v>72</v>
      </c>
      <c r="F30" s="21">
        <v>1</v>
      </c>
      <c r="G30" s="21">
        <v>3940</v>
      </c>
      <c r="H30" s="21">
        <v>3940</v>
      </c>
      <c r="I30" s="54"/>
      <c r="J30" s="21" t="s">
        <v>73</v>
      </c>
      <c r="K30" s="32" t="s">
        <v>53</v>
      </c>
      <c r="L30" s="59"/>
      <c r="M30" s="59">
        <v>44242</v>
      </c>
      <c r="N30" s="56"/>
      <c r="O30" s="21"/>
      <c r="P30" s="21"/>
      <c r="Q30" s="21"/>
    </row>
    <row r="31" spans="2:17" ht="19.5" customHeight="1" x14ac:dyDescent="0.15">
      <c r="B31" s="24"/>
      <c r="C31" s="24" t="s">
        <v>38</v>
      </c>
      <c r="D31" s="24" t="s">
        <v>38</v>
      </c>
      <c r="E31" s="21" t="s">
        <v>74</v>
      </c>
      <c r="F31" s="21">
        <v>1</v>
      </c>
      <c r="G31" s="21">
        <v>8650</v>
      </c>
      <c r="H31" s="21">
        <v>8650</v>
      </c>
      <c r="I31" s="54"/>
      <c r="J31" s="21" t="s">
        <v>75</v>
      </c>
      <c r="K31" s="32" t="s">
        <v>53</v>
      </c>
      <c r="L31" s="59"/>
      <c r="M31" s="59">
        <v>44242</v>
      </c>
      <c r="N31" s="56"/>
      <c r="O31" s="21"/>
      <c r="P31" s="21"/>
      <c r="Q31" s="21"/>
    </row>
    <row r="32" spans="2:17" ht="19.5" customHeight="1" x14ac:dyDescent="0.15">
      <c r="B32" s="24"/>
      <c r="C32" s="24" t="s">
        <v>38</v>
      </c>
      <c r="D32" s="24" t="s">
        <v>38</v>
      </c>
      <c r="E32" s="21" t="s">
        <v>76</v>
      </c>
      <c r="F32" s="21">
        <v>1</v>
      </c>
      <c r="G32" s="21">
        <v>5834</v>
      </c>
      <c r="H32" s="21">
        <v>5834</v>
      </c>
      <c r="I32" s="54"/>
      <c r="J32" s="21" t="s">
        <v>77</v>
      </c>
      <c r="K32" s="32" t="s">
        <v>53</v>
      </c>
      <c r="L32" s="59"/>
      <c r="M32" s="59">
        <v>44242</v>
      </c>
      <c r="N32" s="56"/>
      <c r="O32" s="21"/>
      <c r="P32" s="21"/>
      <c r="Q32" s="21"/>
    </row>
    <row r="33" spans="2:17" ht="19.5" customHeight="1" x14ac:dyDescent="0.15">
      <c r="B33" s="24"/>
      <c r="C33" s="24" t="s">
        <v>38</v>
      </c>
      <c r="D33" s="24" t="s">
        <v>38</v>
      </c>
      <c r="E33" s="21" t="s">
        <v>78</v>
      </c>
      <c r="F33" s="21">
        <v>1</v>
      </c>
      <c r="G33" s="21">
        <v>1880</v>
      </c>
      <c r="H33" s="21">
        <v>1880</v>
      </c>
      <c r="I33" s="54"/>
      <c r="J33" s="21" t="s">
        <v>79</v>
      </c>
      <c r="K33" s="32" t="s">
        <v>53</v>
      </c>
      <c r="L33" s="59"/>
      <c r="M33" s="59">
        <v>44242</v>
      </c>
      <c r="N33" s="56"/>
      <c r="O33" s="21"/>
      <c r="P33" s="21"/>
      <c r="Q33" s="21"/>
    </row>
    <row r="34" spans="2:17" ht="19.5" customHeight="1" x14ac:dyDescent="0.15">
      <c r="B34" s="24"/>
      <c r="C34" s="24" t="s">
        <v>38</v>
      </c>
      <c r="D34" s="24" t="s">
        <v>38</v>
      </c>
      <c r="E34" s="21" t="s">
        <v>80</v>
      </c>
      <c r="F34" s="21">
        <v>1</v>
      </c>
      <c r="G34" s="21">
        <v>5840</v>
      </c>
      <c r="H34" s="21">
        <v>5840</v>
      </c>
      <c r="I34" s="54"/>
      <c r="J34" s="21" t="s">
        <v>81</v>
      </c>
      <c r="K34" s="32" t="s">
        <v>53</v>
      </c>
      <c r="L34" s="59"/>
      <c r="M34" s="59">
        <v>44242</v>
      </c>
      <c r="N34" s="56"/>
      <c r="O34" s="21"/>
      <c r="P34" s="21"/>
      <c r="Q34" s="21"/>
    </row>
    <row r="35" spans="2:17" ht="19.5" customHeight="1" x14ac:dyDescent="0.15">
      <c r="B35" s="24"/>
      <c r="C35" s="24" t="s">
        <v>38</v>
      </c>
      <c r="D35" s="24" t="s">
        <v>38</v>
      </c>
      <c r="E35" s="21" t="s">
        <v>82</v>
      </c>
      <c r="F35" s="21">
        <v>4</v>
      </c>
      <c r="G35" s="21">
        <v>480</v>
      </c>
      <c r="H35" s="21">
        <v>1920</v>
      </c>
      <c r="I35" s="54"/>
      <c r="J35" s="21" t="s">
        <v>83</v>
      </c>
      <c r="K35" s="32" t="s">
        <v>53</v>
      </c>
      <c r="L35" s="59"/>
      <c r="M35" s="59">
        <v>44242</v>
      </c>
      <c r="N35" s="56"/>
      <c r="O35" s="21"/>
      <c r="P35" s="21"/>
      <c r="Q35" s="21"/>
    </row>
    <row r="36" spans="2:17" ht="19.5" customHeight="1" x14ac:dyDescent="0.15">
      <c r="B36" s="24"/>
      <c r="C36" s="24" t="s">
        <v>38</v>
      </c>
      <c r="D36" s="24" t="s">
        <v>38</v>
      </c>
      <c r="E36" s="21" t="s">
        <v>84</v>
      </c>
      <c r="F36" s="21">
        <v>1</v>
      </c>
      <c r="G36" s="21">
        <v>480</v>
      </c>
      <c r="H36" s="21">
        <v>480</v>
      </c>
      <c r="I36" s="54"/>
      <c r="J36" s="21" t="s">
        <v>83</v>
      </c>
      <c r="K36" s="32" t="s">
        <v>53</v>
      </c>
      <c r="L36" s="59"/>
      <c r="M36" s="59">
        <v>44242</v>
      </c>
      <c r="N36" s="56"/>
      <c r="O36" s="21"/>
      <c r="P36" s="21"/>
      <c r="Q36" s="21"/>
    </row>
    <row r="37" spans="2:17" s="29" customFormat="1" ht="19.5" customHeight="1" x14ac:dyDescent="0.15">
      <c r="B37" s="24">
        <v>9</v>
      </c>
      <c r="C37" s="50" t="s">
        <v>41</v>
      </c>
      <c r="D37" s="50" t="s">
        <v>48</v>
      </c>
      <c r="E37" s="51" t="s">
        <v>42</v>
      </c>
      <c r="F37" s="28">
        <v>1</v>
      </c>
      <c r="G37" s="27">
        <v>63000</v>
      </c>
      <c r="H37" s="64">
        <f t="shared" ref="H37:H40" si="0">F37*G37</f>
        <v>63000</v>
      </c>
      <c r="I37" s="27"/>
      <c r="J37" s="27" t="s">
        <v>43</v>
      </c>
      <c r="K37" s="53"/>
      <c r="L37" s="28"/>
      <c r="M37" s="25">
        <v>44243</v>
      </c>
      <c r="N37" s="26"/>
      <c r="O37" s="27" t="s">
        <v>85</v>
      </c>
      <c r="P37" s="27" t="s">
        <v>86</v>
      </c>
      <c r="Q37" s="27"/>
    </row>
    <row r="38" spans="2:17" s="29" customFormat="1" ht="19.5" customHeight="1" x14ac:dyDescent="0.15">
      <c r="B38" s="24"/>
      <c r="C38" s="50" t="s">
        <v>41</v>
      </c>
      <c r="D38" s="50" t="s">
        <v>48</v>
      </c>
      <c r="E38" s="51" t="s">
        <v>44</v>
      </c>
      <c r="F38" s="28">
        <v>1</v>
      </c>
      <c r="G38" s="27">
        <v>30200</v>
      </c>
      <c r="H38" s="64">
        <f t="shared" si="0"/>
        <v>30200</v>
      </c>
      <c r="I38" s="27"/>
      <c r="J38" s="27" t="s">
        <v>45</v>
      </c>
      <c r="K38" s="53"/>
      <c r="L38" s="28"/>
      <c r="M38" s="25">
        <v>44243</v>
      </c>
      <c r="N38" s="26"/>
      <c r="O38" s="27" t="s">
        <v>85</v>
      </c>
      <c r="P38" s="27" t="s">
        <v>86</v>
      </c>
      <c r="Q38" s="27"/>
    </row>
    <row r="39" spans="2:17" s="29" customFormat="1" ht="19.5" customHeight="1" x14ac:dyDescent="0.15">
      <c r="B39" s="24"/>
      <c r="C39" s="50" t="s">
        <v>41</v>
      </c>
      <c r="D39" s="50" t="s">
        <v>48</v>
      </c>
      <c r="E39" s="52" t="s">
        <v>46</v>
      </c>
      <c r="F39" s="28">
        <v>1</v>
      </c>
      <c r="G39" s="27">
        <v>4880</v>
      </c>
      <c r="H39" s="64">
        <f t="shared" si="0"/>
        <v>4880</v>
      </c>
      <c r="I39" s="27"/>
      <c r="J39" s="27" t="s">
        <v>47</v>
      </c>
      <c r="K39" s="53"/>
      <c r="L39" s="28"/>
      <c r="M39" s="25">
        <v>44243</v>
      </c>
      <c r="N39" s="26"/>
      <c r="O39" s="27" t="s">
        <v>85</v>
      </c>
      <c r="P39" s="27" t="s">
        <v>86</v>
      </c>
      <c r="Q39" s="27"/>
    </row>
    <row r="40" spans="2:17" s="29" customFormat="1" ht="19.5" customHeight="1" x14ac:dyDescent="0.15">
      <c r="B40" s="24"/>
      <c r="C40" s="50" t="s">
        <v>48</v>
      </c>
      <c r="D40" s="50" t="s">
        <v>48</v>
      </c>
      <c r="E40" s="52" t="s">
        <v>49</v>
      </c>
      <c r="F40" s="28">
        <v>1</v>
      </c>
      <c r="G40" s="27">
        <v>17400</v>
      </c>
      <c r="H40" s="64">
        <f t="shared" si="0"/>
        <v>17400</v>
      </c>
      <c r="I40" s="27"/>
      <c r="J40" s="27" t="s">
        <v>50</v>
      </c>
      <c r="K40" s="53"/>
      <c r="L40" s="28"/>
      <c r="M40" s="25">
        <v>44243</v>
      </c>
      <c r="N40" s="30"/>
      <c r="O40" s="27" t="s">
        <v>85</v>
      </c>
      <c r="P40" s="27" t="s">
        <v>86</v>
      </c>
      <c r="Q40" s="27"/>
    </row>
    <row r="41" spans="2:17" ht="19.5" customHeight="1" x14ac:dyDescent="0.15">
      <c r="B41" s="57"/>
      <c r="C41" s="21"/>
      <c r="D41" s="21"/>
      <c r="E41" s="21"/>
      <c r="F41" s="57"/>
      <c r="G41" s="21"/>
      <c r="H41" s="21"/>
      <c r="I41" s="54"/>
      <c r="J41" s="21"/>
      <c r="K41" s="21"/>
      <c r="L41" s="57"/>
      <c r="M41" s="58"/>
      <c r="N41" s="21"/>
      <c r="O41" s="54"/>
      <c r="P41" s="55"/>
      <c r="Q41" s="56"/>
    </row>
    <row r="42" spans="2:17" ht="19.5" customHeight="1" x14ac:dyDescent="0.15">
      <c r="B42" s="57"/>
      <c r="C42" s="21"/>
      <c r="D42" s="21"/>
      <c r="E42" s="21"/>
      <c r="F42" s="57"/>
      <c r="G42" s="21"/>
      <c r="H42" s="21"/>
      <c r="I42" s="54"/>
      <c r="J42" s="21"/>
      <c r="K42" s="21"/>
      <c r="L42" s="57"/>
      <c r="M42" s="58"/>
      <c r="N42" s="21"/>
      <c r="O42" s="54"/>
      <c r="P42" s="55"/>
      <c r="Q42" s="56"/>
    </row>
    <row r="43" spans="2:17" ht="15" customHeight="1" x14ac:dyDescent="0.15"/>
    <row r="44" spans="2:17" ht="15" customHeight="1" x14ac:dyDescent="0.15"/>
  </sheetData>
  <autoFilter ref="B9:O9" xr:uid="{00000000-0009-0000-0000-000000000000}"/>
  <mergeCells count="6">
    <mergeCell ref="B6:D6"/>
    <mergeCell ref="G2:I2"/>
    <mergeCell ref="B2:D2"/>
    <mergeCell ref="B3:D3"/>
    <mergeCell ref="B4:D4"/>
    <mergeCell ref="B5:D5"/>
  </mergeCells>
  <phoneticPr fontId="1"/>
  <pageMargins left="0.2" right="0.2" top="0.36" bottom="0.41" header="0.3" footer="0.3"/>
  <pageSetup paperSize="9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原価表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SATOH</dc:creator>
  <cp:lastModifiedBy>moriwaki</cp:lastModifiedBy>
  <cp:lastPrinted>2018-02-20T13:59:27Z</cp:lastPrinted>
  <dcterms:created xsi:type="dcterms:W3CDTF">2011-12-13T06:48:43Z</dcterms:created>
  <dcterms:modified xsi:type="dcterms:W3CDTF">2021-02-16T04:40:36Z</dcterms:modified>
</cp:coreProperties>
</file>