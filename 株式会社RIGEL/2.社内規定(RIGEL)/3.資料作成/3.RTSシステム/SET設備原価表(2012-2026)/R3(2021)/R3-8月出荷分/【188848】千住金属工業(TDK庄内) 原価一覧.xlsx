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764F07B-6EA9-4B6E-9E21-46858DEC3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  <sheet name="Sheet3" sheetId="3" r:id="rId3"/>
  </sheets>
  <definedNames>
    <definedName name="_xlnm._FilterDatabase" localSheetId="0" hidden="1">原価表!$B$8:$O$31</definedName>
  </definedNames>
  <calcPr calcId="181029"/>
</workbook>
</file>

<file path=xl/calcChain.xml><?xml version="1.0" encoding="utf-8"?>
<calcChain xmlns="http://schemas.openxmlformats.org/spreadsheetml/2006/main">
  <c r="H26" i="1" l="1"/>
  <c r="H16" i="1"/>
  <c r="H17" i="1"/>
  <c r="H15" i="1"/>
  <c r="H29" i="1"/>
  <c r="H28" i="1"/>
  <c r="H30" i="1"/>
  <c r="H31" i="1"/>
  <c r="H27" i="1"/>
  <c r="H25" i="1"/>
  <c r="H24" i="1"/>
  <c r="H23" i="1"/>
  <c r="H22" i="1"/>
  <c r="H18" i="1"/>
  <c r="H19" i="1"/>
  <c r="H20" i="1"/>
  <c r="H21" i="1"/>
  <c r="H14" i="1"/>
  <c r="H13" i="1"/>
  <c r="H12" i="1"/>
  <c r="H11" i="1"/>
  <c r="H10" i="1"/>
  <c r="H9" i="1"/>
  <c r="J2" i="1" s="1"/>
</calcChain>
</file>

<file path=xl/sharedStrings.xml><?xml version="1.0" encoding="utf-8"?>
<sst xmlns="http://schemas.openxmlformats.org/spreadsheetml/2006/main" count="121" uniqueCount="68">
  <si>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</si>
  <si>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</si>
  <si>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</si>
  <si>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</si>
  <si>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</si>
  <si>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</si>
  <si>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</si>
  <si>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</si>
  <si>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</si>
  <si>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</si>
  <si>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</si>
  <si>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</si>
  <si>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</si>
  <si>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</si>
  <si>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</si>
  <si>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</si>
  <si>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</si>
  <si>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</si>
  <si>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</si>
  <si>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</si>
  <si>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</si>
  <si>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</si>
  <si>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コーキング用容器セット</t>
    <rPh sb="5" eb="6">
      <t>ヨウ</t>
    </rPh>
    <rPh sb="6" eb="8">
      <t>ヨウキ</t>
    </rPh>
    <phoneticPr fontId="1"/>
  </si>
  <si>
    <t>千住金属工業（TDK庄内）</t>
    <rPh sb="0" eb="2">
      <t>センジュ</t>
    </rPh>
    <rPh sb="2" eb="4">
      <t>キンゾク</t>
    </rPh>
    <rPh sb="4" eb="6">
      <t>コウギョウ</t>
    </rPh>
    <rPh sb="10" eb="12">
      <t>ショウナイ</t>
    </rPh>
    <phoneticPr fontId="1"/>
  </si>
  <si>
    <t>岸</t>
    <rPh sb="0" eb="1">
      <t>キシ</t>
    </rPh>
    <phoneticPr fontId="1"/>
  </si>
  <si>
    <t>ミスミ</t>
    <phoneticPr fontId="1"/>
  </si>
  <si>
    <t>NPB5</t>
    <phoneticPr fontId="1"/>
  </si>
  <si>
    <t>Oリング</t>
  </si>
  <si>
    <t>NPB10</t>
    <phoneticPr fontId="1"/>
  </si>
  <si>
    <t>MNCNL6-M5</t>
    <phoneticPr fontId="1"/>
  </si>
  <si>
    <t>ミニュチュアワンタッチ継手</t>
    <rPh sb="11" eb="12">
      <t>ツギ</t>
    </rPh>
    <rPh sb="12" eb="13">
      <t>テ</t>
    </rPh>
    <phoneticPr fontId="5"/>
  </si>
  <si>
    <t>MPLGN</t>
    <phoneticPr fontId="1"/>
  </si>
  <si>
    <t>ミニュチュア管継手</t>
    <rPh sb="6" eb="7">
      <t>カン</t>
    </rPh>
    <rPh sb="7" eb="8">
      <t>ツギ</t>
    </rPh>
    <rPh sb="8" eb="9">
      <t>テ</t>
    </rPh>
    <phoneticPr fontId="5"/>
  </si>
  <si>
    <t>MSSL5</t>
    <phoneticPr fontId="1"/>
  </si>
  <si>
    <t>サイレンサ</t>
  </si>
  <si>
    <t>FWRBN-D51-V32-T2</t>
    <phoneticPr fontId="1"/>
  </si>
  <si>
    <t>パッキン</t>
    <phoneticPr fontId="1"/>
  </si>
  <si>
    <t>SMC</t>
    <phoneticPr fontId="1"/>
  </si>
  <si>
    <t>CDJ2B16-200Z-C73CS-B</t>
  </si>
  <si>
    <t>エアシリンダー</t>
    <phoneticPr fontId="1"/>
  </si>
  <si>
    <t>エア・ウォータ・マッハ</t>
    <phoneticPr fontId="1"/>
  </si>
  <si>
    <t>Oリング</t>
    <phoneticPr fontId="1"/>
  </si>
  <si>
    <t>エア・ウォータ・マッハ</t>
    <phoneticPr fontId="1"/>
  </si>
  <si>
    <t>送料</t>
    <rPh sb="0" eb="2">
      <t>ソウリョウ</t>
    </rPh>
    <phoneticPr fontId="1"/>
  </si>
  <si>
    <t>SC40309</t>
    <phoneticPr fontId="1"/>
  </si>
  <si>
    <t>トップキャップ</t>
    <phoneticPr fontId="1"/>
  </si>
  <si>
    <t>SC40310</t>
    <phoneticPr fontId="1"/>
  </si>
  <si>
    <t>シールキャップ</t>
    <phoneticPr fontId="1"/>
  </si>
  <si>
    <t>SC40311-01</t>
    <phoneticPr fontId="1"/>
  </si>
  <si>
    <t>シールナット</t>
    <phoneticPr fontId="1"/>
  </si>
  <si>
    <t>SC40312</t>
    <phoneticPr fontId="1"/>
  </si>
  <si>
    <t>パッド</t>
    <phoneticPr fontId="1"/>
  </si>
  <si>
    <t>SET</t>
    <phoneticPr fontId="1"/>
  </si>
  <si>
    <t>SAR91V</t>
    <phoneticPr fontId="1"/>
  </si>
  <si>
    <t>外容器・保持キャップセット</t>
    <rPh sb="0" eb="1">
      <t>ソト</t>
    </rPh>
    <rPh sb="1" eb="3">
      <t>ヨウキ</t>
    </rPh>
    <rPh sb="4" eb="6">
      <t>ホジ</t>
    </rPh>
    <phoneticPr fontId="1"/>
  </si>
  <si>
    <t>SET</t>
    <phoneticPr fontId="1"/>
  </si>
  <si>
    <t>580091A</t>
    <phoneticPr fontId="1"/>
  </si>
  <si>
    <t>ドロップインアダプタ</t>
    <phoneticPr fontId="1"/>
  </si>
  <si>
    <t>出荷依頼書に記載有</t>
    <rPh sb="0" eb="2">
      <t>シュッカ</t>
    </rPh>
    <rPh sb="2" eb="5">
      <t>イライショ</t>
    </rPh>
    <rPh sb="6" eb="8">
      <t>キサイ</t>
    </rPh>
    <rPh sb="8" eb="9">
      <t>アリ</t>
    </rPh>
    <phoneticPr fontId="1"/>
  </si>
  <si>
    <t>37103-3101-000FL-8P</t>
    <phoneticPr fontId="1"/>
  </si>
  <si>
    <t>e-conコネクタ(オス）</t>
    <phoneticPr fontId="1"/>
  </si>
  <si>
    <t>JASO 1022 1種A</t>
    <phoneticPr fontId="1"/>
  </si>
  <si>
    <t>制御機材</t>
    <rPh sb="0" eb="1">
      <t>セイ</t>
    </rPh>
    <rPh sb="1" eb="2">
      <t>オ</t>
    </rPh>
    <rPh sb="2" eb="4">
      <t>キザイ</t>
    </rPh>
    <phoneticPr fontId="1"/>
  </si>
  <si>
    <t>システムアート</t>
  </si>
  <si>
    <t>システムアート</t>
    <phoneticPr fontId="1"/>
  </si>
  <si>
    <t>580092P</t>
    <phoneticPr fontId="1"/>
  </si>
  <si>
    <t>ｷｬｯﾌﾟｼ-ﾙﾊﾟｯｷﾝ</t>
    <phoneticPr fontId="1"/>
  </si>
  <si>
    <t>システムアート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</si>
</sst>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Fill="1" applyBorder="1" applyAlignment="1"/>
    <xf numFmtId="177" fontId="0" fillId="0" borderId="0" xfId="0" applyNumberFormat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shrinkToFit="1"/>
    </xf>
    <xf numFmtId="179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/>
    </xf>
    <xf numFmtId="0" fontId="7" fillId="0" borderId="1" xfId="1" applyFont="1" applyFill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5" fillId="0" borderId="1" xfId="1" applyFont="1" applyFill="1" applyBorder="1" applyAlignment="1">
      <alignment horizontal="left" vertical="center"/>
    </xf>
    <xf numFmtId="3" fontId="1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/>
    </xf>
    <xf numFmtId="180" fontId="8" fillId="0" borderId="1" xfId="1" applyNumberFormat="1" applyFont="1" applyBorder="1" applyAlignment="1">
      <alignment horizontal="right" vertical="center"/>
    </xf>
    <xf numFmtId="180" fontId="5" fillId="0" borderId="1" xfId="1" applyNumberFormat="1" applyBorder="1" applyAlignment="1">
      <alignment horizontal="right" vertical="center"/>
    </xf>
    <xf numFmtId="180" fontId="6" fillId="0" borderId="1" xfId="0" applyNumberFormat="1" applyFont="1" applyFill="1" applyBorder="1" applyAlignment="1">
      <alignment horizontal="right" vertical="center"/>
    </xf>
    <xf numFmtId="180" fontId="0" fillId="0" borderId="1" xfId="0" applyNumberFormat="1" applyFill="1" applyBorder="1" applyAlignment="1">
      <alignment horizontal="right" vertical="center"/>
    </xf>
    <xf numFmtId="0" fontId="5" fillId="0" borderId="1" xfId="0" applyFont="1" applyFill="1" applyBorder="1">
      <alignment vertical="center"/>
    </xf>
    <xf numFmtId="176" fontId="0" fillId="0" borderId="2" xfId="0" applyNumberFormat="1" applyFill="1" applyBorder="1" applyAlignment="1"/>
    <xf numFmtId="180" fontId="5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horizontal="right" vertical="center"/>
    </xf>
    <xf numFmtId="180" fontId="0" fillId="0" borderId="1" xfId="0" applyNumberForma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 shrinkToFit="1"/>
    </xf>
    <xf numFmtId="179" fontId="0" fillId="0" borderId="1" xfId="0" applyNumberFormat="1" applyFont="1" applyFill="1" applyBorder="1" applyAlignment="1">
      <alignment horizontal="center" vertical="center"/>
    </xf>
    <xf numFmtId="3" fontId="7" fillId="0" borderId="1" xfId="1" applyNumberFormat="1" applyFont="1" applyFill="1" applyBorder="1" applyAlignment="1">
      <alignment vertical="center"/>
    </xf>
    <xf numFmtId="176" fontId="11" fillId="0" borderId="1" xfId="0" applyNumberFormat="1" applyFont="1" applyFill="1" applyBorder="1" applyAlignment="1">
      <alignment vertical="center"/>
    </xf>
    <xf numFmtId="0" fontId="7" fillId="0" borderId="1" xfId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1"/>
  <sheetViews>
    <sheetView tabSelected="1" zoomScale="70" zoomScaleNormal="70" workbookViewId="0">
      <pane xSplit="10" ySplit="8" topLeftCell="M9" activePane="bottomRight" state="frozen"/>
      <selection pane="topRight" activeCell="K1" sqref="K1"/>
      <selection pane="bottomLeft" activeCell="A9" sqref="A9"/>
      <selection pane="bottomRight" activeCell="T27" sqref="T27"/>
    </sheetView>
  </sheetViews>
  <sheetFormatPr defaultRowHeight="13.5" x14ac:dyDescent="0.15"/>
  <cols>
    <col min="1" max="1" width="2.625" customWidth="1"/>
    <col min="2" max="2" width="5.125" style="5" customWidth="1"/>
    <col min="3" max="3" width="20.625" customWidth="1"/>
    <col min="4" max="4" width="20.875" customWidth="1"/>
    <col min="5" max="5" width="40.875" customWidth="1"/>
    <col min="6" max="6" width="6.125" customWidth="1"/>
    <col min="7" max="8" width="11.625" customWidth="1"/>
    <col min="9" max="9" width="5.875" style="15" customWidth="1"/>
    <col min="10" max="10" width="30.625" customWidth="1"/>
    <col min="11" max="11" width="20.625" customWidth="1"/>
    <col min="12" max="12" width="30.875" style="5" customWidth="1"/>
    <col min="13" max="13" width="13.875" style="5" customWidth="1"/>
    <col min="14" max="14" width="6.375" customWidth="1"/>
    <col min="15" max="15" width="13.125" style="15" customWidth="1"/>
    <col min="16" max="16" width="14.5" style="17" customWidth="1"/>
    <col min="17" max="17" width="15.625" style="17" customWidth="1"/>
  </cols>
  <sheetData>
    <row r="2" spans="2:17" ht="20.100000000000001" customHeight="1" x14ac:dyDescent="0.15">
      <c r="B2" s="56" t="s">
        <v>10</v>
      </c>
      <c r="C2" s="56"/>
      <c r="D2" s="56"/>
      <c r="E2" s="23" t="s">
        <v>23</v>
      </c>
      <c r="G2" s="57" t="s">
        <v>14</v>
      </c>
      <c r="H2" s="58"/>
      <c r="I2" s="59"/>
      <c r="J2" s="14">
        <f>SUM(H:H)</f>
        <v>35641</v>
      </c>
      <c r="K2" s="6"/>
      <c r="L2" s="10"/>
    </row>
    <row r="3" spans="2:17" ht="20.100000000000001" customHeight="1" x14ac:dyDescent="0.15">
      <c r="B3" s="56" t="s">
        <v>9</v>
      </c>
      <c r="C3" s="56"/>
      <c r="D3" s="56"/>
      <c r="E3" s="12" t="s">
        <v>24</v>
      </c>
    </row>
    <row r="4" spans="2:17" ht="20.100000000000001" customHeight="1" x14ac:dyDescent="0.15">
      <c r="B4" s="56" t="s">
        <v>11</v>
      </c>
      <c r="C4" s="56"/>
      <c r="D4" s="56"/>
      <c r="E4" s="12">
        <v>188848</v>
      </c>
    </row>
    <row r="5" spans="2:17" ht="20.100000000000001" customHeight="1" x14ac:dyDescent="0.15">
      <c r="B5" s="56" t="s">
        <v>12</v>
      </c>
      <c r="C5" s="56"/>
      <c r="D5" s="56"/>
      <c r="E5" s="13">
        <v>44410</v>
      </c>
    </row>
    <row r="6" spans="2:17" ht="20.100000000000001" customHeight="1" x14ac:dyDescent="0.15">
      <c r="B6" s="56" t="s">
        <v>13</v>
      </c>
      <c r="C6" s="56"/>
      <c r="D6" s="56"/>
      <c r="E6" s="13">
        <v>44411</v>
      </c>
    </row>
    <row r="8" spans="2:17" s="3" customFormat="1" ht="19.7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 t="s">
        <v>0</v>
      </c>
      <c r="G8" s="1" t="s">
        <v>1</v>
      </c>
      <c r="H8" s="2" t="s">
        <v>2</v>
      </c>
      <c r="I8" s="2" t="s">
        <v>17</v>
      </c>
      <c r="J8" s="1"/>
      <c r="K8" s="1" t="s">
        <v>16</v>
      </c>
      <c r="L8" s="1" t="s">
        <v>15</v>
      </c>
      <c r="M8" s="4" t="s">
        <v>5</v>
      </c>
      <c r="N8" s="4" t="s">
        <v>18</v>
      </c>
      <c r="O8" s="1" t="s">
        <v>6</v>
      </c>
      <c r="P8" s="11" t="s">
        <v>19</v>
      </c>
      <c r="Q8" s="11" t="s">
        <v>20</v>
      </c>
    </row>
    <row r="9" spans="2:17" s="3" customFormat="1" ht="19.7" customHeight="1" x14ac:dyDescent="0.15">
      <c r="B9" s="4">
        <v>1</v>
      </c>
      <c r="C9" s="28" t="s">
        <v>25</v>
      </c>
      <c r="D9" s="28" t="s">
        <v>25</v>
      </c>
      <c r="E9" s="29" t="s">
        <v>26</v>
      </c>
      <c r="F9" s="40">
        <v>1</v>
      </c>
      <c r="G9" s="53">
        <v>66</v>
      </c>
      <c r="H9" s="30">
        <f t="shared" ref="H9:H24" si="0">F9*G9</f>
        <v>66</v>
      </c>
      <c r="I9" s="16"/>
      <c r="J9" s="22" t="s">
        <v>27</v>
      </c>
      <c r="K9" s="7"/>
      <c r="L9" s="1" t="s">
        <v>22</v>
      </c>
      <c r="M9" s="24">
        <v>44396</v>
      </c>
      <c r="N9" s="24"/>
      <c r="O9" s="24"/>
      <c r="P9" s="51">
        <v>44406</v>
      </c>
      <c r="Q9" s="20">
        <v>44406</v>
      </c>
    </row>
    <row r="10" spans="2:17" s="3" customFormat="1" ht="19.7" customHeight="1" x14ac:dyDescent="0.15">
      <c r="B10" s="4">
        <v>1</v>
      </c>
      <c r="C10" s="28" t="s">
        <v>21</v>
      </c>
      <c r="D10" s="28" t="s">
        <v>21</v>
      </c>
      <c r="E10" s="29" t="s">
        <v>28</v>
      </c>
      <c r="F10" s="41">
        <v>1</v>
      </c>
      <c r="G10" s="53">
        <v>72</v>
      </c>
      <c r="H10" s="30">
        <f t="shared" si="0"/>
        <v>72</v>
      </c>
      <c r="I10" s="2"/>
      <c r="J10" s="22" t="s">
        <v>27</v>
      </c>
      <c r="K10" s="7"/>
      <c r="L10" s="1" t="s">
        <v>22</v>
      </c>
      <c r="M10" s="24">
        <v>44396</v>
      </c>
      <c r="N10" s="24"/>
      <c r="O10" s="24"/>
      <c r="P10" s="51">
        <v>44406</v>
      </c>
      <c r="Q10" s="20">
        <v>44406</v>
      </c>
    </row>
    <row r="11" spans="2:17" s="3" customFormat="1" ht="19.7" customHeight="1" x14ac:dyDescent="0.15">
      <c r="B11" s="4">
        <v>1</v>
      </c>
      <c r="C11" s="28" t="s">
        <v>21</v>
      </c>
      <c r="D11" s="28" t="s">
        <v>21</v>
      </c>
      <c r="E11" s="29" t="s">
        <v>29</v>
      </c>
      <c r="F11" s="41">
        <v>2</v>
      </c>
      <c r="G11" s="53">
        <v>270</v>
      </c>
      <c r="H11" s="8">
        <f t="shared" si="0"/>
        <v>540</v>
      </c>
      <c r="I11" s="8"/>
      <c r="J11" s="22" t="s">
        <v>30</v>
      </c>
      <c r="K11" s="7"/>
      <c r="L11" s="1" t="s">
        <v>22</v>
      </c>
      <c r="M11" s="24">
        <v>44396</v>
      </c>
      <c r="N11" s="24"/>
      <c r="O11" s="24"/>
      <c r="P11" s="51">
        <v>44406</v>
      </c>
      <c r="Q11" s="20">
        <v>44406</v>
      </c>
    </row>
    <row r="12" spans="2:17" s="3" customFormat="1" ht="19.7" customHeight="1" x14ac:dyDescent="0.15">
      <c r="B12" s="4">
        <v>1</v>
      </c>
      <c r="C12" s="28" t="s">
        <v>21</v>
      </c>
      <c r="D12" s="28" t="s">
        <v>21</v>
      </c>
      <c r="E12" s="29" t="s">
        <v>31</v>
      </c>
      <c r="F12" s="41">
        <v>1</v>
      </c>
      <c r="G12" s="53">
        <v>130</v>
      </c>
      <c r="H12" s="8">
        <f t="shared" si="0"/>
        <v>130</v>
      </c>
      <c r="I12" s="8"/>
      <c r="J12" s="22" t="s">
        <v>32</v>
      </c>
      <c r="K12" s="7"/>
      <c r="L12" s="1" t="s">
        <v>22</v>
      </c>
      <c r="M12" s="24">
        <v>44396</v>
      </c>
      <c r="N12" s="24"/>
      <c r="O12" s="24"/>
      <c r="P12" s="51">
        <v>44406</v>
      </c>
      <c r="Q12" s="20">
        <v>44406</v>
      </c>
    </row>
    <row r="13" spans="2:17" s="3" customFormat="1" ht="19.7" customHeight="1" x14ac:dyDescent="0.15">
      <c r="B13" s="4">
        <v>1</v>
      </c>
      <c r="C13" s="28" t="s">
        <v>21</v>
      </c>
      <c r="D13" s="28" t="s">
        <v>21</v>
      </c>
      <c r="E13" s="29" t="s">
        <v>33</v>
      </c>
      <c r="F13" s="41">
        <v>1</v>
      </c>
      <c r="G13" s="54">
        <v>280</v>
      </c>
      <c r="H13" s="8">
        <f t="shared" si="0"/>
        <v>280</v>
      </c>
      <c r="I13" s="8"/>
      <c r="J13" s="31" t="s">
        <v>34</v>
      </c>
      <c r="K13" s="7"/>
      <c r="L13" s="1" t="s">
        <v>22</v>
      </c>
      <c r="M13" s="24">
        <v>44396</v>
      </c>
      <c r="N13" s="24"/>
      <c r="O13" s="24"/>
      <c r="P13" s="51">
        <v>44406</v>
      </c>
      <c r="Q13" s="20">
        <v>44406</v>
      </c>
    </row>
    <row r="14" spans="2:17" s="3" customFormat="1" ht="19.7" customHeight="1" x14ac:dyDescent="0.15">
      <c r="B14" s="4">
        <v>1</v>
      </c>
      <c r="C14" s="28" t="s">
        <v>21</v>
      </c>
      <c r="D14" s="28" t="s">
        <v>21</v>
      </c>
      <c r="E14" s="29" t="s">
        <v>35</v>
      </c>
      <c r="F14" s="40">
        <v>1</v>
      </c>
      <c r="G14" s="53">
        <v>460</v>
      </c>
      <c r="H14" s="8">
        <f t="shared" si="0"/>
        <v>460</v>
      </c>
      <c r="I14" s="8"/>
      <c r="J14" s="22" t="s">
        <v>36</v>
      </c>
      <c r="K14" s="7"/>
      <c r="L14" s="1" t="s">
        <v>22</v>
      </c>
      <c r="M14" s="24">
        <v>44396</v>
      </c>
      <c r="N14" s="24"/>
      <c r="O14" s="24"/>
      <c r="P14" s="51">
        <v>44406</v>
      </c>
      <c r="Q14" s="20">
        <v>44406</v>
      </c>
    </row>
    <row r="15" spans="2:17" s="3" customFormat="1" ht="19.7" customHeight="1" x14ac:dyDescent="0.15">
      <c r="B15" s="4">
        <v>1</v>
      </c>
      <c r="C15" s="28" t="s">
        <v>21</v>
      </c>
      <c r="D15" s="28" t="s">
        <v>21</v>
      </c>
      <c r="E15" s="9" t="s">
        <v>59</v>
      </c>
      <c r="F15" s="49">
        <v>1</v>
      </c>
      <c r="G15" s="53">
        <v>886</v>
      </c>
      <c r="H15" s="8">
        <f>F15*G15</f>
        <v>886</v>
      </c>
      <c r="I15" s="48"/>
      <c r="J15" s="47" t="s">
        <v>60</v>
      </c>
      <c r="K15" s="7"/>
      <c r="L15" s="1" t="s">
        <v>22</v>
      </c>
      <c r="M15" s="24">
        <v>44396</v>
      </c>
      <c r="N15" s="24"/>
      <c r="O15" s="24"/>
      <c r="P15" s="51">
        <v>44406</v>
      </c>
      <c r="Q15" s="20">
        <v>44406</v>
      </c>
    </row>
    <row r="16" spans="2:17" s="3" customFormat="1" ht="19.7" customHeight="1" x14ac:dyDescent="0.15">
      <c r="B16" s="4"/>
      <c r="C16" s="28"/>
      <c r="D16" s="28"/>
      <c r="E16" s="29"/>
      <c r="F16" s="40"/>
      <c r="G16" s="53"/>
      <c r="H16" s="8">
        <f t="shared" si="0"/>
        <v>0</v>
      </c>
      <c r="I16" s="8"/>
      <c r="J16" s="22"/>
      <c r="K16" s="7"/>
      <c r="L16" s="1"/>
      <c r="M16" s="24"/>
      <c r="N16" s="24"/>
      <c r="O16" s="24"/>
      <c r="P16" s="24"/>
      <c r="Q16" s="20"/>
    </row>
    <row r="17" spans="2:17" s="3" customFormat="1" ht="19.7" customHeight="1" x14ac:dyDescent="0.15">
      <c r="B17" s="4">
        <v>1</v>
      </c>
      <c r="C17" s="32" t="s">
        <v>37</v>
      </c>
      <c r="D17" s="38" t="s">
        <v>62</v>
      </c>
      <c r="E17" s="37" t="s">
        <v>38</v>
      </c>
      <c r="F17" s="42">
        <v>1</v>
      </c>
      <c r="G17" s="34">
        <v>5000</v>
      </c>
      <c r="H17" s="8">
        <f t="shared" si="0"/>
        <v>5000</v>
      </c>
      <c r="I17" s="35"/>
      <c r="J17" s="37" t="s">
        <v>39</v>
      </c>
      <c r="K17" s="7"/>
      <c r="L17" s="1" t="s">
        <v>22</v>
      </c>
      <c r="M17" s="24">
        <v>44396</v>
      </c>
      <c r="N17" s="24"/>
      <c r="O17" s="24">
        <v>44406</v>
      </c>
      <c r="P17" s="51">
        <v>44406</v>
      </c>
      <c r="Q17" s="20">
        <v>44405</v>
      </c>
    </row>
    <row r="18" spans="2:17" s="3" customFormat="1" ht="19.7" customHeight="1" x14ac:dyDescent="0.15">
      <c r="B18" s="4"/>
      <c r="C18" s="32"/>
      <c r="D18" s="32"/>
      <c r="E18" s="37"/>
      <c r="F18" s="42"/>
      <c r="G18" s="34"/>
      <c r="H18" s="30">
        <f t="shared" si="0"/>
        <v>0</v>
      </c>
      <c r="I18" s="35"/>
      <c r="J18" s="33"/>
      <c r="K18" s="7"/>
      <c r="L18" s="1"/>
      <c r="M18" s="24"/>
      <c r="N18" s="24"/>
      <c r="O18" s="24"/>
      <c r="P18" s="24"/>
      <c r="Q18" s="20"/>
    </row>
    <row r="19" spans="2:17" s="3" customFormat="1" ht="19.7" customHeight="1" x14ac:dyDescent="0.15">
      <c r="B19" s="4">
        <v>1</v>
      </c>
      <c r="C19" s="28" t="s">
        <v>40</v>
      </c>
      <c r="D19" s="28" t="s">
        <v>40</v>
      </c>
      <c r="E19" s="36" t="s">
        <v>61</v>
      </c>
      <c r="F19" s="42">
        <v>1</v>
      </c>
      <c r="G19" s="34">
        <v>7</v>
      </c>
      <c r="H19" s="30">
        <f t="shared" si="0"/>
        <v>7</v>
      </c>
      <c r="I19" s="16"/>
      <c r="J19" s="36" t="s">
        <v>41</v>
      </c>
      <c r="K19" s="7"/>
      <c r="L19" s="1" t="s">
        <v>22</v>
      </c>
      <c r="M19" s="24">
        <v>44396</v>
      </c>
      <c r="N19" s="24"/>
      <c r="O19" s="24">
        <v>44406</v>
      </c>
      <c r="P19" s="51">
        <v>44406</v>
      </c>
      <c r="Q19" s="20">
        <v>44406</v>
      </c>
    </row>
    <row r="20" spans="2:17" s="3" customFormat="1" ht="19.7" customHeight="1" x14ac:dyDescent="0.15">
      <c r="B20" s="4">
        <v>1</v>
      </c>
      <c r="C20" s="28" t="s">
        <v>42</v>
      </c>
      <c r="D20" s="28" t="s">
        <v>42</v>
      </c>
      <c r="E20" s="36" t="s">
        <v>43</v>
      </c>
      <c r="F20" s="42">
        <v>1</v>
      </c>
      <c r="G20" s="34">
        <v>1000</v>
      </c>
      <c r="H20" s="30">
        <f t="shared" si="0"/>
        <v>1000</v>
      </c>
      <c r="I20" s="2"/>
      <c r="J20" s="36" t="s">
        <v>43</v>
      </c>
      <c r="K20" s="7"/>
      <c r="L20" s="1" t="s">
        <v>22</v>
      </c>
      <c r="M20" s="24">
        <v>44396</v>
      </c>
      <c r="N20" s="24"/>
      <c r="O20" s="24">
        <v>44406</v>
      </c>
      <c r="P20" s="51">
        <v>44406</v>
      </c>
      <c r="Q20" s="20"/>
    </row>
    <row r="21" spans="2:17" s="3" customFormat="1" ht="19.7" customHeight="1" x14ac:dyDescent="0.15">
      <c r="B21" s="4"/>
      <c r="C21" s="28"/>
      <c r="D21" s="28"/>
      <c r="E21" s="29"/>
      <c r="F21" s="40"/>
      <c r="G21" s="53"/>
      <c r="H21" s="8">
        <f t="shared" si="0"/>
        <v>0</v>
      </c>
      <c r="I21" s="8"/>
      <c r="J21" s="22"/>
      <c r="K21" s="7"/>
      <c r="L21" s="1"/>
      <c r="M21" s="24"/>
      <c r="N21" s="24"/>
      <c r="O21" s="24"/>
      <c r="P21" s="24"/>
      <c r="Q21" s="20"/>
    </row>
    <row r="22" spans="2:17" s="3" customFormat="1" ht="19.7" customHeight="1" x14ac:dyDescent="0.15">
      <c r="B22" s="4">
        <v>1</v>
      </c>
      <c r="C22" s="32" t="s">
        <v>64</v>
      </c>
      <c r="D22" s="32" t="s">
        <v>67</v>
      </c>
      <c r="E22" s="9" t="s">
        <v>44</v>
      </c>
      <c r="F22" s="42">
        <v>1</v>
      </c>
      <c r="G22" s="52">
        <v>9800</v>
      </c>
      <c r="H22" s="30">
        <f t="shared" si="0"/>
        <v>9800</v>
      </c>
      <c r="I22" s="2"/>
      <c r="J22" s="22" t="s">
        <v>45</v>
      </c>
      <c r="K22" s="22"/>
      <c r="L22" s="1" t="s">
        <v>22</v>
      </c>
      <c r="M22" s="24">
        <v>44406</v>
      </c>
      <c r="N22" s="24"/>
      <c r="O22" s="24">
        <v>44411</v>
      </c>
      <c r="P22" s="24"/>
      <c r="Q22" s="20">
        <v>44414</v>
      </c>
    </row>
    <row r="23" spans="2:17" s="3" customFormat="1" ht="19.7" customHeight="1" x14ac:dyDescent="0.15">
      <c r="B23" s="4">
        <v>1</v>
      </c>
      <c r="C23" s="32" t="s">
        <v>63</v>
      </c>
      <c r="D23" s="32" t="s">
        <v>63</v>
      </c>
      <c r="E23" s="9" t="s">
        <v>46</v>
      </c>
      <c r="F23" s="42">
        <v>1</v>
      </c>
      <c r="G23" s="52">
        <v>9200</v>
      </c>
      <c r="H23" s="30">
        <f t="shared" si="0"/>
        <v>9200</v>
      </c>
      <c r="I23" s="39"/>
      <c r="J23" s="22" t="s">
        <v>47</v>
      </c>
      <c r="K23" s="22"/>
      <c r="L23" s="1" t="s">
        <v>22</v>
      </c>
      <c r="M23" s="24">
        <v>44406</v>
      </c>
      <c r="N23" s="24"/>
      <c r="O23" s="24">
        <v>44411</v>
      </c>
      <c r="P23" s="24"/>
      <c r="Q23" s="20">
        <v>44414</v>
      </c>
    </row>
    <row r="24" spans="2:17" s="3" customFormat="1" ht="19.7" customHeight="1" x14ac:dyDescent="0.15">
      <c r="B24" s="4">
        <v>1</v>
      </c>
      <c r="C24" s="32" t="s">
        <v>63</v>
      </c>
      <c r="D24" s="32" t="s">
        <v>63</v>
      </c>
      <c r="E24" s="9" t="s">
        <v>48</v>
      </c>
      <c r="F24" s="42">
        <v>1</v>
      </c>
      <c r="G24" s="52">
        <v>4800</v>
      </c>
      <c r="H24" s="30">
        <f t="shared" si="0"/>
        <v>4800</v>
      </c>
      <c r="I24" s="39"/>
      <c r="J24" s="22" t="s">
        <v>49</v>
      </c>
      <c r="K24" s="7"/>
      <c r="L24" s="1" t="s">
        <v>22</v>
      </c>
      <c r="M24" s="24">
        <v>44406</v>
      </c>
      <c r="N24" s="24"/>
      <c r="O24" s="24">
        <v>44411</v>
      </c>
      <c r="P24" s="24"/>
      <c r="Q24" s="20">
        <v>44414</v>
      </c>
    </row>
    <row r="25" spans="2:17" s="3" customFormat="1" ht="19.7" customHeight="1" x14ac:dyDescent="0.15">
      <c r="B25" s="4">
        <v>1</v>
      </c>
      <c r="C25" s="32" t="s">
        <v>63</v>
      </c>
      <c r="D25" s="32" t="s">
        <v>63</v>
      </c>
      <c r="E25" s="9" t="s">
        <v>50</v>
      </c>
      <c r="F25" s="42">
        <v>1</v>
      </c>
      <c r="G25" s="52">
        <v>2400</v>
      </c>
      <c r="H25" s="30">
        <f t="shared" ref="H25:H31" si="1">F25*G25</f>
        <v>2400</v>
      </c>
      <c r="I25" s="39"/>
      <c r="J25" s="22" t="s">
        <v>51</v>
      </c>
      <c r="K25" s="7"/>
      <c r="L25" s="1" t="s">
        <v>22</v>
      </c>
      <c r="M25" s="24">
        <v>44406</v>
      </c>
      <c r="N25" s="24"/>
      <c r="O25" s="24">
        <v>44411</v>
      </c>
      <c r="P25" s="24"/>
      <c r="Q25" s="20">
        <v>44414</v>
      </c>
    </row>
    <row r="26" spans="2:17" s="3" customFormat="1" ht="19.7" customHeight="1" x14ac:dyDescent="0.15">
      <c r="B26" s="4">
        <v>1</v>
      </c>
      <c r="C26" s="32" t="s">
        <v>63</v>
      </c>
      <c r="D26" s="32" t="s">
        <v>63</v>
      </c>
      <c r="E26" s="9" t="s">
        <v>43</v>
      </c>
      <c r="F26" s="42">
        <v>1</v>
      </c>
      <c r="G26" s="52">
        <v>1000</v>
      </c>
      <c r="H26" s="30">
        <f t="shared" si="1"/>
        <v>1000</v>
      </c>
      <c r="I26" s="39"/>
      <c r="J26" s="22"/>
      <c r="K26" s="7"/>
      <c r="L26" s="1"/>
      <c r="M26" s="24">
        <v>44406</v>
      </c>
      <c r="N26" s="24"/>
      <c r="O26" s="24">
        <v>44411</v>
      </c>
      <c r="P26" s="24"/>
      <c r="Q26" s="20"/>
    </row>
    <row r="27" spans="2:17" s="3" customFormat="1" ht="19.7" customHeight="1" x14ac:dyDescent="0.15">
      <c r="B27" s="4"/>
      <c r="C27" s="32"/>
      <c r="D27" s="32"/>
      <c r="E27" s="9"/>
      <c r="F27" s="42"/>
      <c r="G27" s="34"/>
      <c r="H27" s="30">
        <f t="shared" si="1"/>
        <v>0</v>
      </c>
      <c r="I27" s="39"/>
      <c r="J27" s="22"/>
      <c r="K27" s="7"/>
      <c r="L27" s="1"/>
      <c r="M27" s="24"/>
      <c r="N27" s="24"/>
      <c r="O27" s="24"/>
      <c r="P27" s="24"/>
      <c r="Q27" s="20"/>
    </row>
    <row r="28" spans="2:17" s="3" customFormat="1" ht="19.7" customHeight="1" x14ac:dyDescent="0.15">
      <c r="B28" s="4">
        <v>1</v>
      </c>
      <c r="C28" s="4" t="s">
        <v>52</v>
      </c>
      <c r="D28" s="4" t="s">
        <v>52</v>
      </c>
      <c r="E28" s="44" t="s">
        <v>53</v>
      </c>
      <c r="F28" s="46">
        <v>1</v>
      </c>
      <c r="G28" s="53"/>
      <c r="H28" s="8">
        <f t="shared" si="1"/>
        <v>0</v>
      </c>
      <c r="I28" s="8"/>
      <c r="J28" s="9" t="s">
        <v>54</v>
      </c>
      <c r="K28" s="50" t="s">
        <v>58</v>
      </c>
      <c r="L28" s="1" t="s">
        <v>22</v>
      </c>
      <c r="M28" s="24"/>
      <c r="N28" s="24"/>
      <c r="O28" s="24"/>
      <c r="P28" s="24"/>
      <c r="Q28" s="20"/>
    </row>
    <row r="29" spans="2:17" s="3" customFormat="1" ht="19.7" customHeight="1" x14ac:dyDescent="0.15">
      <c r="B29" s="4">
        <v>1</v>
      </c>
      <c r="C29" s="4" t="s">
        <v>55</v>
      </c>
      <c r="D29" s="4" t="s">
        <v>55</v>
      </c>
      <c r="E29" s="44" t="s">
        <v>56</v>
      </c>
      <c r="F29" s="43">
        <v>1</v>
      </c>
      <c r="G29" s="53"/>
      <c r="H29" s="8">
        <f t="shared" si="1"/>
        <v>0</v>
      </c>
      <c r="I29" s="45"/>
      <c r="J29" s="9" t="s">
        <v>57</v>
      </c>
      <c r="K29" s="50" t="s">
        <v>58</v>
      </c>
      <c r="L29" s="1" t="s">
        <v>22</v>
      </c>
      <c r="M29" s="24"/>
      <c r="N29" s="24"/>
      <c r="O29" s="24"/>
      <c r="P29" s="24"/>
      <c r="Q29" s="20"/>
    </row>
    <row r="30" spans="2:17" s="3" customFormat="1" ht="19.7" customHeight="1" x14ac:dyDescent="0.15">
      <c r="B30" s="4">
        <v>1</v>
      </c>
      <c r="C30" s="4" t="s">
        <v>52</v>
      </c>
      <c r="D30" s="4" t="s">
        <v>52</v>
      </c>
      <c r="E30" s="9" t="s">
        <v>65</v>
      </c>
      <c r="F30" s="42">
        <v>1</v>
      </c>
      <c r="G30" s="34"/>
      <c r="H30" s="30">
        <f t="shared" si="1"/>
        <v>0</v>
      </c>
      <c r="I30" s="39"/>
      <c r="J30" s="22" t="s">
        <v>66</v>
      </c>
      <c r="K30" s="50" t="s">
        <v>58</v>
      </c>
      <c r="L30" s="1" t="s">
        <v>22</v>
      </c>
      <c r="M30" s="24"/>
      <c r="N30" s="24"/>
      <c r="O30" s="24"/>
      <c r="P30" s="24"/>
      <c r="Q30" s="20"/>
    </row>
    <row r="31" spans="2:17" ht="19.7" customHeight="1" x14ac:dyDescent="0.15">
      <c r="B31" s="4"/>
      <c r="C31" s="4"/>
      <c r="D31" s="4"/>
      <c r="E31" s="19"/>
      <c r="F31" s="43"/>
      <c r="G31" s="8"/>
      <c r="H31" s="30">
        <f t="shared" si="1"/>
        <v>0</v>
      </c>
      <c r="I31" s="16"/>
      <c r="J31" s="7"/>
      <c r="K31" s="7"/>
      <c r="L31" s="1"/>
      <c r="M31" s="24"/>
      <c r="N31" s="24"/>
      <c r="O31" s="24"/>
      <c r="P31" s="24"/>
      <c r="Q31" s="20"/>
    </row>
    <row r="32" spans="2:17" x14ac:dyDescent="0.15">
      <c r="Q32" s="21"/>
    </row>
    <row r="33" spans="8:17" x14ac:dyDescent="0.15">
      <c r="Q33" s="21"/>
    </row>
    <row r="34" spans="8:17" x14ac:dyDescent="0.15">
      <c r="Q34" s="21"/>
    </row>
    <row r="35" spans="8:17" x14ac:dyDescent="0.15">
      <c r="M35" s="18"/>
      <c r="Q35" s="21"/>
    </row>
    <row r="36" spans="8:17" x14ac:dyDescent="0.15">
      <c r="M36" s="10"/>
      <c r="Q36" s="21"/>
    </row>
    <row r="37" spans="8:17" x14ac:dyDescent="0.15">
      <c r="M37" s="18"/>
      <c r="Q37" s="21"/>
    </row>
    <row r="38" spans="8:17" x14ac:dyDescent="0.15">
      <c r="M38" s="10"/>
    </row>
    <row r="39" spans="8:17" x14ac:dyDescent="0.15">
      <c r="H39" s="26"/>
    </row>
    <row r="40" spans="8:17" x14ac:dyDescent="0.15">
      <c r="H40" s="26"/>
    </row>
    <row r="41" spans="8:17" x14ac:dyDescent="0.15">
      <c r="H41" s="26"/>
    </row>
    <row r="42" spans="8:17" x14ac:dyDescent="0.15">
      <c r="H42" s="26"/>
    </row>
    <row r="43" spans="8:17" x14ac:dyDescent="0.15">
      <c r="H43" s="26"/>
    </row>
    <row r="44" spans="8:17" x14ac:dyDescent="0.15">
      <c r="H44" s="26"/>
    </row>
    <row r="45" spans="8:17" x14ac:dyDescent="0.15">
      <c r="H45" s="26"/>
    </row>
    <row r="46" spans="8:17" x14ac:dyDescent="0.15">
      <c r="H46" s="26"/>
    </row>
    <row r="47" spans="8:17" x14ac:dyDescent="0.15">
      <c r="H47" s="26"/>
    </row>
    <row r="48" spans="8:17" x14ac:dyDescent="0.15">
      <c r="H48" s="26"/>
    </row>
    <row r="49" spans="8:8" x14ac:dyDescent="0.15">
      <c r="H49" s="26"/>
    </row>
    <row r="50" spans="8:8" x14ac:dyDescent="0.15">
      <c r="H50" s="27"/>
    </row>
    <row r="51" spans="8:8" x14ac:dyDescent="0.15">
      <c r="H51" s="26"/>
    </row>
    <row r="52" spans="8:8" x14ac:dyDescent="0.15">
      <c r="H52" s="26"/>
    </row>
    <row r="53" spans="8:8" x14ac:dyDescent="0.15">
      <c r="H53" s="26"/>
    </row>
    <row r="54" spans="8:8" x14ac:dyDescent="0.15">
      <c r="H54" s="26"/>
    </row>
    <row r="55" spans="8:8" x14ac:dyDescent="0.15">
      <c r="H55" s="26"/>
    </row>
    <row r="56" spans="8:8" x14ac:dyDescent="0.15">
      <c r="H56" s="26"/>
    </row>
    <row r="57" spans="8:8" x14ac:dyDescent="0.15">
      <c r="H57" s="26"/>
    </row>
    <row r="58" spans="8:8" x14ac:dyDescent="0.15">
      <c r="H58" s="26"/>
    </row>
    <row r="59" spans="8:8" x14ac:dyDescent="0.15">
      <c r="H59" s="26"/>
    </row>
    <row r="61" spans="8:8" x14ac:dyDescent="0.15">
      <c r="H61" s="25"/>
    </row>
  </sheetData>
  <autoFilter ref="B8:O31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dataValidations count="1">
    <dataValidation imeMode="hiragana" allowBlank="1" showInputMessage="1" showErrorMessage="1" sqref="J9:J10 J28:J29 J20:J21 J12:J14 J16" xr:uid="{00000000-0002-0000-0000-000000000000}"/>
  </dataValidations>
  <pageMargins left="0.2" right="0.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B14" sqref="B13:B14"/>
    </sheetView>
  </sheetViews>
  <sheetFormatPr defaultRowHeight="13.5" x14ac:dyDescent="0.15"/>
  <cols>
    <col min="1" max="1" width="12.125" bestFit="1" customWidth="1"/>
    <col min="2" max="2" width="31.875" bestFit="1" customWidth="1"/>
  </cols>
  <sheetData>
    <row r="1" spans="1:2" ht="17.25" x14ac:dyDescent="0.15">
      <c r="A1" s="55" t="s">
        <v>10</v>
      </c>
      <c r="B1" s="23" t="s">
        <v>23</v>
      </c>
    </row>
    <row r="2" spans="1:2" ht="17.25" x14ac:dyDescent="0.15">
      <c r="A2" s="55" t="s">
        <v>9</v>
      </c>
      <c r="B2" s="12" t="s">
        <v>24</v>
      </c>
    </row>
    <row r="3" spans="1:2" ht="17.25" x14ac:dyDescent="0.15">
      <c r="A3" s="55" t="s">
        <v>11</v>
      </c>
      <c r="B3" s="12">
        <v>188848</v>
      </c>
    </row>
    <row r="4" spans="1:2" ht="17.25" x14ac:dyDescent="0.15">
      <c r="A4" s="55" t="s">
        <v>12</v>
      </c>
      <c r="B4" s="13">
        <v>44410</v>
      </c>
    </row>
    <row r="5" spans="1:2" ht="17.25" x14ac:dyDescent="0.15">
      <c r="A5" s="55" t="s">
        <v>13</v>
      </c>
      <c r="B5" s="13">
        <v>44411</v>
      </c>
    </row>
  </sheetData>
  <phoneticPr fontId="1"/>
  <pageMargins left="0.7" right="0.7" top="0.75" bottom="0.75" header="0.3" footer="0.3"/>
  <pageSetup paperSize="9" scale="20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原価表</vt:lpstr>
      <vt:lpstr>表紙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2021-07-19T08:32:19Z</cp:lastPrinted>
  <dcterms:created xsi:type="dcterms:W3CDTF">2011-12-13T06:48:43Z</dcterms:created>
  <dcterms:modified xsi:type="dcterms:W3CDTF">2021-08-06T04:31:12Z</dcterms:modified>
</cp:coreProperties>
</file>