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C0BBC1F-59A2-4223-98D2-29F641BE8EAA}" xr6:coauthVersionLast="47" xr6:coauthVersionMax="47" xr10:uidLastSave="{00000000-0000-0000-0000-000000000000}"/>
  <bookViews>
    <workbookView xWindow="-120" yWindow="-120" windowWidth="29040" windowHeight="15840" xr2:uid="{3F8D551F-31F6-423E-B97E-1CAEE59CD234}"/>
  </bookViews>
  <sheets>
    <sheet name="Sheet2 (個数修正後)" sheetId="3" r:id="rId1"/>
    <sheet name="Sheet1" sheetId="1" r:id="rId2"/>
  </sheets>
  <definedNames>
    <definedName name="_xlnm.Print_Area" localSheetId="1">Sheet1!$A$1:$E$13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5" i="3" l="1"/>
  <c r="K59" i="3"/>
  <c r="K47" i="3"/>
  <c r="K46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K71" i="3" s="1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5" i="3"/>
  <c r="K45" i="3" s="1"/>
  <c r="J46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K25" i="3" s="1"/>
  <c r="K37" i="3" l="1"/>
  <c r="M2" i="3"/>
</calcChain>
</file>

<file path=xl/sharedStrings.xml><?xml version="1.0" encoding="utf-8"?>
<sst xmlns="http://schemas.openxmlformats.org/spreadsheetml/2006/main" count="358" uniqueCount="177">
  <si>
    <t>井桁治具一式</t>
    <rPh sb="0" eb="4">
      <t>イゲタジグ</t>
    </rPh>
    <rPh sb="4" eb="6">
      <t>イッシキ</t>
    </rPh>
    <phoneticPr fontId="1"/>
  </si>
  <si>
    <t>制作治具名称</t>
    <rPh sb="0" eb="4">
      <t>セイサクジグ</t>
    </rPh>
    <rPh sb="4" eb="6">
      <t>メイショウ</t>
    </rPh>
    <phoneticPr fontId="1"/>
  </si>
  <si>
    <t>希望個数</t>
    <rPh sb="0" eb="4">
      <t>キボウコスウ</t>
    </rPh>
    <phoneticPr fontId="1"/>
  </si>
  <si>
    <t>1式</t>
    <rPh sb="1" eb="2">
      <t>シキ</t>
    </rPh>
    <phoneticPr fontId="1"/>
  </si>
  <si>
    <t>浸け置き治具</t>
    <rPh sb="0" eb="1">
      <t>ツ</t>
    </rPh>
    <rPh sb="2" eb="3">
      <t>オ</t>
    </rPh>
    <rPh sb="4" eb="6">
      <t>ジグ</t>
    </rPh>
    <phoneticPr fontId="1"/>
  </si>
  <si>
    <t>2式</t>
    <rPh sb="1" eb="2">
      <t>シキ</t>
    </rPh>
    <phoneticPr fontId="1"/>
  </si>
  <si>
    <t>各種バルブ兼用
ツール板(バルブプレート)</t>
    <rPh sb="0" eb="2">
      <t>カクシュ</t>
    </rPh>
    <rPh sb="5" eb="7">
      <t>ケンヨウ</t>
    </rPh>
    <rPh sb="11" eb="12">
      <t>イタ</t>
    </rPh>
    <phoneticPr fontId="1"/>
  </si>
  <si>
    <t>各1式</t>
    <rPh sb="0" eb="1">
      <t>カク</t>
    </rPh>
    <rPh sb="2" eb="3">
      <t>シキ</t>
    </rPh>
    <phoneticPr fontId="1"/>
  </si>
  <si>
    <t>SV51サイズ用
バルブホルダー
(SS40079)</t>
    <rPh sb="7" eb="8">
      <t>ヨウ</t>
    </rPh>
    <phoneticPr fontId="1"/>
  </si>
  <si>
    <t>SV35DAサイズ用
バルブホルダー
(SS40077)</t>
    <rPh sb="9" eb="10">
      <t>ヨウ</t>
    </rPh>
    <phoneticPr fontId="1"/>
  </si>
  <si>
    <t>eco-DUOプレート</t>
    <phoneticPr fontId="1"/>
  </si>
  <si>
    <t>1枚</t>
    <rPh sb="1" eb="2">
      <t>マイ</t>
    </rPh>
    <phoneticPr fontId="1"/>
  </si>
  <si>
    <t>I/O-MT用
ツールプレート一式
ツールプレート(SETA0041-13-A)
回転プレート(SETA0041-13-B)
Shaft Support_SSTHWS15
TWTAS10-4-4
六角ボルト各種</t>
    <rPh sb="6" eb="7">
      <t>ヨウ</t>
    </rPh>
    <rPh sb="15" eb="17">
      <t>イッシキ</t>
    </rPh>
    <rPh sb="42" eb="44">
      <t>カイテン</t>
    </rPh>
    <rPh sb="99" eb="101">
      <t>ロッカク</t>
    </rPh>
    <rPh sb="104" eb="106">
      <t>カクシュ</t>
    </rPh>
    <phoneticPr fontId="1"/>
  </si>
  <si>
    <t>一式</t>
    <rPh sb="0" eb="2">
      <t>イッシキ</t>
    </rPh>
    <phoneticPr fontId="1"/>
  </si>
  <si>
    <t>Viewer画像より抜粋</t>
    <rPh sb="6" eb="8">
      <t>ガゾウ</t>
    </rPh>
    <rPh sb="10" eb="12">
      <t>バッスイ</t>
    </rPh>
    <phoneticPr fontId="1"/>
  </si>
  <si>
    <t>eco-PEN450用
eco-PEN600用
各ホルダー治具</t>
    <rPh sb="10" eb="11">
      <t>ヨウ</t>
    </rPh>
    <rPh sb="22" eb="23">
      <t>ヨウ</t>
    </rPh>
    <rPh sb="24" eb="25">
      <t>カク</t>
    </rPh>
    <rPh sb="29" eb="31">
      <t>ジグ</t>
    </rPh>
    <phoneticPr fontId="1"/>
  </si>
  <si>
    <t>名古屋営業所用　制作治具の発注希望品と各個数</t>
    <rPh sb="0" eb="6">
      <t>ナゴヤエイギョウショ</t>
    </rPh>
    <rPh sb="6" eb="7">
      <t>ヨウ</t>
    </rPh>
    <rPh sb="8" eb="12">
      <t>セイサクジグ</t>
    </rPh>
    <rPh sb="13" eb="15">
      <t>ハッチュウ</t>
    </rPh>
    <rPh sb="15" eb="17">
      <t>キボウ</t>
    </rPh>
    <rPh sb="17" eb="18">
      <t>ヒン</t>
    </rPh>
    <rPh sb="19" eb="20">
      <t>カク</t>
    </rPh>
    <rPh sb="20" eb="22">
      <t>コスウ</t>
    </rPh>
    <phoneticPr fontId="1"/>
  </si>
  <si>
    <t xml:space="preserve">I/O-MT用モーター
(AZM66MK-FC20UA)
制御機器一式
</t>
    <rPh sb="6" eb="7">
      <t>ヨウ</t>
    </rPh>
    <rPh sb="29" eb="33">
      <t>セイギョキキ</t>
    </rPh>
    <rPh sb="33" eb="35">
      <t>イッシキ</t>
    </rPh>
    <phoneticPr fontId="1"/>
  </si>
  <si>
    <t>合計金額</t>
    <rPh sb="0" eb="2">
      <t>ゴウケイ</t>
    </rPh>
    <rPh sb="2" eb="4">
      <t>キンガク</t>
    </rPh>
    <phoneticPr fontId="3"/>
  </si>
  <si>
    <t>担当営業</t>
    <rPh sb="0" eb="2">
      <t>タントウ</t>
    </rPh>
    <rPh sb="2" eb="4">
      <t>エイギョウ</t>
    </rPh>
    <phoneticPr fontId="3"/>
  </si>
  <si>
    <t>見積り分類</t>
    <rPh sb="0" eb="2">
      <t>ミツモ</t>
    </rPh>
    <rPh sb="3" eb="5">
      <t>ブンルイ</t>
    </rPh>
    <phoneticPr fontId="3"/>
  </si>
  <si>
    <t>メーカー</t>
    <phoneticPr fontId="3"/>
  </si>
  <si>
    <t>仕入先</t>
    <rPh sb="0" eb="2">
      <t>シイレ</t>
    </rPh>
    <rPh sb="2" eb="3">
      <t>サキ</t>
    </rPh>
    <phoneticPr fontId="3"/>
  </si>
  <si>
    <t>品名 / 型式</t>
    <rPh sb="0" eb="2">
      <t>ヒンメイ</t>
    </rPh>
    <rPh sb="5" eb="7">
      <t>カタシキ</t>
    </rPh>
    <phoneticPr fontId="3"/>
  </si>
  <si>
    <t>数量</t>
  </si>
  <si>
    <t>単価</t>
  </si>
  <si>
    <t>金額</t>
  </si>
  <si>
    <t>詳細</t>
    <rPh sb="0" eb="2">
      <t>ショウサイ</t>
    </rPh>
    <phoneticPr fontId="3"/>
  </si>
  <si>
    <t>備考</t>
    <rPh sb="0" eb="2">
      <t>ビコウ</t>
    </rPh>
    <phoneticPr fontId="3"/>
  </si>
  <si>
    <t>MISUMI</t>
    <phoneticPr fontId="3"/>
  </si>
  <si>
    <t>名古屋営業所 実験室</t>
    <rPh sb="0" eb="6">
      <t>ナゴヤエイギョウショ</t>
    </rPh>
    <rPh sb="7" eb="10">
      <t>ジッケンシツ</t>
    </rPh>
    <phoneticPr fontId="3"/>
  </si>
  <si>
    <t>田中（佐藤和夫）</t>
    <rPh sb="0" eb="2">
      <t>タナカ</t>
    </rPh>
    <rPh sb="3" eb="5">
      <t>サトウ</t>
    </rPh>
    <rPh sb="5" eb="7">
      <t>カズオ</t>
    </rPh>
    <phoneticPr fontId="3"/>
  </si>
  <si>
    <t>井桁治具一式</t>
    <phoneticPr fontId="1"/>
  </si>
  <si>
    <t>■SETA0060-X01（井桁ﾍﾞｰｽ）</t>
  </si>
  <si>
    <t>■SETA0060-X02（井桁ｶﾞｲﾄﾞ）</t>
  </si>
  <si>
    <t>■SETA0060-X03（井桁ﾚｰﾙ）</t>
  </si>
  <si>
    <t>■SETA0060-X04（井桁ｽﾄｯﾊﾟ）</t>
  </si>
  <si>
    <t>■SETA0060-X05（井桁ﾚｰﾙ上）</t>
    <phoneticPr fontId="1"/>
  </si>
  <si>
    <t>■SETA0060-X06（ﾜｰｸｽﾄｯﾊﾟｰ）</t>
  </si>
  <si>
    <t>MS5-20</t>
    <phoneticPr fontId="1"/>
  </si>
  <si>
    <t>NCLSS3-5-10.0</t>
    <phoneticPr fontId="1"/>
  </si>
  <si>
    <t>SETGS10-50-SC10-M4-N4</t>
    <phoneticPr fontId="1"/>
  </si>
  <si>
    <t>SCB4-10</t>
    <phoneticPr fontId="1"/>
  </si>
  <si>
    <t>SCB4-12</t>
    <phoneticPr fontId="1"/>
  </si>
  <si>
    <t>SCB4-16</t>
    <phoneticPr fontId="1"/>
  </si>
  <si>
    <t>SCB4-20</t>
    <phoneticPr fontId="1"/>
  </si>
  <si>
    <t>CRKB4-6</t>
    <phoneticPr fontId="1"/>
  </si>
  <si>
    <t>■SETA0060-Z01(ｶｯﾌﾟｶﾞｲﾄﾞ)</t>
  </si>
  <si>
    <t>■SETA0060-Z02(ｶｯﾌﾟﾍﾞｰｽ)</t>
    <phoneticPr fontId="1"/>
  </si>
  <si>
    <t>■SETA0060-Z03(ｶｯﾌﾟﾌﾟﾚｰﾄ)</t>
  </si>
  <si>
    <t>SCB3-12</t>
    <phoneticPr fontId="1"/>
  </si>
  <si>
    <t>MVSHM-3N02000003028-2MW-68UT8</t>
  </si>
  <si>
    <t>MVBLK-AMW-2MW-FN5ZT</t>
    <phoneticPr fontId="1"/>
  </si>
  <si>
    <t>■SETA0060-Y02(eco-duoﾌﾟﾚｰﾄ)</t>
    <phoneticPr fontId="1"/>
  </si>
  <si>
    <t>MVBLK-AMW-2MW-G6MLW</t>
    <phoneticPr fontId="1"/>
  </si>
  <si>
    <t>■SETA0060-Y01(ﾏﾙﾁﾂｰﾙﾌﾞﾌﾟﾚｰﾄ)</t>
    <phoneticPr fontId="1"/>
  </si>
  <si>
    <t>各種バルブ兼用ツール板</t>
    <phoneticPr fontId="1"/>
  </si>
  <si>
    <t>SHCDG4-15</t>
  </si>
  <si>
    <t>■EVH-01(ﾘﾝｸ)</t>
  </si>
  <si>
    <t>■EVH-600A(ﾊﾞﾙﾌﾞﾎﾙﾀﾞ)</t>
  </si>
  <si>
    <t>■EVH-600B(ﾊﾞﾙﾌﾞｸﾗﾝﾌﾟ)</t>
    <phoneticPr fontId="1"/>
  </si>
  <si>
    <t>■EVH-600C(ﾊﾞﾙﾌﾞﾍﾞｰｽ)</t>
    <phoneticPr fontId="1"/>
  </si>
  <si>
    <t>MVSHM-3N04000001003-2MW-RWGAY</t>
  </si>
  <si>
    <t>MVBLK-AMW-2MW-JSH41</t>
  </si>
  <si>
    <t>■EVH-600D(ﾊﾞﾙﾌﾞｳｹ)</t>
  </si>
  <si>
    <t>eco-PEN600用</t>
    <phoneticPr fontId="1"/>
  </si>
  <si>
    <t>シリンジホルダ</t>
    <phoneticPr fontId="1"/>
  </si>
  <si>
    <t>I/O-MT用
ツールプレート一式</t>
    <phoneticPr fontId="1"/>
  </si>
  <si>
    <t>CSHZ-ST-M5-60</t>
  </si>
  <si>
    <t>CSHZ-ST-M5-55</t>
    <phoneticPr fontId="1"/>
  </si>
  <si>
    <t>■SETA0060-X01（ﾂｰﾙﾌﾟﾚｰﾄ)</t>
    <phoneticPr fontId="1"/>
  </si>
  <si>
    <t>■SETA0060-X02（ﾓｰﾀﾌﾟﾚｰﾄ)</t>
  </si>
  <si>
    <t>SCB5-12</t>
    <phoneticPr fontId="1"/>
  </si>
  <si>
    <t>@ECHN-20190605-00048</t>
  </si>
  <si>
    <t>MWI-COM-P10N10</t>
  </si>
  <si>
    <t>PCX-10S50</t>
    <phoneticPr fontId="1"/>
  </si>
  <si>
    <t>2M-3</t>
    <phoneticPr fontId="1"/>
  </si>
  <si>
    <t>CC030VZFBT</t>
    <phoneticPr fontId="1"/>
  </si>
  <si>
    <t>I/O-MT用モーター
(AZM66MK-FC20UA)
制御機器一式</t>
    <phoneticPr fontId="1"/>
  </si>
  <si>
    <t>ｵﾘｴﾝﾀﾙﾓｰﾀｰ</t>
    <phoneticPr fontId="3"/>
  </si>
  <si>
    <t>DNR274-200</t>
    <phoneticPr fontId="1"/>
  </si>
  <si>
    <t>MWI-COM-TB20</t>
    <phoneticPr fontId="1"/>
  </si>
  <si>
    <t>AZD-K</t>
    <phoneticPr fontId="1"/>
  </si>
  <si>
    <t>棒端子</t>
    <rPh sb="0" eb="3">
      <t>ボウタンシ</t>
    </rPh>
    <phoneticPr fontId="1"/>
  </si>
  <si>
    <t>DB-9SP</t>
    <phoneticPr fontId="3"/>
  </si>
  <si>
    <t>DE-C8-J9-F11R</t>
    <phoneticPr fontId="3"/>
  </si>
  <si>
    <t>■SETA0060-Z04(ﾊﾞｯｸﾌﾟﾚｰﾄ)</t>
  </si>
  <si>
    <t>ﾉｯｸﾋﾟﾝ MS</t>
  </si>
  <si>
    <t>ﾈｼﾞ CB SCB BCB SBCB GUTB</t>
  </si>
  <si>
    <t>ｴﾝｹｲｼﾁｭｳ - SETGS</t>
  </si>
  <si>
    <t>ﾁｮｳﾎﾞﾙﾄ-ﾀﾝﾋﾟﾝ ｺﾊﾞｺ-</t>
  </si>
  <si>
    <t>ｼﾞｭｼﾛｰﾚｯﾄﾂｷﾈｼﾞ-ﾀﾝﾋﾟﾝ ｺﾊﾞｺ-</t>
  </si>
  <si>
    <t>ｷﾝｿﾞｸｶﾗｰ NCLSS</t>
  </si>
  <si>
    <t>ﾅｯﾄ-ﾀﾝﾋﾟﾝﾊﾝﾊﾞｲ-</t>
  </si>
  <si>
    <t>ｱﾀﾞﾌﾟﾀｰ(APMTS)</t>
  </si>
  <si>
    <t>ﾀﾝｿﾞｳﾁｮｳﾅｯﾄ 1ｼｭ</t>
  </si>
  <si>
    <t>ｼｰﾙﾜｯｼｬ GSWC</t>
  </si>
  <si>
    <t>ﾋﾝｼﾞﾎﾞﾙﾄ(HGBSR)</t>
  </si>
  <si>
    <t>ﾋﾝｼﾞﾋﾟﾝﾂﾊﾞﾂｷﾄﾒﾜﾄﾒｺﾃｲﾖｳ SHCDG</t>
  </si>
  <si>
    <t>ｵﾘｴﾝﾀﾙﾓｰﾀｰ</t>
  </si>
  <si>
    <t>FASTENING</t>
  </si>
  <si>
    <t>ﾛｯｶｸｱﾅﾂｷﾎﾞﾙﾄ ｾﾞﾝﾈｼﾞ</t>
  </si>
  <si>
    <t>ｼｬﾌﾄﾎﾙﾀﾞ SSTHWS</t>
  </si>
  <si>
    <t>WEBﾊｰﾈｽ</t>
  </si>
  <si>
    <t>ACｺｰﾄﾞ</t>
  </si>
  <si>
    <t>ｽﾃｯﾋﾟﾝｸﾞ AZ</t>
  </si>
  <si>
    <t>ｽﾃｯﾋﾟﾝｸﾞ ｹｰﾌﾞﾙ</t>
  </si>
  <si>
    <t>ｺﾓﾝﾀﾝｼﾀﾞｲ</t>
  </si>
  <si>
    <t>ﾀﾝｼﾀﾞｲ PCXｼﾘｰｽﾞ</t>
  </si>
  <si>
    <t>POWER SUPPLY</t>
  </si>
  <si>
    <t>ﾃﾞｨﾝﾚｰﾙ(DNR274)</t>
  </si>
  <si>
    <t>DSUBﾊｰﾈｽ</t>
  </si>
  <si>
    <t>ﾈｼﾞﾍﾝｶﾝｼｷﾀﾝｼﾀﾞｲ</t>
  </si>
  <si>
    <t>ｺﾈｸﾀ</t>
  </si>
  <si>
    <t>EMID-SUBｺﾈｸﾀ</t>
  </si>
  <si>
    <t>ｷﾝｿﾞｸﾜｯｼｬ SUS (WSSS)</t>
  </si>
  <si>
    <t>SLBNR4</t>
    <phoneticPr fontId="1"/>
  </si>
  <si>
    <t>eco-PEN450用</t>
    <phoneticPr fontId="1"/>
  </si>
  <si>
    <t>No.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</si>
  <si>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</si>
  <si>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</si>
  <si>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</si>
  <si>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</si>
  <si>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</si>
  <si>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</si>
  <si>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</si>
  <si>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数千円</t>
    <rPh sb="0" eb="3">
      <t>スウセンエン</t>
    </rPh>
    <phoneticPr fontId="1"/>
  </si>
  <si>
    <t>数百円</t>
    <rPh sb="0" eb="3">
      <t>スウヒャクエン</t>
    </rPh>
    <phoneticPr fontId="1"/>
  </si>
  <si>
    <t>セット</t>
    <phoneticPr fontId="1"/>
  </si>
  <si>
    <t>1セット</t>
    <phoneticPr fontId="1"/>
  </si>
  <si>
    <t>2セット</t>
    <phoneticPr fontId="1"/>
  </si>
  <si>
    <t>■eco-PEN600 ツール治具
※eco-PEN600をベース板に取り付ける専用治具となります。</t>
    <rPh sb="15" eb="17">
      <t>ジグ</t>
    </rPh>
    <rPh sb="34" eb="35">
      <t>イタ</t>
    </rPh>
    <rPh sb="36" eb="37">
      <t>ト</t>
    </rPh>
    <rPh sb="38" eb="39">
      <t>ツ</t>
    </rPh>
    <phoneticPr fontId="1"/>
  </si>
  <si>
    <t>■eco-DUO600 ツール治具
※eco-DUO600をベース板に取り付ける専用治具になります。</t>
    <rPh sb="15" eb="17">
      <t>ジグ</t>
    </rPh>
    <rPh sb="34" eb="35">
      <t>イタ</t>
    </rPh>
    <rPh sb="36" eb="37">
      <t>ト</t>
    </rPh>
    <rPh sb="38" eb="39">
      <t>ツ</t>
    </rPh>
    <rPh sb="41" eb="45">
      <t>センヨウジグ</t>
    </rPh>
    <phoneticPr fontId="1"/>
  </si>
  <si>
    <t>■eco-PEN450 ツール治具
※eco-PEN450をベース板に取り付ける専用治具となります。
　eco-PEN600と大きさが違うため兼用できないため。</t>
    <rPh sb="15" eb="17">
      <t>ジグ</t>
    </rPh>
    <rPh sb="34" eb="35">
      <t>イタ</t>
    </rPh>
    <rPh sb="36" eb="37">
      <t>ト</t>
    </rPh>
    <rPh sb="38" eb="39">
      <t>ツ</t>
    </rPh>
    <rPh sb="41" eb="43">
      <t>センヨウ</t>
    </rPh>
    <rPh sb="43" eb="45">
      <t>ジグ</t>
    </rPh>
    <rPh sb="64" eb="65">
      <t>オオ</t>
    </rPh>
    <rPh sb="68" eb="69">
      <t>チガ</t>
    </rPh>
    <rPh sb="72" eb="74">
      <t>ケンヨウ</t>
    </rPh>
    <phoneticPr fontId="1"/>
  </si>
  <si>
    <t>治具のイメージ図面</t>
    <rPh sb="0" eb="2">
      <t>ジグ</t>
    </rPh>
    <rPh sb="7" eb="9">
      <t>ズメン</t>
    </rPh>
    <phoneticPr fontId="1"/>
  </si>
  <si>
    <t>装置図</t>
    <rPh sb="0" eb="2">
      <t>ソウチ</t>
    </rPh>
    <rPh sb="2" eb="3">
      <t>ズ</t>
    </rPh>
    <phoneticPr fontId="1"/>
  </si>
  <si>
    <t>用途の説明</t>
    <rPh sb="0" eb="2">
      <t>ヨウト</t>
    </rPh>
    <rPh sb="1" eb="2">
      <t>シヨウ</t>
    </rPh>
    <rPh sb="3" eb="5">
      <t>セツメイ</t>
    </rPh>
    <phoneticPr fontId="3"/>
  </si>
  <si>
    <r>
      <t>■万能ツール治具(各種バルブ・JET対応)
※既存のバルブ治具やJETが装着できる</t>
    </r>
    <r>
      <rPr>
        <u/>
        <sz val="14"/>
        <color rgb="FFFF0000"/>
        <rFont val="游ゴシック"/>
        <family val="3"/>
        <charset val="128"/>
        <scheme val="minor"/>
      </rPr>
      <t>ベース板</t>
    </r>
    <r>
      <rPr>
        <sz val="14"/>
        <color rgb="FFFF0000"/>
        <rFont val="游ゴシック"/>
        <family val="3"/>
        <charset val="128"/>
        <scheme val="minor"/>
      </rPr>
      <t>になります。
　他の3軸ロボットでも使用出来るように加工しています。</t>
    </r>
    <rPh sb="1" eb="3">
      <t>バンノウ</t>
    </rPh>
    <rPh sb="6" eb="8">
      <t>ジグ</t>
    </rPh>
    <rPh sb="9" eb="11">
      <t>カクシュ</t>
    </rPh>
    <rPh sb="18" eb="20">
      <t>タイオウ</t>
    </rPh>
    <rPh sb="24" eb="26">
      <t>キゾン</t>
    </rPh>
    <rPh sb="30" eb="32">
      <t>ジグ</t>
    </rPh>
    <rPh sb="37" eb="39">
      <t>ソウチャク</t>
    </rPh>
    <rPh sb="45" eb="46">
      <t>イタ</t>
    </rPh>
    <rPh sb="54" eb="55">
      <t>ホカ</t>
    </rPh>
    <rPh sb="57" eb="58">
      <t>ジク</t>
    </rPh>
    <rPh sb="64" eb="66">
      <t>シヨウ</t>
    </rPh>
    <rPh sb="66" eb="68">
      <t>デキ</t>
    </rPh>
    <rPh sb="72" eb="74">
      <t>カコウ</t>
    </rPh>
    <phoneticPr fontId="1"/>
  </si>
  <si>
    <t>■チルト機構テスト用 ツール治具
※ロボットの駆動軸を追加して、多様な塗布の要望に対応できます。
　駆動モーター本体と制御コントローラー、配線ケーブルおよび
　チルト専用のベース板が含まれます。</t>
    <rPh sb="4" eb="6">
      <t>キコウ</t>
    </rPh>
    <rPh sb="9" eb="10">
      <t>ヨウ</t>
    </rPh>
    <rPh sb="14" eb="16">
      <t>ジグ</t>
    </rPh>
    <rPh sb="24" eb="26">
      <t>クドウ</t>
    </rPh>
    <rPh sb="26" eb="27">
      <t>ジク</t>
    </rPh>
    <rPh sb="28" eb="30">
      <t>ツイカ</t>
    </rPh>
    <rPh sb="33" eb="35">
      <t>タヨウ</t>
    </rPh>
    <rPh sb="36" eb="38">
      <t>トフ</t>
    </rPh>
    <rPh sb="39" eb="41">
      <t>ヨウボウ</t>
    </rPh>
    <rPh sb="42" eb="44">
      <t>タイオウ</t>
    </rPh>
    <rPh sb="51" eb="53">
      <t>クドウ</t>
    </rPh>
    <rPh sb="57" eb="59">
      <t>ホンタイ</t>
    </rPh>
    <rPh sb="60" eb="62">
      <t>セイギョ</t>
    </rPh>
    <rPh sb="70" eb="72">
      <t>ハイセン</t>
    </rPh>
    <rPh sb="84" eb="86">
      <t>センヨウ</t>
    </rPh>
    <rPh sb="90" eb="91">
      <t>イタ</t>
    </rPh>
    <rPh sb="92" eb="93">
      <t>フク</t>
    </rPh>
    <phoneticPr fontId="1"/>
  </si>
  <si>
    <t>■ワークセット用の治具
※ロボットで塗布する際にワークを固定するための専用治具です。
　サンエイテックの標準的な治具で、様々な大きさ・高さのものに
　対応可能な万能ワーク治具です。</t>
    <rPh sb="7" eb="8">
      <t>ヨウ</t>
    </rPh>
    <rPh sb="9" eb="11">
      <t>ジグ</t>
    </rPh>
    <rPh sb="19" eb="21">
      <t>トフ</t>
    </rPh>
    <rPh sb="23" eb="24">
      <t>サイ</t>
    </rPh>
    <rPh sb="29" eb="31">
      <t>コテイ</t>
    </rPh>
    <rPh sb="36" eb="40">
      <t>センヨウジグ</t>
    </rPh>
    <rPh sb="53" eb="55">
      <t>ヒョウジュン</t>
    </rPh>
    <rPh sb="55" eb="56">
      <t>テキ</t>
    </rPh>
    <rPh sb="57" eb="59">
      <t>ジグ</t>
    </rPh>
    <rPh sb="61" eb="63">
      <t>サマザマ</t>
    </rPh>
    <rPh sb="64" eb="65">
      <t>オオ</t>
    </rPh>
    <rPh sb="68" eb="69">
      <t>タカ</t>
    </rPh>
    <rPh sb="76" eb="78">
      <t>タイオウ</t>
    </rPh>
    <rPh sb="78" eb="80">
      <t>カノウ</t>
    </rPh>
    <rPh sb="81" eb="83">
      <t>バンノウ</t>
    </rPh>
    <rPh sb="86" eb="88">
      <t>ジグ</t>
    </rPh>
    <phoneticPr fontId="1"/>
  </si>
  <si>
    <t>■ノズル硬化防止用の浸け置き治具
(接着剤やコーティング剤テスト用)
※液剤の硬化を防ぐ溶剤カップを置くための専用治具です。</t>
    <rPh sb="4" eb="6">
      <t>コウカ</t>
    </rPh>
    <rPh sb="6" eb="9">
      <t>ボウシヨウ</t>
    </rPh>
    <rPh sb="10" eb="11">
      <t>ツ</t>
    </rPh>
    <rPh sb="12" eb="13">
      <t>オ</t>
    </rPh>
    <rPh sb="14" eb="16">
      <t>ジグ</t>
    </rPh>
    <rPh sb="18" eb="21">
      <t>セッチャクザイ</t>
    </rPh>
    <rPh sb="28" eb="29">
      <t>ザイ</t>
    </rPh>
    <rPh sb="32" eb="33">
      <t>ヨウ</t>
    </rPh>
    <rPh sb="37" eb="39">
      <t>エキザイ</t>
    </rPh>
    <rPh sb="38" eb="39">
      <t>ジツエキ</t>
    </rPh>
    <rPh sb="40" eb="42">
      <t>コウカ</t>
    </rPh>
    <rPh sb="43" eb="44">
      <t>フセ</t>
    </rPh>
    <rPh sb="45" eb="47">
      <t>ヨウザイ</t>
    </rPh>
    <rPh sb="51" eb="52">
      <t>オ</t>
    </rPh>
    <rPh sb="56" eb="58">
      <t>センヨウ</t>
    </rPh>
    <rPh sb="58" eb="60">
      <t>ジグ</t>
    </rPh>
    <phoneticPr fontId="1"/>
  </si>
  <si>
    <t>小計</t>
    <rPh sb="0" eb="2">
      <t>ショウケイ</t>
    </rPh>
    <phoneticPr fontId="1"/>
  </si>
  <si>
    <t>依頼先</t>
    <rPh sb="0" eb="2">
      <t>イライ</t>
    </rPh>
    <phoneticPr fontId="3"/>
  </si>
  <si>
    <t>MVBLK-AMW-2MW-EXT6M</t>
    <phoneticPr fontId="1"/>
  </si>
  <si>
    <t>MVBLK-AMW-2MW-H9HFP</t>
    <phoneticPr fontId="1"/>
  </si>
  <si>
    <t>MVBLK-AMW-2MW-KLBU2</t>
    <phoneticPr fontId="1"/>
  </si>
  <si>
    <t>MVBLK-AMW-2MW-FSL6K</t>
    <phoneticPr fontId="1"/>
  </si>
  <si>
    <t>MVBLK-AMW-2MW-2X7LS</t>
    <phoneticPr fontId="1"/>
  </si>
  <si>
    <t>MVBLK-AMW-2MW-5THK4</t>
    <phoneticPr fontId="1"/>
  </si>
  <si>
    <t>MVSHM-3N01000005005-2MW-TNSDZ</t>
    <phoneticPr fontId="1"/>
  </si>
  <si>
    <t>MVSHM-3N02052005008-2MW-JT2JB</t>
    <phoneticPr fontId="1"/>
  </si>
  <si>
    <t>CHBS4-10</t>
    <phoneticPr fontId="1"/>
  </si>
  <si>
    <t>MVBLK-AMW-2MW-AUMA4</t>
    <phoneticPr fontId="1"/>
  </si>
  <si>
    <t>MVBLK-AMW-2MW-EBN8P</t>
    <phoneticPr fontId="1"/>
  </si>
  <si>
    <t>MVBLK-AMW-2MW-378RR</t>
    <phoneticPr fontId="1"/>
  </si>
  <si>
    <t>APMTS-G1-N1</t>
    <phoneticPr fontId="1"/>
  </si>
  <si>
    <t>CHN1T-SUS-M6</t>
    <phoneticPr fontId="1"/>
  </si>
  <si>
    <t>GSWC10</t>
    <phoneticPr fontId="1"/>
  </si>
  <si>
    <t>HGBSR6-12-60-6</t>
    <phoneticPr fontId="1"/>
  </si>
  <si>
    <t>SHCDG4-15</t>
    <phoneticPr fontId="1"/>
  </si>
  <si>
    <t>SHCDG6-15</t>
    <phoneticPr fontId="1"/>
  </si>
  <si>
    <t>MVSHM-3N04000001003-2MW-RWGAY</t>
    <phoneticPr fontId="1"/>
  </si>
  <si>
    <t>MVBLK-AMW-2MW-KL4YB</t>
    <phoneticPr fontId="1"/>
  </si>
  <si>
    <t>MVBLK-AMW-2MW-CMT53</t>
    <phoneticPr fontId="1"/>
  </si>
  <si>
    <t>MVBLK-AMW-2MW-UC19R</t>
    <phoneticPr fontId="1"/>
  </si>
  <si>
    <t>MVBLK-AMW-2MW-GAW3D</t>
    <phoneticPr fontId="1"/>
  </si>
  <si>
    <t>MVBLK-AMW-2MW-J127H</t>
    <phoneticPr fontId="1"/>
  </si>
  <si>
    <t>MVBLK-AMW-2MW-LMLEY</t>
    <phoneticPr fontId="1"/>
  </si>
  <si>
    <t>AZM66MK-FC20UA</t>
    <phoneticPr fontId="1"/>
  </si>
  <si>
    <t>CSHSM-ST-M4-6</t>
    <phoneticPr fontId="1"/>
  </si>
  <si>
    <t>SSTHWS15</t>
    <phoneticPr fontId="1"/>
  </si>
  <si>
    <t>S8VS-18024</t>
    <phoneticPr fontId="1"/>
  </si>
  <si>
    <t>NEDJL-PS-SB-37-1.5</t>
    <phoneticPr fontId="1"/>
  </si>
  <si>
    <t>MWS-DS37A-HT37</t>
    <phoneticPr fontId="1"/>
  </si>
  <si>
    <t>WSSS8-5-5</t>
    <phoneticPr fontId="1"/>
  </si>
  <si>
    <t>MVSHM-3N02052018056-2MW-8BYU5</t>
    <phoneticPr fontId="1"/>
  </si>
  <si>
    <t>CC030VZFBT2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</si>
</sst>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0_);[Red]\(0\)"/>
    <numFmt numFmtId="178" formatCode="&quot;¥&quot;#,##0_);[Red]\(&quot;¥&quot;#,##0\)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rgb="FFFF0000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u/>
      <sz val="14"/>
      <color rgb="FFFF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0" xfId="0" applyFill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right" vertical="center"/>
    </xf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0" xfId="0" applyNumberFormat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center" vertical="center"/>
    </xf>
    <xf numFmtId="177" fontId="0" fillId="3" borderId="1" xfId="0" applyNumberFormat="1" applyFill="1" applyBorder="1">
      <alignment vertical="center"/>
    </xf>
    <xf numFmtId="177" fontId="0" fillId="0" borderId="1" xfId="0" applyNumberFormat="1" applyFill="1" applyBorder="1">
      <alignment vertical="center"/>
    </xf>
    <xf numFmtId="177" fontId="0" fillId="0" borderId="5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3" borderId="1" xfId="0" applyNumberFormat="1" applyFill="1" applyBorder="1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5" fillId="3" borderId="1" xfId="0" applyNumberFormat="1" applyFont="1" applyFill="1" applyBorder="1">
      <alignment vertical="center"/>
    </xf>
    <xf numFmtId="177" fontId="5" fillId="0" borderId="1" xfId="0" applyNumberFormat="1" applyFont="1" applyFill="1" applyBorder="1">
      <alignment vertical="center"/>
    </xf>
    <xf numFmtId="177" fontId="5" fillId="0" borderId="5" xfId="0" applyNumberFormat="1" applyFont="1" applyFill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177" fontId="6" fillId="3" borderId="1" xfId="0" applyNumberFormat="1" applyFont="1" applyFill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ont="1" applyFill="1" applyBorder="1">
      <alignment vertical="center"/>
    </xf>
    <xf numFmtId="0" fontId="8" fillId="4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178" fontId="4" fillId="0" borderId="7" xfId="0" applyNumberFormat="1" applyFont="1" applyBorder="1">
      <alignment vertical="center"/>
    </xf>
    <xf numFmtId="178" fontId="0" fillId="3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178" fontId="0" fillId="3" borderId="4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178" fontId="0" fillId="3" borderId="5" xfId="0" applyNumberFormat="1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178" fontId="0" fillId="0" borderId="6" xfId="0" applyNumberForma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177" fontId="0" fillId="6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56" fontId="0" fillId="6" borderId="1" xfId="0" applyNumberForma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9.png"/><Relationship Id="rId7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11.png"/><Relationship Id="rId10" Type="http://schemas.openxmlformats.org/officeDocument/2006/relationships/image" Target="../media/image4.png"/><Relationship Id="rId4" Type="http://schemas.openxmlformats.org/officeDocument/2006/relationships/image" Target="../media/image10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139700</xdr:colOff>
      <xdr:row>26</xdr:row>
      <xdr:rowOff>127000</xdr:rowOff>
    </xdr:from>
    <xdr:to>
      <xdr:col>14</xdr:col>
      <xdr:colOff>2497720</xdr:colOff>
      <xdr:row>33</xdr:row>
      <xdr:rowOff>176500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097A2C7-45A0-42DA-ADAE-516D282EC8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856"/>
        <a:stretch/>
      </xdr:blipFill>
      <xdr:spPr>
        <a:xfrm flipH="1">
          <a:off x="22860000" y="6070600"/>
          <a:ext cx="2358020" cy="1649700"/>
        </a:xfrm>
        <a:prstGeom prst="rect">
          <a:avLst/>
        </a:prstGeom>
      </xdr:spPr>
    </xdr:pic>
    <xdr:clientData/>
  </xdr:twoCellAnchor>
  <xdr:twoCellAnchor editAs="oneCell">
    <xdr:from>
      <xdr:col>14</xdr:col>
      <xdr:colOff>584200</xdr:colOff>
      <xdr:row>36</xdr:row>
      <xdr:rowOff>203200</xdr:rowOff>
    </xdr:from>
    <xdr:to>
      <xdr:col>14</xdr:col>
      <xdr:colOff>2092248</xdr:colOff>
      <xdr:row>43</xdr:row>
      <xdr:rowOff>75565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FC4AB1A-F31D-46D1-9001-113504E41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02900" y="8432800"/>
          <a:ext cx="1508048" cy="1472565"/>
        </a:xfrm>
        <a:prstGeom prst="rect">
          <a:avLst/>
        </a:prstGeom>
      </xdr:spPr>
    </xdr:pic>
    <xdr:clientData/>
  </xdr:twoCellAnchor>
  <xdr:twoCellAnchor editAs="oneCell">
    <xdr:from>
      <xdr:col>14</xdr:col>
      <xdr:colOff>850900</xdr:colOff>
      <xdr:row>44</xdr:row>
      <xdr:rowOff>114300</xdr:rowOff>
    </xdr:from>
    <xdr:to>
      <xdr:col>14</xdr:col>
      <xdr:colOff>1592489</xdr:colOff>
      <xdr:row>44</xdr:row>
      <xdr:rowOff>1498600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BCE071D8-3685-425C-9E9B-71D64169D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69600" y="10172700"/>
          <a:ext cx="741589" cy="1384300"/>
        </a:xfrm>
        <a:prstGeom prst="rect">
          <a:avLst/>
        </a:prstGeom>
      </xdr:spPr>
    </xdr:pic>
    <xdr:clientData/>
  </xdr:twoCellAnchor>
  <xdr:twoCellAnchor editAs="oneCell">
    <xdr:from>
      <xdr:col>14</xdr:col>
      <xdr:colOff>393699</xdr:colOff>
      <xdr:row>46</xdr:row>
      <xdr:rowOff>226832</xdr:rowOff>
    </xdr:from>
    <xdr:to>
      <xdr:col>14</xdr:col>
      <xdr:colOff>2100150</xdr:colOff>
      <xdr:row>57</xdr:row>
      <xdr:rowOff>12700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F92E1947-8995-42DA-8E0F-E3070D8ACB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47732"/>
        <a:stretch/>
      </xdr:blipFill>
      <xdr:spPr>
        <a:xfrm>
          <a:off x="23012399" y="12723632"/>
          <a:ext cx="1706451" cy="2300468"/>
        </a:xfrm>
        <a:prstGeom prst="rect">
          <a:avLst/>
        </a:prstGeom>
      </xdr:spPr>
    </xdr:pic>
    <xdr:clientData/>
  </xdr:twoCellAnchor>
  <xdr:twoCellAnchor editAs="oneCell">
    <xdr:from>
      <xdr:col>14</xdr:col>
      <xdr:colOff>520699</xdr:colOff>
      <xdr:row>58</xdr:row>
      <xdr:rowOff>107950</xdr:rowOff>
    </xdr:from>
    <xdr:to>
      <xdr:col>14</xdr:col>
      <xdr:colOff>2091266</xdr:colOff>
      <xdr:row>68</xdr:row>
      <xdr:rowOff>177800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4F80E5FE-04E5-45D9-A1B7-F1D12FEC5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3592" r="-567"/>
        <a:stretch/>
      </xdr:blipFill>
      <xdr:spPr>
        <a:xfrm>
          <a:off x="23139399" y="15347950"/>
          <a:ext cx="1570567" cy="235585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952500</xdr:colOff>
      <xdr:row>45</xdr:row>
      <xdr:rowOff>177801</xdr:rowOff>
    </xdr:from>
    <xdr:to>
      <xdr:col>14</xdr:col>
      <xdr:colOff>1369301</xdr:colOff>
      <xdr:row>45</xdr:row>
      <xdr:rowOff>1270001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D5E5A393-8B8B-406C-9F84-B23219855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571200" y="11823701"/>
          <a:ext cx="416801" cy="1092200"/>
        </a:xfrm>
        <a:prstGeom prst="rect">
          <a:avLst/>
        </a:prstGeom>
      </xdr:spPr>
    </xdr:pic>
    <xdr:clientData/>
  </xdr:twoCellAnchor>
  <xdr:twoCellAnchor>
    <xdr:from>
      <xdr:col>9</xdr:col>
      <xdr:colOff>101600</xdr:colOff>
      <xdr:row>3</xdr:row>
      <xdr:rowOff>147320</xdr:rowOff>
    </xdr:from>
    <xdr:to>
      <xdr:col>13</xdr:col>
      <xdr:colOff>5956300</xdr:colOff>
      <xdr:row>21</xdr:row>
      <xdr:rowOff>92280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00A46DCE-AAEC-4E47-A1BF-6622643DEB00}"/>
            </a:ext>
          </a:extLst>
        </xdr:cNvPr>
        <xdr:cNvGrpSpPr/>
      </xdr:nvGrpSpPr>
      <xdr:grpSpPr>
        <a:xfrm>
          <a:off x="11817350" y="895713"/>
          <a:ext cx="10440307" cy="4353674"/>
          <a:chOff x="12827000" y="833120"/>
          <a:chExt cx="10439400" cy="4059760"/>
        </a:xfrm>
      </xdr:grpSpPr>
      <xdr:pic>
        <xdr:nvPicPr>
          <xdr:cNvPr id="38" name="図 37">
            <a:extLst>
              <a:ext uri="{FF2B5EF4-FFF2-40B4-BE49-F238E27FC236}">
                <a16:creationId xmlns:a16="http://schemas.microsoft.com/office/drawing/2014/main" id="{3B3AFEEE-D865-4E6A-9427-216DAC2460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9088100" y="863600"/>
            <a:ext cx="4178300" cy="4029280"/>
          </a:xfrm>
          <a:prstGeom prst="rect">
            <a:avLst/>
          </a:prstGeom>
        </xdr:spPr>
      </xdr:pic>
      <xdr:pic>
        <xdr:nvPicPr>
          <xdr:cNvPr id="2" name="図 1">
            <a:extLst>
              <a:ext uri="{FF2B5EF4-FFF2-40B4-BE49-F238E27FC236}">
                <a16:creationId xmlns:a16="http://schemas.microsoft.com/office/drawing/2014/main" id="{972DA237-A9BC-4390-ADFC-B5F644D1A53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t="2189" r="8553"/>
          <a:stretch/>
        </xdr:blipFill>
        <xdr:spPr>
          <a:xfrm>
            <a:off x="13118407" y="833120"/>
            <a:ext cx="4854633" cy="4050675"/>
          </a:xfrm>
          <a:prstGeom prst="rect">
            <a:avLst/>
          </a:prstGeom>
        </xdr:spPr>
      </xdr:pic>
      <xdr:sp macro="" textlink="">
        <xdr:nvSpPr>
          <xdr:cNvPr id="6" name="楕円 5">
            <a:extLst>
              <a:ext uri="{FF2B5EF4-FFF2-40B4-BE49-F238E27FC236}">
                <a16:creationId xmlns:a16="http://schemas.microsoft.com/office/drawing/2014/main" id="{9CF1D5C1-C5CE-4A66-908E-12F24861F489}"/>
              </a:ext>
            </a:extLst>
          </xdr:cNvPr>
          <xdr:cNvSpPr/>
        </xdr:nvSpPr>
        <xdr:spPr>
          <a:xfrm>
            <a:off x="17437100" y="4445000"/>
            <a:ext cx="393700" cy="393700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1</a:t>
            </a:r>
            <a:endParaRPr kumimoji="1" lang="ja-JP" altLang="en-US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" name="楕円 6">
            <a:extLst>
              <a:ext uri="{FF2B5EF4-FFF2-40B4-BE49-F238E27FC236}">
                <a16:creationId xmlns:a16="http://schemas.microsoft.com/office/drawing/2014/main" id="{C24C4845-A787-4BB1-94F2-90841683A1B9}"/>
              </a:ext>
            </a:extLst>
          </xdr:cNvPr>
          <xdr:cNvSpPr/>
        </xdr:nvSpPr>
        <xdr:spPr>
          <a:xfrm>
            <a:off x="13741400" y="4343400"/>
            <a:ext cx="393700" cy="393700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2</a:t>
            </a:r>
            <a:endParaRPr kumimoji="1" lang="ja-JP" altLang="en-US" sz="16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75C9035A-7988-4902-83A1-CDBF9AE8D1ED}"/>
              </a:ext>
            </a:extLst>
          </xdr:cNvPr>
          <xdr:cNvCxnSpPr>
            <a:stCxn id="6" idx="1"/>
          </xdr:cNvCxnSpPr>
        </xdr:nvCxnSpPr>
        <xdr:spPr>
          <a:xfrm flipH="1" flipV="1">
            <a:off x="16649700" y="4076700"/>
            <a:ext cx="845056" cy="42595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BF8E4942-17FC-4C8A-BC71-8DA9C5356FDA}"/>
              </a:ext>
            </a:extLst>
          </xdr:cNvPr>
          <xdr:cNvCxnSpPr/>
        </xdr:nvCxnSpPr>
        <xdr:spPr>
          <a:xfrm flipV="1">
            <a:off x="14116556" y="3898900"/>
            <a:ext cx="323344" cy="54025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楕円 14">
            <a:extLst>
              <a:ext uri="{FF2B5EF4-FFF2-40B4-BE49-F238E27FC236}">
                <a16:creationId xmlns:a16="http://schemas.microsoft.com/office/drawing/2014/main" id="{E84A1699-F0BC-4DB9-8E5F-4E33605A7720}"/>
              </a:ext>
            </a:extLst>
          </xdr:cNvPr>
          <xdr:cNvSpPr/>
        </xdr:nvSpPr>
        <xdr:spPr>
          <a:xfrm>
            <a:off x="16548100" y="1028700"/>
            <a:ext cx="393700" cy="393700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3</a:t>
            </a:r>
            <a:endParaRPr kumimoji="1" lang="ja-JP" altLang="en-US" sz="16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36A3AF4F-52FD-44E5-BEC8-C74ABBBC3954}"/>
              </a:ext>
            </a:extLst>
          </xdr:cNvPr>
          <xdr:cNvCxnSpPr>
            <a:stCxn id="15" idx="4"/>
          </xdr:cNvCxnSpPr>
        </xdr:nvCxnSpPr>
        <xdr:spPr>
          <a:xfrm flipH="1">
            <a:off x="16408400" y="1422400"/>
            <a:ext cx="336550" cy="31750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楕円 20">
            <a:extLst>
              <a:ext uri="{FF2B5EF4-FFF2-40B4-BE49-F238E27FC236}">
                <a16:creationId xmlns:a16="http://schemas.microsoft.com/office/drawing/2014/main" id="{126CBFFB-4E57-4E84-9106-CE83AEE1CC66}"/>
              </a:ext>
            </a:extLst>
          </xdr:cNvPr>
          <xdr:cNvSpPr/>
        </xdr:nvSpPr>
        <xdr:spPr>
          <a:xfrm>
            <a:off x="12827000" y="2781300"/>
            <a:ext cx="393700" cy="393700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4</a:t>
            </a:r>
            <a:endParaRPr kumimoji="1" lang="ja-JP" altLang="en-US" sz="16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22" name="直線矢印コネクタ 21">
            <a:extLst>
              <a:ext uri="{FF2B5EF4-FFF2-40B4-BE49-F238E27FC236}">
                <a16:creationId xmlns:a16="http://schemas.microsoft.com/office/drawing/2014/main" id="{B7E3D5B5-01AE-40D3-8E29-ADA58EA3E1BE}"/>
              </a:ext>
            </a:extLst>
          </xdr:cNvPr>
          <xdr:cNvCxnSpPr>
            <a:stCxn id="21" idx="6"/>
          </xdr:cNvCxnSpPr>
        </xdr:nvCxnSpPr>
        <xdr:spPr>
          <a:xfrm flipV="1">
            <a:off x="13220700" y="2806700"/>
            <a:ext cx="571500" cy="17145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楕円 25">
            <a:extLst>
              <a:ext uri="{FF2B5EF4-FFF2-40B4-BE49-F238E27FC236}">
                <a16:creationId xmlns:a16="http://schemas.microsoft.com/office/drawing/2014/main" id="{98E2429D-6570-482C-848E-0E66C3E2291A}"/>
              </a:ext>
            </a:extLst>
          </xdr:cNvPr>
          <xdr:cNvSpPr/>
        </xdr:nvSpPr>
        <xdr:spPr>
          <a:xfrm>
            <a:off x="13919200" y="3378200"/>
            <a:ext cx="393700" cy="393700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5</a:t>
            </a:r>
            <a:endParaRPr kumimoji="1" lang="ja-JP" altLang="en-US" sz="16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F5CE485B-5A91-4849-A4C5-98D73C03F884}"/>
              </a:ext>
            </a:extLst>
          </xdr:cNvPr>
          <xdr:cNvCxnSpPr/>
        </xdr:nvCxnSpPr>
        <xdr:spPr>
          <a:xfrm flipV="1">
            <a:off x="14109700" y="2908300"/>
            <a:ext cx="38100" cy="48895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楕円 28">
            <a:extLst>
              <a:ext uri="{FF2B5EF4-FFF2-40B4-BE49-F238E27FC236}">
                <a16:creationId xmlns:a16="http://schemas.microsoft.com/office/drawing/2014/main" id="{22DA5FD6-98A1-4090-BCC5-B7952D8DBAF0}"/>
              </a:ext>
            </a:extLst>
          </xdr:cNvPr>
          <xdr:cNvSpPr/>
        </xdr:nvSpPr>
        <xdr:spPr>
          <a:xfrm>
            <a:off x="14681200" y="3200400"/>
            <a:ext cx="393700" cy="393700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6</a:t>
            </a:r>
            <a:endParaRPr kumimoji="1" lang="ja-JP" altLang="en-US" sz="16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30" name="直線矢印コネクタ 29">
            <a:extLst>
              <a:ext uri="{FF2B5EF4-FFF2-40B4-BE49-F238E27FC236}">
                <a16:creationId xmlns:a16="http://schemas.microsoft.com/office/drawing/2014/main" id="{60FCF5FB-703D-4055-9E63-8EC1384C7A6C}"/>
              </a:ext>
            </a:extLst>
          </xdr:cNvPr>
          <xdr:cNvCxnSpPr/>
        </xdr:nvCxnSpPr>
        <xdr:spPr>
          <a:xfrm flipH="1" flipV="1">
            <a:off x="14732000" y="2882900"/>
            <a:ext cx="139700" cy="33655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楕円 32">
            <a:extLst>
              <a:ext uri="{FF2B5EF4-FFF2-40B4-BE49-F238E27FC236}">
                <a16:creationId xmlns:a16="http://schemas.microsoft.com/office/drawing/2014/main" id="{989DAE67-51C6-46A3-872D-2DB4D2AE0E3B}"/>
              </a:ext>
            </a:extLst>
          </xdr:cNvPr>
          <xdr:cNvSpPr/>
        </xdr:nvSpPr>
        <xdr:spPr>
          <a:xfrm>
            <a:off x="21005800" y="3149600"/>
            <a:ext cx="393700" cy="393700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ctr"/>
            <a:r>
              <a:rPr kumimoji="1" lang="en-US" altLang="ja-JP" sz="1600">
                <a:solidFill>
                  <a:sysClr val="windowText" lastClr="000000"/>
                </a:solidFill>
              </a:rPr>
              <a:t>7</a:t>
            </a:r>
            <a:endParaRPr kumimoji="1" lang="ja-JP" altLang="en-US" sz="16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34" name="直線矢印コネクタ 33">
            <a:extLst>
              <a:ext uri="{FF2B5EF4-FFF2-40B4-BE49-F238E27FC236}">
                <a16:creationId xmlns:a16="http://schemas.microsoft.com/office/drawing/2014/main" id="{2A2BD169-A745-433F-A0A3-BCA12AB18D17}"/>
              </a:ext>
            </a:extLst>
          </xdr:cNvPr>
          <xdr:cNvCxnSpPr/>
        </xdr:nvCxnSpPr>
        <xdr:spPr>
          <a:xfrm flipH="1" flipV="1">
            <a:off x="20523200" y="2463800"/>
            <a:ext cx="629156" cy="70535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直線矢印コネクタ 35">
            <a:extLst>
              <a:ext uri="{FF2B5EF4-FFF2-40B4-BE49-F238E27FC236}">
                <a16:creationId xmlns:a16="http://schemas.microsoft.com/office/drawing/2014/main" id="{71E4D124-92C2-46C7-B810-E264FC65D298}"/>
              </a:ext>
            </a:extLst>
          </xdr:cNvPr>
          <xdr:cNvCxnSpPr/>
        </xdr:nvCxnSpPr>
        <xdr:spPr>
          <a:xfrm flipV="1">
            <a:off x="21368256" y="2806700"/>
            <a:ext cx="399544" cy="489456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右中かっこ 45">
            <a:extLst>
              <a:ext uri="{FF2B5EF4-FFF2-40B4-BE49-F238E27FC236}">
                <a16:creationId xmlns:a16="http://schemas.microsoft.com/office/drawing/2014/main" id="{546F0ED8-3B6A-4C25-82FD-DD9565B849C2}"/>
              </a:ext>
            </a:extLst>
          </xdr:cNvPr>
          <xdr:cNvSpPr/>
        </xdr:nvSpPr>
        <xdr:spPr>
          <a:xfrm rot="16200000">
            <a:off x="16156306" y="586102"/>
            <a:ext cx="431803" cy="2967992"/>
          </a:xfrm>
          <a:prstGeom prst="rightBrac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14</xdr:col>
      <xdr:colOff>101601</xdr:colOff>
      <xdr:row>76</xdr:row>
      <xdr:rowOff>114300</xdr:rowOff>
    </xdr:from>
    <xdr:to>
      <xdr:col>14</xdr:col>
      <xdr:colOff>2522129</xdr:colOff>
      <xdr:row>86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A744949B-7E6A-47EE-AB1D-7DA79DADC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720301" y="20053300"/>
          <a:ext cx="2420528" cy="229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185155</xdr:colOff>
      <xdr:row>3</xdr:row>
      <xdr:rowOff>83386</xdr:rowOff>
    </xdr:from>
    <xdr:to>
      <xdr:col>4</xdr:col>
      <xdr:colOff>3838575</xdr:colOff>
      <xdr:row>3</xdr:row>
      <xdr:rowOff>1733086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7D096EA-52EA-4EE0-AEE4-03529E517A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5856"/>
        <a:stretch/>
      </xdr:blipFill>
      <xdr:spPr>
        <a:xfrm>
          <a:off x="2852155" y="769186"/>
          <a:ext cx="3653420" cy="16497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1269668</xdr:colOff>
      <xdr:row>4</xdr:row>
      <xdr:rowOff>89535</xdr:rowOff>
    </xdr:from>
    <xdr:to>
      <xdr:col>4</xdr:col>
      <xdr:colOff>2777716</xdr:colOff>
      <xdr:row>4</xdr:row>
      <xdr:rowOff>1562100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6C5BF7B-104A-4E2D-8927-7CFFC5C5E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6668" y="2813685"/>
          <a:ext cx="1508048" cy="1472565"/>
        </a:xfrm>
        <a:prstGeom prst="rect">
          <a:avLst/>
        </a:prstGeom>
      </xdr:spPr>
    </xdr:pic>
    <xdr:clientData/>
  </xdr:twoCellAnchor>
  <xdr:twoCellAnchor editAs="oneCell">
    <xdr:from>
      <xdr:col>4</xdr:col>
      <xdr:colOff>1605398</xdr:colOff>
      <xdr:row>8</xdr:row>
      <xdr:rowOff>72164</xdr:rowOff>
    </xdr:from>
    <xdr:to>
      <xdr:col>4</xdr:col>
      <xdr:colOff>2486026</xdr:colOff>
      <xdr:row>8</xdr:row>
      <xdr:rowOff>1724025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1F96E14-4090-49C8-984D-AF453A6BF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72398" y="7892189"/>
          <a:ext cx="880628" cy="1651861"/>
        </a:xfrm>
        <a:prstGeom prst="rect">
          <a:avLst/>
        </a:prstGeom>
      </xdr:spPr>
    </xdr:pic>
    <xdr:clientData/>
  </xdr:twoCellAnchor>
  <xdr:twoCellAnchor editAs="oneCell">
    <xdr:from>
      <xdr:col>4</xdr:col>
      <xdr:colOff>1558195</xdr:colOff>
      <xdr:row>9</xdr:row>
      <xdr:rowOff>85726</xdr:rowOff>
    </xdr:from>
    <xdr:to>
      <xdr:col>4</xdr:col>
      <xdr:colOff>2552914</xdr:colOff>
      <xdr:row>9</xdr:row>
      <xdr:rowOff>1000126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371D51D-DDD8-45CE-A483-79F319D5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5195" y="9686926"/>
          <a:ext cx="994719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1637891</xdr:colOff>
      <xdr:row>10</xdr:row>
      <xdr:rowOff>123825</xdr:rowOff>
    </xdr:from>
    <xdr:to>
      <xdr:col>4</xdr:col>
      <xdr:colOff>2610032</xdr:colOff>
      <xdr:row>10</xdr:row>
      <xdr:rowOff>904875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8D703F4-AAD5-470B-9BAC-B61F9DF15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9778"/>
        <a:stretch/>
      </xdr:blipFill>
      <xdr:spPr>
        <a:xfrm>
          <a:off x="4304891" y="10810875"/>
          <a:ext cx="972141" cy="781050"/>
        </a:xfrm>
        <a:prstGeom prst="rect">
          <a:avLst/>
        </a:prstGeom>
      </xdr:spPr>
    </xdr:pic>
    <xdr:clientData/>
  </xdr:twoCellAnchor>
  <xdr:twoCellAnchor editAs="oneCell">
    <xdr:from>
      <xdr:col>4</xdr:col>
      <xdr:colOff>1819276</xdr:colOff>
      <xdr:row>5</xdr:row>
      <xdr:rowOff>104775</xdr:rowOff>
    </xdr:from>
    <xdr:to>
      <xdr:col>4</xdr:col>
      <xdr:colOff>2382684</xdr:colOff>
      <xdr:row>5</xdr:row>
      <xdr:rowOff>1581150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83879C5-8C79-4C7C-90EE-7489E1ED5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86376" y="4333875"/>
          <a:ext cx="563408" cy="1476375"/>
        </a:xfrm>
        <a:prstGeom prst="rect">
          <a:avLst/>
        </a:prstGeom>
      </xdr:spPr>
    </xdr:pic>
    <xdr:clientData/>
  </xdr:twoCellAnchor>
  <xdr:twoCellAnchor editAs="oneCell">
    <xdr:from>
      <xdr:col>4</xdr:col>
      <xdr:colOff>1504950</xdr:colOff>
      <xdr:row>6</xdr:row>
      <xdr:rowOff>36193</xdr:rowOff>
    </xdr:from>
    <xdr:to>
      <xdr:col>4</xdr:col>
      <xdr:colOff>2552020</xdr:colOff>
      <xdr:row>6</xdr:row>
      <xdr:rowOff>1990725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11327A4-DE18-4203-98DB-DD1EF3E7D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72050" y="5941693"/>
          <a:ext cx="1047070" cy="1954532"/>
        </a:xfrm>
        <a:prstGeom prst="rect">
          <a:avLst/>
        </a:prstGeom>
      </xdr:spPr>
    </xdr:pic>
    <xdr:clientData/>
  </xdr:twoCellAnchor>
  <xdr:twoCellAnchor editAs="oneCell">
    <xdr:from>
      <xdr:col>4</xdr:col>
      <xdr:colOff>1594827</xdr:colOff>
      <xdr:row>11</xdr:row>
      <xdr:rowOff>123825</xdr:rowOff>
    </xdr:from>
    <xdr:to>
      <xdr:col>4</xdr:col>
      <xdr:colOff>2571750</xdr:colOff>
      <xdr:row>11</xdr:row>
      <xdr:rowOff>2067703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2DB271A-24B5-487F-97FB-74D0608A4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61927" y="13573125"/>
          <a:ext cx="976923" cy="1943878"/>
        </a:xfrm>
        <a:prstGeom prst="rect">
          <a:avLst/>
        </a:prstGeom>
      </xdr:spPr>
    </xdr:pic>
    <xdr:clientData/>
  </xdr:twoCellAnchor>
  <xdr:twoCellAnchor editAs="oneCell">
    <xdr:from>
      <xdr:col>4</xdr:col>
      <xdr:colOff>153186</xdr:colOff>
      <xdr:row>12</xdr:row>
      <xdr:rowOff>217847</xdr:rowOff>
    </xdr:from>
    <xdr:to>
      <xdr:col>4</xdr:col>
      <xdr:colOff>3895725</xdr:colOff>
      <xdr:row>12</xdr:row>
      <xdr:rowOff>1762640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C1CE729-96FB-4C08-8B60-A466CE771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20286" y="15772172"/>
          <a:ext cx="3742539" cy="1544793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1009651</xdr:colOff>
      <xdr:row>7</xdr:row>
      <xdr:rowOff>57150</xdr:rowOff>
    </xdr:from>
    <xdr:to>
      <xdr:col>4</xdr:col>
      <xdr:colOff>2929161</xdr:colOff>
      <xdr:row>7</xdr:row>
      <xdr:rowOff>1409700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1123699-90F8-456E-875B-7406C216A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76751" y="8020050"/>
          <a:ext cx="1919510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0B93-F9AE-4414-BEA6-A81BD736A29D}">
  <dimension ref="B1:O95"/>
  <sheetViews>
    <sheetView tabSelected="1" topLeftCell="A64" zoomScale="70" zoomScaleNormal="70" workbookViewId="0">
      <selection activeCell="B95" sqref="B95"/>
    </sheetView>
  </sheetViews>
  <sheetFormatPr defaultRowHeight="18.75" x14ac:dyDescent="0.4"/>
  <cols>
    <col min="1" max="1" width="2.625" customWidth="1"/>
    <col min="2" max="2" width="7.75" customWidth="1"/>
    <col min="3" max="3" width="24.375" style="23" bestFit="1" customWidth="1"/>
    <col min="4" max="4" width="14.375" style="23" bestFit="1" customWidth="1"/>
    <col min="5" max="5" width="13.125" style="23" hidden="1" customWidth="1"/>
    <col min="6" max="6" width="76.875" bestFit="1" customWidth="1"/>
    <col min="7" max="7" width="8.625" bestFit="1" customWidth="1"/>
    <col min="8" max="8" width="6.25" style="25" customWidth="1"/>
    <col min="9" max="10" width="12.75" style="25" customWidth="1"/>
    <col min="11" max="11" width="10.125" style="25" bestFit="1" customWidth="1"/>
    <col min="12" max="12" width="7.375" style="4" bestFit="1" customWidth="1"/>
    <col min="13" max="13" width="30" bestFit="1" customWidth="1"/>
    <col min="14" max="14" width="78.375" bestFit="1" customWidth="1"/>
    <col min="15" max="15" width="34.125" customWidth="1"/>
  </cols>
  <sheetData>
    <row r="1" spans="3:14" ht="19.5" thickBot="1" x14ac:dyDescent="0.45"/>
    <row r="2" spans="3:14" ht="20.25" thickTop="1" thickBot="1" x14ac:dyDescent="0.45">
      <c r="C2" s="50" t="s">
        <v>142</v>
      </c>
      <c r="D2" s="50"/>
      <c r="E2" s="50"/>
      <c r="F2" s="3" t="s">
        <v>30</v>
      </c>
      <c r="G2" s="40"/>
      <c r="I2" s="51" t="s">
        <v>18</v>
      </c>
      <c r="J2" s="52"/>
      <c r="K2" s="52"/>
      <c r="L2" s="52"/>
      <c r="M2" s="47">
        <f>SUM(J:J)</f>
        <v>425723</v>
      </c>
    </row>
    <row r="3" spans="3:14" ht="19.5" thickTop="1" x14ac:dyDescent="0.4">
      <c r="C3" s="50" t="s">
        <v>19</v>
      </c>
      <c r="D3" s="50"/>
      <c r="E3" s="50"/>
      <c r="F3" s="5" t="s">
        <v>31</v>
      </c>
      <c r="G3" s="41"/>
    </row>
    <row r="4" spans="3:14" x14ac:dyDescent="0.4">
      <c r="C4"/>
      <c r="D4"/>
      <c r="E4"/>
      <c r="G4" s="41"/>
      <c r="M4" s="6"/>
      <c r="N4" s="7"/>
    </row>
    <row r="5" spans="3:14" x14ac:dyDescent="0.4">
      <c r="C5"/>
      <c r="D5"/>
      <c r="E5"/>
      <c r="G5" s="42"/>
      <c r="M5" s="6"/>
      <c r="N5" s="7"/>
    </row>
    <row r="6" spans="3:14" x14ac:dyDescent="0.4">
      <c r="C6"/>
      <c r="D6"/>
      <c r="E6"/>
      <c r="G6" s="42"/>
      <c r="I6" s="25" t="s">
        <v>135</v>
      </c>
      <c r="M6" s="6"/>
      <c r="N6" s="7"/>
    </row>
    <row r="7" spans="3:14" x14ac:dyDescent="0.4">
      <c r="C7" s="8"/>
      <c r="D7" s="8"/>
      <c r="E7" s="8"/>
      <c r="F7" s="9"/>
      <c r="G7" s="9"/>
      <c r="M7" s="6"/>
      <c r="N7" s="7"/>
    </row>
    <row r="8" spans="3:14" x14ac:dyDescent="0.4">
      <c r="C8" s="8"/>
      <c r="D8" s="8"/>
      <c r="E8" s="8"/>
      <c r="F8" s="9"/>
      <c r="G8" s="9"/>
      <c r="M8" s="6"/>
      <c r="N8" s="7"/>
    </row>
    <row r="9" spans="3:14" x14ac:dyDescent="0.4">
      <c r="C9" s="8"/>
      <c r="D9" s="8"/>
      <c r="E9" s="8"/>
      <c r="F9" s="9"/>
      <c r="G9" s="9"/>
      <c r="M9" s="6"/>
      <c r="N9" s="7"/>
    </row>
    <row r="10" spans="3:14" x14ac:dyDescent="0.4">
      <c r="C10" s="8"/>
      <c r="D10" s="8"/>
      <c r="E10" s="8"/>
      <c r="F10" s="9"/>
      <c r="G10" s="9"/>
      <c r="M10" s="6"/>
      <c r="N10" s="7"/>
    </row>
    <row r="11" spans="3:14" x14ac:dyDescent="0.4">
      <c r="C11" s="8"/>
      <c r="D11" s="8"/>
      <c r="E11" s="8"/>
      <c r="F11" s="9"/>
      <c r="G11" s="9"/>
      <c r="M11" s="6"/>
      <c r="N11" s="7"/>
    </row>
    <row r="12" spans="3:14" x14ac:dyDescent="0.4">
      <c r="C12" s="8"/>
      <c r="D12" s="8"/>
      <c r="E12" s="8"/>
      <c r="F12" s="9"/>
      <c r="G12" s="9"/>
      <c r="M12" s="6"/>
      <c r="N12" s="7"/>
    </row>
    <row r="13" spans="3:14" x14ac:dyDescent="0.4">
      <c r="C13" s="8"/>
      <c r="D13" s="8"/>
      <c r="E13" s="8"/>
      <c r="F13" s="9"/>
      <c r="G13" s="9"/>
      <c r="M13" s="6"/>
      <c r="N13" s="7"/>
    </row>
    <row r="14" spans="3:14" x14ac:dyDescent="0.4">
      <c r="C14" s="8"/>
      <c r="D14" s="8"/>
      <c r="E14" s="8"/>
      <c r="F14" s="9"/>
      <c r="G14" s="9"/>
      <c r="M14" s="6"/>
      <c r="N14" s="7"/>
    </row>
    <row r="15" spans="3:14" x14ac:dyDescent="0.4">
      <c r="C15" s="8"/>
      <c r="D15" s="8"/>
      <c r="E15" s="8"/>
      <c r="F15" s="9"/>
      <c r="G15" s="9"/>
      <c r="M15" s="6"/>
      <c r="N15" s="7"/>
    </row>
    <row r="16" spans="3:14" x14ac:dyDescent="0.4">
      <c r="C16" s="8"/>
      <c r="D16" s="8"/>
      <c r="E16" s="8"/>
      <c r="F16" s="9"/>
      <c r="G16" s="9"/>
      <c r="M16" s="6"/>
      <c r="N16" s="7"/>
    </row>
    <row r="17" spans="2:15" x14ac:dyDescent="0.4">
      <c r="C17" s="8"/>
      <c r="D17" s="8"/>
      <c r="E17" s="8"/>
      <c r="F17" s="9"/>
      <c r="G17" s="9"/>
      <c r="M17" s="6"/>
      <c r="N17" s="7"/>
    </row>
    <row r="18" spans="2:15" x14ac:dyDescent="0.4">
      <c r="C18" s="8"/>
      <c r="D18" s="8"/>
      <c r="E18" s="8"/>
      <c r="F18" s="9"/>
      <c r="G18" s="9"/>
      <c r="M18" s="6"/>
      <c r="N18" s="7"/>
    </row>
    <row r="19" spans="2:15" x14ac:dyDescent="0.4">
      <c r="C19" s="8"/>
      <c r="D19" s="8"/>
      <c r="E19" s="8"/>
      <c r="F19" s="9"/>
      <c r="G19" s="9"/>
      <c r="M19" s="6"/>
      <c r="N19" s="7"/>
    </row>
    <row r="20" spans="2:15" x14ac:dyDescent="0.4">
      <c r="C20" s="8"/>
      <c r="D20" s="8"/>
      <c r="E20" s="8"/>
      <c r="F20" s="9"/>
      <c r="G20" s="9"/>
      <c r="M20" s="6"/>
      <c r="N20" s="7"/>
    </row>
    <row r="21" spans="2:15" x14ac:dyDescent="0.4">
      <c r="C21" s="8"/>
      <c r="D21" s="8"/>
      <c r="E21" s="8"/>
      <c r="F21" s="9"/>
      <c r="G21" s="9"/>
      <c r="M21" s="6"/>
      <c r="N21" s="7"/>
    </row>
    <row r="22" spans="2:15" x14ac:dyDescent="0.4">
      <c r="C22" s="8"/>
      <c r="D22" s="8"/>
      <c r="E22" s="8"/>
      <c r="F22" s="9"/>
      <c r="G22" s="9"/>
      <c r="M22" s="6"/>
      <c r="N22" s="7"/>
    </row>
    <row r="23" spans="2:15" x14ac:dyDescent="0.4">
      <c r="C23" s="8"/>
      <c r="D23" s="8"/>
      <c r="E23" s="8"/>
      <c r="F23" s="9"/>
      <c r="G23" s="9"/>
      <c r="M23" s="6"/>
      <c r="N23" s="7"/>
    </row>
    <row r="24" spans="2:15" s="23" customFormat="1" x14ac:dyDescent="0.4">
      <c r="B24" s="24" t="s">
        <v>118</v>
      </c>
      <c r="C24" s="10" t="s">
        <v>20</v>
      </c>
      <c r="D24" s="10" t="s">
        <v>21</v>
      </c>
      <c r="E24" s="10" t="s">
        <v>22</v>
      </c>
      <c r="F24" s="24" t="s">
        <v>23</v>
      </c>
      <c r="G24" s="24" t="s">
        <v>128</v>
      </c>
      <c r="H24" s="26" t="s">
        <v>24</v>
      </c>
      <c r="I24" s="27" t="s">
        <v>25</v>
      </c>
      <c r="J24" s="27" t="s">
        <v>26</v>
      </c>
      <c r="K24" s="27" t="s">
        <v>141</v>
      </c>
      <c r="L24" s="24" t="s">
        <v>28</v>
      </c>
      <c r="M24" s="24" t="s">
        <v>27</v>
      </c>
      <c r="N24" s="24" t="s">
        <v>136</v>
      </c>
      <c r="O24" s="24" t="s">
        <v>134</v>
      </c>
    </row>
    <row r="25" spans="2:15" x14ac:dyDescent="0.4">
      <c r="B25" s="53" t="s">
        <v>119</v>
      </c>
      <c r="C25" s="54" t="s">
        <v>32</v>
      </c>
      <c r="D25" s="21" t="s">
        <v>29</v>
      </c>
      <c r="E25" s="21" t="s">
        <v>29</v>
      </c>
      <c r="F25" s="12" t="s">
        <v>143</v>
      </c>
      <c r="G25" s="57" t="s">
        <v>129</v>
      </c>
      <c r="H25" s="34">
        <v>1</v>
      </c>
      <c r="I25" s="28">
        <v>28354</v>
      </c>
      <c r="J25" s="28">
        <f>H25*I25</f>
        <v>28354</v>
      </c>
      <c r="K25" s="79">
        <f>SUM(J25:J36)</f>
        <v>105162</v>
      </c>
      <c r="L25" s="13"/>
      <c r="M25" s="12" t="s">
        <v>33</v>
      </c>
      <c r="N25" s="70" t="s">
        <v>139</v>
      </c>
      <c r="O25" s="85"/>
    </row>
    <row r="26" spans="2:15" x14ac:dyDescent="0.4">
      <c r="B26" s="53"/>
      <c r="C26" s="54"/>
      <c r="D26" s="21" t="s">
        <v>29</v>
      </c>
      <c r="E26" s="21" t="s">
        <v>29</v>
      </c>
      <c r="F26" s="12" t="s">
        <v>144</v>
      </c>
      <c r="G26" s="58"/>
      <c r="H26" s="34">
        <v>2</v>
      </c>
      <c r="I26" s="28">
        <v>8659</v>
      </c>
      <c r="J26" s="28">
        <f t="shared" ref="J26:J77" si="0">H26*I26</f>
        <v>17318</v>
      </c>
      <c r="K26" s="80"/>
      <c r="L26" s="13"/>
      <c r="M26" s="12" t="s">
        <v>34</v>
      </c>
      <c r="N26" s="71"/>
      <c r="O26" s="85"/>
    </row>
    <row r="27" spans="2:15" x14ac:dyDescent="0.4">
      <c r="B27" s="53"/>
      <c r="C27" s="54"/>
      <c r="D27" s="21" t="s">
        <v>29</v>
      </c>
      <c r="E27" s="21" t="s">
        <v>29</v>
      </c>
      <c r="F27" s="12" t="s">
        <v>145</v>
      </c>
      <c r="G27" s="58"/>
      <c r="H27" s="34">
        <v>2</v>
      </c>
      <c r="I27" s="28">
        <v>8335</v>
      </c>
      <c r="J27" s="28">
        <f t="shared" si="0"/>
        <v>16670</v>
      </c>
      <c r="K27" s="80"/>
      <c r="L27" s="13"/>
      <c r="M27" s="12" t="s">
        <v>35</v>
      </c>
      <c r="N27" s="71"/>
      <c r="O27" s="85"/>
    </row>
    <row r="28" spans="2:15" x14ac:dyDescent="0.4">
      <c r="B28" s="53"/>
      <c r="C28" s="54"/>
      <c r="D28" s="21" t="s">
        <v>29</v>
      </c>
      <c r="E28" s="21" t="s">
        <v>29</v>
      </c>
      <c r="F28" s="12" t="s">
        <v>146</v>
      </c>
      <c r="G28" s="58"/>
      <c r="H28" s="34">
        <v>4</v>
      </c>
      <c r="I28" s="28">
        <v>2792</v>
      </c>
      <c r="J28" s="28">
        <f t="shared" si="0"/>
        <v>11168</v>
      </c>
      <c r="K28" s="80"/>
      <c r="L28" s="13"/>
      <c r="M28" s="12" t="s">
        <v>36</v>
      </c>
      <c r="N28" s="71"/>
      <c r="O28" s="85"/>
    </row>
    <row r="29" spans="2:15" x14ac:dyDescent="0.4">
      <c r="B29" s="53"/>
      <c r="C29" s="54"/>
      <c r="D29" s="21" t="s">
        <v>29</v>
      </c>
      <c r="E29" s="21" t="s">
        <v>29</v>
      </c>
      <c r="F29" s="12" t="s">
        <v>147</v>
      </c>
      <c r="G29" s="58"/>
      <c r="H29" s="34">
        <v>2</v>
      </c>
      <c r="I29" s="28">
        <v>7104</v>
      </c>
      <c r="J29" s="28">
        <f t="shared" si="0"/>
        <v>14208</v>
      </c>
      <c r="K29" s="80"/>
      <c r="L29" s="13"/>
      <c r="M29" s="12" t="s">
        <v>37</v>
      </c>
      <c r="N29" s="71"/>
      <c r="O29" s="85"/>
    </row>
    <row r="30" spans="2:15" x14ac:dyDescent="0.4">
      <c r="B30" s="53"/>
      <c r="C30" s="54"/>
      <c r="D30" s="21" t="s">
        <v>29</v>
      </c>
      <c r="E30" s="21" t="s">
        <v>29</v>
      </c>
      <c r="F30" s="12" t="s">
        <v>148</v>
      </c>
      <c r="G30" s="58"/>
      <c r="H30" s="34">
        <v>2</v>
      </c>
      <c r="I30" s="28">
        <v>4700</v>
      </c>
      <c r="J30" s="28">
        <f t="shared" si="0"/>
        <v>9400</v>
      </c>
      <c r="K30" s="80"/>
      <c r="L30" s="13"/>
      <c r="M30" s="12" t="s">
        <v>38</v>
      </c>
      <c r="N30" s="71"/>
      <c r="O30" s="85"/>
    </row>
    <row r="31" spans="2:15" x14ac:dyDescent="0.4">
      <c r="B31" s="53"/>
      <c r="C31" s="54"/>
      <c r="D31" s="21" t="s">
        <v>29</v>
      </c>
      <c r="E31" s="21" t="s">
        <v>29</v>
      </c>
      <c r="F31" s="12" t="s">
        <v>39</v>
      </c>
      <c r="G31" s="58"/>
      <c r="H31" s="34">
        <v>2</v>
      </c>
      <c r="I31" s="28">
        <v>319</v>
      </c>
      <c r="J31" s="28">
        <f t="shared" si="0"/>
        <v>638</v>
      </c>
      <c r="K31" s="80"/>
      <c r="L31" s="13"/>
      <c r="M31" s="12" t="s">
        <v>87</v>
      </c>
      <c r="N31" s="71"/>
      <c r="O31" s="85"/>
    </row>
    <row r="32" spans="2:15" x14ac:dyDescent="0.4">
      <c r="B32" s="53"/>
      <c r="C32" s="54"/>
      <c r="D32" s="21" t="s">
        <v>29</v>
      </c>
      <c r="E32" s="21" t="s">
        <v>29</v>
      </c>
      <c r="F32" s="12" t="s">
        <v>42</v>
      </c>
      <c r="G32" s="58"/>
      <c r="H32" s="34">
        <v>4</v>
      </c>
      <c r="I32" s="28">
        <v>212</v>
      </c>
      <c r="J32" s="28">
        <f t="shared" si="0"/>
        <v>848</v>
      </c>
      <c r="K32" s="80"/>
      <c r="L32" s="13"/>
      <c r="M32" s="12" t="s">
        <v>88</v>
      </c>
      <c r="N32" s="71"/>
      <c r="O32" s="85"/>
    </row>
    <row r="33" spans="2:15" x14ac:dyDescent="0.4">
      <c r="B33" s="53"/>
      <c r="C33" s="54"/>
      <c r="D33" s="21" t="s">
        <v>29</v>
      </c>
      <c r="E33" s="21" t="s">
        <v>29</v>
      </c>
      <c r="F33" s="12" t="s">
        <v>43</v>
      </c>
      <c r="G33" s="58"/>
      <c r="H33" s="34">
        <v>4</v>
      </c>
      <c r="I33" s="28">
        <v>226</v>
      </c>
      <c r="J33" s="28">
        <f t="shared" si="0"/>
        <v>904</v>
      </c>
      <c r="K33" s="80"/>
      <c r="L33" s="13"/>
      <c r="M33" s="12" t="s">
        <v>88</v>
      </c>
      <c r="N33" s="71"/>
      <c r="O33" s="85"/>
    </row>
    <row r="34" spans="2:15" x14ac:dyDescent="0.4">
      <c r="B34" s="53"/>
      <c r="C34" s="54"/>
      <c r="D34" s="21" t="s">
        <v>29</v>
      </c>
      <c r="E34" s="21" t="s">
        <v>29</v>
      </c>
      <c r="F34" s="12" t="s">
        <v>44</v>
      </c>
      <c r="G34" s="58"/>
      <c r="H34" s="34">
        <v>10</v>
      </c>
      <c r="I34" s="28">
        <v>27</v>
      </c>
      <c r="J34" s="28">
        <f t="shared" si="0"/>
        <v>270</v>
      </c>
      <c r="K34" s="80"/>
      <c r="L34" s="13"/>
      <c r="M34" s="12" t="s">
        <v>88</v>
      </c>
      <c r="N34" s="71"/>
      <c r="O34" s="85"/>
    </row>
    <row r="35" spans="2:15" x14ac:dyDescent="0.4">
      <c r="B35" s="53"/>
      <c r="C35" s="54"/>
      <c r="D35" s="21" t="s">
        <v>29</v>
      </c>
      <c r="E35" s="21" t="s">
        <v>29</v>
      </c>
      <c r="F35" s="12" t="s">
        <v>45</v>
      </c>
      <c r="G35" s="58"/>
      <c r="H35" s="34">
        <v>4</v>
      </c>
      <c r="I35" s="28">
        <v>226</v>
      </c>
      <c r="J35" s="28">
        <f t="shared" si="0"/>
        <v>904</v>
      </c>
      <c r="K35" s="80"/>
      <c r="L35" s="13"/>
      <c r="M35" s="12" t="s">
        <v>88</v>
      </c>
      <c r="N35" s="71"/>
      <c r="O35" s="85"/>
    </row>
    <row r="36" spans="2:15" x14ac:dyDescent="0.4">
      <c r="B36" s="53"/>
      <c r="C36" s="54"/>
      <c r="D36" s="21" t="s">
        <v>29</v>
      </c>
      <c r="E36" s="21" t="s">
        <v>29</v>
      </c>
      <c r="F36" s="12" t="s">
        <v>41</v>
      </c>
      <c r="G36" s="59"/>
      <c r="H36" s="34">
        <v>4</v>
      </c>
      <c r="I36" s="28">
        <v>1120</v>
      </c>
      <c r="J36" s="28">
        <f t="shared" si="0"/>
        <v>4480</v>
      </c>
      <c r="K36" s="81"/>
      <c r="L36" s="13"/>
      <c r="M36" s="12" t="s">
        <v>89</v>
      </c>
      <c r="N36" s="72"/>
      <c r="O36" s="85"/>
    </row>
    <row r="37" spans="2:15" x14ac:dyDescent="0.4">
      <c r="B37" s="63" t="s">
        <v>120</v>
      </c>
      <c r="C37" s="55" t="s">
        <v>4</v>
      </c>
      <c r="D37" s="22" t="s">
        <v>29</v>
      </c>
      <c r="E37" s="22" t="s">
        <v>29</v>
      </c>
      <c r="F37" s="15" t="s">
        <v>149</v>
      </c>
      <c r="G37" s="60" t="s">
        <v>129</v>
      </c>
      <c r="H37" s="35">
        <v>1</v>
      </c>
      <c r="I37" s="29">
        <v>1720</v>
      </c>
      <c r="J37" s="29">
        <f t="shared" si="0"/>
        <v>1720</v>
      </c>
      <c r="K37" s="82">
        <f>SUM(J37:J44)</f>
        <v>8862</v>
      </c>
      <c r="L37" s="16"/>
      <c r="M37" s="15" t="s">
        <v>47</v>
      </c>
      <c r="N37" s="73" t="s">
        <v>140</v>
      </c>
      <c r="O37" s="85"/>
    </row>
    <row r="38" spans="2:15" x14ac:dyDescent="0.4">
      <c r="B38" s="63"/>
      <c r="C38" s="56"/>
      <c r="D38" s="24" t="s">
        <v>29</v>
      </c>
      <c r="E38" s="24" t="s">
        <v>29</v>
      </c>
      <c r="F38" s="15" t="s">
        <v>150</v>
      </c>
      <c r="G38" s="61"/>
      <c r="H38" s="35">
        <v>1</v>
      </c>
      <c r="I38" s="29">
        <v>2160</v>
      </c>
      <c r="J38" s="29">
        <f t="shared" si="0"/>
        <v>2160</v>
      </c>
      <c r="K38" s="83"/>
      <c r="L38" s="16"/>
      <c r="M38" s="15" t="s">
        <v>48</v>
      </c>
      <c r="N38" s="74"/>
      <c r="O38" s="85"/>
    </row>
    <row r="39" spans="2:15" x14ac:dyDescent="0.4">
      <c r="B39" s="63"/>
      <c r="C39" s="56"/>
      <c r="D39" s="24" t="s">
        <v>29</v>
      </c>
      <c r="E39" s="24" t="s">
        <v>29</v>
      </c>
      <c r="F39" s="15" t="s">
        <v>51</v>
      </c>
      <c r="G39" s="61"/>
      <c r="H39" s="35">
        <v>1</v>
      </c>
      <c r="I39" s="29">
        <v>2450</v>
      </c>
      <c r="J39" s="29">
        <f t="shared" si="0"/>
        <v>2450</v>
      </c>
      <c r="K39" s="83"/>
      <c r="L39" s="16"/>
      <c r="M39" s="15" t="s">
        <v>49</v>
      </c>
      <c r="N39" s="74"/>
      <c r="O39" s="85"/>
    </row>
    <row r="40" spans="2:15" x14ac:dyDescent="0.4">
      <c r="B40" s="63"/>
      <c r="C40" s="56"/>
      <c r="D40" s="24" t="s">
        <v>29</v>
      </c>
      <c r="E40" s="24" t="s">
        <v>29</v>
      </c>
      <c r="F40" s="18" t="s">
        <v>151</v>
      </c>
      <c r="G40" s="61"/>
      <c r="H40" s="36">
        <v>2</v>
      </c>
      <c r="I40" s="30">
        <v>136</v>
      </c>
      <c r="J40" s="30">
        <f t="shared" si="0"/>
        <v>272</v>
      </c>
      <c r="K40" s="83"/>
      <c r="L40" s="19"/>
      <c r="M40" s="1" t="s">
        <v>90</v>
      </c>
      <c r="N40" s="74"/>
      <c r="O40" s="85"/>
    </row>
    <row r="41" spans="2:15" x14ac:dyDescent="0.4">
      <c r="B41" s="63"/>
      <c r="C41" s="56"/>
      <c r="D41" s="24" t="s">
        <v>29</v>
      </c>
      <c r="E41" s="24" t="s">
        <v>29</v>
      </c>
      <c r="F41" s="1" t="s">
        <v>46</v>
      </c>
      <c r="G41" s="61"/>
      <c r="H41" s="35">
        <v>2</v>
      </c>
      <c r="I41" s="31">
        <v>70</v>
      </c>
      <c r="J41" s="31">
        <f t="shared" si="0"/>
        <v>140</v>
      </c>
      <c r="K41" s="83"/>
      <c r="L41" s="11"/>
      <c r="M41" s="1" t="s">
        <v>91</v>
      </c>
      <c r="N41" s="74"/>
      <c r="O41" s="85"/>
    </row>
    <row r="42" spans="2:15" s="17" customFormat="1" x14ac:dyDescent="0.4">
      <c r="B42" s="63"/>
      <c r="C42" s="56"/>
      <c r="D42" s="14" t="s">
        <v>29</v>
      </c>
      <c r="E42" s="14" t="s">
        <v>29</v>
      </c>
      <c r="F42" s="1" t="s">
        <v>40</v>
      </c>
      <c r="G42" s="61"/>
      <c r="H42" s="35">
        <v>4</v>
      </c>
      <c r="I42" s="31">
        <v>280</v>
      </c>
      <c r="J42" s="31">
        <f t="shared" si="0"/>
        <v>1120</v>
      </c>
      <c r="K42" s="83"/>
      <c r="L42" s="11"/>
      <c r="M42" s="1" t="s">
        <v>92</v>
      </c>
      <c r="N42" s="74"/>
      <c r="O42" s="85"/>
    </row>
    <row r="43" spans="2:15" s="17" customFormat="1" x14ac:dyDescent="0.4">
      <c r="B43" s="63"/>
      <c r="C43" s="56"/>
      <c r="D43" s="14" t="s">
        <v>29</v>
      </c>
      <c r="E43" s="14" t="s">
        <v>29</v>
      </c>
      <c r="F43" s="1" t="s">
        <v>50</v>
      </c>
      <c r="G43" s="61"/>
      <c r="H43" s="35">
        <v>4</v>
      </c>
      <c r="I43" s="31">
        <v>212</v>
      </c>
      <c r="J43" s="31">
        <f t="shared" si="0"/>
        <v>848</v>
      </c>
      <c r="K43" s="83"/>
      <c r="L43" s="11"/>
      <c r="M43" s="1" t="s">
        <v>88</v>
      </c>
      <c r="N43" s="74"/>
      <c r="O43" s="85"/>
    </row>
    <row r="44" spans="2:15" s="17" customFormat="1" x14ac:dyDescent="0.4">
      <c r="B44" s="63"/>
      <c r="C44" s="56"/>
      <c r="D44" s="14" t="s">
        <v>29</v>
      </c>
      <c r="E44" s="14" t="s">
        <v>29</v>
      </c>
      <c r="F44" s="1" t="s">
        <v>116</v>
      </c>
      <c r="G44" s="62"/>
      <c r="H44" s="35">
        <v>2</v>
      </c>
      <c r="I44" s="31">
        <v>76</v>
      </c>
      <c r="J44" s="31">
        <f t="shared" si="0"/>
        <v>152</v>
      </c>
      <c r="K44" s="84"/>
      <c r="L44" s="11"/>
      <c r="M44" s="1" t="s">
        <v>93</v>
      </c>
      <c r="N44" s="75"/>
      <c r="O44" s="85"/>
    </row>
    <row r="45" spans="2:15" s="17" customFormat="1" ht="124.9" customHeight="1" x14ac:dyDescent="0.4">
      <c r="B45" s="39" t="s">
        <v>121</v>
      </c>
      <c r="C45" s="37" t="s">
        <v>56</v>
      </c>
      <c r="D45" s="21" t="s">
        <v>29</v>
      </c>
      <c r="E45" s="21" t="s">
        <v>29</v>
      </c>
      <c r="F45" s="12" t="s">
        <v>54</v>
      </c>
      <c r="G45" s="12" t="s">
        <v>130</v>
      </c>
      <c r="H45" s="38">
        <v>2</v>
      </c>
      <c r="I45" s="28">
        <v>10118</v>
      </c>
      <c r="J45" s="28">
        <f t="shared" si="0"/>
        <v>20236</v>
      </c>
      <c r="K45" s="48">
        <f>SUM(J45)</f>
        <v>20236</v>
      </c>
      <c r="L45" s="13"/>
      <c r="M45" s="12" t="s">
        <v>55</v>
      </c>
      <c r="N45" s="45" t="s">
        <v>137</v>
      </c>
      <c r="O45" s="15"/>
    </row>
    <row r="46" spans="2:15" s="17" customFormat="1" ht="111.6" customHeight="1" x14ac:dyDescent="0.4">
      <c r="B46" s="39" t="s">
        <v>122</v>
      </c>
      <c r="C46" s="14" t="s">
        <v>10</v>
      </c>
      <c r="D46" s="14" t="s">
        <v>29</v>
      </c>
      <c r="E46" s="14" t="s">
        <v>29</v>
      </c>
      <c r="F46" s="15" t="s">
        <v>52</v>
      </c>
      <c r="G46" s="15" t="s">
        <v>129</v>
      </c>
      <c r="H46" s="29">
        <v>1</v>
      </c>
      <c r="I46" s="29">
        <v>5471</v>
      </c>
      <c r="J46" s="29">
        <f>H46*I46</f>
        <v>5471</v>
      </c>
      <c r="K46" s="49">
        <f>SUM(J46)</f>
        <v>5471</v>
      </c>
      <c r="L46" s="16"/>
      <c r="M46" s="15" t="s">
        <v>53</v>
      </c>
      <c r="N46" s="46" t="s">
        <v>132</v>
      </c>
      <c r="O46" s="15"/>
    </row>
    <row r="47" spans="2:15" x14ac:dyDescent="0.4">
      <c r="B47" s="63" t="s">
        <v>123</v>
      </c>
      <c r="C47" s="57" t="s">
        <v>65</v>
      </c>
      <c r="D47" s="21" t="s">
        <v>29</v>
      </c>
      <c r="E47" s="21" t="s">
        <v>29</v>
      </c>
      <c r="F47" s="12" t="s">
        <v>62</v>
      </c>
      <c r="G47" s="57" t="s">
        <v>129</v>
      </c>
      <c r="H47" s="32">
        <v>1</v>
      </c>
      <c r="I47" s="32">
        <v>1630</v>
      </c>
      <c r="J47" s="32">
        <f t="shared" si="0"/>
        <v>1630</v>
      </c>
      <c r="K47" s="79">
        <f>SUM(J47:J58)</f>
        <v>41432</v>
      </c>
      <c r="L47" s="13"/>
      <c r="M47" s="12" t="s">
        <v>58</v>
      </c>
      <c r="N47" s="70" t="s">
        <v>131</v>
      </c>
      <c r="O47" s="85"/>
    </row>
    <row r="48" spans="2:15" x14ac:dyDescent="0.4">
      <c r="B48" s="63"/>
      <c r="C48" s="58"/>
      <c r="D48" s="21" t="s">
        <v>29</v>
      </c>
      <c r="E48" s="21" t="s">
        <v>29</v>
      </c>
      <c r="F48" s="12" t="s">
        <v>152</v>
      </c>
      <c r="G48" s="58"/>
      <c r="H48" s="32">
        <v>1</v>
      </c>
      <c r="I48" s="32">
        <v>10026</v>
      </c>
      <c r="J48" s="32">
        <f t="shared" si="0"/>
        <v>10026</v>
      </c>
      <c r="K48" s="80"/>
      <c r="L48" s="13"/>
      <c r="M48" s="12" t="s">
        <v>59</v>
      </c>
      <c r="N48" s="71"/>
      <c r="O48" s="85"/>
    </row>
    <row r="49" spans="2:15" x14ac:dyDescent="0.4">
      <c r="B49" s="63"/>
      <c r="C49" s="58"/>
      <c r="D49" s="21" t="s">
        <v>29</v>
      </c>
      <c r="E49" s="21" t="s">
        <v>29</v>
      </c>
      <c r="F49" s="12" t="s">
        <v>153</v>
      </c>
      <c r="G49" s="58"/>
      <c r="H49" s="32">
        <v>1</v>
      </c>
      <c r="I49" s="32">
        <v>8611</v>
      </c>
      <c r="J49" s="32">
        <f t="shared" si="0"/>
        <v>8611</v>
      </c>
      <c r="K49" s="80"/>
      <c r="L49" s="13"/>
      <c r="M49" s="12" t="s">
        <v>60</v>
      </c>
      <c r="N49" s="71"/>
      <c r="O49" s="85"/>
    </row>
    <row r="50" spans="2:15" x14ac:dyDescent="0.4">
      <c r="B50" s="63"/>
      <c r="C50" s="58"/>
      <c r="D50" s="21" t="s">
        <v>29</v>
      </c>
      <c r="E50" s="21" t="s">
        <v>29</v>
      </c>
      <c r="F50" s="12" t="s">
        <v>63</v>
      </c>
      <c r="G50" s="58"/>
      <c r="H50" s="32">
        <v>1</v>
      </c>
      <c r="I50" s="32">
        <v>7628</v>
      </c>
      <c r="J50" s="32">
        <f t="shared" si="0"/>
        <v>7628</v>
      </c>
      <c r="K50" s="80"/>
      <c r="L50" s="13"/>
      <c r="M50" s="12" t="s">
        <v>61</v>
      </c>
      <c r="N50" s="71"/>
      <c r="O50" s="85"/>
    </row>
    <row r="51" spans="2:15" x14ac:dyDescent="0.4">
      <c r="B51" s="63"/>
      <c r="C51" s="58"/>
      <c r="D51" s="21" t="s">
        <v>29</v>
      </c>
      <c r="E51" s="21" t="s">
        <v>29</v>
      </c>
      <c r="F51" s="12" t="s">
        <v>154</v>
      </c>
      <c r="G51" s="58"/>
      <c r="H51" s="32">
        <v>1</v>
      </c>
      <c r="I51" s="32">
        <v>5517</v>
      </c>
      <c r="J51" s="32">
        <f t="shared" si="0"/>
        <v>5517</v>
      </c>
      <c r="K51" s="80"/>
      <c r="L51" s="13"/>
      <c r="M51" s="12" t="s">
        <v>64</v>
      </c>
      <c r="N51" s="71"/>
      <c r="O51" s="85"/>
    </row>
    <row r="52" spans="2:15" x14ac:dyDescent="0.4">
      <c r="B52" s="63"/>
      <c r="C52" s="58"/>
      <c r="D52" s="21" t="s">
        <v>29</v>
      </c>
      <c r="E52" s="21" t="s">
        <v>29</v>
      </c>
      <c r="F52" s="12" t="s">
        <v>155</v>
      </c>
      <c r="G52" s="58"/>
      <c r="H52" s="28">
        <v>1</v>
      </c>
      <c r="I52" s="28">
        <v>960</v>
      </c>
      <c r="J52" s="28">
        <f t="shared" si="0"/>
        <v>960</v>
      </c>
      <c r="K52" s="80"/>
      <c r="L52" s="13"/>
      <c r="M52" s="12" t="s">
        <v>94</v>
      </c>
      <c r="N52" s="71"/>
      <c r="O52" s="85"/>
    </row>
    <row r="53" spans="2:15" x14ac:dyDescent="0.4">
      <c r="B53" s="63"/>
      <c r="C53" s="58"/>
      <c r="D53" s="21" t="s">
        <v>29</v>
      </c>
      <c r="E53" s="21" t="s">
        <v>29</v>
      </c>
      <c r="F53" s="12" t="s">
        <v>156</v>
      </c>
      <c r="G53" s="58"/>
      <c r="H53" s="28">
        <v>1</v>
      </c>
      <c r="I53" s="28">
        <v>258</v>
      </c>
      <c r="J53" s="28">
        <f t="shared" si="0"/>
        <v>258</v>
      </c>
      <c r="K53" s="80"/>
      <c r="L53" s="13"/>
      <c r="M53" s="12" t="s">
        <v>95</v>
      </c>
      <c r="N53" s="71"/>
      <c r="O53" s="85"/>
    </row>
    <row r="54" spans="2:15" x14ac:dyDescent="0.4">
      <c r="B54" s="63"/>
      <c r="C54" s="58"/>
      <c r="D54" s="21" t="s">
        <v>29</v>
      </c>
      <c r="E54" s="21" t="s">
        <v>29</v>
      </c>
      <c r="F54" s="12" t="s">
        <v>157</v>
      </c>
      <c r="G54" s="58"/>
      <c r="H54" s="28">
        <v>1</v>
      </c>
      <c r="I54" s="28">
        <v>150</v>
      </c>
      <c r="J54" s="28">
        <f t="shared" si="0"/>
        <v>150</v>
      </c>
      <c r="K54" s="80"/>
      <c r="L54" s="13"/>
      <c r="M54" s="12" t="s">
        <v>96</v>
      </c>
      <c r="N54" s="71"/>
      <c r="O54" s="85"/>
    </row>
    <row r="55" spans="2:15" x14ac:dyDescent="0.4">
      <c r="B55" s="63"/>
      <c r="C55" s="58"/>
      <c r="D55" s="21" t="s">
        <v>29</v>
      </c>
      <c r="E55" s="21" t="s">
        <v>29</v>
      </c>
      <c r="F55" s="12" t="s">
        <v>158</v>
      </c>
      <c r="G55" s="58"/>
      <c r="H55" s="28">
        <v>1</v>
      </c>
      <c r="I55" s="28">
        <v>4570</v>
      </c>
      <c r="J55" s="28">
        <f t="shared" si="0"/>
        <v>4570</v>
      </c>
      <c r="K55" s="80"/>
      <c r="L55" s="13"/>
      <c r="M55" s="12" t="s">
        <v>97</v>
      </c>
      <c r="N55" s="71"/>
      <c r="O55" s="85"/>
    </row>
    <row r="56" spans="2:15" x14ac:dyDescent="0.4">
      <c r="B56" s="63"/>
      <c r="C56" s="58"/>
      <c r="D56" s="21" t="s">
        <v>29</v>
      </c>
      <c r="E56" s="21" t="s">
        <v>29</v>
      </c>
      <c r="F56" s="12" t="s">
        <v>42</v>
      </c>
      <c r="G56" s="58"/>
      <c r="H56" s="28">
        <v>6</v>
      </c>
      <c r="I56" s="28">
        <v>212</v>
      </c>
      <c r="J56" s="28">
        <f t="shared" si="0"/>
        <v>1272</v>
      </c>
      <c r="K56" s="80"/>
      <c r="L56" s="13"/>
      <c r="M56" s="12" t="s">
        <v>88</v>
      </c>
      <c r="N56" s="71"/>
      <c r="O56" s="85"/>
    </row>
    <row r="57" spans="2:15" x14ac:dyDescent="0.4">
      <c r="B57" s="63"/>
      <c r="C57" s="58"/>
      <c r="D57" s="21" t="s">
        <v>29</v>
      </c>
      <c r="E57" s="21" t="s">
        <v>29</v>
      </c>
      <c r="F57" s="12" t="s">
        <v>159</v>
      </c>
      <c r="G57" s="58"/>
      <c r="H57" s="32">
        <v>2</v>
      </c>
      <c r="I57" s="32">
        <v>260</v>
      </c>
      <c r="J57" s="32">
        <f t="shared" si="0"/>
        <v>520</v>
      </c>
      <c r="K57" s="80"/>
      <c r="L57" s="13"/>
      <c r="M57" s="12" t="s">
        <v>98</v>
      </c>
      <c r="N57" s="71"/>
      <c r="O57" s="85"/>
    </row>
    <row r="58" spans="2:15" x14ac:dyDescent="0.4">
      <c r="B58" s="63"/>
      <c r="C58" s="59"/>
      <c r="D58" s="21" t="s">
        <v>29</v>
      </c>
      <c r="E58" s="21" t="s">
        <v>29</v>
      </c>
      <c r="F58" s="12" t="s">
        <v>160</v>
      </c>
      <c r="G58" s="59"/>
      <c r="H58" s="32">
        <v>1</v>
      </c>
      <c r="I58" s="32">
        <v>290</v>
      </c>
      <c r="J58" s="32">
        <f t="shared" si="0"/>
        <v>290</v>
      </c>
      <c r="K58" s="81"/>
      <c r="L58" s="13"/>
      <c r="M58" s="12" t="s">
        <v>98</v>
      </c>
      <c r="N58" s="72"/>
      <c r="O58" s="85"/>
    </row>
    <row r="59" spans="2:15" x14ac:dyDescent="0.4">
      <c r="B59" s="63" t="s">
        <v>124</v>
      </c>
      <c r="C59" s="60" t="s">
        <v>117</v>
      </c>
      <c r="D59" s="14" t="s">
        <v>29</v>
      </c>
      <c r="E59" s="14" t="s">
        <v>29</v>
      </c>
      <c r="F59" s="15" t="s">
        <v>161</v>
      </c>
      <c r="G59" s="60" t="s">
        <v>129</v>
      </c>
      <c r="H59" s="33">
        <v>1</v>
      </c>
      <c r="I59" s="33">
        <v>1630</v>
      </c>
      <c r="J59" s="33">
        <f t="shared" si="0"/>
        <v>1630</v>
      </c>
      <c r="K59" s="82">
        <f>SUM(J59:J70)</f>
        <v>40706</v>
      </c>
      <c r="L59" s="16"/>
      <c r="M59" s="15" t="s">
        <v>58</v>
      </c>
      <c r="N59" s="76" t="s">
        <v>133</v>
      </c>
      <c r="O59" s="85"/>
    </row>
    <row r="60" spans="2:15" x14ac:dyDescent="0.4">
      <c r="B60" s="63"/>
      <c r="C60" s="61"/>
      <c r="D60" s="14" t="s">
        <v>29</v>
      </c>
      <c r="E60" s="14" t="s">
        <v>29</v>
      </c>
      <c r="F60" s="15" t="s">
        <v>162</v>
      </c>
      <c r="G60" s="61"/>
      <c r="H60" s="33">
        <v>1</v>
      </c>
      <c r="I60" s="33">
        <v>9778</v>
      </c>
      <c r="J60" s="33">
        <f t="shared" si="0"/>
        <v>9778</v>
      </c>
      <c r="K60" s="83"/>
      <c r="L60" s="16"/>
      <c r="M60" s="15" t="s">
        <v>59</v>
      </c>
      <c r="N60" s="77"/>
      <c r="O60" s="85"/>
    </row>
    <row r="61" spans="2:15" x14ac:dyDescent="0.4">
      <c r="B61" s="63"/>
      <c r="C61" s="61"/>
      <c r="D61" s="14" t="s">
        <v>29</v>
      </c>
      <c r="E61" s="14" t="s">
        <v>29</v>
      </c>
      <c r="F61" s="15" t="s">
        <v>163</v>
      </c>
      <c r="G61" s="61"/>
      <c r="H61" s="33">
        <v>1</v>
      </c>
      <c r="I61" s="33">
        <v>9089</v>
      </c>
      <c r="J61" s="33">
        <f t="shared" si="0"/>
        <v>9089</v>
      </c>
      <c r="K61" s="83"/>
      <c r="L61" s="16"/>
      <c r="M61" s="15" t="s">
        <v>60</v>
      </c>
      <c r="N61" s="77"/>
      <c r="O61" s="85"/>
    </row>
    <row r="62" spans="2:15" x14ac:dyDescent="0.4">
      <c r="B62" s="63"/>
      <c r="C62" s="61"/>
      <c r="D62" s="14" t="s">
        <v>29</v>
      </c>
      <c r="E62" s="14" t="s">
        <v>29</v>
      </c>
      <c r="F62" s="15" t="s">
        <v>164</v>
      </c>
      <c r="G62" s="61"/>
      <c r="H62" s="33">
        <v>1</v>
      </c>
      <c r="I62" s="33">
        <v>7139</v>
      </c>
      <c r="J62" s="33">
        <f t="shared" si="0"/>
        <v>7139</v>
      </c>
      <c r="K62" s="83"/>
      <c r="L62" s="16"/>
      <c r="M62" s="15" t="s">
        <v>61</v>
      </c>
      <c r="N62" s="77"/>
      <c r="O62" s="85"/>
    </row>
    <row r="63" spans="2:15" x14ac:dyDescent="0.4">
      <c r="B63" s="63"/>
      <c r="C63" s="61"/>
      <c r="D63" s="14" t="s">
        <v>29</v>
      </c>
      <c r="E63" s="14" t="s">
        <v>29</v>
      </c>
      <c r="F63" s="15" t="s">
        <v>165</v>
      </c>
      <c r="G63" s="61"/>
      <c r="H63" s="33">
        <v>1</v>
      </c>
      <c r="I63" s="33">
        <v>5474</v>
      </c>
      <c r="J63" s="33">
        <f t="shared" si="0"/>
        <v>5474</v>
      </c>
      <c r="K63" s="83"/>
      <c r="L63" s="16"/>
      <c r="M63" s="15" t="s">
        <v>64</v>
      </c>
      <c r="N63" s="77"/>
      <c r="O63" s="85"/>
    </row>
    <row r="64" spans="2:15" x14ac:dyDescent="0.4">
      <c r="B64" s="63"/>
      <c r="C64" s="61"/>
      <c r="D64" s="14" t="s">
        <v>29</v>
      </c>
      <c r="E64" s="14" t="s">
        <v>29</v>
      </c>
      <c r="F64" s="15" t="s">
        <v>155</v>
      </c>
      <c r="G64" s="61"/>
      <c r="H64" s="29">
        <v>1</v>
      </c>
      <c r="I64" s="29">
        <v>960</v>
      </c>
      <c r="J64" s="29">
        <f t="shared" si="0"/>
        <v>960</v>
      </c>
      <c r="K64" s="83"/>
      <c r="L64" s="16"/>
      <c r="M64" s="15" t="s">
        <v>94</v>
      </c>
      <c r="N64" s="77"/>
      <c r="O64" s="85"/>
    </row>
    <row r="65" spans="2:15" x14ac:dyDescent="0.4">
      <c r="B65" s="63"/>
      <c r="C65" s="61"/>
      <c r="D65" s="14" t="s">
        <v>29</v>
      </c>
      <c r="E65" s="14" t="s">
        <v>29</v>
      </c>
      <c r="F65" s="15" t="s">
        <v>156</v>
      </c>
      <c r="G65" s="61"/>
      <c r="H65" s="29">
        <v>1</v>
      </c>
      <c r="I65" s="29">
        <v>258</v>
      </c>
      <c r="J65" s="29">
        <f t="shared" si="0"/>
        <v>258</v>
      </c>
      <c r="K65" s="83"/>
      <c r="L65" s="16"/>
      <c r="M65" s="15" t="s">
        <v>95</v>
      </c>
      <c r="N65" s="77"/>
      <c r="O65" s="85"/>
    </row>
    <row r="66" spans="2:15" x14ac:dyDescent="0.4">
      <c r="B66" s="63"/>
      <c r="C66" s="61"/>
      <c r="D66" s="14" t="s">
        <v>29</v>
      </c>
      <c r="E66" s="14" t="s">
        <v>29</v>
      </c>
      <c r="F66" s="15" t="s">
        <v>157</v>
      </c>
      <c r="G66" s="61"/>
      <c r="H66" s="29">
        <v>1</v>
      </c>
      <c r="I66" s="29">
        <v>150</v>
      </c>
      <c r="J66" s="29">
        <f t="shared" si="0"/>
        <v>150</v>
      </c>
      <c r="K66" s="83"/>
      <c r="L66" s="16"/>
      <c r="M66" s="15" t="s">
        <v>96</v>
      </c>
      <c r="N66" s="77"/>
      <c r="O66" s="85"/>
    </row>
    <row r="67" spans="2:15" x14ac:dyDescent="0.4">
      <c r="B67" s="63"/>
      <c r="C67" s="61"/>
      <c r="D67" s="14" t="s">
        <v>29</v>
      </c>
      <c r="E67" s="14" t="s">
        <v>29</v>
      </c>
      <c r="F67" s="15" t="s">
        <v>158</v>
      </c>
      <c r="G67" s="61"/>
      <c r="H67" s="29">
        <v>1</v>
      </c>
      <c r="I67" s="29">
        <v>4570</v>
      </c>
      <c r="J67" s="29">
        <f t="shared" si="0"/>
        <v>4570</v>
      </c>
      <c r="K67" s="83"/>
      <c r="L67" s="16"/>
      <c r="M67" s="15" t="s">
        <v>97</v>
      </c>
      <c r="N67" s="77"/>
      <c r="O67" s="85"/>
    </row>
    <row r="68" spans="2:15" x14ac:dyDescent="0.4">
      <c r="B68" s="63"/>
      <c r="C68" s="61"/>
      <c r="D68" s="14" t="s">
        <v>29</v>
      </c>
      <c r="E68" s="14" t="s">
        <v>29</v>
      </c>
      <c r="F68" s="15" t="s">
        <v>42</v>
      </c>
      <c r="G68" s="61"/>
      <c r="H68" s="33">
        <v>4</v>
      </c>
      <c r="I68" s="33">
        <v>212</v>
      </c>
      <c r="J68" s="33">
        <f t="shared" si="0"/>
        <v>848</v>
      </c>
      <c r="K68" s="83"/>
      <c r="L68" s="16"/>
      <c r="M68" s="15" t="s">
        <v>88</v>
      </c>
      <c r="N68" s="77"/>
      <c r="O68" s="85"/>
    </row>
    <row r="69" spans="2:15" x14ac:dyDescent="0.4">
      <c r="B69" s="63"/>
      <c r="C69" s="61"/>
      <c r="D69" s="14" t="s">
        <v>29</v>
      </c>
      <c r="E69" s="14" t="s">
        <v>29</v>
      </c>
      <c r="F69" s="15" t="s">
        <v>57</v>
      </c>
      <c r="G69" s="61"/>
      <c r="H69" s="29">
        <v>2</v>
      </c>
      <c r="I69" s="29">
        <v>260</v>
      </c>
      <c r="J69" s="29">
        <f t="shared" si="0"/>
        <v>520</v>
      </c>
      <c r="K69" s="83"/>
      <c r="L69" s="16"/>
      <c r="M69" s="15" t="s">
        <v>98</v>
      </c>
      <c r="N69" s="77"/>
      <c r="O69" s="85"/>
    </row>
    <row r="70" spans="2:15" x14ac:dyDescent="0.4">
      <c r="B70" s="63"/>
      <c r="C70" s="62"/>
      <c r="D70" s="14" t="s">
        <v>29</v>
      </c>
      <c r="E70" s="14" t="s">
        <v>29</v>
      </c>
      <c r="F70" s="15" t="s">
        <v>160</v>
      </c>
      <c r="G70" s="62"/>
      <c r="H70" s="33">
        <v>1</v>
      </c>
      <c r="I70" s="33">
        <v>290</v>
      </c>
      <c r="J70" s="33">
        <f t="shared" si="0"/>
        <v>290</v>
      </c>
      <c r="K70" s="84"/>
      <c r="L70" s="16"/>
      <c r="M70" s="15" t="s">
        <v>98</v>
      </c>
      <c r="N70" s="78"/>
      <c r="O70" s="85"/>
    </row>
    <row r="71" spans="2:15" ht="18.75" customHeight="1" x14ac:dyDescent="0.4">
      <c r="B71" s="64" t="s">
        <v>125</v>
      </c>
      <c r="C71" s="67" t="s">
        <v>67</v>
      </c>
      <c r="D71" s="21" t="s">
        <v>29</v>
      </c>
      <c r="E71" s="21" t="s">
        <v>29</v>
      </c>
      <c r="F71" s="12" t="s">
        <v>166</v>
      </c>
      <c r="G71" s="57" t="s">
        <v>129</v>
      </c>
      <c r="H71" s="32">
        <v>1</v>
      </c>
      <c r="I71" s="32">
        <v>6681</v>
      </c>
      <c r="J71" s="32">
        <f t="shared" si="0"/>
        <v>6681</v>
      </c>
      <c r="K71" s="79">
        <f>SUM(J71:J94)</f>
        <v>197264</v>
      </c>
      <c r="L71" s="13"/>
      <c r="M71" s="12" t="s">
        <v>70</v>
      </c>
      <c r="N71" s="70" t="s">
        <v>138</v>
      </c>
      <c r="O71" s="85"/>
    </row>
    <row r="72" spans="2:15" ht="18" customHeight="1" x14ac:dyDescent="0.4">
      <c r="B72" s="65"/>
      <c r="C72" s="68"/>
      <c r="D72" s="21" t="s">
        <v>29</v>
      </c>
      <c r="E72" s="21" t="s">
        <v>29</v>
      </c>
      <c r="F72" s="12" t="s">
        <v>167</v>
      </c>
      <c r="G72" s="58"/>
      <c r="H72" s="32">
        <v>1</v>
      </c>
      <c r="I72" s="32">
        <v>9016</v>
      </c>
      <c r="J72" s="32">
        <f t="shared" si="0"/>
        <v>9016</v>
      </c>
      <c r="K72" s="80"/>
      <c r="L72" s="13"/>
      <c r="M72" s="12" t="s">
        <v>71</v>
      </c>
      <c r="N72" s="71"/>
      <c r="O72" s="85"/>
    </row>
    <row r="73" spans="2:15" ht="18" customHeight="1" x14ac:dyDescent="0.4">
      <c r="B73" s="65"/>
      <c r="C73" s="68"/>
      <c r="D73" s="21" t="s">
        <v>79</v>
      </c>
      <c r="E73" s="21" t="s">
        <v>29</v>
      </c>
      <c r="F73" s="12" t="s">
        <v>168</v>
      </c>
      <c r="G73" s="58"/>
      <c r="H73" s="32">
        <v>1</v>
      </c>
      <c r="I73" s="32">
        <v>73247</v>
      </c>
      <c r="J73" s="32">
        <f t="shared" si="0"/>
        <v>73247</v>
      </c>
      <c r="K73" s="80"/>
      <c r="L73" s="13"/>
      <c r="M73" s="12" t="s">
        <v>99</v>
      </c>
      <c r="N73" s="71"/>
      <c r="O73" s="85"/>
    </row>
    <row r="74" spans="2:15" ht="18" customHeight="1" x14ac:dyDescent="0.4">
      <c r="B74" s="65"/>
      <c r="C74" s="68"/>
      <c r="D74" s="21" t="s">
        <v>29</v>
      </c>
      <c r="E74" s="21" t="s">
        <v>29</v>
      </c>
      <c r="F74" s="12" t="s">
        <v>169</v>
      </c>
      <c r="G74" s="58"/>
      <c r="H74" s="32">
        <v>2</v>
      </c>
      <c r="I74" s="32">
        <v>70</v>
      </c>
      <c r="J74" s="32">
        <f t="shared" si="0"/>
        <v>140</v>
      </c>
      <c r="K74" s="80"/>
      <c r="L74" s="13"/>
      <c r="M74" s="12" t="s">
        <v>100</v>
      </c>
      <c r="N74" s="71"/>
      <c r="O74" s="85"/>
    </row>
    <row r="75" spans="2:15" ht="18" customHeight="1" x14ac:dyDescent="0.4">
      <c r="B75" s="65"/>
      <c r="C75" s="68"/>
      <c r="D75" s="21" t="s">
        <v>29</v>
      </c>
      <c r="E75" s="21" t="s">
        <v>29</v>
      </c>
      <c r="F75" s="12" t="s">
        <v>69</v>
      </c>
      <c r="G75" s="58"/>
      <c r="H75" s="32">
        <v>4</v>
      </c>
      <c r="I75" s="32">
        <v>41</v>
      </c>
      <c r="J75" s="32">
        <f t="shared" si="0"/>
        <v>164</v>
      </c>
      <c r="K75" s="80"/>
      <c r="L75" s="13"/>
      <c r="M75" s="12" t="s">
        <v>101</v>
      </c>
      <c r="N75" s="71"/>
      <c r="O75" s="85"/>
    </row>
    <row r="76" spans="2:15" ht="18" customHeight="1" x14ac:dyDescent="0.4">
      <c r="B76" s="65"/>
      <c r="C76" s="68"/>
      <c r="D76" s="21" t="s">
        <v>29</v>
      </c>
      <c r="E76" s="21" t="s">
        <v>29</v>
      </c>
      <c r="F76" s="12" t="s">
        <v>68</v>
      </c>
      <c r="G76" s="58"/>
      <c r="H76" s="32">
        <v>4</v>
      </c>
      <c r="I76" s="32">
        <v>81</v>
      </c>
      <c r="J76" s="32">
        <f t="shared" si="0"/>
        <v>324</v>
      </c>
      <c r="K76" s="80"/>
      <c r="L76" s="13"/>
      <c r="M76" s="12" t="s">
        <v>101</v>
      </c>
      <c r="N76" s="71"/>
      <c r="O76" s="85"/>
    </row>
    <row r="77" spans="2:15" ht="18" customHeight="1" x14ac:dyDescent="0.4">
      <c r="B77" s="65"/>
      <c r="C77" s="68"/>
      <c r="D77" s="21" t="s">
        <v>29</v>
      </c>
      <c r="E77" s="21" t="s">
        <v>29</v>
      </c>
      <c r="F77" s="12" t="s">
        <v>72</v>
      </c>
      <c r="G77" s="58"/>
      <c r="H77" s="32">
        <v>6</v>
      </c>
      <c r="I77" s="32">
        <v>212</v>
      </c>
      <c r="J77" s="32">
        <f t="shared" si="0"/>
        <v>1272</v>
      </c>
      <c r="K77" s="80"/>
      <c r="L77" s="13"/>
      <c r="M77" s="12" t="s">
        <v>88</v>
      </c>
      <c r="N77" s="71"/>
      <c r="O77" s="85"/>
    </row>
    <row r="78" spans="2:15" ht="18" customHeight="1" x14ac:dyDescent="0.4">
      <c r="B78" s="65"/>
      <c r="C78" s="69"/>
      <c r="D78" s="21" t="s">
        <v>29</v>
      </c>
      <c r="E78" s="21" t="s">
        <v>29</v>
      </c>
      <c r="F78" s="12" t="s">
        <v>170</v>
      </c>
      <c r="G78" s="58"/>
      <c r="H78" s="32">
        <v>1</v>
      </c>
      <c r="I78" s="32">
        <v>4000</v>
      </c>
      <c r="J78" s="32">
        <f t="shared" ref="J78:J94" si="1">H78*I78</f>
        <v>4000</v>
      </c>
      <c r="K78" s="80"/>
      <c r="L78" s="13"/>
      <c r="M78" s="12" t="s">
        <v>102</v>
      </c>
      <c r="N78" s="71"/>
      <c r="O78" s="85"/>
    </row>
    <row r="79" spans="2:15" ht="18.75" customHeight="1" x14ac:dyDescent="0.4">
      <c r="B79" s="65"/>
      <c r="C79" s="67" t="s">
        <v>78</v>
      </c>
      <c r="D79" s="21" t="s">
        <v>29</v>
      </c>
      <c r="E79" s="21" t="s">
        <v>29</v>
      </c>
      <c r="F79" s="43" t="s">
        <v>73</v>
      </c>
      <c r="G79" s="58"/>
      <c r="H79" s="32">
        <v>1</v>
      </c>
      <c r="I79" s="32">
        <v>8909</v>
      </c>
      <c r="J79" s="32">
        <f t="shared" si="1"/>
        <v>8909</v>
      </c>
      <c r="K79" s="80"/>
      <c r="L79" s="13" t="s">
        <v>126</v>
      </c>
      <c r="M79" s="12" t="s">
        <v>103</v>
      </c>
      <c r="N79" s="71"/>
      <c r="O79" s="85"/>
    </row>
    <row r="80" spans="2:15" ht="18" customHeight="1" x14ac:dyDescent="0.4">
      <c r="B80" s="65"/>
      <c r="C80" s="68"/>
      <c r="D80" s="21" t="s">
        <v>29</v>
      </c>
      <c r="E80" s="21" t="s">
        <v>29</v>
      </c>
      <c r="F80" s="12" t="s">
        <v>76</v>
      </c>
      <c r="G80" s="58"/>
      <c r="H80" s="32">
        <v>1</v>
      </c>
      <c r="I80" s="32">
        <v>313</v>
      </c>
      <c r="J80" s="32">
        <f t="shared" si="1"/>
        <v>313</v>
      </c>
      <c r="K80" s="80"/>
      <c r="L80" s="13"/>
      <c r="M80" s="12" t="s">
        <v>104</v>
      </c>
      <c r="N80" s="71"/>
      <c r="O80" s="85"/>
    </row>
    <row r="81" spans="2:15" ht="18" customHeight="1" x14ac:dyDescent="0.4">
      <c r="B81" s="65"/>
      <c r="C81" s="68"/>
      <c r="D81" s="21" t="s">
        <v>79</v>
      </c>
      <c r="E81" s="21" t="s">
        <v>29</v>
      </c>
      <c r="F81" s="12" t="s">
        <v>82</v>
      </c>
      <c r="G81" s="58"/>
      <c r="H81" s="32">
        <v>1</v>
      </c>
      <c r="I81" s="32">
        <v>33900</v>
      </c>
      <c r="J81" s="32">
        <f t="shared" si="1"/>
        <v>33900</v>
      </c>
      <c r="K81" s="80"/>
      <c r="L81" s="13"/>
      <c r="M81" s="12" t="s">
        <v>105</v>
      </c>
      <c r="N81" s="71"/>
      <c r="O81" s="85"/>
    </row>
    <row r="82" spans="2:15" ht="18" customHeight="1" x14ac:dyDescent="0.4">
      <c r="B82" s="65"/>
      <c r="C82" s="68"/>
      <c r="D82" s="21" t="s">
        <v>79</v>
      </c>
      <c r="E82" s="21" t="s">
        <v>29</v>
      </c>
      <c r="F82" s="12" t="s">
        <v>77</v>
      </c>
      <c r="G82" s="58"/>
      <c r="H82" s="32">
        <v>1</v>
      </c>
      <c r="I82" s="32">
        <v>8180</v>
      </c>
      <c r="J82" s="32">
        <f t="shared" si="1"/>
        <v>8180</v>
      </c>
      <c r="K82" s="80"/>
      <c r="L82" s="13"/>
      <c r="M82" s="12" t="s">
        <v>106</v>
      </c>
      <c r="N82" s="71"/>
      <c r="O82" s="85"/>
    </row>
    <row r="83" spans="2:15" ht="18" customHeight="1" x14ac:dyDescent="0.4">
      <c r="B83" s="65"/>
      <c r="C83" s="68"/>
      <c r="D83" s="21" t="s">
        <v>29</v>
      </c>
      <c r="E83" s="21" t="s">
        <v>29</v>
      </c>
      <c r="F83" s="12" t="s">
        <v>74</v>
      </c>
      <c r="G83" s="58"/>
      <c r="H83" s="32">
        <v>1</v>
      </c>
      <c r="I83" s="32">
        <v>3853</v>
      </c>
      <c r="J83" s="32">
        <f t="shared" si="1"/>
        <v>3853</v>
      </c>
      <c r="K83" s="80"/>
      <c r="L83" s="13"/>
      <c r="M83" s="12" t="s">
        <v>107</v>
      </c>
      <c r="N83" s="71"/>
      <c r="O83" s="85"/>
    </row>
    <row r="84" spans="2:15" ht="18" customHeight="1" x14ac:dyDescent="0.4">
      <c r="B84" s="65"/>
      <c r="C84" s="68"/>
      <c r="D84" s="21" t="s">
        <v>29</v>
      </c>
      <c r="E84" s="21" t="s">
        <v>29</v>
      </c>
      <c r="F84" s="12" t="s">
        <v>75</v>
      </c>
      <c r="G84" s="58"/>
      <c r="H84" s="32">
        <v>1</v>
      </c>
      <c r="I84" s="32">
        <v>4981</v>
      </c>
      <c r="J84" s="32">
        <f t="shared" si="1"/>
        <v>4981</v>
      </c>
      <c r="K84" s="80"/>
      <c r="L84" s="13"/>
      <c r="M84" s="12" t="s">
        <v>108</v>
      </c>
      <c r="N84" s="71"/>
      <c r="O84" s="85"/>
    </row>
    <row r="85" spans="2:15" ht="18" customHeight="1" x14ac:dyDescent="0.4">
      <c r="B85" s="65"/>
      <c r="C85" s="68"/>
      <c r="D85" s="21" t="s">
        <v>29</v>
      </c>
      <c r="E85" s="21" t="s">
        <v>29</v>
      </c>
      <c r="F85" s="12" t="s">
        <v>171</v>
      </c>
      <c r="G85" s="58"/>
      <c r="H85" s="32">
        <v>1</v>
      </c>
      <c r="I85" s="32">
        <v>17899</v>
      </c>
      <c r="J85" s="32">
        <f t="shared" si="1"/>
        <v>17899</v>
      </c>
      <c r="K85" s="80"/>
      <c r="L85" s="13"/>
      <c r="M85" s="12" t="s">
        <v>109</v>
      </c>
      <c r="N85" s="71"/>
      <c r="O85" s="85"/>
    </row>
    <row r="86" spans="2:15" ht="18" customHeight="1" x14ac:dyDescent="0.4">
      <c r="B86" s="65"/>
      <c r="C86" s="68"/>
      <c r="D86" s="21" t="s">
        <v>29</v>
      </c>
      <c r="E86" s="21" t="s">
        <v>29</v>
      </c>
      <c r="F86" s="12" t="s">
        <v>80</v>
      </c>
      <c r="G86" s="58"/>
      <c r="H86" s="32">
        <v>2</v>
      </c>
      <c r="I86" s="32">
        <v>500</v>
      </c>
      <c r="J86" s="32">
        <f t="shared" si="1"/>
        <v>1000</v>
      </c>
      <c r="K86" s="80"/>
      <c r="L86" s="13"/>
      <c r="M86" s="12" t="s">
        <v>110</v>
      </c>
      <c r="N86" s="71"/>
      <c r="O86" s="85"/>
    </row>
    <row r="87" spans="2:15" ht="18" customHeight="1" x14ac:dyDescent="0.4">
      <c r="B87" s="65"/>
      <c r="C87" s="68"/>
      <c r="D87" s="21" t="s">
        <v>29</v>
      </c>
      <c r="E87" s="21" t="s">
        <v>29</v>
      </c>
      <c r="F87" s="12" t="s">
        <v>81</v>
      </c>
      <c r="G87" s="58"/>
      <c r="H87" s="32">
        <v>2</v>
      </c>
      <c r="I87" s="32">
        <v>2779</v>
      </c>
      <c r="J87" s="32">
        <f t="shared" si="1"/>
        <v>5558</v>
      </c>
      <c r="K87" s="80"/>
      <c r="L87" s="13"/>
      <c r="M87" s="12" t="s">
        <v>107</v>
      </c>
      <c r="N87" s="71"/>
      <c r="O87" s="85"/>
    </row>
    <row r="88" spans="2:15" ht="18" customHeight="1" x14ac:dyDescent="0.4">
      <c r="B88" s="65"/>
      <c r="C88" s="68"/>
      <c r="D88" s="21" t="s">
        <v>29</v>
      </c>
      <c r="E88" s="21" t="s">
        <v>29</v>
      </c>
      <c r="F88" s="12" t="s">
        <v>172</v>
      </c>
      <c r="G88" s="58"/>
      <c r="H88" s="32">
        <v>1</v>
      </c>
      <c r="I88" s="32">
        <v>6005</v>
      </c>
      <c r="J88" s="32">
        <f t="shared" si="1"/>
        <v>6005</v>
      </c>
      <c r="K88" s="80"/>
      <c r="L88" s="13"/>
      <c r="M88" s="12" t="s">
        <v>111</v>
      </c>
      <c r="N88" s="71"/>
      <c r="O88" s="85"/>
    </row>
    <row r="89" spans="2:15" ht="18" customHeight="1" x14ac:dyDescent="0.4">
      <c r="B89" s="65"/>
      <c r="C89" s="68"/>
      <c r="D89" s="21" t="s">
        <v>29</v>
      </c>
      <c r="E89" s="21" t="s">
        <v>29</v>
      </c>
      <c r="F89" s="12" t="s">
        <v>173</v>
      </c>
      <c r="G89" s="58"/>
      <c r="H89" s="32">
        <v>1</v>
      </c>
      <c r="I89" s="32">
        <v>4570</v>
      </c>
      <c r="J89" s="32">
        <f t="shared" si="1"/>
        <v>4570</v>
      </c>
      <c r="K89" s="80"/>
      <c r="L89" s="13"/>
      <c r="M89" s="12" t="s">
        <v>112</v>
      </c>
      <c r="N89" s="71"/>
      <c r="O89" s="85"/>
    </row>
    <row r="90" spans="2:15" ht="18" customHeight="1" x14ac:dyDescent="0.4">
      <c r="B90" s="65"/>
      <c r="C90" s="68"/>
      <c r="D90" s="21" t="s">
        <v>29</v>
      </c>
      <c r="E90" s="21" t="s">
        <v>29</v>
      </c>
      <c r="F90" s="44" t="s">
        <v>83</v>
      </c>
      <c r="G90" s="58"/>
      <c r="H90" s="28">
        <v>1</v>
      </c>
      <c r="I90" s="32"/>
      <c r="J90" s="32">
        <f t="shared" si="1"/>
        <v>0</v>
      </c>
      <c r="K90" s="80"/>
      <c r="L90" s="13" t="s">
        <v>127</v>
      </c>
      <c r="M90" s="12"/>
      <c r="N90" s="71"/>
      <c r="O90" s="85"/>
    </row>
    <row r="91" spans="2:15" ht="18" customHeight="1" x14ac:dyDescent="0.4">
      <c r="B91" s="65"/>
      <c r="C91" s="68"/>
      <c r="D91" s="21" t="s">
        <v>29</v>
      </c>
      <c r="E91" s="21" t="s">
        <v>29</v>
      </c>
      <c r="F91" s="20" t="s">
        <v>84</v>
      </c>
      <c r="G91" s="58"/>
      <c r="H91" s="28">
        <v>2</v>
      </c>
      <c r="I91" s="12">
        <v>168</v>
      </c>
      <c r="J91" s="32">
        <f t="shared" si="1"/>
        <v>336</v>
      </c>
      <c r="K91" s="80"/>
      <c r="L91" s="13"/>
      <c r="M91" s="12" t="s">
        <v>113</v>
      </c>
      <c r="N91" s="71"/>
      <c r="O91" s="85"/>
    </row>
    <row r="92" spans="2:15" ht="18" customHeight="1" x14ac:dyDescent="0.4">
      <c r="B92" s="65"/>
      <c r="C92" s="68"/>
      <c r="D92" s="21" t="s">
        <v>29</v>
      </c>
      <c r="E92" s="21" t="s">
        <v>29</v>
      </c>
      <c r="F92" s="20" t="s">
        <v>85</v>
      </c>
      <c r="G92" s="58"/>
      <c r="H92" s="28">
        <v>2</v>
      </c>
      <c r="I92" s="12">
        <v>328</v>
      </c>
      <c r="J92" s="32">
        <f t="shared" si="1"/>
        <v>656</v>
      </c>
      <c r="K92" s="80"/>
      <c r="L92" s="13"/>
      <c r="M92" s="12" t="s">
        <v>114</v>
      </c>
      <c r="N92" s="71"/>
      <c r="O92" s="85"/>
    </row>
    <row r="93" spans="2:15" ht="18" customHeight="1" x14ac:dyDescent="0.4">
      <c r="B93" s="65"/>
      <c r="C93" s="68"/>
      <c r="D93" s="21" t="s">
        <v>29</v>
      </c>
      <c r="E93" s="21" t="s">
        <v>29</v>
      </c>
      <c r="F93" s="12" t="s">
        <v>174</v>
      </c>
      <c r="G93" s="58"/>
      <c r="H93" s="32">
        <v>3</v>
      </c>
      <c r="I93" s="12">
        <v>190</v>
      </c>
      <c r="J93" s="32">
        <f t="shared" si="1"/>
        <v>570</v>
      </c>
      <c r="K93" s="80"/>
      <c r="L93" s="13"/>
      <c r="M93" s="12" t="s">
        <v>115</v>
      </c>
      <c r="N93" s="71"/>
      <c r="O93" s="85"/>
    </row>
    <row r="94" spans="2:15" ht="18" customHeight="1" x14ac:dyDescent="0.4">
      <c r="B94" s="66"/>
      <c r="C94" s="69"/>
      <c r="D94" s="21" t="s">
        <v>29</v>
      </c>
      <c r="E94" s="21" t="s">
        <v>29</v>
      </c>
      <c r="F94" s="12" t="s">
        <v>175</v>
      </c>
      <c r="G94" s="59"/>
      <c r="H94" s="32">
        <v>1</v>
      </c>
      <c r="I94" s="12">
        <v>5690</v>
      </c>
      <c r="J94" s="32">
        <f t="shared" si="1"/>
        <v>5690</v>
      </c>
      <c r="K94" s="81"/>
      <c r="L94" s="13"/>
      <c r="M94" s="12" t="s">
        <v>86</v>
      </c>
      <c r="N94" s="72"/>
      <c r="O94" s="85"/>
    </row>
    <row r="95" spans="2:15" ht="18" customHeight="1" x14ac:dyDescent="0.4">
      <c r="B95" s="88"/>
      <c r="C95" s="89"/>
      <c r="D95" s="89" t="s">
        <v>79</v>
      </c>
      <c r="E95" s="89" t="s">
        <v>29</v>
      </c>
      <c r="F95" s="88" t="s">
        <v>176</v>
      </c>
      <c r="G95" s="88"/>
      <c r="H95" s="90">
        <v>1</v>
      </c>
      <c r="I95" s="90">
        <v>6590</v>
      </c>
      <c r="J95" s="90">
        <f t="shared" ref="J95" si="2">H95*I95</f>
        <v>6590</v>
      </c>
      <c r="K95" s="90"/>
      <c r="L95" s="91"/>
      <c r="M95" s="88" t="s">
        <v>106</v>
      </c>
      <c r="N95" s="92">
        <v>44505</v>
      </c>
      <c r="O95" s="88"/>
    </row>
  </sheetData>
  <mergeCells count="34">
    <mergeCell ref="K59:K70"/>
    <mergeCell ref="K71:K94"/>
    <mergeCell ref="O25:O36"/>
    <mergeCell ref="O37:O44"/>
    <mergeCell ref="O47:O58"/>
    <mergeCell ref="O59:O70"/>
    <mergeCell ref="O71:O94"/>
    <mergeCell ref="B71:B94"/>
    <mergeCell ref="C71:C78"/>
    <mergeCell ref="C79:C94"/>
    <mergeCell ref="N71:N94"/>
    <mergeCell ref="G25:G36"/>
    <mergeCell ref="G37:G44"/>
    <mergeCell ref="G47:G58"/>
    <mergeCell ref="G59:G70"/>
    <mergeCell ref="G71:G94"/>
    <mergeCell ref="N25:N36"/>
    <mergeCell ref="N37:N44"/>
    <mergeCell ref="N47:N58"/>
    <mergeCell ref="N59:N70"/>
    <mergeCell ref="K25:K36"/>
    <mergeCell ref="K37:K44"/>
    <mergeCell ref="K47:K58"/>
    <mergeCell ref="C37:C44"/>
    <mergeCell ref="C47:C58"/>
    <mergeCell ref="C59:C70"/>
    <mergeCell ref="B59:B70"/>
    <mergeCell ref="B47:B58"/>
    <mergeCell ref="B37:B44"/>
    <mergeCell ref="C2:E2"/>
    <mergeCell ref="I2:L2"/>
    <mergeCell ref="C3:E3"/>
    <mergeCell ref="B25:B36"/>
    <mergeCell ref="C25:C3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8B1F-578E-47EA-8CA5-C500C9624177}">
  <dimension ref="A1:E20"/>
  <sheetViews>
    <sheetView view="pageBreakPreview" topLeftCell="A4" zoomScale="82" zoomScaleNormal="60" zoomScaleSheetLayoutView="82" workbookViewId="0">
      <selection activeCell="F8" sqref="F8"/>
    </sheetView>
  </sheetViews>
  <sheetFormatPr defaultRowHeight="18.75" x14ac:dyDescent="0.4"/>
  <cols>
    <col min="1" max="3" width="12.25" customWidth="1"/>
    <col min="5" max="5" width="53.125" customWidth="1"/>
  </cols>
  <sheetData>
    <row r="1" spans="1:5" x14ac:dyDescent="0.4">
      <c r="A1" t="s">
        <v>16</v>
      </c>
    </row>
    <row r="3" spans="1:5" x14ac:dyDescent="0.4">
      <c r="A3" s="85" t="s">
        <v>1</v>
      </c>
      <c r="B3" s="85"/>
      <c r="C3" s="85"/>
      <c r="D3" s="1" t="s">
        <v>2</v>
      </c>
      <c r="E3" s="2" t="s">
        <v>14</v>
      </c>
    </row>
    <row r="4" spans="1:5" ht="147" customHeight="1" x14ac:dyDescent="0.4">
      <c r="A4" s="85" t="s">
        <v>0</v>
      </c>
      <c r="B4" s="85"/>
      <c r="C4" s="85"/>
      <c r="D4" s="1" t="s">
        <v>3</v>
      </c>
      <c r="E4" s="1"/>
    </row>
    <row r="5" spans="1:5" ht="132" customHeight="1" x14ac:dyDescent="0.4">
      <c r="A5" s="85" t="s">
        <v>4</v>
      </c>
      <c r="B5" s="85"/>
      <c r="C5" s="85"/>
      <c r="D5" s="1" t="s">
        <v>5</v>
      </c>
      <c r="E5" s="1"/>
    </row>
    <row r="6" spans="1:5" ht="132" customHeight="1" x14ac:dyDescent="0.4">
      <c r="A6" s="85" t="s">
        <v>10</v>
      </c>
      <c r="B6" s="85"/>
      <c r="C6" s="85"/>
      <c r="D6" s="1" t="s">
        <v>11</v>
      </c>
      <c r="E6" s="1"/>
    </row>
    <row r="7" spans="1:5" ht="162" customHeight="1" x14ac:dyDescent="0.4">
      <c r="A7" s="86" t="s">
        <v>6</v>
      </c>
      <c r="B7" s="85"/>
      <c r="C7" s="85"/>
      <c r="D7" s="1" t="s">
        <v>5</v>
      </c>
      <c r="E7" s="1"/>
    </row>
    <row r="8" spans="1:5" ht="120.6" customHeight="1" x14ac:dyDescent="0.4">
      <c r="A8" s="86" t="s">
        <v>15</v>
      </c>
      <c r="B8" s="85"/>
      <c r="C8" s="85"/>
      <c r="D8" s="1" t="s">
        <v>7</v>
      </c>
      <c r="E8" s="1"/>
    </row>
    <row r="9" spans="1:5" ht="140.44999999999999" customHeight="1" x14ac:dyDescent="0.4">
      <c r="A9" s="85" t="s">
        <v>66</v>
      </c>
      <c r="B9" s="85"/>
      <c r="C9" s="85"/>
      <c r="D9" s="1" t="s">
        <v>3</v>
      </c>
      <c r="E9" s="1"/>
    </row>
    <row r="10" spans="1:5" ht="85.9" customHeight="1" x14ac:dyDescent="0.4">
      <c r="A10" s="86" t="s">
        <v>9</v>
      </c>
      <c r="B10" s="85"/>
      <c r="C10" s="85"/>
      <c r="D10" s="1" t="s">
        <v>3</v>
      </c>
      <c r="E10" s="1"/>
    </row>
    <row r="11" spans="1:5" ht="85.9" customHeight="1" x14ac:dyDescent="0.4">
      <c r="A11" s="86" t="s">
        <v>8</v>
      </c>
      <c r="B11" s="85"/>
      <c r="C11" s="85"/>
      <c r="D11" s="1" t="s">
        <v>3</v>
      </c>
      <c r="E11" s="1"/>
    </row>
    <row r="12" spans="1:5" ht="165.6" customHeight="1" x14ac:dyDescent="0.4">
      <c r="A12" s="86" t="s">
        <v>12</v>
      </c>
      <c r="B12" s="85"/>
      <c r="C12" s="85"/>
      <c r="D12" s="1" t="s">
        <v>3</v>
      </c>
      <c r="E12" s="1"/>
    </row>
    <row r="13" spans="1:5" ht="153.6" customHeight="1" x14ac:dyDescent="0.4">
      <c r="A13" s="86" t="s">
        <v>17</v>
      </c>
      <c r="B13" s="85"/>
      <c r="C13" s="85"/>
      <c r="D13" s="1" t="s">
        <v>13</v>
      </c>
      <c r="E13" s="1"/>
    </row>
    <row r="14" spans="1:5" x14ac:dyDescent="0.4">
      <c r="A14" s="87"/>
      <c r="B14" s="87"/>
      <c r="C14" s="87"/>
    </row>
    <row r="15" spans="1:5" x14ac:dyDescent="0.4">
      <c r="A15" s="87"/>
      <c r="B15" s="87"/>
      <c r="C15" s="87"/>
    </row>
    <row r="16" spans="1:5" x14ac:dyDescent="0.4">
      <c r="A16" s="87"/>
      <c r="B16" s="87"/>
      <c r="C16" s="87"/>
    </row>
    <row r="17" spans="1:3" x14ac:dyDescent="0.4">
      <c r="A17" s="87"/>
      <c r="B17" s="87"/>
      <c r="C17" s="87"/>
    </row>
    <row r="18" spans="1:3" x14ac:dyDescent="0.4">
      <c r="A18" s="87"/>
      <c r="B18" s="87"/>
      <c r="C18" s="87"/>
    </row>
    <row r="19" spans="1:3" x14ac:dyDescent="0.4">
      <c r="A19" s="87"/>
      <c r="B19" s="87"/>
      <c r="C19" s="87"/>
    </row>
    <row r="20" spans="1:3" x14ac:dyDescent="0.4">
      <c r="A20" s="87"/>
      <c r="B20" s="87"/>
      <c r="C20" s="87"/>
    </row>
  </sheetData>
  <mergeCells count="18">
    <mergeCell ref="A20:C20"/>
    <mergeCell ref="A11:C11"/>
    <mergeCell ref="A12:C12"/>
    <mergeCell ref="A13:C13"/>
    <mergeCell ref="A14:C14"/>
    <mergeCell ref="A15:C15"/>
    <mergeCell ref="A16:C16"/>
    <mergeCell ref="A10:C10"/>
    <mergeCell ref="A17:C17"/>
    <mergeCell ref="A3:C3"/>
    <mergeCell ref="A18:C18"/>
    <mergeCell ref="A19:C19"/>
    <mergeCell ref="A4:C4"/>
    <mergeCell ref="A5:C5"/>
    <mergeCell ref="A7:C7"/>
    <mergeCell ref="A8:C8"/>
    <mergeCell ref="A9:C9"/>
    <mergeCell ref="A6:C6"/>
  </mergeCells>
  <phoneticPr fontId="1"/>
  <pageMargins left="0.25" right="0.25" top="0.75" bottom="0.75" header="0.3" footer="0.3"/>
  <pageSetup paperSize="9" scale="51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Sheet2 (個数修正後)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和夫</dc:creator>
  <cp:lastModifiedBy>佐藤マネジャー</cp:lastModifiedBy>
  <cp:lastPrinted>2021-05-28T03:51:35Z</cp:lastPrinted>
  <dcterms:created xsi:type="dcterms:W3CDTF">2021-05-25T06:50:45Z</dcterms:created>
  <dcterms:modified xsi:type="dcterms:W3CDTF">2021-11-05T03:14:46Z</dcterms:modified>
</cp:coreProperties>
</file>