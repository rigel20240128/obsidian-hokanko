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C2D46FF-6EC8-4DB1-8795-CF1A04560F12}" xr6:coauthVersionLast="46" xr6:coauthVersionMax="46" xr10:uidLastSave="{00000000-0000-0000-0000-000000000000}"/>
  <bookViews>
    <workbookView xWindow="14445" yWindow="75" windowWidth="22665" windowHeight="16095" xr2:uid="{00000000-000D-0000-FFFF-FFFF00000000}"/>
  </bookViews>
  <sheets>
    <sheet name="原価表" sheetId="1" r:id="rId1"/>
    <sheet name="治具手配数量" sheetId="2" r:id="rId2"/>
    <sheet name="Sheet3" sheetId="3" r:id="rId3"/>
  </sheets>
  <definedNames>
    <definedName name="_xlnm._FilterDatabase" localSheetId="0" hidden="1">原価表!$B$9:$O$22</definedName>
  </definedNames>
  <calcPr calcId="181029"/>
  <fileRecoveryPr autoRecover="0"/>
</workbook>
</file>

<file path=xl/calcChain.xml><?xml version="1.0" encoding="utf-8"?>
<calcChain xmlns="http://schemas.openxmlformats.org/spreadsheetml/2006/main">
  <c r="H61" i="1" l="1"/>
  <c r="H60" i="1"/>
  <c r="H59" i="1"/>
  <c r="H58" i="1"/>
  <c r="H57" i="1"/>
  <c r="H56" i="1"/>
  <c r="H75" i="1"/>
  <c r="H55" i="1"/>
  <c r="H54" i="1"/>
  <c r="H53" i="1"/>
  <c r="H52" i="1"/>
  <c r="H51" i="1"/>
  <c r="H50" i="1"/>
  <c r="H49" i="1"/>
  <c r="H48" i="1"/>
  <c r="H47" i="1"/>
  <c r="H46" i="1"/>
  <c r="H45" i="1"/>
  <c r="H77" i="1" l="1"/>
  <c r="H76" i="1"/>
  <c r="H74" i="1"/>
  <c r="H73" i="1"/>
  <c r="H72" i="1"/>
  <c r="H71" i="1"/>
  <c r="H70" i="1"/>
  <c r="H69" i="1"/>
  <c r="H68" i="1"/>
  <c r="H67" i="1"/>
  <c r="H66" i="1"/>
  <c r="H65" i="1"/>
  <c r="H64" i="1"/>
  <c r="H63" i="1"/>
  <c r="H43" i="1" l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14" i="1" l="1"/>
  <c r="H15" i="1"/>
  <c r="H16" i="1"/>
  <c r="H17" i="1"/>
  <c r="H18" i="1"/>
  <c r="H19" i="1"/>
  <c r="H20" i="1"/>
  <c r="H21" i="1"/>
  <c r="H22" i="1"/>
  <c r="J2" i="1" l="1"/>
</calcChain>
</file>

<file path=xl/sharedStrings.xml><?xml version="1.0" encoding="utf-8"?>
<sst xmlns="http://schemas.openxmlformats.org/spreadsheetml/2006/main" count="293" uniqueCount="156">
  <si>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</si>
  <si>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</si>
  <si>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</si>
  <si>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</si>
  <si>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</si>
  <si>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</si>
  <si>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</si>
  <si>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</si>
  <si>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</si>
  <si>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</si>
  <si>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</si>
  <si>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</si>
  <si>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</si>
  <si>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</si>
  <si>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</si>
  <si>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</si>
  <si>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</si>
  <si>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</si>
  <si>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</si>
  <si>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</si>
  <si>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</si>
  <si>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</si>
  <si>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</si>
  <si>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</si>
  <si>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</si>
  <si>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</si>
  <si>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</si>
  <si>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</si>
  <si>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</si>
  <si>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</si>
  <si>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</si>
  <si>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</si>
  <si>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</si>
  <si>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</si>
  <si>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</si>
  <si>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</si>
  <si>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</si>
  <si>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</si>
  <si>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</si>
  <si>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MISUMI</t>
    <phoneticPr fontId="2"/>
  </si>
  <si>
    <t>MD-1.5L-R</t>
    <phoneticPr fontId="2"/>
  </si>
  <si>
    <t>SLSBG6-55-M4-N4</t>
    <phoneticPr fontId="2"/>
  </si>
  <si>
    <t>3M-3</t>
    <phoneticPr fontId="2"/>
  </si>
  <si>
    <t>PACK-SHNTP6-5</t>
    <phoneticPr fontId="2"/>
  </si>
  <si>
    <t>PACK-SHNTP6-4</t>
    <phoneticPr fontId="2"/>
  </si>
  <si>
    <t>MHPUS203-45-30-A</t>
    <phoneticPr fontId="2"/>
  </si>
  <si>
    <t>PYA-159-119-3</t>
    <phoneticPr fontId="2"/>
  </si>
  <si>
    <t>PYA-472-119-3</t>
    <phoneticPr fontId="2"/>
  </si>
  <si>
    <t>PYA-709-354-3</t>
    <phoneticPr fontId="2"/>
  </si>
  <si>
    <t>PYA-739-354-3</t>
    <phoneticPr fontId="2"/>
  </si>
  <si>
    <t>PADG-SA</t>
    <phoneticPr fontId="2"/>
  </si>
  <si>
    <t>オリエンタルM</t>
    <phoneticPr fontId="2"/>
  </si>
  <si>
    <t>CC05IF-USB</t>
    <phoneticPr fontId="2"/>
  </si>
  <si>
    <t>CC020VA2R2</t>
    <phoneticPr fontId="2"/>
  </si>
  <si>
    <t>DG60-ARAKD2</t>
    <phoneticPr fontId="2"/>
  </si>
  <si>
    <t>ESP20-60-24</t>
    <phoneticPr fontId="2"/>
  </si>
  <si>
    <t>MWI-COM-P10N10</t>
    <phoneticPr fontId="2"/>
  </si>
  <si>
    <t>GLPJ-PS-WA-37-1.5</t>
    <phoneticPr fontId="2"/>
  </si>
  <si>
    <t>MWS-DS37A-HT37</t>
  </si>
  <si>
    <t>HCBR6S</t>
    <phoneticPr fontId="2"/>
  </si>
  <si>
    <t>VCTF-0.3SQ-4-5</t>
    <phoneticPr fontId="2"/>
  </si>
  <si>
    <t>NCC-226</t>
    <phoneticPr fontId="2"/>
  </si>
  <si>
    <t>SF4C-H28</t>
  </si>
  <si>
    <t>HFCN6PACK</t>
    <phoneticPr fontId="2"/>
  </si>
  <si>
    <t>HBLFSL6-C</t>
    <phoneticPr fontId="2"/>
  </si>
  <si>
    <t>PACK-SHNTP6-6</t>
    <phoneticPr fontId="2"/>
  </si>
  <si>
    <t>HFCB6-3060-B</t>
    <phoneticPr fontId="2"/>
  </si>
  <si>
    <t>HFCB6-3030-B</t>
    <phoneticPr fontId="2"/>
  </si>
  <si>
    <t>KNFSL6-3060-4000</t>
    <phoneticPr fontId="2"/>
  </si>
  <si>
    <t>KNFSL6-3030-4000</t>
    <phoneticPr fontId="2"/>
  </si>
  <si>
    <t>OPD6-B</t>
  </si>
  <si>
    <t>ユキ技研</t>
    <rPh sb="2" eb="4">
      <t>ギケン</t>
    </rPh>
    <phoneticPr fontId="2"/>
  </si>
  <si>
    <t>山澤（丸山）</t>
    <rPh sb="0" eb="2">
      <t>ヤマサワ</t>
    </rPh>
    <rPh sb="3" eb="5">
      <t>マルヤマ</t>
    </rPh>
    <phoneticPr fontId="2"/>
  </si>
  <si>
    <t>ダクト</t>
    <phoneticPr fontId="2"/>
  </si>
  <si>
    <t>SUS支柱</t>
    <rPh sb="3" eb="5">
      <t>シチュウ</t>
    </rPh>
    <phoneticPr fontId="2"/>
  </si>
  <si>
    <t>ACコード</t>
    <phoneticPr fontId="2"/>
  </si>
  <si>
    <t>バネナット</t>
    <phoneticPr fontId="2"/>
  </si>
  <si>
    <t>ケーブルキャリア</t>
    <phoneticPr fontId="2"/>
  </si>
  <si>
    <t>PETパネル</t>
    <phoneticPr fontId="2"/>
  </si>
  <si>
    <t>電動アクチュエータDGオプション原点センサ</t>
    <rPh sb="0" eb="2">
      <t>デンドウ</t>
    </rPh>
    <rPh sb="16" eb="18">
      <t>ゲンテン</t>
    </rPh>
    <phoneticPr fontId="2"/>
  </si>
  <si>
    <t>PCソフト</t>
    <phoneticPr fontId="2"/>
  </si>
  <si>
    <t>可動モーターケーブル</t>
    <rPh sb="0" eb="2">
      <t>カドウ</t>
    </rPh>
    <phoneticPr fontId="2"/>
  </si>
  <si>
    <t>電動アクチュエータ</t>
    <rPh sb="0" eb="2">
      <t>デンドウ</t>
    </rPh>
    <phoneticPr fontId="2"/>
  </si>
  <si>
    <t>２４V電源</t>
    <rPh sb="3" eb="5">
      <t>デンゲン</t>
    </rPh>
    <phoneticPr fontId="2"/>
  </si>
  <si>
    <t>COM端子台</t>
    <rPh sb="3" eb="6">
      <t>タンシダイ</t>
    </rPh>
    <phoneticPr fontId="2"/>
  </si>
  <si>
    <t>端子台ケーブル</t>
    <rPh sb="0" eb="3">
      <t>タンシダイ</t>
    </rPh>
    <phoneticPr fontId="2"/>
  </si>
  <si>
    <t>３７P端子台</t>
    <rPh sb="3" eb="6">
      <t>タンシダイ</t>
    </rPh>
    <phoneticPr fontId="2"/>
  </si>
  <si>
    <t>パネルサポートブラケット</t>
    <phoneticPr fontId="2"/>
  </si>
  <si>
    <t>配線材</t>
    <rPh sb="0" eb="2">
      <t>ハイセン</t>
    </rPh>
    <rPh sb="2" eb="3">
      <t>ザイ</t>
    </rPh>
    <phoneticPr fontId="2"/>
  </si>
  <si>
    <t>外部スイッチ</t>
    <rPh sb="0" eb="2">
      <t>ガイブ</t>
    </rPh>
    <phoneticPr fontId="2"/>
  </si>
  <si>
    <t>ライトカーテン</t>
    <phoneticPr fontId="2"/>
  </si>
  <si>
    <t>ケーブルクランプ</t>
    <phoneticPr fontId="2"/>
  </si>
  <si>
    <t>アルミフレームブラケット</t>
    <phoneticPr fontId="2"/>
  </si>
  <si>
    <t>フレームキャップ</t>
    <phoneticPr fontId="2"/>
  </si>
  <si>
    <t>オープンパッドアイ</t>
    <phoneticPr fontId="2"/>
  </si>
  <si>
    <t>アルミフレーム</t>
    <phoneticPr fontId="2"/>
  </si>
  <si>
    <t>タイショー</t>
    <phoneticPr fontId="2"/>
  </si>
  <si>
    <t>SK20-KC01-001-00A</t>
    <phoneticPr fontId="2"/>
  </si>
  <si>
    <t>塗布ロボットシリンジホルダ下段</t>
    <rPh sb="0" eb="2">
      <t>トフ</t>
    </rPh>
    <rPh sb="13" eb="15">
      <t>ゲダン</t>
    </rPh>
    <phoneticPr fontId="2"/>
  </si>
  <si>
    <t>SK20-KC01-002-00A</t>
    <phoneticPr fontId="2"/>
  </si>
  <si>
    <t>塗布ロボットシリンジホルダツール板</t>
    <rPh sb="0" eb="2">
      <t>トフ</t>
    </rPh>
    <rPh sb="16" eb="17">
      <t>イタ</t>
    </rPh>
    <phoneticPr fontId="2"/>
  </si>
  <si>
    <t>SK20-KC01-003-00A</t>
    <phoneticPr fontId="2"/>
  </si>
  <si>
    <t>塗布ロボットシリンジホルダ上段</t>
    <rPh sb="0" eb="2">
      <t>トフ</t>
    </rPh>
    <rPh sb="13" eb="15">
      <t>ジョウダン</t>
    </rPh>
    <phoneticPr fontId="2"/>
  </si>
  <si>
    <t>SK20-KC01-004-00A</t>
    <phoneticPr fontId="2"/>
  </si>
  <si>
    <t>塗布ロボット回転ステージ</t>
    <rPh sb="0" eb="2">
      <t>トフ</t>
    </rPh>
    <rPh sb="6" eb="8">
      <t>カイテン</t>
    </rPh>
    <phoneticPr fontId="2"/>
  </si>
  <si>
    <t>SK20-KC01-005-00A</t>
    <phoneticPr fontId="2"/>
  </si>
  <si>
    <t>塗布ロボットモーター取付台座</t>
    <rPh sb="0" eb="2">
      <t>トフ</t>
    </rPh>
    <rPh sb="10" eb="12">
      <t>トリツケ</t>
    </rPh>
    <rPh sb="12" eb="14">
      <t>ダイザ</t>
    </rPh>
    <phoneticPr fontId="2"/>
  </si>
  <si>
    <t>SK20-KC01-006-00A</t>
    <phoneticPr fontId="2"/>
  </si>
  <si>
    <t>塗布ロボットステージベース板</t>
    <rPh sb="0" eb="2">
      <t>トフ</t>
    </rPh>
    <rPh sb="13" eb="14">
      <t>イタ</t>
    </rPh>
    <phoneticPr fontId="2"/>
  </si>
  <si>
    <t>SK20-KC01-007-00A</t>
    <phoneticPr fontId="2"/>
  </si>
  <si>
    <t>塗布ロボットNA取付板</t>
    <rPh sb="0" eb="2">
      <t>トフ</t>
    </rPh>
    <rPh sb="8" eb="10">
      <t>トリツケ</t>
    </rPh>
    <rPh sb="10" eb="11">
      <t>イタ</t>
    </rPh>
    <phoneticPr fontId="2"/>
  </si>
  <si>
    <t>SK20-KC01-008-00A</t>
    <phoneticPr fontId="2"/>
  </si>
  <si>
    <t>塗布ロボットNAベース板</t>
    <rPh sb="0" eb="2">
      <t>トフ</t>
    </rPh>
    <rPh sb="11" eb="12">
      <t>イタ</t>
    </rPh>
    <phoneticPr fontId="2"/>
  </si>
  <si>
    <t>SK20-KC01-009-00A</t>
    <phoneticPr fontId="2"/>
  </si>
  <si>
    <t>ロボット台座</t>
    <rPh sb="4" eb="6">
      <t>ダイザ</t>
    </rPh>
    <phoneticPr fontId="2"/>
  </si>
  <si>
    <t>SK20-KC01-010-00A</t>
    <phoneticPr fontId="2"/>
  </si>
  <si>
    <t>AJ側ケーブルベアステー</t>
    <rPh sb="2" eb="3">
      <t>ガワ</t>
    </rPh>
    <phoneticPr fontId="2"/>
  </si>
  <si>
    <t>SK20-KC01-011-00A</t>
    <phoneticPr fontId="2"/>
  </si>
  <si>
    <t>ケーブルベアベース</t>
    <phoneticPr fontId="2"/>
  </si>
  <si>
    <t>SK20-KC01-012-00A</t>
    <phoneticPr fontId="2"/>
  </si>
  <si>
    <t>スイッチボックスブラケット</t>
    <phoneticPr fontId="2"/>
  </si>
  <si>
    <t>1/18・神奈川営業所着</t>
    <rPh sb="5" eb="8">
      <t>カナガワ</t>
    </rPh>
    <rPh sb="8" eb="11">
      <t>エイギョウショ</t>
    </rPh>
    <rPh sb="11" eb="12">
      <t>チャク</t>
    </rPh>
    <phoneticPr fontId="2"/>
  </si>
  <si>
    <t>HBLSS6</t>
    <phoneticPr fontId="2"/>
  </si>
  <si>
    <t>アルミブラケットザイ</t>
    <phoneticPr fontId="2"/>
  </si>
  <si>
    <t>HUJ6</t>
    <phoneticPr fontId="2"/>
  </si>
  <si>
    <t>イージージョイント（HUJ）</t>
    <phoneticPr fontId="2"/>
  </si>
  <si>
    <t>オムロン</t>
    <phoneticPr fontId="2"/>
  </si>
  <si>
    <t>G7SA-2A2B DC24</t>
    <phoneticPr fontId="2"/>
  </si>
  <si>
    <t>RELAY</t>
    <phoneticPr fontId="2"/>
  </si>
  <si>
    <t>P7SA-10F-ND DC24</t>
    <phoneticPr fontId="2"/>
  </si>
  <si>
    <t>RELAY　SOCKET</t>
    <phoneticPr fontId="2"/>
  </si>
  <si>
    <t>AASC8-30-22</t>
    <phoneticPr fontId="2"/>
  </si>
  <si>
    <t>キンゾクカラー　AASC</t>
    <phoneticPr fontId="2"/>
  </si>
  <si>
    <t>ステンレスシチュウ　SLSBG</t>
    <phoneticPr fontId="2"/>
  </si>
  <si>
    <t>BJPNGB3-P4-B4-G3</t>
    <phoneticPr fontId="2"/>
  </si>
  <si>
    <t>イチギメピン（BJPNG)</t>
    <phoneticPr fontId="2"/>
  </si>
  <si>
    <t>SCB8-40</t>
    <phoneticPr fontId="2"/>
  </si>
  <si>
    <t>イチギメピン</t>
    <phoneticPr fontId="2"/>
  </si>
  <si>
    <t>CBSTS4-8</t>
    <phoneticPr fontId="2"/>
  </si>
  <si>
    <t>ゴクテイトウボルト　－SUS-CBSTS</t>
    <phoneticPr fontId="2"/>
  </si>
  <si>
    <t>パッドツキローレットノブ</t>
    <phoneticPr fontId="2"/>
  </si>
  <si>
    <t>NKMS4</t>
    <phoneticPr fontId="2"/>
  </si>
  <si>
    <t>NK0S4-20</t>
    <phoneticPr fontId="2"/>
  </si>
  <si>
    <t>AJPNGB4-P4.99-B10-G1-RAC</t>
    <phoneticPr fontId="2"/>
  </si>
  <si>
    <t>SK20-KC01-004-01A</t>
    <phoneticPr fontId="2"/>
  </si>
  <si>
    <t>2/9・神奈川営業所着</t>
    <rPh sb="4" eb="7">
      <t>カナガワ</t>
    </rPh>
    <rPh sb="7" eb="10">
      <t>エイギョウショ</t>
    </rPh>
    <rPh sb="10" eb="11">
      <t>チャク</t>
    </rPh>
    <phoneticPr fontId="2"/>
  </si>
  <si>
    <t>HBLFSNK6-C</t>
    <phoneticPr fontId="2"/>
  </si>
  <si>
    <t>RTK-10M-5P</t>
    <phoneticPr fontId="2"/>
  </si>
  <si>
    <t>コガタタンシダイ</t>
    <phoneticPr fontId="2"/>
  </si>
  <si>
    <t>MVVS-B-0.3-4-2</t>
    <phoneticPr fontId="2"/>
  </si>
  <si>
    <t>ハンヨウケーブルMVVS</t>
    <phoneticPr fontId="2"/>
  </si>
  <si>
    <t>MT-30-4PK</t>
    <phoneticPr fontId="2"/>
  </si>
  <si>
    <t>ブロックタンシダイ(PB)</t>
    <phoneticPr fontId="2"/>
  </si>
  <si>
    <t>SLSBWF7-22</t>
    <phoneticPr fontId="2"/>
  </si>
  <si>
    <t>ALPSTAH5-L10-E2-A15</t>
    <phoneticPr fontId="2"/>
  </si>
  <si>
    <t>ロッカクシチュウ　SLSBWF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</si>
</sst>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56" fontId="6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38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3" fontId="0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38" fontId="10" fillId="0" borderId="1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7"/>
  <sheetViews>
    <sheetView tabSelected="1" zoomScale="70" zoomScaleNormal="7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K17" sqref="K17"/>
    </sheetView>
  </sheetViews>
  <sheetFormatPr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24.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65" t="s">
        <v>11</v>
      </c>
      <c r="C2" s="65"/>
      <c r="D2" s="65"/>
      <c r="E2" s="10"/>
      <c r="G2" s="66" t="s">
        <v>15</v>
      </c>
      <c r="H2" s="67"/>
      <c r="I2" s="68"/>
      <c r="J2" s="12">
        <f>SUM(H:H)</f>
        <v>455393</v>
      </c>
      <c r="K2" s="13"/>
      <c r="L2" s="14"/>
    </row>
    <row r="3" spans="2:17" ht="20.100000000000001" customHeight="1" x14ac:dyDescent="0.15">
      <c r="B3" s="65" t="s">
        <v>10</v>
      </c>
      <c r="C3" s="65"/>
      <c r="D3" s="65"/>
      <c r="E3" s="19" t="s">
        <v>72</v>
      </c>
    </row>
    <row r="4" spans="2:17" ht="20.100000000000001" customHeight="1" x14ac:dyDescent="0.15">
      <c r="B4" s="65" t="s">
        <v>12</v>
      </c>
      <c r="C4" s="65"/>
      <c r="D4" s="65"/>
      <c r="E4" s="19">
        <v>182702</v>
      </c>
      <c r="J4" s="21"/>
    </row>
    <row r="5" spans="2:17" ht="20.100000000000001" customHeight="1" x14ac:dyDescent="0.15">
      <c r="B5" s="65" t="s">
        <v>13</v>
      </c>
      <c r="C5" s="65"/>
      <c r="D5" s="65"/>
      <c r="E5" s="22">
        <v>44221</v>
      </c>
      <c r="J5" s="21"/>
    </row>
    <row r="6" spans="2:17" ht="20.100000000000001" customHeight="1" x14ac:dyDescent="0.15">
      <c r="B6" s="65" t="s">
        <v>14</v>
      </c>
      <c r="C6" s="65"/>
      <c r="D6" s="65"/>
      <c r="E6" s="22"/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48"/>
      <c r="C10" s="49"/>
      <c r="D10" s="49"/>
      <c r="E10" s="52"/>
      <c r="F10" s="52"/>
      <c r="G10" s="50"/>
      <c r="H10" s="51"/>
      <c r="I10" s="54"/>
      <c r="J10" s="53"/>
      <c r="K10" s="27"/>
      <c r="L10" s="27"/>
      <c r="M10" s="29"/>
      <c r="N10" s="26"/>
      <c r="O10" s="27"/>
      <c r="P10" s="29"/>
      <c r="Q10" s="30"/>
    </row>
    <row r="11" spans="2:17" s="31" customFormat="1" ht="19.7" customHeight="1" x14ac:dyDescent="0.15">
      <c r="B11" s="48"/>
      <c r="C11" s="49"/>
      <c r="D11" s="49"/>
      <c r="E11" s="52"/>
      <c r="F11" s="52"/>
      <c r="G11" s="50"/>
      <c r="H11" s="51"/>
      <c r="I11" s="54"/>
      <c r="J11" s="53"/>
      <c r="K11" s="27"/>
      <c r="L11" s="27"/>
      <c r="M11" s="29"/>
      <c r="N11" s="26"/>
      <c r="O11" s="27"/>
      <c r="P11" s="29"/>
      <c r="Q11" s="30"/>
    </row>
    <row r="12" spans="2:17" s="31" customFormat="1" ht="19.7" customHeight="1" x14ac:dyDescent="0.15">
      <c r="B12" s="48"/>
      <c r="C12" s="49"/>
      <c r="D12" s="49"/>
      <c r="E12" s="52"/>
      <c r="F12" s="52"/>
      <c r="G12" s="50"/>
      <c r="H12" s="51"/>
      <c r="I12" s="54"/>
      <c r="J12" s="53"/>
      <c r="K12" s="27"/>
      <c r="L12" s="27"/>
      <c r="M12" s="29"/>
      <c r="N12" s="26"/>
      <c r="O12" s="27"/>
      <c r="P12" s="29"/>
      <c r="Q12" s="30"/>
    </row>
    <row r="13" spans="2:17" s="31" customFormat="1" ht="19.7" customHeight="1" x14ac:dyDescent="0.15">
      <c r="B13" s="26"/>
      <c r="C13" s="36"/>
      <c r="D13" s="36"/>
      <c r="E13" s="37"/>
      <c r="F13" s="37"/>
      <c r="G13" s="38"/>
      <c r="H13" s="39"/>
      <c r="I13" s="40"/>
      <c r="J13" s="46"/>
      <c r="K13" s="27"/>
      <c r="L13" s="27"/>
      <c r="M13" s="29"/>
      <c r="N13" s="26"/>
      <c r="O13" s="27"/>
      <c r="P13" s="29"/>
      <c r="Q13" s="30"/>
    </row>
    <row r="14" spans="2:17" s="31" customFormat="1" ht="19.7" customHeight="1" x14ac:dyDescent="0.15">
      <c r="B14" s="26"/>
      <c r="C14" s="36" t="s">
        <v>39</v>
      </c>
      <c r="D14" s="36" t="s">
        <v>39</v>
      </c>
      <c r="E14" s="41" t="s">
        <v>40</v>
      </c>
      <c r="F14" s="41">
        <v>2</v>
      </c>
      <c r="G14" s="42">
        <v>693</v>
      </c>
      <c r="H14" s="39">
        <f t="shared" ref="H11:H22" si="0">F14*G14</f>
        <v>1386</v>
      </c>
      <c r="I14" s="37"/>
      <c r="J14" s="47" t="s">
        <v>73</v>
      </c>
      <c r="K14" s="27"/>
      <c r="L14" s="26"/>
      <c r="M14" s="29">
        <v>44183</v>
      </c>
      <c r="N14" s="26"/>
      <c r="O14" s="32"/>
      <c r="P14" s="32"/>
      <c r="Q14" s="30"/>
    </row>
    <row r="15" spans="2:17" s="31" customFormat="1" ht="19.7" customHeight="1" x14ac:dyDescent="0.15">
      <c r="B15" s="26"/>
      <c r="C15" s="36" t="s">
        <v>39</v>
      </c>
      <c r="D15" s="36" t="s">
        <v>39</v>
      </c>
      <c r="E15" s="41" t="s">
        <v>41</v>
      </c>
      <c r="F15" s="41">
        <v>4</v>
      </c>
      <c r="G15" s="42">
        <v>646</v>
      </c>
      <c r="H15" s="39">
        <f t="shared" si="0"/>
        <v>2584</v>
      </c>
      <c r="I15" s="37"/>
      <c r="J15" s="47" t="s">
        <v>74</v>
      </c>
      <c r="K15" s="27"/>
      <c r="L15" s="26"/>
      <c r="M15" s="29">
        <v>44183</v>
      </c>
      <c r="N15" s="26"/>
      <c r="O15" s="32"/>
      <c r="P15" s="32"/>
      <c r="Q15" s="30"/>
    </row>
    <row r="16" spans="2:17" s="31" customFormat="1" ht="19.7" customHeight="1" x14ac:dyDescent="0.15">
      <c r="B16" s="26"/>
      <c r="C16" s="36" t="s">
        <v>39</v>
      </c>
      <c r="D16" s="36" t="s">
        <v>39</v>
      </c>
      <c r="E16" s="41" t="s">
        <v>42</v>
      </c>
      <c r="F16" s="41">
        <v>1</v>
      </c>
      <c r="G16" s="42">
        <v>550</v>
      </c>
      <c r="H16" s="39">
        <f t="shared" si="0"/>
        <v>550</v>
      </c>
      <c r="I16" s="37"/>
      <c r="J16" s="47" t="s">
        <v>75</v>
      </c>
      <c r="K16" s="33"/>
      <c r="L16" s="26"/>
      <c r="M16" s="29">
        <v>44183</v>
      </c>
      <c r="N16" s="26"/>
      <c r="O16" s="34"/>
      <c r="P16" s="32"/>
      <c r="Q16" s="29"/>
    </row>
    <row r="17" spans="2:17" s="31" customFormat="1" ht="19.7" customHeight="1" x14ac:dyDescent="0.15">
      <c r="B17" s="26"/>
      <c r="C17" s="36" t="s">
        <v>39</v>
      </c>
      <c r="D17" s="36" t="s">
        <v>39</v>
      </c>
      <c r="E17" s="41" t="s">
        <v>43</v>
      </c>
      <c r="F17" s="41">
        <v>1</v>
      </c>
      <c r="G17" s="42">
        <v>4360</v>
      </c>
      <c r="H17" s="39">
        <f t="shared" si="0"/>
        <v>4360</v>
      </c>
      <c r="I17" s="37"/>
      <c r="J17" s="47" t="s">
        <v>76</v>
      </c>
      <c r="K17" s="27"/>
      <c r="L17" s="27"/>
      <c r="M17" s="29">
        <v>44183</v>
      </c>
      <c r="N17" s="26"/>
      <c r="O17" s="27"/>
      <c r="P17" s="29"/>
      <c r="Q17" s="30"/>
    </row>
    <row r="18" spans="2:17" s="31" customFormat="1" ht="19.7" customHeight="1" x14ac:dyDescent="0.15">
      <c r="B18" s="26"/>
      <c r="C18" s="36" t="s">
        <v>39</v>
      </c>
      <c r="D18" s="36" t="s">
        <v>39</v>
      </c>
      <c r="E18" s="41" t="s">
        <v>44</v>
      </c>
      <c r="F18" s="41">
        <v>1</v>
      </c>
      <c r="G18" s="42">
        <v>4360</v>
      </c>
      <c r="H18" s="39">
        <f t="shared" si="0"/>
        <v>4360</v>
      </c>
      <c r="I18" s="37"/>
      <c r="J18" s="47" t="s">
        <v>76</v>
      </c>
      <c r="K18" s="27"/>
      <c r="L18" s="26"/>
      <c r="M18" s="29">
        <v>44183</v>
      </c>
      <c r="N18" s="26"/>
      <c r="O18" s="32"/>
      <c r="P18" s="32"/>
      <c r="Q18" s="30"/>
    </row>
    <row r="19" spans="2:17" s="31" customFormat="1" ht="19.7" customHeight="1" x14ac:dyDescent="0.15">
      <c r="B19" s="26"/>
      <c r="C19" s="36" t="s">
        <v>39</v>
      </c>
      <c r="D19" s="36" t="s">
        <v>39</v>
      </c>
      <c r="E19" s="41" t="s">
        <v>45</v>
      </c>
      <c r="F19" s="41">
        <v>1</v>
      </c>
      <c r="G19" s="42">
        <v>4940</v>
      </c>
      <c r="H19" s="39">
        <f t="shared" si="0"/>
        <v>4940</v>
      </c>
      <c r="I19" s="37"/>
      <c r="J19" s="47" t="s">
        <v>77</v>
      </c>
      <c r="K19" s="27"/>
      <c r="L19" s="26"/>
      <c r="M19" s="29">
        <v>44183</v>
      </c>
      <c r="N19" s="26"/>
      <c r="O19" s="32"/>
      <c r="P19" s="29"/>
      <c r="Q19" s="30"/>
    </row>
    <row r="20" spans="2:17" s="31" customFormat="1" ht="19.7" customHeight="1" x14ac:dyDescent="0.15">
      <c r="B20" s="26"/>
      <c r="C20" s="36" t="s">
        <v>39</v>
      </c>
      <c r="D20" s="36" t="s">
        <v>39</v>
      </c>
      <c r="E20" s="41" t="s">
        <v>46</v>
      </c>
      <c r="F20" s="41">
        <v>1</v>
      </c>
      <c r="G20" s="42">
        <v>310</v>
      </c>
      <c r="H20" s="39">
        <f t="shared" si="0"/>
        <v>310</v>
      </c>
      <c r="I20" s="37"/>
      <c r="J20" s="47" t="s">
        <v>78</v>
      </c>
      <c r="K20" s="33"/>
      <c r="L20" s="26"/>
      <c r="M20" s="29">
        <v>44183</v>
      </c>
      <c r="N20" s="26"/>
      <c r="O20" s="34"/>
      <c r="P20" s="32"/>
      <c r="Q20" s="30"/>
    </row>
    <row r="21" spans="2:17" s="31" customFormat="1" ht="19.7" customHeight="1" x14ac:dyDescent="0.15">
      <c r="B21" s="26"/>
      <c r="C21" s="36" t="s">
        <v>39</v>
      </c>
      <c r="D21" s="36" t="s">
        <v>39</v>
      </c>
      <c r="E21" s="41" t="s">
        <v>47</v>
      </c>
      <c r="F21" s="41">
        <v>1</v>
      </c>
      <c r="G21" s="42">
        <v>820</v>
      </c>
      <c r="H21" s="39">
        <f t="shared" si="0"/>
        <v>820</v>
      </c>
      <c r="I21" s="37"/>
      <c r="J21" s="47" t="s">
        <v>78</v>
      </c>
      <c r="K21" s="27"/>
      <c r="L21" s="27"/>
      <c r="M21" s="29">
        <v>44183</v>
      </c>
      <c r="N21" s="26"/>
      <c r="O21" s="27"/>
      <c r="P21" s="29"/>
      <c r="Q21" s="30"/>
    </row>
    <row r="22" spans="2:17" s="31" customFormat="1" ht="19.7" customHeight="1" x14ac:dyDescent="0.15">
      <c r="B22" s="35"/>
      <c r="C22" s="36" t="s">
        <v>39</v>
      </c>
      <c r="D22" s="36" t="s">
        <v>39</v>
      </c>
      <c r="E22" s="43" t="s">
        <v>48</v>
      </c>
      <c r="F22" s="44">
        <v>2</v>
      </c>
      <c r="G22" s="45">
        <v>1540</v>
      </c>
      <c r="H22" s="39">
        <f t="shared" si="0"/>
        <v>3080</v>
      </c>
      <c r="I22" s="40"/>
      <c r="J22" s="46" t="s">
        <v>78</v>
      </c>
      <c r="K22" s="33"/>
      <c r="L22" s="26"/>
      <c r="M22" s="29">
        <v>44183</v>
      </c>
      <c r="N22" s="26"/>
      <c r="O22" s="32"/>
      <c r="P22" s="29"/>
      <c r="Q22" s="29"/>
    </row>
    <row r="23" spans="2:17" ht="19.5" customHeight="1" x14ac:dyDescent="0.15">
      <c r="B23" s="35"/>
      <c r="C23" s="36" t="s">
        <v>39</v>
      </c>
      <c r="D23" s="36" t="s">
        <v>39</v>
      </c>
      <c r="E23" s="43" t="s">
        <v>49</v>
      </c>
      <c r="F23" s="44">
        <v>6</v>
      </c>
      <c r="G23" s="45">
        <v>1463</v>
      </c>
      <c r="H23" s="39">
        <f t="shared" ref="H23:H77" si="1">F23*G23</f>
        <v>8778</v>
      </c>
      <c r="I23" s="40"/>
      <c r="J23" s="46" t="s">
        <v>78</v>
      </c>
      <c r="K23" s="33"/>
      <c r="L23" s="26"/>
      <c r="M23" s="29">
        <v>44183</v>
      </c>
      <c r="N23" s="26"/>
      <c r="O23" s="32"/>
      <c r="P23" s="29"/>
      <c r="Q23" s="29"/>
    </row>
    <row r="24" spans="2:17" ht="19.5" customHeight="1" x14ac:dyDescent="0.15">
      <c r="B24" s="35"/>
      <c r="C24" s="36" t="s">
        <v>51</v>
      </c>
      <c r="D24" s="36" t="s">
        <v>39</v>
      </c>
      <c r="E24" s="43" t="s">
        <v>50</v>
      </c>
      <c r="F24" s="44">
        <v>1</v>
      </c>
      <c r="G24" s="45">
        <v>6066</v>
      </c>
      <c r="H24" s="39">
        <f t="shared" si="1"/>
        <v>6066</v>
      </c>
      <c r="I24" s="40"/>
      <c r="J24" s="46" t="s">
        <v>79</v>
      </c>
      <c r="K24" s="33"/>
      <c r="L24" s="26"/>
      <c r="M24" s="29">
        <v>44183</v>
      </c>
      <c r="N24" s="26"/>
      <c r="O24" s="32"/>
      <c r="P24" s="29"/>
      <c r="Q24" s="29"/>
    </row>
    <row r="25" spans="2:17" ht="19.5" customHeight="1" x14ac:dyDescent="0.15">
      <c r="B25" s="35"/>
      <c r="C25" s="36" t="s">
        <v>51</v>
      </c>
      <c r="D25" s="36" t="s">
        <v>39</v>
      </c>
      <c r="E25" s="43" t="s">
        <v>52</v>
      </c>
      <c r="F25" s="44">
        <v>1</v>
      </c>
      <c r="G25" s="45">
        <v>9200</v>
      </c>
      <c r="H25" s="39">
        <f t="shared" si="1"/>
        <v>9200</v>
      </c>
      <c r="I25" s="40"/>
      <c r="J25" s="46" t="s">
        <v>80</v>
      </c>
      <c r="K25" s="33"/>
      <c r="L25" s="26"/>
      <c r="M25" s="29">
        <v>44183</v>
      </c>
      <c r="N25" s="26"/>
      <c r="O25" s="32"/>
      <c r="P25" s="29"/>
      <c r="Q25" s="29"/>
    </row>
    <row r="26" spans="2:17" ht="19.5" customHeight="1" x14ac:dyDescent="0.15">
      <c r="B26" s="35"/>
      <c r="C26" s="36" t="s">
        <v>51</v>
      </c>
      <c r="D26" s="36" t="s">
        <v>39</v>
      </c>
      <c r="E26" s="43" t="s">
        <v>53</v>
      </c>
      <c r="F26" s="44">
        <v>1</v>
      </c>
      <c r="G26" s="45">
        <v>5790</v>
      </c>
      <c r="H26" s="39">
        <f t="shared" si="1"/>
        <v>5790</v>
      </c>
      <c r="I26" s="40"/>
      <c r="J26" s="46" t="s">
        <v>81</v>
      </c>
      <c r="K26" s="33"/>
      <c r="L26" s="26"/>
      <c r="M26" s="29">
        <v>44183</v>
      </c>
      <c r="N26" s="26"/>
      <c r="O26" s="32"/>
      <c r="P26" s="29"/>
      <c r="Q26" s="29"/>
    </row>
    <row r="27" spans="2:17" ht="19.5" customHeight="1" x14ac:dyDescent="0.15">
      <c r="B27" s="35"/>
      <c r="C27" s="36" t="s">
        <v>51</v>
      </c>
      <c r="D27" s="36" t="s">
        <v>39</v>
      </c>
      <c r="E27" s="43" t="s">
        <v>54</v>
      </c>
      <c r="F27" s="44">
        <v>1</v>
      </c>
      <c r="G27" s="45">
        <v>101200</v>
      </c>
      <c r="H27" s="39">
        <f t="shared" si="1"/>
        <v>101200</v>
      </c>
      <c r="I27" s="40"/>
      <c r="J27" s="46" t="s">
        <v>82</v>
      </c>
      <c r="K27" s="33"/>
      <c r="L27" s="26"/>
      <c r="M27" s="29">
        <v>44183</v>
      </c>
      <c r="N27" s="26"/>
      <c r="O27" s="32"/>
      <c r="P27" s="29"/>
      <c r="Q27" s="29"/>
    </row>
    <row r="28" spans="2:17" ht="19.5" customHeight="1" x14ac:dyDescent="0.15">
      <c r="B28" s="35"/>
      <c r="C28" s="36" t="s">
        <v>39</v>
      </c>
      <c r="D28" s="36" t="s">
        <v>39</v>
      </c>
      <c r="E28" s="43" t="s">
        <v>55</v>
      </c>
      <c r="F28" s="44">
        <v>1</v>
      </c>
      <c r="G28" s="45">
        <v>3400</v>
      </c>
      <c r="H28" s="39">
        <f t="shared" si="1"/>
        <v>3400</v>
      </c>
      <c r="I28" s="40"/>
      <c r="J28" s="46" t="s">
        <v>83</v>
      </c>
      <c r="K28" s="33"/>
      <c r="L28" s="26"/>
      <c r="M28" s="29">
        <v>44183</v>
      </c>
      <c r="N28" s="26"/>
      <c r="O28" s="32"/>
      <c r="P28" s="29"/>
      <c r="Q28" s="29"/>
    </row>
    <row r="29" spans="2:17" ht="19.5" customHeight="1" x14ac:dyDescent="0.15">
      <c r="B29" s="35"/>
      <c r="C29" s="36" t="s">
        <v>39</v>
      </c>
      <c r="D29" s="36" t="s">
        <v>39</v>
      </c>
      <c r="E29" s="43" t="s">
        <v>56</v>
      </c>
      <c r="F29" s="44">
        <v>2</v>
      </c>
      <c r="G29" s="45">
        <v>3028</v>
      </c>
      <c r="H29" s="39">
        <f t="shared" si="1"/>
        <v>6056</v>
      </c>
      <c r="I29" s="40"/>
      <c r="J29" s="46" t="s">
        <v>84</v>
      </c>
      <c r="K29" s="33"/>
      <c r="L29" s="26"/>
      <c r="M29" s="29">
        <v>44183</v>
      </c>
      <c r="N29" s="26"/>
      <c r="O29" s="32"/>
      <c r="P29" s="29"/>
      <c r="Q29" s="29"/>
    </row>
    <row r="30" spans="2:17" ht="19.5" customHeight="1" x14ac:dyDescent="0.15">
      <c r="B30" s="35"/>
      <c r="C30" s="36" t="s">
        <v>39</v>
      </c>
      <c r="D30" s="36" t="s">
        <v>39</v>
      </c>
      <c r="E30" s="43" t="s">
        <v>57</v>
      </c>
      <c r="F30" s="44">
        <v>1</v>
      </c>
      <c r="G30" s="45">
        <v>3471</v>
      </c>
      <c r="H30" s="39">
        <f t="shared" si="1"/>
        <v>3471</v>
      </c>
      <c r="I30" s="40"/>
      <c r="J30" s="46" t="s">
        <v>85</v>
      </c>
      <c r="K30" s="33"/>
      <c r="L30" s="26"/>
      <c r="M30" s="29">
        <v>44183</v>
      </c>
      <c r="N30" s="26"/>
      <c r="O30" s="32"/>
      <c r="P30" s="29"/>
      <c r="Q30" s="29"/>
    </row>
    <row r="31" spans="2:17" ht="19.5" customHeight="1" x14ac:dyDescent="0.15">
      <c r="B31" s="35"/>
      <c r="C31" s="36" t="s">
        <v>39</v>
      </c>
      <c r="D31" s="36" t="s">
        <v>39</v>
      </c>
      <c r="E31" s="43" t="s">
        <v>58</v>
      </c>
      <c r="F31" s="44">
        <v>1</v>
      </c>
      <c r="G31" s="45">
        <v>3860</v>
      </c>
      <c r="H31" s="39">
        <f t="shared" si="1"/>
        <v>3860</v>
      </c>
      <c r="I31" s="40"/>
      <c r="J31" s="46" t="s">
        <v>86</v>
      </c>
      <c r="K31" s="33"/>
      <c r="L31" s="26"/>
      <c r="M31" s="29">
        <v>44183</v>
      </c>
      <c r="N31" s="26"/>
      <c r="O31" s="32"/>
      <c r="P31" s="29"/>
      <c r="Q31" s="29"/>
    </row>
    <row r="32" spans="2:17" ht="19.5" customHeight="1" x14ac:dyDescent="0.15">
      <c r="B32" s="35"/>
      <c r="C32" s="36" t="s">
        <v>39</v>
      </c>
      <c r="D32" s="36" t="s">
        <v>39</v>
      </c>
      <c r="E32" s="43" t="s">
        <v>59</v>
      </c>
      <c r="F32" s="44">
        <v>60</v>
      </c>
      <c r="G32" s="45">
        <v>93</v>
      </c>
      <c r="H32" s="39">
        <f t="shared" si="1"/>
        <v>5580</v>
      </c>
      <c r="I32" s="40"/>
      <c r="J32" s="46" t="s">
        <v>87</v>
      </c>
      <c r="K32" s="33"/>
      <c r="L32" s="26"/>
      <c r="M32" s="29">
        <v>44183</v>
      </c>
      <c r="N32" s="26"/>
      <c r="O32" s="32"/>
      <c r="P32" s="29"/>
      <c r="Q32" s="29"/>
    </row>
    <row r="33" spans="2:17" ht="19.5" customHeight="1" x14ac:dyDescent="0.15">
      <c r="B33" s="35"/>
      <c r="C33" s="36" t="s">
        <v>39</v>
      </c>
      <c r="D33" s="36" t="s">
        <v>39</v>
      </c>
      <c r="E33" s="43" t="s">
        <v>60</v>
      </c>
      <c r="F33" s="44">
        <v>1</v>
      </c>
      <c r="G33" s="45">
        <v>275</v>
      </c>
      <c r="H33" s="39">
        <f t="shared" si="1"/>
        <v>275</v>
      </c>
      <c r="I33" s="40"/>
      <c r="J33" s="46" t="s">
        <v>88</v>
      </c>
      <c r="K33" s="33"/>
      <c r="L33" s="26"/>
      <c r="M33" s="29">
        <v>44183</v>
      </c>
      <c r="N33" s="26"/>
      <c r="O33" s="32"/>
      <c r="P33" s="29"/>
      <c r="Q33" s="29"/>
    </row>
    <row r="34" spans="2:17" ht="19.5" customHeight="1" x14ac:dyDescent="0.15">
      <c r="B34" s="35"/>
      <c r="C34" s="36" t="s">
        <v>39</v>
      </c>
      <c r="D34" s="36" t="s">
        <v>39</v>
      </c>
      <c r="E34" s="43" t="s">
        <v>61</v>
      </c>
      <c r="F34" s="44">
        <v>1</v>
      </c>
      <c r="G34" s="45">
        <v>4860</v>
      </c>
      <c r="H34" s="39">
        <f t="shared" si="1"/>
        <v>4860</v>
      </c>
      <c r="I34" s="40"/>
      <c r="J34" s="46" t="s">
        <v>89</v>
      </c>
      <c r="K34" s="33"/>
      <c r="L34" s="26"/>
      <c r="M34" s="29">
        <v>44183</v>
      </c>
      <c r="N34" s="26"/>
      <c r="O34" s="32"/>
      <c r="P34" s="29"/>
      <c r="Q34" s="29"/>
    </row>
    <row r="35" spans="2:17" ht="19.5" customHeight="1" x14ac:dyDescent="0.15">
      <c r="B35" s="35"/>
      <c r="C35" s="36" t="s">
        <v>39</v>
      </c>
      <c r="D35" s="36" t="s">
        <v>39</v>
      </c>
      <c r="E35" s="43" t="s">
        <v>62</v>
      </c>
      <c r="F35" s="44">
        <v>1</v>
      </c>
      <c r="G35" s="45">
        <v>99899</v>
      </c>
      <c r="H35" s="39">
        <f t="shared" si="1"/>
        <v>99899</v>
      </c>
      <c r="I35" s="40"/>
      <c r="J35" s="46" t="s">
        <v>90</v>
      </c>
      <c r="K35" s="33"/>
      <c r="L35" s="26"/>
      <c r="M35" s="29">
        <v>44183</v>
      </c>
      <c r="N35" s="26"/>
      <c r="O35" s="32"/>
      <c r="P35" s="29"/>
      <c r="Q35" s="29"/>
    </row>
    <row r="36" spans="2:17" ht="19.5" customHeight="1" x14ac:dyDescent="0.15">
      <c r="B36" s="35"/>
      <c r="C36" s="36" t="s">
        <v>39</v>
      </c>
      <c r="D36" s="36" t="s">
        <v>39</v>
      </c>
      <c r="E36" s="43" t="s">
        <v>63</v>
      </c>
      <c r="F36" s="44">
        <v>1</v>
      </c>
      <c r="G36" s="45">
        <v>2300</v>
      </c>
      <c r="H36" s="39">
        <f t="shared" si="1"/>
        <v>2300</v>
      </c>
      <c r="I36" s="40"/>
      <c r="J36" s="46" t="s">
        <v>91</v>
      </c>
      <c r="K36" s="33"/>
      <c r="L36" s="26"/>
      <c r="M36" s="29">
        <v>44183</v>
      </c>
      <c r="N36" s="26"/>
      <c r="O36" s="32"/>
      <c r="P36" s="29"/>
      <c r="Q36" s="29"/>
    </row>
    <row r="37" spans="2:17" ht="19.5" customHeight="1" x14ac:dyDescent="0.15">
      <c r="B37" s="35"/>
      <c r="C37" s="36" t="s">
        <v>39</v>
      </c>
      <c r="D37" s="36" t="s">
        <v>39</v>
      </c>
      <c r="E37" s="43" t="s">
        <v>64</v>
      </c>
      <c r="F37" s="44">
        <v>125</v>
      </c>
      <c r="G37" s="45">
        <v>85</v>
      </c>
      <c r="H37" s="39">
        <f t="shared" si="1"/>
        <v>10625</v>
      </c>
      <c r="I37" s="40"/>
      <c r="J37" s="46" t="s">
        <v>92</v>
      </c>
      <c r="K37" s="33"/>
      <c r="L37" s="26"/>
      <c r="M37" s="29">
        <v>44183</v>
      </c>
      <c r="N37" s="26"/>
      <c r="O37" s="32"/>
      <c r="P37" s="29"/>
      <c r="Q37" s="29"/>
    </row>
    <row r="38" spans="2:17" ht="19.5" customHeight="1" x14ac:dyDescent="0.15">
      <c r="B38" s="35"/>
      <c r="C38" s="36" t="s">
        <v>39</v>
      </c>
      <c r="D38" s="36" t="s">
        <v>39</v>
      </c>
      <c r="E38" s="43" t="s">
        <v>65</v>
      </c>
      <c r="F38" s="44">
        <v>3</v>
      </c>
      <c r="G38" s="45">
        <v>4360</v>
      </c>
      <c r="H38" s="39">
        <f t="shared" si="1"/>
        <v>13080</v>
      </c>
      <c r="I38" s="40"/>
      <c r="J38" s="46" t="s">
        <v>76</v>
      </c>
      <c r="K38" s="33"/>
      <c r="L38" s="26"/>
      <c r="M38" s="29">
        <v>44183</v>
      </c>
      <c r="N38" s="26"/>
      <c r="O38" s="32"/>
      <c r="P38" s="29"/>
      <c r="Q38" s="29"/>
    </row>
    <row r="39" spans="2:17" ht="19.5" customHeight="1" x14ac:dyDescent="0.15">
      <c r="B39" s="35"/>
      <c r="C39" s="36" t="s">
        <v>39</v>
      </c>
      <c r="D39" s="36" t="s">
        <v>39</v>
      </c>
      <c r="E39" s="43" t="s">
        <v>66</v>
      </c>
      <c r="F39" s="44">
        <v>10</v>
      </c>
      <c r="G39" s="45">
        <v>110</v>
      </c>
      <c r="H39" s="39">
        <f t="shared" si="1"/>
        <v>1100</v>
      </c>
      <c r="I39" s="40"/>
      <c r="J39" s="46" t="s">
        <v>93</v>
      </c>
      <c r="K39" s="33"/>
      <c r="L39" s="26"/>
      <c r="M39" s="29">
        <v>44183</v>
      </c>
      <c r="N39" s="26"/>
      <c r="O39" s="32"/>
      <c r="P39" s="29"/>
      <c r="Q39" s="29"/>
    </row>
    <row r="40" spans="2:17" ht="19.5" customHeight="1" x14ac:dyDescent="0.15">
      <c r="B40" s="35"/>
      <c r="C40" s="36" t="s">
        <v>39</v>
      </c>
      <c r="D40" s="36" t="s">
        <v>39</v>
      </c>
      <c r="E40" s="43" t="s">
        <v>67</v>
      </c>
      <c r="F40" s="44">
        <v>10</v>
      </c>
      <c r="G40" s="45">
        <v>95</v>
      </c>
      <c r="H40" s="39">
        <f t="shared" si="1"/>
        <v>950</v>
      </c>
      <c r="I40" s="40"/>
      <c r="J40" s="46" t="s">
        <v>93</v>
      </c>
      <c r="K40" s="33"/>
      <c r="L40" s="26"/>
      <c r="M40" s="29">
        <v>44183</v>
      </c>
      <c r="N40" s="26"/>
      <c r="O40" s="32"/>
      <c r="P40" s="29"/>
      <c r="Q40" s="29"/>
    </row>
    <row r="41" spans="2:17" ht="19.5" customHeight="1" x14ac:dyDescent="0.15">
      <c r="B41" s="35"/>
      <c r="C41" s="36" t="s">
        <v>39</v>
      </c>
      <c r="D41" s="36" t="s">
        <v>39</v>
      </c>
      <c r="E41" s="43" t="s">
        <v>68</v>
      </c>
      <c r="F41" s="44">
        <v>2</v>
      </c>
      <c r="G41" s="45">
        <v>4180</v>
      </c>
      <c r="H41" s="39">
        <f t="shared" si="1"/>
        <v>8360</v>
      </c>
      <c r="I41" s="40"/>
      <c r="J41" s="46" t="s">
        <v>95</v>
      </c>
      <c r="K41" s="33"/>
      <c r="L41" s="26"/>
      <c r="M41" s="29">
        <v>44183</v>
      </c>
      <c r="N41" s="26"/>
      <c r="O41" s="32"/>
      <c r="P41" s="29"/>
      <c r="Q41" s="29"/>
    </row>
    <row r="42" spans="2:17" ht="19.5" customHeight="1" x14ac:dyDescent="0.15">
      <c r="B42" s="35"/>
      <c r="C42" s="36" t="s">
        <v>39</v>
      </c>
      <c r="D42" s="36" t="s">
        <v>39</v>
      </c>
      <c r="E42" s="43" t="s">
        <v>69</v>
      </c>
      <c r="F42" s="44">
        <v>5</v>
      </c>
      <c r="G42" s="45">
        <v>2360</v>
      </c>
      <c r="H42" s="39">
        <f t="shared" si="1"/>
        <v>11800</v>
      </c>
      <c r="I42" s="40"/>
      <c r="J42" s="46" t="s">
        <v>95</v>
      </c>
      <c r="K42" s="33"/>
      <c r="L42" s="26"/>
      <c r="M42" s="29">
        <v>44183</v>
      </c>
      <c r="N42" s="26"/>
      <c r="O42" s="32"/>
      <c r="P42" s="29"/>
      <c r="Q42" s="29"/>
    </row>
    <row r="43" spans="2:17" ht="19.5" customHeight="1" x14ac:dyDescent="0.15">
      <c r="B43" s="35"/>
      <c r="C43" s="36" t="s">
        <v>71</v>
      </c>
      <c r="D43" s="36" t="s">
        <v>39</v>
      </c>
      <c r="E43" s="43" t="s">
        <v>70</v>
      </c>
      <c r="F43" s="44">
        <v>1</v>
      </c>
      <c r="G43" s="45">
        <v>799</v>
      </c>
      <c r="H43" s="39">
        <f t="shared" si="1"/>
        <v>799</v>
      </c>
      <c r="I43" s="40"/>
      <c r="J43" s="46" t="s">
        <v>94</v>
      </c>
      <c r="K43" s="33"/>
      <c r="L43" s="26"/>
      <c r="M43" s="29">
        <v>44183</v>
      </c>
      <c r="N43" s="26"/>
      <c r="O43" s="32"/>
      <c r="P43" s="29"/>
      <c r="Q43" s="29"/>
    </row>
    <row r="44" spans="2:17" ht="19.5" customHeight="1" x14ac:dyDescent="0.15">
      <c r="B44" s="35"/>
      <c r="C44" s="36"/>
      <c r="D44" s="36"/>
      <c r="E44" s="43"/>
      <c r="F44" s="44"/>
      <c r="G44" s="45"/>
      <c r="H44" s="39"/>
      <c r="I44" s="40"/>
      <c r="J44" s="46"/>
      <c r="K44" s="33"/>
      <c r="L44" s="26"/>
      <c r="M44" s="29"/>
      <c r="N44" s="26"/>
      <c r="O44" s="32"/>
      <c r="P44" s="29"/>
      <c r="Q44" s="29"/>
    </row>
    <row r="45" spans="2:17" customFormat="1" ht="19.5" customHeight="1" x14ac:dyDescent="0.15">
      <c r="B45" s="55"/>
      <c r="C45" s="56" t="s">
        <v>39</v>
      </c>
      <c r="D45" s="56" t="s">
        <v>39</v>
      </c>
      <c r="E45" s="57" t="s">
        <v>122</v>
      </c>
      <c r="F45" s="41">
        <v>5</v>
      </c>
      <c r="G45" s="58">
        <v>68</v>
      </c>
      <c r="H45" s="59">
        <f t="shared" si="1"/>
        <v>340</v>
      </c>
      <c r="I45" s="60"/>
      <c r="J45" s="47" t="s">
        <v>123</v>
      </c>
      <c r="K45" s="61"/>
      <c r="L45" s="62"/>
      <c r="M45" s="63">
        <v>44556</v>
      </c>
      <c r="N45" s="62"/>
      <c r="O45" s="64"/>
      <c r="P45" s="63"/>
      <c r="Q45" s="63"/>
    </row>
    <row r="46" spans="2:17" customFormat="1" ht="19.5" customHeight="1" x14ac:dyDescent="0.15">
      <c r="B46" s="55"/>
      <c r="C46" s="56" t="s">
        <v>39</v>
      </c>
      <c r="D46" s="56" t="s">
        <v>39</v>
      </c>
      <c r="E46" s="57" t="s">
        <v>124</v>
      </c>
      <c r="F46" s="41">
        <v>4</v>
      </c>
      <c r="G46" s="58">
        <v>300</v>
      </c>
      <c r="H46" s="59">
        <f t="shared" si="1"/>
        <v>1200</v>
      </c>
      <c r="I46" s="60"/>
      <c r="J46" s="47" t="s">
        <v>125</v>
      </c>
      <c r="K46" s="61"/>
      <c r="L46" s="62"/>
      <c r="M46" s="63">
        <v>44556</v>
      </c>
      <c r="N46" s="62"/>
      <c r="O46" s="64"/>
      <c r="P46" s="63"/>
      <c r="Q46" s="63"/>
    </row>
    <row r="47" spans="2:17" customFormat="1" ht="19.5" customHeight="1" x14ac:dyDescent="0.15">
      <c r="B47" s="55"/>
      <c r="C47" s="56" t="s">
        <v>126</v>
      </c>
      <c r="D47" s="56" t="s">
        <v>39</v>
      </c>
      <c r="E47" s="57" t="s">
        <v>127</v>
      </c>
      <c r="F47" s="41">
        <v>2</v>
      </c>
      <c r="G47" s="58">
        <v>1589</v>
      </c>
      <c r="H47" s="59">
        <f t="shared" si="1"/>
        <v>3178</v>
      </c>
      <c r="I47" s="60"/>
      <c r="J47" s="47" t="s">
        <v>128</v>
      </c>
      <c r="K47" s="61"/>
      <c r="L47" s="62"/>
      <c r="M47" s="63">
        <v>44201</v>
      </c>
      <c r="N47" s="62"/>
      <c r="O47" s="64"/>
      <c r="P47" s="63"/>
      <c r="Q47" s="63"/>
    </row>
    <row r="48" spans="2:17" customFormat="1" ht="19.5" customHeight="1" x14ac:dyDescent="0.15">
      <c r="B48" s="55"/>
      <c r="C48" s="56" t="s">
        <v>126</v>
      </c>
      <c r="D48" s="56" t="s">
        <v>39</v>
      </c>
      <c r="E48" s="57" t="s">
        <v>129</v>
      </c>
      <c r="F48" s="41">
        <v>2</v>
      </c>
      <c r="G48" s="58">
        <v>1589</v>
      </c>
      <c r="H48" s="59">
        <f t="shared" si="1"/>
        <v>3178</v>
      </c>
      <c r="I48" s="60"/>
      <c r="J48" s="47" t="s">
        <v>130</v>
      </c>
      <c r="K48" s="61"/>
      <c r="L48" s="62"/>
      <c r="M48" s="63">
        <v>44201</v>
      </c>
      <c r="N48" s="62"/>
      <c r="O48" s="64"/>
      <c r="P48" s="63"/>
      <c r="Q48" s="63"/>
    </row>
    <row r="49" spans="2:17" customFormat="1" ht="19.5" customHeight="1" x14ac:dyDescent="0.15">
      <c r="B49" s="55"/>
      <c r="C49" s="56" t="s">
        <v>39</v>
      </c>
      <c r="D49" s="56" t="s">
        <v>39</v>
      </c>
      <c r="E49" s="57" t="s">
        <v>131</v>
      </c>
      <c r="F49" s="41">
        <v>4</v>
      </c>
      <c r="G49" s="58">
        <v>630</v>
      </c>
      <c r="H49" s="59">
        <f t="shared" si="1"/>
        <v>2520</v>
      </c>
      <c r="I49" s="60"/>
      <c r="J49" s="47" t="s">
        <v>132</v>
      </c>
      <c r="K49" s="61"/>
      <c r="L49" s="62"/>
      <c r="M49" s="63">
        <v>44554</v>
      </c>
      <c r="N49" s="62"/>
      <c r="O49" s="64"/>
      <c r="P49" s="63"/>
      <c r="Q49" s="63"/>
    </row>
    <row r="50" spans="2:17" customFormat="1" ht="19.5" customHeight="1" x14ac:dyDescent="0.15">
      <c r="B50" s="55"/>
      <c r="C50" s="56" t="s">
        <v>39</v>
      </c>
      <c r="D50" s="56" t="s">
        <v>39</v>
      </c>
      <c r="E50" s="57" t="s">
        <v>141</v>
      </c>
      <c r="F50" s="41">
        <v>3</v>
      </c>
      <c r="G50" s="58">
        <v>220</v>
      </c>
      <c r="H50" s="59">
        <f t="shared" si="1"/>
        <v>660</v>
      </c>
      <c r="I50" s="60"/>
      <c r="J50" s="47" t="s">
        <v>133</v>
      </c>
      <c r="K50" s="61"/>
      <c r="L50" s="62"/>
      <c r="M50" s="63">
        <v>44554</v>
      </c>
      <c r="N50" s="62"/>
      <c r="O50" s="64"/>
      <c r="P50" s="63"/>
      <c r="Q50" s="63"/>
    </row>
    <row r="51" spans="2:17" customFormat="1" ht="19.5" customHeight="1" x14ac:dyDescent="0.15">
      <c r="B51" s="55"/>
      <c r="C51" s="56" t="s">
        <v>39</v>
      </c>
      <c r="D51" s="56" t="s">
        <v>39</v>
      </c>
      <c r="E51" s="57" t="s">
        <v>142</v>
      </c>
      <c r="F51" s="41">
        <v>3</v>
      </c>
      <c r="G51" s="58">
        <v>450</v>
      </c>
      <c r="H51" s="59">
        <f t="shared" si="1"/>
        <v>1350</v>
      </c>
      <c r="I51" s="60"/>
      <c r="J51" s="47" t="s">
        <v>133</v>
      </c>
      <c r="K51" s="61"/>
      <c r="L51" s="62"/>
      <c r="M51" s="63">
        <v>44554</v>
      </c>
      <c r="N51" s="62"/>
      <c r="O51" s="64"/>
      <c r="P51" s="63"/>
      <c r="Q51" s="63"/>
    </row>
    <row r="52" spans="2:17" customFormat="1" ht="19.5" customHeight="1" x14ac:dyDescent="0.15">
      <c r="B52" s="55"/>
      <c r="C52" s="56" t="s">
        <v>39</v>
      </c>
      <c r="D52" s="56" t="s">
        <v>39</v>
      </c>
      <c r="E52" s="57" t="s">
        <v>134</v>
      </c>
      <c r="F52" s="41">
        <v>5</v>
      </c>
      <c r="G52" s="58">
        <v>480</v>
      </c>
      <c r="H52" s="59">
        <f t="shared" si="1"/>
        <v>2400</v>
      </c>
      <c r="I52" s="60"/>
      <c r="J52" s="47" t="s">
        <v>135</v>
      </c>
      <c r="K52" s="61"/>
      <c r="L52" s="62"/>
      <c r="M52" s="63">
        <v>44554</v>
      </c>
      <c r="N52" s="62"/>
      <c r="O52" s="64"/>
      <c r="P52" s="63"/>
      <c r="Q52" s="63"/>
    </row>
    <row r="53" spans="2:17" customFormat="1" ht="19.5" customHeight="1" x14ac:dyDescent="0.15">
      <c r="B53" s="55"/>
      <c r="C53" s="56" t="s">
        <v>39</v>
      </c>
      <c r="D53" s="56" t="s">
        <v>39</v>
      </c>
      <c r="E53" s="57" t="s">
        <v>136</v>
      </c>
      <c r="F53" s="41">
        <v>5</v>
      </c>
      <c r="G53" s="58">
        <v>63</v>
      </c>
      <c r="H53" s="59">
        <f t="shared" si="1"/>
        <v>315</v>
      </c>
      <c r="I53" s="60"/>
      <c r="J53" s="47" t="s">
        <v>137</v>
      </c>
      <c r="K53" s="61"/>
      <c r="L53" s="62"/>
      <c r="M53" s="63">
        <v>44554</v>
      </c>
      <c r="N53" s="62"/>
      <c r="O53" s="64"/>
      <c r="P53" s="63"/>
      <c r="Q53" s="63"/>
    </row>
    <row r="54" spans="2:17" customFormat="1" ht="19.5" customHeight="1" x14ac:dyDescent="0.15">
      <c r="B54" s="55"/>
      <c r="C54" s="56" t="s">
        <v>39</v>
      </c>
      <c r="D54" s="56" t="s">
        <v>39</v>
      </c>
      <c r="E54" s="57" t="s">
        <v>138</v>
      </c>
      <c r="F54" s="41">
        <v>5</v>
      </c>
      <c r="G54" s="58">
        <v>140</v>
      </c>
      <c r="H54" s="59">
        <f t="shared" si="1"/>
        <v>700</v>
      </c>
      <c r="I54" s="60"/>
      <c r="J54" s="47" t="s">
        <v>139</v>
      </c>
      <c r="K54" s="61"/>
      <c r="L54" s="62"/>
      <c r="M54" s="63">
        <v>44554</v>
      </c>
      <c r="N54" s="62"/>
      <c r="O54" s="64"/>
      <c r="P54" s="63"/>
      <c r="Q54" s="63"/>
    </row>
    <row r="55" spans="2:17" customFormat="1" ht="19.5" customHeight="1" x14ac:dyDescent="0.15">
      <c r="B55" s="55"/>
      <c r="C55" s="56" t="s">
        <v>39</v>
      </c>
      <c r="D55" s="56" t="s">
        <v>39</v>
      </c>
      <c r="E55" s="57" t="s">
        <v>143</v>
      </c>
      <c r="F55" s="41">
        <v>4</v>
      </c>
      <c r="G55" s="58">
        <v>780</v>
      </c>
      <c r="H55" s="59">
        <f t="shared" si="1"/>
        <v>3120</v>
      </c>
      <c r="I55" s="60"/>
      <c r="J55" s="47" t="s">
        <v>140</v>
      </c>
      <c r="K55" s="61"/>
      <c r="L55" s="62"/>
      <c r="M55" s="63">
        <v>44554</v>
      </c>
      <c r="N55" s="62"/>
      <c r="O55" s="64"/>
      <c r="P55" s="63"/>
      <c r="Q55" s="63"/>
    </row>
    <row r="56" spans="2:17" customFormat="1" ht="19.5" customHeight="1" x14ac:dyDescent="0.15">
      <c r="B56" s="55"/>
      <c r="C56" s="56" t="s">
        <v>39</v>
      </c>
      <c r="D56" s="56" t="s">
        <v>39</v>
      </c>
      <c r="E56" s="57" t="s">
        <v>146</v>
      </c>
      <c r="F56" s="41">
        <v>10</v>
      </c>
      <c r="G56" s="58">
        <v>137</v>
      </c>
      <c r="H56" s="59">
        <f t="shared" ref="H56" si="2">F56*G56</f>
        <v>1370</v>
      </c>
      <c r="I56" s="60"/>
      <c r="J56" s="47" t="s">
        <v>123</v>
      </c>
      <c r="K56" s="61"/>
      <c r="L56" s="62"/>
      <c r="M56" s="63">
        <v>44201</v>
      </c>
      <c r="N56" s="62"/>
      <c r="O56" s="64"/>
      <c r="P56" s="63"/>
      <c r="Q56" s="63"/>
    </row>
    <row r="57" spans="2:17" customFormat="1" ht="19.5" customHeight="1" x14ac:dyDescent="0.15">
      <c r="B57" s="55"/>
      <c r="C57" s="56" t="s">
        <v>39</v>
      </c>
      <c r="D57" s="56" t="s">
        <v>39</v>
      </c>
      <c r="E57" s="57" t="s">
        <v>147</v>
      </c>
      <c r="F57" s="41">
        <v>1</v>
      </c>
      <c r="G57" s="58">
        <v>511</v>
      </c>
      <c r="H57" s="59">
        <f t="shared" ref="H57" si="3">F57*G57</f>
        <v>511</v>
      </c>
      <c r="I57" s="60"/>
      <c r="J57" s="47" t="s">
        <v>148</v>
      </c>
      <c r="K57" s="61"/>
      <c r="L57" s="62"/>
      <c r="M57" s="63">
        <v>44201</v>
      </c>
      <c r="N57" s="62"/>
      <c r="O57" s="64"/>
      <c r="P57" s="63"/>
      <c r="Q57" s="63"/>
    </row>
    <row r="58" spans="2:17" customFormat="1" ht="19.5" customHeight="1" x14ac:dyDescent="0.15">
      <c r="B58" s="55"/>
      <c r="C58" s="56" t="s">
        <v>39</v>
      </c>
      <c r="D58" s="56" t="s">
        <v>39</v>
      </c>
      <c r="E58" s="57" t="s">
        <v>149</v>
      </c>
      <c r="F58" s="41">
        <v>1</v>
      </c>
      <c r="G58" s="58">
        <v>395</v>
      </c>
      <c r="H58" s="59">
        <f t="shared" ref="H58" si="4">F58*G58</f>
        <v>395</v>
      </c>
      <c r="I58" s="60"/>
      <c r="J58" s="47" t="s">
        <v>150</v>
      </c>
      <c r="K58" s="61"/>
      <c r="L58" s="62"/>
      <c r="M58" s="63">
        <v>44201</v>
      </c>
      <c r="N58" s="62"/>
      <c r="O58" s="64"/>
      <c r="P58" s="63"/>
      <c r="Q58" s="63"/>
    </row>
    <row r="59" spans="2:17" customFormat="1" ht="19.5" customHeight="1" x14ac:dyDescent="0.15">
      <c r="B59" s="55"/>
      <c r="C59" s="56" t="s">
        <v>39</v>
      </c>
      <c r="D59" s="56" t="s">
        <v>39</v>
      </c>
      <c r="E59" s="57" t="s">
        <v>151</v>
      </c>
      <c r="F59" s="41">
        <v>1</v>
      </c>
      <c r="G59" s="58">
        <v>380</v>
      </c>
      <c r="H59" s="59">
        <f t="shared" ref="H59" si="5">F59*G59</f>
        <v>380</v>
      </c>
      <c r="I59" s="60"/>
      <c r="J59" s="47" t="s">
        <v>152</v>
      </c>
      <c r="K59" s="61"/>
      <c r="L59" s="62"/>
      <c r="M59" s="63">
        <v>44204</v>
      </c>
      <c r="N59" s="62"/>
      <c r="O59" s="64"/>
      <c r="P59" s="63"/>
      <c r="Q59" s="63"/>
    </row>
    <row r="60" spans="2:17" customFormat="1" ht="19.5" customHeight="1" x14ac:dyDescent="0.15">
      <c r="B60" s="55"/>
      <c r="C60" s="56" t="s">
        <v>39</v>
      </c>
      <c r="D60" s="56" t="s">
        <v>39</v>
      </c>
      <c r="E60" s="57" t="s">
        <v>154</v>
      </c>
      <c r="F60" s="41">
        <v>3</v>
      </c>
      <c r="G60" s="58">
        <v>551</v>
      </c>
      <c r="H60" s="59">
        <f t="shared" ref="H60" si="6">F60*G60</f>
        <v>1653</v>
      </c>
      <c r="I60" s="60"/>
      <c r="J60" s="47" t="s">
        <v>137</v>
      </c>
      <c r="K60" s="61"/>
      <c r="L60" s="62"/>
      <c r="M60" s="63">
        <v>44214</v>
      </c>
      <c r="N60" s="62"/>
      <c r="O60" s="64"/>
      <c r="P60" s="63"/>
      <c r="Q60" s="63"/>
    </row>
    <row r="61" spans="2:17" customFormat="1" ht="19.5" customHeight="1" x14ac:dyDescent="0.15">
      <c r="B61" s="55"/>
      <c r="C61" s="56" t="s">
        <v>39</v>
      </c>
      <c r="D61" s="56" t="s">
        <v>39</v>
      </c>
      <c r="E61" s="57" t="s">
        <v>153</v>
      </c>
      <c r="F61" s="41">
        <v>4</v>
      </c>
      <c r="G61" s="58">
        <v>546</v>
      </c>
      <c r="H61" s="59">
        <f t="shared" ref="H61" si="7">F61*G61</f>
        <v>2184</v>
      </c>
      <c r="I61" s="60"/>
      <c r="J61" s="47" t="s">
        <v>155</v>
      </c>
      <c r="K61" s="61"/>
      <c r="L61" s="62"/>
      <c r="M61" s="63">
        <v>44214</v>
      </c>
      <c r="N61" s="62"/>
      <c r="O61" s="64"/>
      <c r="P61" s="63"/>
      <c r="Q61" s="63"/>
    </row>
    <row r="62" spans="2:17" ht="19.5" customHeight="1" x14ac:dyDescent="0.15">
      <c r="B62" s="35"/>
      <c r="C62" s="36"/>
      <c r="D62" s="36"/>
      <c r="E62" s="43"/>
      <c r="F62" s="44"/>
      <c r="G62" s="45"/>
      <c r="H62" s="39"/>
      <c r="I62" s="40"/>
      <c r="J62" s="46"/>
      <c r="K62" s="33"/>
      <c r="L62" s="26"/>
      <c r="M62" s="29"/>
      <c r="N62" s="26"/>
      <c r="O62" s="32"/>
      <c r="P62" s="29"/>
      <c r="Q62" s="29"/>
    </row>
    <row r="63" spans="2:17" customFormat="1" ht="19.5" customHeight="1" x14ac:dyDescent="0.15">
      <c r="B63" s="55"/>
      <c r="C63" s="56" t="s">
        <v>96</v>
      </c>
      <c r="D63" s="56" t="s">
        <v>96</v>
      </c>
      <c r="E63" s="57" t="s">
        <v>97</v>
      </c>
      <c r="F63" s="41">
        <v>1</v>
      </c>
      <c r="G63" s="58">
        <v>7500</v>
      </c>
      <c r="H63" s="59">
        <f t="shared" si="1"/>
        <v>7500</v>
      </c>
      <c r="I63" s="60"/>
      <c r="J63" s="47" t="s">
        <v>98</v>
      </c>
      <c r="K63" s="61"/>
      <c r="L63" s="62"/>
      <c r="M63" s="63">
        <v>44190</v>
      </c>
      <c r="N63" s="62"/>
      <c r="O63" s="64" t="s">
        <v>121</v>
      </c>
      <c r="P63" s="63"/>
      <c r="Q63" s="63"/>
    </row>
    <row r="64" spans="2:17" customFormat="1" ht="19.5" customHeight="1" x14ac:dyDescent="0.15">
      <c r="B64" s="55"/>
      <c r="C64" s="56" t="s">
        <v>96</v>
      </c>
      <c r="D64" s="56" t="s">
        <v>96</v>
      </c>
      <c r="E64" s="57" t="s">
        <v>99</v>
      </c>
      <c r="F64" s="41">
        <v>1</v>
      </c>
      <c r="G64" s="58">
        <v>6200</v>
      </c>
      <c r="H64" s="59">
        <f t="shared" si="1"/>
        <v>6200</v>
      </c>
      <c r="I64" s="60"/>
      <c r="J64" s="47" t="s">
        <v>100</v>
      </c>
      <c r="K64" s="61"/>
      <c r="L64" s="62"/>
      <c r="M64" s="63">
        <v>44190</v>
      </c>
      <c r="N64" s="62"/>
      <c r="O64" s="64" t="s">
        <v>121</v>
      </c>
      <c r="P64" s="63"/>
      <c r="Q64" s="63"/>
    </row>
    <row r="65" spans="2:17" customFormat="1" ht="19.5" customHeight="1" x14ac:dyDescent="0.15">
      <c r="B65" s="55"/>
      <c r="C65" s="56" t="s">
        <v>96</v>
      </c>
      <c r="D65" s="56" t="s">
        <v>96</v>
      </c>
      <c r="E65" s="57" t="s">
        <v>101</v>
      </c>
      <c r="F65" s="41">
        <v>1</v>
      </c>
      <c r="G65" s="58">
        <v>5500</v>
      </c>
      <c r="H65" s="59">
        <f t="shared" si="1"/>
        <v>5500</v>
      </c>
      <c r="I65" s="60"/>
      <c r="J65" s="47" t="s">
        <v>102</v>
      </c>
      <c r="K65" s="61"/>
      <c r="L65" s="62"/>
      <c r="M65" s="63">
        <v>44190</v>
      </c>
      <c r="N65" s="62"/>
      <c r="O65" s="64" t="s">
        <v>121</v>
      </c>
      <c r="P65" s="63"/>
      <c r="Q65" s="63"/>
    </row>
    <row r="66" spans="2:17" customFormat="1" ht="19.5" customHeight="1" x14ac:dyDescent="0.15">
      <c r="B66" s="55"/>
      <c r="C66" s="56" t="s">
        <v>96</v>
      </c>
      <c r="D66" s="56" t="s">
        <v>96</v>
      </c>
      <c r="E66" s="57" t="s">
        <v>103</v>
      </c>
      <c r="F66" s="41">
        <v>1</v>
      </c>
      <c r="G66" s="58">
        <v>13200</v>
      </c>
      <c r="H66" s="59">
        <f t="shared" si="1"/>
        <v>13200</v>
      </c>
      <c r="I66" s="60"/>
      <c r="J66" s="47" t="s">
        <v>104</v>
      </c>
      <c r="K66" s="61"/>
      <c r="L66" s="62"/>
      <c r="M66" s="63">
        <v>44190</v>
      </c>
      <c r="N66" s="62"/>
      <c r="O66" s="64" t="s">
        <v>121</v>
      </c>
      <c r="P66" s="63"/>
      <c r="Q66" s="63"/>
    </row>
    <row r="67" spans="2:17" customFormat="1" ht="19.5" customHeight="1" x14ac:dyDescent="0.15">
      <c r="B67" s="55"/>
      <c r="C67" s="56" t="s">
        <v>96</v>
      </c>
      <c r="D67" s="56" t="s">
        <v>96</v>
      </c>
      <c r="E67" s="57" t="s">
        <v>105</v>
      </c>
      <c r="F67" s="41">
        <v>2</v>
      </c>
      <c r="G67" s="58">
        <v>4400</v>
      </c>
      <c r="H67" s="59">
        <f t="shared" si="1"/>
        <v>8800</v>
      </c>
      <c r="I67" s="60"/>
      <c r="J67" s="47" t="s">
        <v>106</v>
      </c>
      <c r="K67" s="61"/>
      <c r="L67" s="62"/>
      <c r="M67" s="63">
        <v>44190</v>
      </c>
      <c r="N67" s="62"/>
      <c r="O67" s="64" t="s">
        <v>121</v>
      </c>
      <c r="P67" s="63"/>
      <c r="Q67" s="63"/>
    </row>
    <row r="68" spans="2:17" customFormat="1" ht="19.5" customHeight="1" x14ac:dyDescent="0.15">
      <c r="B68" s="55"/>
      <c r="C68" s="56" t="s">
        <v>96</v>
      </c>
      <c r="D68" s="56" t="s">
        <v>96</v>
      </c>
      <c r="E68" s="57" t="s">
        <v>107</v>
      </c>
      <c r="F68" s="41">
        <v>1</v>
      </c>
      <c r="G68" s="58">
        <v>10700</v>
      </c>
      <c r="H68" s="59">
        <f t="shared" si="1"/>
        <v>10700</v>
      </c>
      <c r="I68" s="60"/>
      <c r="J68" s="47" t="s">
        <v>108</v>
      </c>
      <c r="K68" s="61"/>
      <c r="L68" s="62"/>
      <c r="M68" s="63">
        <v>44190</v>
      </c>
      <c r="N68" s="62"/>
      <c r="O68" s="64" t="s">
        <v>121</v>
      </c>
      <c r="P68" s="63"/>
      <c r="Q68" s="63"/>
    </row>
    <row r="69" spans="2:17" customFormat="1" ht="19.5" customHeight="1" x14ac:dyDescent="0.15">
      <c r="B69" s="55"/>
      <c r="C69" s="56" t="s">
        <v>96</v>
      </c>
      <c r="D69" s="56" t="s">
        <v>96</v>
      </c>
      <c r="E69" s="57" t="s">
        <v>109</v>
      </c>
      <c r="F69" s="41">
        <v>1</v>
      </c>
      <c r="G69" s="58">
        <v>5300</v>
      </c>
      <c r="H69" s="59">
        <f t="shared" si="1"/>
        <v>5300</v>
      </c>
      <c r="I69" s="60"/>
      <c r="J69" s="47" t="s">
        <v>110</v>
      </c>
      <c r="K69" s="61"/>
      <c r="L69" s="62"/>
      <c r="M69" s="63">
        <v>44190</v>
      </c>
      <c r="N69" s="62"/>
      <c r="O69" s="64" t="s">
        <v>121</v>
      </c>
      <c r="P69" s="63"/>
      <c r="Q69" s="63"/>
    </row>
    <row r="70" spans="2:17" customFormat="1" ht="19.5" customHeight="1" x14ac:dyDescent="0.15">
      <c r="B70" s="55"/>
      <c r="C70" s="56" t="s">
        <v>96</v>
      </c>
      <c r="D70" s="56" t="s">
        <v>96</v>
      </c>
      <c r="E70" s="57" t="s">
        <v>111</v>
      </c>
      <c r="F70" s="41">
        <v>1</v>
      </c>
      <c r="G70" s="58">
        <v>5100</v>
      </c>
      <c r="H70" s="59">
        <f t="shared" si="1"/>
        <v>5100</v>
      </c>
      <c r="I70" s="60"/>
      <c r="J70" s="47" t="s">
        <v>112</v>
      </c>
      <c r="K70" s="61"/>
      <c r="L70" s="62"/>
      <c r="M70" s="63">
        <v>44190</v>
      </c>
      <c r="N70" s="62"/>
      <c r="O70" s="64" t="s">
        <v>121</v>
      </c>
      <c r="P70" s="63"/>
      <c r="Q70" s="63"/>
    </row>
    <row r="71" spans="2:17" customFormat="1" ht="19.5" customHeight="1" x14ac:dyDescent="0.15">
      <c r="B71" s="55"/>
      <c r="C71" s="56" t="s">
        <v>96</v>
      </c>
      <c r="D71" s="56" t="s">
        <v>96</v>
      </c>
      <c r="E71" s="57" t="s">
        <v>113</v>
      </c>
      <c r="F71" s="41">
        <v>4</v>
      </c>
      <c r="G71" s="58">
        <v>4400</v>
      </c>
      <c r="H71" s="59">
        <f t="shared" si="1"/>
        <v>17600</v>
      </c>
      <c r="I71" s="60"/>
      <c r="J71" s="47" t="s">
        <v>114</v>
      </c>
      <c r="K71" s="61"/>
      <c r="L71" s="62"/>
      <c r="M71" s="63">
        <v>44190</v>
      </c>
      <c r="N71" s="62"/>
      <c r="O71" s="64" t="s">
        <v>121</v>
      </c>
      <c r="P71" s="63"/>
      <c r="Q71" s="63"/>
    </row>
    <row r="72" spans="2:17" customFormat="1" ht="19.5" customHeight="1" x14ac:dyDescent="0.15">
      <c r="B72" s="55"/>
      <c r="C72" s="56" t="s">
        <v>96</v>
      </c>
      <c r="D72" s="56" t="s">
        <v>96</v>
      </c>
      <c r="E72" s="57" t="s">
        <v>115</v>
      </c>
      <c r="F72" s="41">
        <v>1</v>
      </c>
      <c r="G72" s="58">
        <v>800</v>
      </c>
      <c r="H72" s="59">
        <f t="shared" si="1"/>
        <v>800</v>
      </c>
      <c r="I72" s="60"/>
      <c r="J72" s="47" t="s">
        <v>116</v>
      </c>
      <c r="K72" s="61"/>
      <c r="L72" s="62"/>
      <c r="M72" s="63">
        <v>44190</v>
      </c>
      <c r="N72" s="62"/>
      <c r="O72" s="64" t="s">
        <v>121</v>
      </c>
      <c r="P72" s="63"/>
      <c r="Q72" s="63"/>
    </row>
    <row r="73" spans="2:17" customFormat="1" ht="19.5" customHeight="1" x14ac:dyDescent="0.15">
      <c r="B73" s="55"/>
      <c r="C73" s="56" t="s">
        <v>96</v>
      </c>
      <c r="D73" s="56" t="s">
        <v>96</v>
      </c>
      <c r="E73" s="57" t="s">
        <v>117</v>
      </c>
      <c r="F73" s="41">
        <v>1</v>
      </c>
      <c r="G73" s="58">
        <v>4000</v>
      </c>
      <c r="H73" s="59">
        <f t="shared" si="1"/>
        <v>4000</v>
      </c>
      <c r="I73" s="60"/>
      <c r="J73" s="47" t="s">
        <v>118</v>
      </c>
      <c r="K73" s="61"/>
      <c r="L73" s="62"/>
      <c r="M73" s="63">
        <v>44190</v>
      </c>
      <c r="N73" s="62"/>
      <c r="O73" s="64" t="s">
        <v>121</v>
      </c>
      <c r="P73" s="63"/>
      <c r="Q73" s="63"/>
    </row>
    <row r="74" spans="2:17" customFormat="1" ht="19.5" customHeight="1" x14ac:dyDescent="0.15">
      <c r="B74" s="55"/>
      <c r="C74" s="56" t="s">
        <v>96</v>
      </c>
      <c r="D74" s="56" t="s">
        <v>96</v>
      </c>
      <c r="E74" s="57" t="s">
        <v>119</v>
      </c>
      <c r="F74" s="41">
        <v>1</v>
      </c>
      <c r="G74" s="58">
        <v>2200</v>
      </c>
      <c r="H74" s="59">
        <f t="shared" si="1"/>
        <v>2200</v>
      </c>
      <c r="I74" s="60"/>
      <c r="J74" s="47" t="s">
        <v>120</v>
      </c>
      <c r="K74" s="61"/>
      <c r="L74" s="62"/>
      <c r="M74" s="63">
        <v>44190</v>
      </c>
      <c r="N74" s="62"/>
      <c r="O74" s="64" t="s">
        <v>121</v>
      </c>
      <c r="P74" s="63"/>
      <c r="Q74" s="63"/>
    </row>
    <row r="75" spans="2:17" customFormat="1" ht="19.5" customHeight="1" x14ac:dyDescent="0.15">
      <c r="B75" s="55"/>
      <c r="C75" s="56" t="s">
        <v>96</v>
      </c>
      <c r="D75" s="56" t="s">
        <v>96</v>
      </c>
      <c r="E75" s="57" t="s">
        <v>144</v>
      </c>
      <c r="F75" s="41">
        <v>1</v>
      </c>
      <c r="G75" s="58">
        <v>13200</v>
      </c>
      <c r="H75" s="59">
        <f t="shared" ref="H75" si="8">F75*G75</f>
        <v>13200</v>
      </c>
      <c r="I75" s="60"/>
      <c r="J75" s="47" t="s">
        <v>104</v>
      </c>
      <c r="K75" s="61"/>
      <c r="L75" s="62"/>
      <c r="M75" s="63">
        <v>44222</v>
      </c>
      <c r="N75" s="62"/>
      <c r="O75" s="64" t="s">
        <v>145</v>
      </c>
      <c r="P75" s="63"/>
      <c r="Q75" s="63"/>
    </row>
    <row r="76" spans="2:17" customFormat="1" ht="19.5" customHeight="1" x14ac:dyDescent="0.15">
      <c r="B76" s="55"/>
      <c r="C76" s="56"/>
      <c r="D76" s="56"/>
      <c r="E76" s="57"/>
      <c r="F76" s="41"/>
      <c r="G76" s="58"/>
      <c r="H76" s="59">
        <f t="shared" si="1"/>
        <v>0</v>
      </c>
      <c r="I76" s="60"/>
      <c r="J76" s="47"/>
      <c r="K76" s="61"/>
      <c r="L76" s="62"/>
      <c r="M76" s="63"/>
      <c r="N76" s="62"/>
      <c r="O76" s="64"/>
      <c r="P76" s="63"/>
      <c r="Q76" s="63"/>
    </row>
    <row r="77" spans="2:17" customFormat="1" ht="19.5" customHeight="1" x14ac:dyDescent="0.15">
      <c r="B77" s="55"/>
      <c r="C77" s="56"/>
      <c r="D77" s="56"/>
      <c r="E77" s="57"/>
      <c r="F77" s="41"/>
      <c r="G77" s="58"/>
      <c r="H77" s="59">
        <f t="shared" si="1"/>
        <v>0</v>
      </c>
      <c r="I77" s="60"/>
      <c r="J77" s="47"/>
      <c r="K77" s="61"/>
      <c r="L77" s="62"/>
      <c r="M77" s="63"/>
      <c r="N77" s="62"/>
      <c r="O77" s="64"/>
      <c r="P77" s="63"/>
      <c r="Q77" s="63"/>
    </row>
  </sheetData>
  <autoFilter ref="B9:O2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C16" sqref="C16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9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70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71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原価表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丸山</cp:lastModifiedBy>
  <cp:lastPrinted>2018-02-26T23:40:55Z</cp:lastPrinted>
  <dcterms:created xsi:type="dcterms:W3CDTF">2011-12-13T06:48:43Z</dcterms:created>
  <dcterms:modified xsi:type="dcterms:W3CDTF">2021-01-25T09:19:56Z</dcterms:modified>
</cp:coreProperties>
</file>