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9DFF47C4-703F-45B5-BD2B-826A9543615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TB0298-A01　20260228 構成③" sheetId="22" r:id="rId1"/>
    <sheet name="Sheet3" sheetId="3" r:id="rId2"/>
  </sheets>
  <definedNames>
    <definedName name="_xlnm._FilterDatabase" localSheetId="0" hidden="1">'SETB0298-A01　20260228 構成③'!$D$9:$Q$135</definedName>
    <definedName name="_xlnm.Print_Area" localSheetId="0">'SETB0298-A01　20260228 構成③'!$C$1:$L$135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1" i="22" l="1"/>
  <c r="J90" i="22"/>
  <c r="J89" i="22"/>
  <c r="J88" i="22"/>
  <c r="J87" i="22"/>
  <c r="J86" i="22"/>
  <c r="J85" i="22"/>
  <c r="J84" i="22"/>
  <c r="J83" i="22"/>
  <c r="J127" i="22"/>
  <c r="J126" i="22"/>
  <c r="J125" i="22"/>
  <c r="J124" i="22"/>
  <c r="J123" i="22"/>
  <c r="J122" i="22"/>
  <c r="J121" i="22"/>
  <c r="J120" i="22"/>
  <c r="J119" i="22"/>
  <c r="J118" i="22"/>
  <c r="J117" i="22"/>
  <c r="J116" i="22"/>
  <c r="J115" i="22"/>
  <c r="J114" i="22"/>
  <c r="J113" i="22"/>
  <c r="J112" i="22"/>
  <c r="J111" i="22"/>
  <c r="J110" i="22"/>
  <c r="J109" i="22"/>
  <c r="J108" i="22"/>
  <c r="J107" i="22"/>
  <c r="J106" i="22"/>
  <c r="J105" i="22"/>
  <c r="J104" i="22"/>
  <c r="J103" i="22"/>
  <c r="J102" i="22"/>
  <c r="J101" i="22"/>
  <c r="J100" i="22"/>
  <c r="J82" i="22"/>
  <c r="J81" i="22"/>
  <c r="J80" i="22"/>
  <c r="J79" i="22"/>
  <c r="J78" i="22"/>
  <c r="J77" i="22"/>
  <c r="J76" i="22"/>
  <c r="J75" i="22"/>
  <c r="J74" i="22"/>
  <c r="J73" i="22"/>
  <c r="J72" i="22"/>
  <c r="J71" i="22"/>
  <c r="J70" i="22"/>
  <c r="J69" i="22"/>
  <c r="J68" i="22"/>
  <c r="J67" i="22"/>
  <c r="J66" i="22"/>
  <c r="J65" i="22"/>
  <c r="G93" i="22" s="1"/>
  <c r="J58" i="22"/>
  <c r="J57" i="22"/>
  <c r="J56" i="22"/>
  <c r="J55" i="22"/>
  <c r="J54" i="22"/>
  <c r="J53" i="22"/>
  <c r="J52" i="22"/>
  <c r="J51" i="22"/>
  <c r="J50" i="22"/>
  <c r="J49" i="22"/>
  <c r="J40" i="22"/>
  <c r="J39" i="22"/>
  <c r="J38" i="22"/>
  <c r="J37" i="22"/>
  <c r="J30" i="22"/>
  <c r="J29" i="22"/>
  <c r="J28" i="22"/>
  <c r="J27" i="22"/>
  <c r="J26" i="22"/>
  <c r="J25" i="22"/>
  <c r="J24" i="22"/>
  <c r="J23" i="22"/>
  <c r="J22" i="22"/>
  <c r="J21" i="22"/>
  <c r="J20" i="22"/>
  <c r="J19" i="22"/>
  <c r="J18" i="22"/>
  <c r="J17" i="22"/>
  <c r="J16" i="22"/>
  <c r="J15" i="22"/>
  <c r="J14" i="22"/>
  <c r="D15" i="22"/>
  <c r="D16" i="22" s="1"/>
  <c r="D17" i="22" s="1"/>
  <c r="D18" i="22" s="1"/>
  <c r="D19" i="22" s="1"/>
  <c r="D20" i="22" s="1"/>
  <c r="D21" i="22" s="1"/>
  <c r="D22" i="22" s="1"/>
  <c r="D23" i="22" s="1"/>
  <c r="D24" i="22" s="1"/>
  <c r="D25" i="22" s="1"/>
  <c r="D26" i="22" s="1"/>
  <c r="D27" i="22" s="1"/>
  <c r="D28" i="22" s="1"/>
  <c r="D29" i="22" s="1"/>
  <c r="D30" i="22" s="1"/>
  <c r="D37" i="22" s="1"/>
  <c r="D38" i="22" s="1"/>
  <c r="D39" i="22" s="1"/>
  <c r="D40" i="22" s="1"/>
  <c r="G60" i="22" l="1"/>
  <c r="G129" i="22"/>
  <c r="D49" i="22"/>
  <c r="D50" i="22" s="1"/>
  <c r="D51" i="22" s="1"/>
  <c r="D52" i="22" s="1"/>
  <c r="D53" i="22" s="1"/>
  <c r="D54" i="22" s="1"/>
  <c r="D55" i="22" s="1"/>
  <c r="D56" i="22" s="1"/>
  <c r="D57" i="22" s="1"/>
  <c r="D58" i="22" s="1"/>
  <c r="D65" i="22" s="1"/>
  <c r="D66" i="22" s="1"/>
  <c r="D67" i="22" s="1"/>
  <c r="D68" i="22" s="1"/>
  <c r="D69" i="22" s="1"/>
  <c r="D70" i="22" s="1"/>
  <c r="D71" i="22" s="1"/>
  <c r="D72" i="22" s="1"/>
  <c r="D73" i="22" s="1"/>
  <c r="D74" i="22" s="1"/>
  <c r="D75" i="22" s="1"/>
  <c r="D76" i="22" s="1"/>
  <c r="D77" i="22" s="1"/>
  <c r="D78" i="22" s="1"/>
  <c r="D79" i="22" s="1"/>
  <c r="D80" i="22" s="1"/>
  <c r="D81" i="22" s="1"/>
  <c r="D82" i="22" s="1"/>
  <c r="G42" i="22"/>
  <c r="G32" i="22"/>
  <c r="L2" i="22"/>
  <c r="D100" i="22" l="1"/>
  <c r="D101" i="22" s="1"/>
  <c r="D102" i="22" s="1"/>
  <c r="D103" i="22" s="1"/>
  <c r="D104" i="22" s="1"/>
  <c r="D105" i="22" s="1"/>
  <c r="D106" i="22" s="1"/>
  <c r="D107" i="22" s="1"/>
  <c r="D108" i="22" s="1"/>
  <c r="D109" i="22" s="1"/>
  <c r="D110" i="22" s="1"/>
  <c r="D111" i="22" s="1"/>
  <c r="D112" i="22" s="1"/>
  <c r="D113" i="22" s="1"/>
  <c r="D114" i="22" s="1"/>
  <c r="D83" i="22"/>
  <c r="D84" i="22" s="1"/>
  <c r="D85" i="22" s="1"/>
  <c r="D86" i="22" s="1"/>
  <c r="D87" i="22" s="1"/>
  <c r="D88" i="22" s="1"/>
  <c r="D89" i="22" s="1"/>
  <c r="D90" i="22" s="1"/>
  <c r="D91" i="22" s="1"/>
  <c r="D115" i="22"/>
  <c r="D116" i="22" s="1"/>
  <c r="D117" i="22" s="1"/>
  <c r="D118" i="22" s="1"/>
  <c r="D119" i="22" s="1"/>
  <c r="D120" i="22" s="1"/>
  <c r="D121" i="22" s="1"/>
  <c r="D122" i="22" s="1"/>
  <c r="D123" i="22" s="1"/>
  <c r="D124" i="22" s="1"/>
  <c r="D125" i="22" s="1"/>
  <c r="D126" i="22" s="1"/>
  <c r="D127" i="22" s="1"/>
  <c r="G58" i="3" l="1"/>
  <c r="B121" i="3"/>
  <c r="D2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テーブル1" description="ブック内の 'テーブル1' クエリへの接続です。" type="5" refreshedVersion="4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<sst xmlns="http://schemas.openxmlformats.org/spreadsheetml/2006/main" count="745" uniqueCount="215">
  <si>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</si>
  <si>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</si>
  <si>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</si>
  <si>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</si>
  <si>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</si>
  <si>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</si>
  <si>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</si>
  <si>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</si>
  <si>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</si>
  <si>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</si>
  <si>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</si>
  <si>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</si>
  <si>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</si>
  <si>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</si>
  <si>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</si>
  <si>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</si>
  <si>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</si>
  <si>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</si>
  <si>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</si>
  <si>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</si>
  <si>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</si>
  <si>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図面番号</t>
    <rPh sb="0" eb="1">
      <t>ズ</t>
    </rPh>
    <rPh sb="1" eb="2">
      <t>メン</t>
    </rPh>
    <rPh sb="2" eb="4">
      <t>バンゴウ</t>
    </rPh>
    <phoneticPr fontId="2"/>
  </si>
  <si>
    <t>出荷依頼項目NO.</t>
    <rPh sb="0" eb="2">
      <t>シュッカ</t>
    </rPh>
    <rPh sb="2" eb="4">
      <t>イライ</t>
    </rPh>
    <rPh sb="4" eb="6">
      <t>コウモク</t>
    </rPh>
    <phoneticPr fontId="7"/>
  </si>
  <si>
    <t>納期</t>
    <rPh sb="0" eb="2">
      <t>ノウキ</t>
    </rPh>
    <phoneticPr fontId="7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</si>
  <si>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</si>
  <si>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</si>
  <si>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</si>
  <si>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</si>
  <si>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</si>
  <si>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</si>
  <si>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</si>
  <si>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</si>
  <si>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</si>
  <si>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</si>
  <si>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</si>
  <si>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</si>
  <si>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</si>
  <si>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</si>
  <si>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</si>
  <si>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</si>
  <si>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</si>
  <si>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</si>
  <si>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</si>
  <si>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ﾂｰﾙ冶具ﾕﾆｯﾄ</t>
    <rPh sb="3" eb="5">
      <t>ジグ</t>
    </rPh>
    <phoneticPr fontId="2"/>
  </si>
  <si>
    <t>ただの引き出し</t>
    <rPh sb="3" eb="4">
      <t>ヒ</t>
    </rPh>
    <rPh sb="5" eb="6">
      <t>ダ</t>
    </rPh>
    <phoneticPr fontId="2"/>
  </si>
  <si>
    <t>足つき改造位置出し</t>
    <rPh sb="0" eb="1">
      <t>アシ</t>
    </rPh>
    <rPh sb="3" eb="5">
      <t>カイゾウ</t>
    </rPh>
    <rPh sb="5" eb="8">
      <t>イチダ</t>
    </rPh>
    <phoneticPr fontId="2"/>
  </si>
  <si>
    <t>ﾜｰｸ治具追加分</t>
    <rPh sb="3" eb="5">
      <t>ジグ</t>
    </rPh>
    <rPh sb="5" eb="7">
      <t>ツイカ</t>
    </rPh>
    <rPh sb="7" eb="8">
      <t>ブン</t>
    </rPh>
    <phoneticPr fontId="2"/>
  </si>
  <si>
    <t>岸　（齋藤）</t>
    <rPh sb="0" eb="1">
      <t>キシ</t>
    </rPh>
    <rPh sb="3" eb="5">
      <t>サイトウ</t>
    </rPh>
    <phoneticPr fontId="2"/>
  </si>
  <si>
    <t>NOVADOT+HVカメラ+IL-100Sツール治具</t>
    <rPh sb="24" eb="26">
      <t>ジグ</t>
    </rPh>
    <phoneticPr fontId="2"/>
  </si>
  <si>
    <t>SETB0211-Y02　NOVADOT 位置決め変換ﾌﾟﾚｰﾄ</t>
    <phoneticPr fontId="2"/>
  </si>
  <si>
    <t>meviy</t>
    <phoneticPr fontId="15"/>
  </si>
  <si>
    <t>ミスミ</t>
    <phoneticPr fontId="15"/>
  </si>
  <si>
    <t>8日目</t>
    <rPh sb="1" eb="2">
      <t>ヒ</t>
    </rPh>
    <rPh sb="2" eb="3">
      <t>メ</t>
    </rPh>
    <phoneticPr fontId="15"/>
  </si>
  <si>
    <t>AJPNGB4-P5.95-B2.0-G1-GC</t>
    <phoneticPr fontId="15"/>
  </si>
  <si>
    <t>3日目</t>
    <rPh sb="1" eb="2">
      <t>ヒ</t>
    </rPh>
    <rPh sb="2" eb="3">
      <t>メ</t>
    </rPh>
    <phoneticPr fontId="15"/>
  </si>
  <si>
    <t>1日目</t>
    <rPh sb="1" eb="2">
      <t>ヒ</t>
    </rPh>
    <rPh sb="2" eb="3">
      <t>メ</t>
    </rPh>
    <phoneticPr fontId="15"/>
  </si>
  <si>
    <t>六角穴付ボルト</t>
    <phoneticPr fontId="15"/>
  </si>
  <si>
    <t xml:space="preserve">SCB4-8 </t>
    <phoneticPr fontId="15"/>
  </si>
  <si>
    <t>SCB4-10</t>
    <phoneticPr fontId="15"/>
  </si>
  <si>
    <t>MS2-6</t>
    <phoneticPr fontId="15"/>
  </si>
  <si>
    <t>SCB4-6</t>
    <phoneticPr fontId="15"/>
  </si>
  <si>
    <t>ノックピン</t>
    <phoneticPr fontId="15"/>
  </si>
  <si>
    <t>SETB0298-Y01　ﾂｰﾙ治具背板</t>
    <phoneticPr fontId="15"/>
  </si>
  <si>
    <t>AJPNGB4-P5.95-B6.0-G4-GC</t>
    <phoneticPr fontId="15"/>
  </si>
  <si>
    <t>SCB5-12</t>
    <phoneticPr fontId="15"/>
  </si>
  <si>
    <t>SETB0298-Y02　AXAﾂｰﾙ治具 IL-S100ﾌﾞﾗｹｯﾄ</t>
    <phoneticPr fontId="15"/>
  </si>
  <si>
    <t>SLSBG8-47-M4-N4</t>
    <phoneticPr fontId="15"/>
  </si>
  <si>
    <t>MVSHM-3N02000-4EL-FFTKS</t>
    <phoneticPr fontId="15"/>
  </si>
  <si>
    <t>MVBLK-AMW-4EL-HMYP2</t>
    <phoneticPr fontId="15"/>
  </si>
  <si>
    <t>MVBLK-AMW-3RL-LW6FN</t>
    <phoneticPr fontId="15"/>
  </si>
  <si>
    <t>SCB5-16</t>
    <phoneticPr fontId="15"/>
  </si>
  <si>
    <t>ALSBG8-31-M4-N4</t>
    <phoneticPr fontId="15"/>
  </si>
  <si>
    <t>ALSBG10-44-M4-N4</t>
    <phoneticPr fontId="15"/>
  </si>
  <si>
    <t xml:space="preserve">MS3-10 </t>
    <phoneticPr fontId="15"/>
  </si>
  <si>
    <t xml:space="preserve">SCB4-10 </t>
    <phoneticPr fontId="15"/>
  </si>
  <si>
    <t>SETB0298-X04　漬け置きL字ﾌﾞﾗｹｯﾄ</t>
    <phoneticPr fontId="15"/>
  </si>
  <si>
    <t>SETB0298-X05　Tip detect　L字ﾌﾞﾗｹｯﾄ</t>
    <phoneticPr fontId="15"/>
  </si>
  <si>
    <t>SCB4-5</t>
    <phoneticPr fontId="15"/>
  </si>
  <si>
    <t>SETGRF8-46</t>
    <phoneticPr fontId="15"/>
  </si>
  <si>
    <t>CRKB4-10</t>
    <phoneticPr fontId="15"/>
  </si>
  <si>
    <t>SETB-0004-Z03　ｶｯﾌﾟﾎﾙﾀﾞｰ</t>
    <phoneticPr fontId="15"/>
  </si>
  <si>
    <t>MVSHM-3N02050-4EL-5TAZF</t>
    <phoneticPr fontId="15"/>
  </si>
  <si>
    <t>MVSHM-3N03050-4EL-LKF7B</t>
    <phoneticPr fontId="15"/>
  </si>
  <si>
    <t>MVSHM-ZZ99000000000-JPA226D52111AB</t>
    <phoneticPr fontId="15"/>
  </si>
  <si>
    <t>ミスミ</t>
    <phoneticPr fontId="2"/>
  </si>
  <si>
    <t>FTCLSS-V2.0-D6-H20-T2-L12.0</t>
    <phoneticPr fontId="2"/>
  </si>
  <si>
    <t>金属カラー　－ツバ付タイプ　並級/精密級－</t>
    <phoneticPr fontId="2"/>
  </si>
  <si>
    <t>ミスミ</t>
  </si>
  <si>
    <t>FWRBNA-D19-V2-T1</t>
    <phoneticPr fontId="2"/>
  </si>
  <si>
    <t>ゴムワッシャ FWRBNA</t>
    <phoneticPr fontId="2"/>
  </si>
  <si>
    <t>FWRBNA-D10-V2-T5</t>
    <phoneticPr fontId="2"/>
  </si>
  <si>
    <t>FWRBNA-D37-V6-T1</t>
    <phoneticPr fontId="2"/>
  </si>
  <si>
    <t>ゴムワッシャ</t>
    <phoneticPr fontId="2"/>
  </si>
  <si>
    <t>MNCNL6-1</t>
    <phoneticPr fontId="2"/>
  </si>
  <si>
    <t>ミニチュアワンタッチ継手　エルボ</t>
    <phoneticPr fontId="2"/>
  </si>
  <si>
    <t>ＮＳF38</t>
    <phoneticPr fontId="2"/>
  </si>
  <si>
    <t>Oリング</t>
    <phoneticPr fontId="2"/>
  </si>
  <si>
    <t>SRP6</t>
    <phoneticPr fontId="2"/>
  </si>
  <si>
    <t>吸着パッド　ソフトタイプ・ベローズタイプ</t>
    <phoneticPr fontId="2"/>
  </si>
  <si>
    <t>WRBNA10-6-3</t>
    <phoneticPr fontId="2"/>
  </si>
  <si>
    <t>PUT4-10-B</t>
    <phoneticPr fontId="2"/>
  </si>
  <si>
    <t>エアチューブ</t>
    <phoneticPr fontId="2"/>
  </si>
  <si>
    <t>PUT6-10-B</t>
    <phoneticPr fontId="2"/>
  </si>
  <si>
    <t>BCBFB4-6</t>
    <phoneticPr fontId="2"/>
  </si>
  <si>
    <t>六角穴付ボタンボルト　フランジ付タイプ</t>
    <phoneticPr fontId="2"/>
  </si>
  <si>
    <t>Dsub9　オス　コネクタハーネス　#4-40ショートねじ</t>
    <phoneticPr fontId="2"/>
  </si>
  <si>
    <t>Dsubコネクタハーネス</t>
    <phoneticPr fontId="2"/>
  </si>
  <si>
    <t>MWS-DS37A-HT37</t>
    <phoneticPr fontId="2"/>
  </si>
  <si>
    <t>Dsubコネクタ端子台</t>
    <rPh sb="8" eb="10">
      <t>タンシ</t>
    </rPh>
    <rPh sb="10" eb="11">
      <t>ダイ</t>
    </rPh>
    <phoneticPr fontId="2"/>
  </si>
  <si>
    <t>DINレール</t>
    <phoneticPr fontId="2"/>
  </si>
  <si>
    <t>BVHVU6-3</t>
    <phoneticPr fontId="2"/>
  </si>
  <si>
    <t>ハンドバルブ　φ6</t>
    <phoneticPr fontId="2"/>
  </si>
  <si>
    <t>ＪＡＰＰY</t>
    <phoneticPr fontId="2"/>
  </si>
  <si>
    <t>カッチンダクト</t>
    <phoneticPr fontId="2"/>
  </si>
  <si>
    <t>MNCNL6-M5</t>
    <phoneticPr fontId="2"/>
  </si>
  <si>
    <t xml:space="preserve">MWS-B3102 </t>
    <phoneticPr fontId="2"/>
  </si>
  <si>
    <t>A8001</t>
    <phoneticPr fontId="2"/>
  </si>
  <si>
    <t>汎用3芯OAタップ 6ヶ口</t>
    <phoneticPr fontId="2"/>
  </si>
  <si>
    <t>位置決めピン 高耐食ステンレス</t>
    <phoneticPr fontId="15"/>
  </si>
  <si>
    <t>5日目</t>
    <rPh sb="1" eb="2">
      <t>ヒ</t>
    </rPh>
    <rPh sb="2" eb="3">
      <t>メ</t>
    </rPh>
    <phoneticPr fontId="15"/>
  </si>
  <si>
    <t>六角支柱－片端おねじ片端めねじ</t>
    <phoneticPr fontId="15"/>
  </si>
  <si>
    <t>SETB0298-Y04　ﾂｰﾙ治具AXA-HV++IL100S　ﾌﾞﾗｹｯ　ﾌﾞﾗｹｯﾄ</t>
    <phoneticPr fontId="15"/>
  </si>
  <si>
    <t>SETB0298-Y03-1　HVｶﾒﾗ取付ﾌﾞﾗｹｯﾄ</t>
    <phoneticPr fontId="15"/>
  </si>
  <si>
    <t>MVSHM-3N02058-4EM-ZZ3W9</t>
    <phoneticPr fontId="15"/>
  </si>
  <si>
    <t>SLSBG8-28-M4-N4</t>
    <phoneticPr fontId="15"/>
  </si>
  <si>
    <t>MVSHM-3N03002-4EM-JGJ57</t>
    <phoneticPr fontId="15"/>
  </si>
  <si>
    <t>NOVADOTｼﾘﾝｼﾞ外し治具</t>
    <rPh sb="12" eb="13">
      <t>ハズ</t>
    </rPh>
    <rPh sb="14" eb="16">
      <t>ジグ</t>
    </rPh>
    <phoneticPr fontId="2"/>
  </si>
  <si>
    <t>AETTS10-26.5-SC9.5-M4-N4</t>
    <phoneticPr fontId="15"/>
  </si>
  <si>
    <t>SETB0298-Y05　ｼﾘﾝｼﾞ外し左</t>
    <phoneticPr fontId="15"/>
  </si>
  <si>
    <t>SETB0298-Y06　ｼﾘﾝｼﾞ外し右</t>
    <phoneticPr fontId="15"/>
  </si>
  <si>
    <t>SFB4-10</t>
    <phoneticPr fontId="15"/>
  </si>
  <si>
    <t>MVSHM-3N03004-4EM-XK76X</t>
    <phoneticPr fontId="15"/>
  </si>
  <si>
    <t>MVSHM-3N03004-4EM-BZ32P</t>
    <phoneticPr fontId="15"/>
  </si>
  <si>
    <t>円支柱－片端おねじ片端めねじ</t>
    <rPh sb="0" eb="1">
      <t>エン</t>
    </rPh>
    <phoneticPr fontId="15"/>
  </si>
  <si>
    <t>六角ボルト</t>
    <phoneticPr fontId="15"/>
  </si>
  <si>
    <t>ｲﾁｷﾞﾒﾋﾟﾝ AJPNGB</t>
    <phoneticPr fontId="15"/>
  </si>
  <si>
    <t>ｴﾝｹｲｼﾁｭｳ - AETTS</t>
    <phoneticPr fontId="15"/>
  </si>
  <si>
    <t>ﾛｯｶｸｱﾅﾂｷｻﾗﾎﾞﾙﾄ(SFB)</t>
    <phoneticPr fontId="15"/>
  </si>
  <si>
    <t>浸け置き、ﾉｽﾞﾙｸﾘｰﾆﾝｸﾞﾕﾆｯﾄﾕﾆｯﾄ</t>
    <phoneticPr fontId="15"/>
  </si>
  <si>
    <t>　</t>
    <phoneticPr fontId="2"/>
  </si>
  <si>
    <t>ﾜｰｸﾃｰﾌﾞﾙﾕﾆｯﾄ</t>
    <phoneticPr fontId="15"/>
  </si>
  <si>
    <t>配電板ユニット</t>
    <phoneticPr fontId="15"/>
  </si>
  <si>
    <t>ﾐｽﾐ</t>
    <phoneticPr fontId="15"/>
  </si>
  <si>
    <t>MVSHM-3N03002-4AE-6EX3C</t>
    <phoneticPr fontId="15"/>
  </si>
  <si>
    <t>SETB0295-Z02 電磁弁+レギュラーﾕﾆｯﾄ取付板金</t>
    <phoneticPr fontId="15"/>
  </si>
  <si>
    <t>FWSA-D8-V5-T8</t>
    <phoneticPr fontId="15"/>
  </si>
  <si>
    <t>金属ワッシャ　－並級</t>
    <phoneticPr fontId="15"/>
  </si>
  <si>
    <t>PDDU-PT-MS-9-2.5</t>
    <phoneticPr fontId="2"/>
  </si>
  <si>
    <t>PDDJ-PS-JS-37-1.5</t>
    <phoneticPr fontId="2"/>
  </si>
  <si>
    <t>コモン端子台</t>
    <rPh sb="3" eb="5">
      <t>タンシ</t>
    </rPh>
    <rPh sb="5" eb="6">
      <t>ダイ</t>
    </rPh>
    <phoneticPr fontId="2"/>
  </si>
  <si>
    <t>MRB-80</t>
    <phoneticPr fontId="2"/>
  </si>
  <si>
    <t>MRB-140</t>
    <phoneticPr fontId="2"/>
  </si>
  <si>
    <t>MRB-250</t>
    <phoneticPr fontId="2"/>
  </si>
  <si>
    <t>ADR-361-JP</t>
    <phoneticPr fontId="2"/>
  </si>
  <si>
    <t xml:space="preserve">HDV-2 </t>
    <phoneticPr fontId="2"/>
  </si>
  <si>
    <t>止め金具　　　　　　6個</t>
    <rPh sb="0" eb="1">
      <t>ト</t>
    </rPh>
    <rPh sb="2" eb="4">
      <t>カナグ</t>
    </rPh>
    <rPh sb="11" eb="12">
      <t>コ</t>
    </rPh>
    <phoneticPr fontId="2"/>
  </si>
  <si>
    <t>チェリック</t>
    <phoneticPr fontId="2"/>
  </si>
  <si>
    <t>CNYW6-6</t>
    <phoneticPr fontId="2"/>
  </si>
  <si>
    <t>ワンタッチ継手 R（PT）付二重Y型 CNYW</t>
    <phoneticPr fontId="2"/>
  </si>
  <si>
    <t>BSLG6</t>
    <phoneticPr fontId="2"/>
  </si>
  <si>
    <t>ワンタッチ継手　ブラインドプラグ</t>
    <phoneticPr fontId="2"/>
  </si>
  <si>
    <t>USYL6</t>
    <phoneticPr fontId="2"/>
  </si>
  <si>
    <t>ワンタッチ継手　Ｙタイプ</t>
    <phoneticPr fontId="2"/>
  </si>
  <si>
    <t>ｵﾑﾛﾝ</t>
    <phoneticPr fontId="15"/>
  </si>
  <si>
    <t>MY2N-D2 DC24</t>
    <phoneticPr fontId="15"/>
  </si>
  <si>
    <t>MY ミニパワーリレー</t>
    <phoneticPr fontId="15"/>
  </si>
  <si>
    <t>PYFZ-08</t>
    <phoneticPr fontId="15"/>
  </si>
  <si>
    <t>表面接続角型ソケット</t>
    <phoneticPr fontId="15"/>
  </si>
  <si>
    <t>PYC-E1</t>
    <phoneticPr fontId="15"/>
  </si>
  <si>
    <t xml:space="preserve">リレー用共用オプション品 </t>
    <phoneticPr fontId="15"/>
  </si>
  <si>
    <t>USRDS6-8</t>
    <phoneticPr fontId="2"/>
  </si>
  <si>
    <t>ワンタッチ継手　レデューサ</t>
    <phoneticPr fontId="2"/>
  </si>
  <si>
    <t>㈱ミズサワセミコンダクター様</t>
    <rPh sb="13" eb="14">
      <t>サマ</t>
    </rPh>
    <phoneticPr fontId="2"/>
  </si>
  <si>
    <t>NO.230589</t>
    <phoneticPr fontId="2"/>
  </si>
  <si>
    <t>SETB0317-X02　ﾜｰｸ治具受けﾍﾞｰｽ</t>
    <phoneticPr fontId="15"/>
  </si>
  <si>
    <t>SETB0317-X03　ﾜｰｸﾍﾞｰｽﾌﾟﾚｰﾄ</t>
    <phoneticPr fontId="15"/>
  </si>
  <si>
    <t>SCB4-16</t>
    <phoneticPr fontId="15"/>
  </si>
  <si>
    <t>お客様設計ﾜｰｸ治具固定用</t>
    <rPh sb="8" eb="10">
      <t>ジグ</t>
    </rPh>
    <rPh sb="10" eb="12">
      <t>コテイ</t>
    </rPh>
    <rPh sb="12" eb="13">
      <t>ヨウ</t>
    </rPh>
    <phoneticPr fontId="15"/>
  </si>
  <si>
    <t>三沢電線</t>
    <rPh sb="0" eb="2">
      <t>ミサワ</t>
    </rPh>
    <rPh sb="2" eb="4">
      <t>デンセン</t>
    </rPh>
    <phoneticPr fontId="2"/>
  </si>
  <si>
    <t>UL1007-20AWG-BE-10</t>
    <phoneticPr fontId="2"/>
  </si>
  <si>
    <t>単芯電線　　0.5　AGW20　青色</t>
    <rPh sb="0" eb="1">
      <t>タン</t>
    </rPh>
    <rPh sb="1" eb="2">
      <t>シン</t>
    </rPh>
    <rPh sb="2" eb="4">
      <t>デンセン</t>
    </rPh>
    <rPh sb="16" eb="17">
      <t>アオ</t>
    </rPh>
    <rPh sb="17" eb="18">
      <t>イロ</t>
    </rPh>
    <phoneticPr fontId="2"/>
  </si>
  <si>
    <t>SS300CMSB-22-1P-10</t>
    <phoneticPr fontId="2"/>
  </si>
  <si>
    <t>SS300CMSB CM（UL LISTED規格・NEPA対応） 細径 シールド付</t>
    <phoneticPr fontId="2"/>
  </si>
  <si>
    <t>SS300CMSB-22-3-10</t>
    <phoneticPr fontId="2"/>
  </si>
  <si>
    <t>%WRFH-4050-260204-5-1</t>
    <phoneticPr fontId="15"/>
  </si>
  <si>
    <t>10日目</t>
    <rPh sb="2" eb="3">
      <t>ヒ</t>
    </rPh>
    <rPh sb="3" eb="4">
      <t>メ</t>
    </rPh>
    <phoneticPr fontId="15"/>
  </si>
  <si>
    <t>AXA-SJVC3000-L2000用　IO配線</t>
    <phoneticPr fontId="15"/>
  </si>
  <si>
    <t>MVBLK-AMW-4FX-UPB3P</t>
    <phoneticPr fontId="15"/>
  </si>
  <si>
    <t>MVBLK-AMW-4FX-7XZZC</t>
    <phoneticPr fontId="15"/>
  </si>
  <si>
    <t>③</t>
    <phoneticPr fontId="8"/>
  </si>
  <si>
    <t>③SETB0317-A01 岸氏　AXA300+NOVADOT+ＨＶ画像+ﾊｲﾄｾﾝｻｰＩＬ1000+ﾉｽﾞﾙｸﾘｰﾆﾝｸﾞﾊﾞｷｭｰﾑ+ﾜｰｸ治具ﾊﾞｷｭｰﾑ(お客様)+配電BOX 原価一覧 20260202</t>
    <rPh sb="72" eb="74">
      <t>ジグ</t>
    </rPh>
    <rPh sb="82" eb="84">
      <t>キャクサマ</t>
    </rPh>
    <phoneticPr fontId="2"/>
  </si>
  <si>
    <t>NO.230589-1　H-SAITOU</t>
    <phoneticPr fontId="15"/>
  </si>
  <si>
    <t>NO.230589-2　H-SAITOU</t>
    <phoneticPr fontId="15"/>
  </si>
  <si>
    <t>NO.230589-3　H-SAITOU</t>
    <phoneticPr fontId="15"/>
  </si>
  <si>
    <t>NO.230589-5　H-SAITOU</t>
    <phoneticPr fontId="15"/>
  </si>
  <si>
    <t>NO.230589-4　H-SAITOU</t>
    <phoneticPr fontId="15"/>
  </si>
  <si>
    <t>AB24D82BB6</t>
    <phoneticPr fontId="15"/>
  </si>
  <si>
    <t>仙台営業所へ納品</t>
    <rPh sb="0" eb="2">
      <t>センダイ</t>
    </rPh>
    <rPh sb="2" eb="5">
      <t>エイギョウショ</t>
    </rPh>
    <rPh sb="6" eb="8">
      <t>ノウヒン</t>
    </rPh>
    <phoneticPr fontId="15"/>
  </si>
  <si>
    <t>SZ14F-2-038-18</t>
    <phoneticPr fontId="15"/>
  </si>
  <si>
    <t>SZ14F ｹｰﾌﾞﾙｷｬﾘｱ</t>
    <phoneticPr fontId="15"/>
  </si>
  <si>
    <t>AB24E36F79</t>
    <phoneticPr fontId="15"/>
  </si>
  <si>
    <t>MVSHM-3N03002-3RW-B3DZZ</t>
    <phoneticPr fontId="15"/>
  </si>
  <si>
    <t>SETB0183-X03　ｹｰﾌﾞﾙﾍﾞｱ固定1</t>
    <phoneticPr fontId="15"/>
  </si>
  <si>
    <t>CBSTNR6-6</t>
    <phoneticPr fontId="15"/>
  </si>
  <si>
    <t>ｺﾞｸﾃｲﾄｳﾎﾞﾙﾄ 2＋2本</t>
    <rPh sb="15" eb="16">
      <t>ホン</t>
    </rPh>
    <phoneticPr fontId="15"/>
  </si>
  <si>
    <t xml:space="preserve">CHNS4 </t>
    <phoneticPr fontId="15"/>
  </si>
  <si>
    <t>蝶ナット</t>
    <phoneticPr fontId="15"/>
  </si>
  <si>
    <t>MS3-6</t>
    <phoneticPr fontId="15"/>
  </si>
  <si>
    <t>ﾉｯｸﾋﾟﾝ MS</t>
    <phoneticPr fontId="15"/>
  </si>
  <si>
    <t>ﾉｯｸﾋﾟﾝ MS 2＋3本</t>
    <rPh sb="13" eb="14">
      <t>ホン</t>
    </rPh>
    <phoneticPr fontId="15"/>
  </si>
  <si>
    <t xml:space="preserve">RSCB4-15 </t>
    <phoneticPr fontId="15"/>
  </si>
  <si>
    <t>MVBLK-AMW-3RW-FMUWR</t>
    <phoneticPr fontId="15"/>
  </si>
  <si>
    <t>SETB0183-X04　ｹｰﾌﾞﾙﾍﾞｱ固定2</t>
    <phoneticPr fontId="15"/>
  </si>
  <si>
    <t>SCB4-22</t>
    <phoneticPr fontId="15"/>
  </si>
  <si>
    <t>ﾛｯｶｸｱﾅﾂｷﾎﾞﾙﾄ(SCB)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</si>
</sst>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  <numFmt numFmtId="181" formatCode="0_ ;[Red]\-0\ "/>
    <numFmt numFmtId="182" formatCode="0_);[Red]\(0\)"/>
    <numFmt numFmtId="183" formatCode="#,##0_ "/>
  </numFmts>
  <fonts count="24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6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9" tint="-0.499984740745262"/>
      <name val="ＭＳ Ｐゴシック"/>
      <family val="3"/>
      <charset val="128"/>
      <scheme val="minor"/>
    </font>
    <font>
      <sz val="10"/>
      <color indexed="8"/>
      <name val="ＭＳ Ｐゴシック"/>
      <family val="3"/>
      <charset val="128"/>
    </font>
    <font>
      <sz val="12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4"/>
      <color theme="9" tint="-0.499984740745262"/>
      <name val="ＭＳ Ｐゴシック"/>
      <family val="3"/>
      <charset val="128"/>
      <scheme val="minor"/>
    </font>
    <font>
      <b/>
      <sz val="11"/>
      <color rgb="FF00B0F0"/>
      <name val="ＭＳ Ｐゴシック"/>
      <family val="3"/>
      <charset val="128"/>
      <scheme val="minor"/>
    </font>
    <font>
      <b/>
      <sz val="14"/>
      <color theme="4" tint="-0.249977111117893"/>
      <name val="ＭＳ Ｐ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0" fontId="6" fillId="0" borderId="0">
      <alignment vertical="center"/>
    </xf>
    <xf numFmtId="0" fontId="6" fillId="0" borderId="0"/>
    <xf numFmtId="0" fontId="16" fillId="0" borderId="0">
      <alignment vertical="center"/>
    </xf>
  </cellStyleXfs>
  <cellXfs count="15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77" fontId="5" fillId="0" borderId="2" xfId="0" applyNumberFormat="1" applyFont="1" applyBorder="1" applyAlignment="1">
      <alignment horizontal="center" vertical="center"/>
    </xf>
    <xf numFmtId="176" fontId="4" fillId="0" borderId="2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2" xfId="0" applyFont="1" applyBorder="1" applyAlignment="1">
      <alignment horizontal="center" vertical="center" shrinkToFit="1"/>
    </xf>
    <xf numFmtId="179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3" fontId="10" fillId="0" borderId="2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176" fontId="0" fillId="0" borderId="2" xfId="0" applyNumberForma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 shrinkToFit="1"/>
    </xf>
    <xf numFmtId="0" fontId="10" fillId="0" borderId="2" xfId="0" applyFont="1" applyBorder="1">
      <alignment vertical="center"/>
    </xf>
    <xf numFmtId="38" fontId="0" fillId="0" borderId="2" xfId="0" applyNumberForma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176" fontId="12" fillId="3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center" vertical="center"/>
    </xf>
    <xf numFmtId="176" fontId="12" fillId="0" borderId="2" xfId="0" applyNumberFormat="1" applyFont="1" applyBorder="1" applyAlignment="1">
      <alignment horizontal="center" vertical="center"/>
    </xf>
    <xf numFmtId="38" fontId="10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9" fillId="5" borderId="1" xfId="0" applyNumberFormat="1" applyFont="1" applyFill="1" applyBorder="1" applyAlignment="1">
      <alignment horizontal="center" vertical="center"/>
    </xf>
    <xf numFmtId="3" fontId="9" fillId="5" borderId="4" xfId="0" applyNumberFormat="1" applyFont="1" applyFill="1" applyBorder="1" applyAlignment="1">
      <alignment horizontal="center" vertical="center"/>
    </xf>
    <xf numFmtId="3" fontId="9" fillId="5" borderId="3" xfId="0" applyNumberFormat="1" applyFon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6" fillId="0" borderId="0" xfId="2"/>
    <xf numFmtId="176" fontId="12" fillId="0" borderId="2" xfId="0" applyNumberFormat="1" applyFont="1" applyBorder="1" applyAlignment="1">
      <alignment horizontal="left" vertical="center"/>
    </xf>
    <xf numFmtId="3" fontId="9" fillId="5" borderId="1" xfId="0" applyNumberFormat="1" applyFont="1" applyFill="1" applyBorder="1" applyAlignment="1">
      <alignment horizontal="left" vertical="center"/>
    </xf>
    <xf numFmtId="3" fontId="13" fillId="5" borderId="3" xfId="0" applyNumberFormat="1" applyFont="1" applyFill="1" applyBorder="1" applyAlignment="1">
      <alignment horizontal="center" vertical="center"/>
    </xf>
    <xf numFmtId="180" fontId="0" fillId="0" borderId="2" xfId="0" applyNumberForma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176" fontId="10" fillId="0" borderId="2" xfId="0" applyNumberFormat="1" applyFont="1" applyBorder="1" applyAlignment="1">
      <alignment horizontal="center" vertical="center"/>
    </xf>
    <xf numFmtId="180" fontId="6" fillId="0" borderId="2" xfId="0" applyNumberFormat="1" applyFont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6" fillId="0" borderId="2" xfId="2" applyBorder="1" applyAlignment="1">
      <alignment horizontal="left"/>
    </xf>
    <xf numFmtId="0" fontId="6" fillId="6" borderId="2" xfId="2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176" fontId="0" fillId="0" borderId="2" xfId="0" applyNumberFormat="1" applyBorder="1" applyAlignment="1">
      <alignment horizontal="center"/>
    </xf>
    <xf numFmtId="176" fontId="10" fillId="0" borderId="1" xfId="0" applyNumberFormat="1" applyFont="1" applyBorder="1" applyAlignment="1">
      <alignment horizontal="center" vertical="center"/>
    </xf>
    <xf numFmtId="0" fontId="10" fillId="7" borderId="2" xfId="0" applyFont="1" applyFill="1" applyBorder="1" applyAlignment="1">
      <alignment horizontal="left" vertical="center"/>
    </xf>
    <xf numFmtId="176" fontId="0" fillId="0" borderId="2" xfId="0" applyNumberFormat="1" applyBorder="1">
      <alignment vertical="center"/>
    </xf>
    <xf numFmtId="0" fontId="6" fillId="7" borderId="2" xfId="2" applyFill="1" applyBorder="1" applyAlignment="1">
      <alignment horizontal="left"/>
    </xf>
    <xf numFmtId="49" fontId="10" fillId="7" borderId="2" xfId="0" applyNumberFormat="1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56" fontId="0" fillId="0" borderId="2" xfId="0" applyNumberFormat="1" applyBorder="1" applyAlignment="1">
      <alignment horizontal="center" vertical="center"/>
    </xf>
    <xf numFmtId="38" fontId="0" fillId="0" borderId="2" xfId="0" applyNumberFormat="1" applyBorder="1" applyAlignment="1">
      <alignment horizontal="right" vertical="center"/>
    </xf>
    <xf numFmtId="0" fontId="6" fillId="7" borderId="2" xfId="2" applyFill="1" applyBorder="1" applyAlignment="1">
      <alignment vertical="center"/>
    </xf>
    <xf numFmtId="3" fontId="6" fillId="0" borderId="2" xfId="0" applyNumberFormat="1" applyFont="1" applyBorder="1" applyAlignment="1">
      <alignment horizontal="center" vertical="center"/>
    </xf>
    <xf numFmtId="0" fontId="6" fillId="7" borderId="2" xfId="0" applyFont="1" applyFill="1" applyBorder="1">
      <alignment vertical="center"/>
    </xf>
    <xf numFmtId="176" fontId="6" fillId="0" borderId="2" xfId="0" applyNumberFormat="1" applyFont="1" applyBorder="1" applyAlignment="1"/>
    <xf numFmtId="0" fontId="6" fillId="0" borderId="2" xfId="0" applyFont="1" applyBorder="1" applyAlignment="1">
      <alignment horizontal="left" vertical="center" shrinkToFit="1"/>
    </xf>
    <xf numFmtId="49" fontId="0" fillId="7" borderId="2" xfId="0" applyNumberFormat="1" applyFill="1" applyBorder="1" applyAlignment="1">
      <alignment horizontal="left" vertical="center"/>
    </xf>
    <xf numFmtId="0" fontId="0" fillId="0" borderId="2" xfId="0" applyBorder="1" applyAlignment="1">
      <alignment vertical="center" shrinkToFit="1"/>
    </xf>
    <xf numFmtId="176" fontId="0" fillId="0" borderId="1" xfId="0" applyNumberFormat="1" applyBorder="1">
      <alignment vertical="center"/>
    </xf>
    <xf numFmtId="0" fontId="6" fillId="0" borderId="1" xfId="0" applyFont="1" applyBorder="1" applyAlignment="1">
      <alignment horizontal="left" vertical="center" shrinkToFit="1"/>
    </xf>
    <xf numFmtId="176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0" fillId="7" borderId="2" xfId="0" applyFill="1" applyBorder="1" applyAlignment="1">
      <alignment horizontal="left" vertical="center"/>
    </xf>
    <xf numFmtId="0" fontId="18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7" borderId="2" xfId="0" applyFont="1" applyFill="1" applyBorder="1">
      <alignment vertical="center"/>
    </xf>
    <xf numFmtId="176" fontId="0" fillId="0" borderId="2" xfId="0" applyNumberFormat="1" applyBorder="1" applyAlignment="1"/>
    <xf numFmtId="3" fontId="0" fillId="8" borderId="2" xfId="0" applyNumberFormat="1" applyFill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8" borderId="3" xfId="0" applyNumberFormat="1" applyFill="1" applyBorder="1" applyAlignment="1">
      <alignment horizontal="center" vertical="center"/>
    </xf>
    <xf numFmtId="49" fontId="11" fillId="7" borderId="2" xfId="0" applyNumberFormat="1" applyFont="1" applyFill="1" applyBorder="1" applyAlignment="1">
      <alignment horizontal="left" vertical="center"/>
    </xf>
    <xf numFmtId="3" fontId="16" fillId="0" borderId="2" xfId="0" applyNumberFormat="1" applyFont="1" applyBorder="1" applyAlignment="1">
      <alignment horizontal="center" vertical="center"/>
    </xf>
    <xf numFmtId="0" fontId="16" fillId="7" borderId="2" xfId="0" applyFont="1" applyFill="1" applyBorder="1" applyAlignment="1">
      <alignment vertical="center" shrinkToFit="1"/>
    </xf>
    <xf numFmtId="176" fontId="0" fillId="0" borderId="10" xfId="0" applyNumberFormat="1" applyBorder="1" applyAlignment="1"/>
    <xf numFmtId="0" fontId="16" fillId="0" borderId="7" xfId="0" applyFont="1" applyBorder="1" applyAlignment="1">
      <alignment horizontal="left" vertical="center" shrinkToFit="1"/>
    </xf>
    <xf numFmtId="49" fontId="16" fillId="7" borderId="2" xfId="0" applyNumberFormat="1" applyFont="1" applyFill="1" applyBorder="1" applyAlignment="1">
      <alignment horizontal="left" vertical="center"/>
    </xf>
    <xf numFmtId="0" fontId="0" fillId="0" borderId="1" xfId="0" applyBorder="1">
      <alignment vertical="center"/>
    </xf>
    <xf numFmtId="3" fontId="6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7" borderId="2" xfId="0" applyFill="1" applyBorder="1">
      <alignment vertical="center"/>
    </xf>
    <xf numFmtId="0" fontId="0" fillId="0" borderId="2" xfId="0" applyBorder="1" applyAlignment="1">
      <alignment horizontal="right" vertical="center"/>
    </xf>
    <xf numFmtId="0" fontId="16" fillId="7" borderId="1" xfId="0" applyFont="1" applyFill="1" applyBorder="1">
      <alignment vertical="center"/>
    </xf>
    <xf numFmtId="0" fontId="6" fillId="7" borderId="5" xfId="2" applyFill="1" applyBorder="1"/>
    <xf numFmtId="176" fontId="6" fillId="0" borderId="6" xfId="0" applyNumberFormat="1" applyFont="1" applyBorder="1" applyAlignment="1"/>
    <xf numFmtId="0" fontId="6" fillId="0" borderId="5" xfId="2" applyBorder="1" applyAlignment="1">
      <alignment vertical="center"/>
    </xf>
    <xf numFmtId="0" fontId="16" fillId="0" borderId="2" xfId="0" applyFont="1" applyBorder="1" applyAlignment="1">
      <alignment horizontal="left" vertical="center" shrinkToFit="1"/>
    </xf>
    <xf numFmtId="0" fontId="1" fillId="0" borderId="2" xfId="0" applyFont="1" applyBorder="1" applyAlignment="1">
      <alignment horizontal="left" vertical="center"/>
    </xf>
    <xf numFmtId="3" fontId="19" fillId="7" borderId="2" xfId="0" applyNumberFormat="1" applyFont="1" applyFill="1" applyBorder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180" fontId="10" fillId="6" borderId="2" xfId="0" applyNumberFormat="1" applyFont="1" applyFill="1" applyBorder="1" applyAlignment="1">
      <alignment horizontal="center" vertical="center"/>
    </xf>
    <xf numFmtId="176" fontId="0" fillId="6" borderId="2" xfId="0" applyNumberFormat="1" applyFill="1" applyBorder="1" applyAlignment="1">
      <alignment horizontal="center" vertical="center"/>
    </xf>
    <xf numFmtId="18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181" fontId="10" fillId="6" borderId="2" xfId="2" applyNumberFormat="1" applyFont="1" applyFill="1" applyBorder="1" applyAlignment="1">
      <alignment horizontal="center" vertical="center"/>
    </xf>
    <xf numFmtId="182" fontId="6" fillId="6" borderId="2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6" borderId="9" xfId="0" applyNumberFormat="1" applyFill="1" applyBorder="1" applyAlignment="1">
      <alignment horizontal="center" vertical="center"/>
    </xf>
    <xf numFmtId="176" fontId="6" fillId="6" borderId="5" xfId="0" applyNumberFormat="1" applyFont="1" applyFill="1" applyBorder="1" applyAlignment="1">
      <alignment horizontal="center" vertical="center"/>
    </xf>
    <xf numFmtId="3" fontId="16" fillId="8" borderId="2" xfId="0" applyNumberFormat="1" applyFont="1" applyFill="1" applyBorder="1" applyAlignment="1">
      <alignment horizontal="center" vertical="center"/>
    </xf>
    <xf numFmtId="3" fontId="0" fillId="6" borderId="2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left" vertical="center" wrapText="1"/>
    </xf>
    <xf numFmtId="176" fontId="0" fillId="0" borderId="1" xfId="0" applyNumberFormat="1" applyBorder="1" applyAlignment="1">
      <alignment horizontal="left" vertical="center"/>
    </xf>
    <xf numFmtId="0" fontId="1" fillId="6" borderId="2" xfId="0" applyFont="1" applyFill="1" applyBorder="1" applyAlignment="1">
      <alignment horizontal="center" vertical="center"/>
    </xf>
    <xf numFmtId="176" fontId="1" fillId="6" borderId="2" xfId="0" applyNumberFormat="1" applyFont="1" applyFill="1" applyBorder="1" applyAlignment="1">
      <alignment horizontal="center" vertical="center"/>
    </xf>
    <xf numFmtId="3" fontId="16" fillId="6" borderId="2" xfId="0" applyNumberFormat="1" applyFont="1" applyFill="1" applyBorder="1" applyAlignment="1">
      <alignment horizontal="center" vertical="center"/>
    </xf>
    <xf numFmtId="0" fontId="20" fillId="9" borderId="2" xfId="0" applyFont="1" applyFill="1" applyBorder="1" applyAlignment="1">
      <alignment horizontal="center" vertical="center"/>
    </xf>
    <xf numFmtId="0" fontId="20" fillId="10" borderId="2" xfId="0" applyFont="1" applyFill="1" applyBorder="1" applyAlignment="1">
      <alignment horizontal="center" vertical="center"/>
    </xf>
    <xf numFmtId="0" fontId="20" fillId="11" borderId="2" xfId="0" applyFont="1" applyFill="1" applyBorder="1" applyAlignment="1">
      <alignment horizontal="center" vertical="center"/>
    </xf>
    <xf numFmtId="0" fontId="20" fillId="12" borderId="2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38" fontId="0" fillId="6" borderId="2" xfId="0" applyNumberFormat="1" applyFill="1" applyBorder="1" applyAlignment="1">
      <alignment horizontal="center" vertical="center"/>
    </xf>
    <xf numFmtId="176" fontId="10" fillId="6" borderId="2" xfId="0" applyNumberFormat="1" applyFont="1" applyFill="1" applyBorder="1" applyAlignment="1">
      <alignment horizontal="center" vertical="center"/>
    </xf>
    <xf numFmtId="38" fontId="10" fillId="6" borderId="2" xfId="0" applyNumberFormat="1" applyFont="1" applyFill="1" applyBorder="1" applyAlignment="1">
      <alignment horizontal="center" vertical="center"/>
    </xf>
    <xf numFmtId="176" fontId="6" fillId="6" borderId="2" xfId="0" applyNumberFormat="1" applyFont="1" applyFill="1" applyBorder="1" applyAlignment="1">
      <alignment horizontal="center" vertical="center"/>
    </xf>
    <xf numFmtId="176" fontId="0" fillId="6" borderId="7" xfId="0" applyNumberFormat="1" applyFill="1" applyBorder="1" applyAlignment="1">
      <alignment horizontal="center" vertical="center"/>
    </xf>
    <xf numFmtId="0" fontId="6" fillId="6" borderId="5" xfId="2" applyFill="1" applyBorder="1" applyAlignment="1">
      <alignment horizontal="center" vertical="center"/>
    </xf>
    <xf numFmtId="3" fontId="16" fillId="6" borderId="2" xfId="3" applyNumberFormat="1" applyFill="1" applyBorder="1" applyAlignment="1">
      <alignment horizontal="center" vertical="center"/>
    </xf>
    <xf numFmtId="176" fontId="0" fillId="6" borderId="2" xfId="0" applyNumberFormat="1" applyFill="1" applyBorder="1" applyAlignment="1">
      <alignment horizontal="right" vertical="center"/>
    </xf>
    <xf numFmtId="176" fontId="0" fillId="6" borderId="7" xfId="0" applyNumberFormat="1" applyFill="1" applyBorder="1" applyAlignment="1">
      <alignment horizontal="right" vertical="center"/>
    </xf>
    <xf numFmtId="176" fontId="10" fillId="6" borderId="7" xfId="0" applyNumberFormat="1" applyFont="1" applyFill="1" applyBorder="1" applyAlignment="1">
      <alignment horizontal="right" vertical="center"/>
    </xf>
    <xf numFmtId="183" fontId="10" fillId="6" borderId="2" xfId="0" applyNumberFormat="1" applyFont="1" applyFill="1" applyBorder="1" applyAlignment="1">
      <alignment horizontal="center" vertical="center"/>
    </xf>
    <xf numFmtId="176" fontId="0" fillId="6" borderId="2" xfId="0" applyNumberFormat="1" applyFill="1" applyBorder="1" applyAlignment="1">
      <alignment horizontal="right"/>
    </xf>
    <xf numFmtId="176" fontId="1" fillId="6" borderId="2" xfId="0" applyNumberFormat="1" applyFont="1" applyFill="1" applyBorder="1" applyAlignment="1">
      <alignment horizontal="right" vertical="center"/>
    </xf>
    <xf numFmtId="38" fontId="0" fillId="6" borderId="2" xfId="0" applyNumberFormat="1" applyFill="1" applyBorder="1">
      <alignment vertical="center"/>
    </xf>
    <xf numFmtId="176" fontId="6" fillId="6" borderId="1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>
      <alignment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left" vertical="center"/>
    </xf>
    <xf numFmtId="0" fontId="14" fillId="8" borderId="8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0" fillId="13" borderId="2" xfId="0" applyNumberFormat="1" applyFill="1" applyBorder="1" applyAlignment="1">
      <alignment horizontal="left" vertical="center"/>
    </xf>
    <xf numFmtId="0" fontId="23" fillId="0" borderId="2" xfId="0" applyFont="1" applyBorder="1" applyAlignment="1">
      <alignment horizontal="center" vertical="center"/>
    </xf>
    <xf numFmtId="0" fontId="6" fillId="13" borderId="2" xfId="0" applyFont="1" applyFill="1" applyBorder="1" applyAlignment="1">
      <alignment horizontal="left" vertical="center"/>
    </xf>
  </cellXfs>
  <cellStyles count="4">
    <cellStyle name="標準" xfId="0" builtinId="0"/>
    <cellStyle name="標準 2" xfId="1" xr:uid="{00000000-0005-0000-0000-000002000000}"/>
    <cellStyle name="標準 3" xfId="3" xr:uid="{95C68EF4-208E-453E-A234-CD7A7873EC68}"/>
    <cellStyle name="標準_発注管理表" xfId="2" xr:uid="{00000000-0005-0000-0000-000003000000}"/>
  </cellStyles>
  <dxfs count="22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8AAAF8-4272-4820-AD6E-DB7F1C790310}" name="テーブル11928293564" displayName="テーブル11928293564" ref="A8:S135" totalsRowShown="0" dataDxfId="20" headerRowBorderDxfId="21" tableBorderDxfId="19">
  <autoFilter ref="A8:S135" xr:uid="{00000000-0009-0000-0100-00001C000000}"/>
  <tableColumns count="19">
    <tableColumn id="1" xr3:uid="{A690410D-AC3A-41D9-84A2-0E29EA01A483}" name="列1" dataDxfId="18"/>
    <tableColumn id="19" xr3:uid="{7DBBCDCC-AA1E-43D6-B81E-169D0AD629B7}" name="列19" dataDxfId="17"/>
    <tableColumn id="2" xr3:uid="{1B787500-60DB-498F-80BB-7A23B9C359C3}" name="列2" dataDxfId="16"/>
    <tableColumn id="3" xr3:uid="{A7BD31C1-1C5E-4B2B-B65D-CDF3A61235B4}" name="列3" dataDxfId="15"/>
    <tableColumn id="4" xr3:uid="{6E49C216-393C-4010-B5FF-0C4DC57ADE75}" name="列4" dataDxfId="14"/>
    <tableColumn id="5" xr3:uid="{8DCA0090-C1E5-438D-8825-D3F01FEDE74A}" name="列5" dataDxfId="13"/>
    <tableColumn id="6" xr3:uid="{DDE45FBF-DC0D-483B-848D-C8AE37954344}" name="列6" dataDxfId="12"/>
    <tableColumn id="7" xr3:uid="{6C999EE7-7A3D-4EF9-A308-8D7E7F5861BC}" name="列7" dataDxfId="11"/>
    <tableColumn id="8" xr3:uid="{13BDC191-EF6B-4A16-A110-8DC581E7C82A}" name="列8" dataDxfId="10"/>
    <tableColumn id="9" xr3:uid="{92498DC8-FD7D-406B-9875-99E4E06D70B4}" name="列9" dataDxfId="9"/>
    <tableColumn id="10" xr3:uid="{322C04F3-FBEF-44D3-B01D-F59A93E625A1}" name="列10" dataDxfId="8"/>
    <tableColumn id="11" xr3:uid="{94D46166-611F-44A2-86A3-BBA2F35BC3A1}" name="列11" dataDxfId="7"/>
    <tableColumn id="12" xr3:uid="{1E6128C3-79A7-4FC2-8D4D-1C5C052709C1}" name="列12" dataDxfId="6"/>
    <tableColumn id="13" xr3:uid="{95BC5CBD-0867-4909-AE80-512954F71A17}" name="列13" dataDxfId="5"/>
    <tableColumn id="14" xr3:uid="{A269D085-A970-45D7-B329-E6D95B069E88}" name="列14" dataDxfId="4"/>
    <tableColumn id="15" xr3:uid="{E83A82C3-5562-4552-B8C9-1D20EF6A71DD}" name="列15" dataDxfId="3"/>
    <tableColumn id="16" xr3:uid="{8531F32E-98E4-460A-B191-EBF25755F64C}" name="列16" dataDxfId="2"/>
    <tableColumn id="17" xr3:uid="{6A3D779C-C5C5-476A-B72E-4062305AADE1}" name="列17" dataDxfId="1"/>
    <tableColumn id="18" xr3:uid="{F7CB8844-4C24-4D0E-80C1-E6257ECF01BE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586A9-91B7-466E-9BB0-8630B463CB9C}">
  <sheetPr>
    <tabColor rgb="FF00B0F0"/>
  </sheetPr>
  <dimension ref="A2:S136"/>
  <sheetViews>
    <sheetView tabSelected="1" zoomScale="85" zoomScaleNormal="85" workbookViewId="0">
      <pane xSplit="12" ySplit="8" topLeftCell="M74" activePane="bottomRight" state="frozen"/>
      <selection pane="topRight" activeCell="K1" sqref="K1"/>
      <selection pane="bottomLeft" activeCell="A9" sqref="A9"/>
      <selection pane="bottomRight" activeCell="G87" sqref="G87"/>
    </sheetView>
  </sheetViews>
  <sheetFormatPr defaultRowHeight="13.2" x14ac:dyDescent="0.2"/>
  <cols>
    <col min="2" max="2" width="14.77734375" customWidth="1"/>
    <col min="3" max="3" width="9.109375" customWidth="1"/>
    <col min="4" max="4" width="6.109375" style="2" customWidth="1"/>
    <col min="5" max="5" width="12.109375" customWidth="1"/>
    <col min="6" max="6" width="13" customWidth="1"/>
    <col min="7" max="7" width="71.6640625" customWidth="1"/>
    <col min="8" max="8" width="6.109375" style="2" customWidth="1"/>
    <col min="9" max="10" width="9.88671875" style="2" bestFit="1" customWidth="1"/>
    <col min="11" max="11" width="16.5546875" style="2" customWidth="1"/>
    <col min="12" max="12" width="43.44140625" customWidth="1"/>
    <col min="13" max="13" width="21.44140625" customWidth="1"/>
    <col min="14" max="14" width="21.6640625" style="2" customWidth="1"/>
    <col min="15" max="15" width="13.88671875" style="9" customWidth="1"/>
    <col min="16" max="16" width="7.33203125" customWidth="1"/>
    <col min="17" max="17" width="13.109375" style="6" customWidth="1"/>
    <col min="18" max="18" width="18.109375" style="10" customWidth="1"/>
    <col min="19" max="19" width="15.6640625" style="11" customWidth="1"/>
  </cols>
  <sheetData>
    <row r="2" spans="1:19" ht="20.100000000000001" customHeight="1" x14ac:dyDescent="0.2">
      <c r="D2" s="140" t="s">
        <v>11</v>
      </c>
      <c r="E2" s="140"/>
      <c r="F2" s="140"/>
      <c r="G2" s="7" t="s">
        <v>172</v>
      </c>
      <c r="I2" s="141" t="s">
        <v>14</v>
      </c>
      <c r="J2" s="142"/>
      <c r="K2" s="143"/>
      <c r="L2" s="5">
        <f>SUM(J:J)</f>
        <v>225913</v>
      </c>
    </row>
    <row r="3" spans="1:19" ht="20.100000000000001" customHeight="1" x14ac:dyDescent="0.2">
      <c r="D3" s="140" t="s">
        <v>10</v>
      </c>
      <c r="E3" s="140"/>
      <c r="F3" s="140"/>
      <c r="G3" s="3" t="s">
        <v>47</v>
      </c>
      <c r="J3" s="144" t="s">
        <v>190</v>
      </c>
      <c r="K3" s="144"/>
      <c r="L3" s="144"/>
      <c r="M3" s="144"/>
    </row>
    <row r="4" spans="1:19" ht="20.100000000000001" customHeight="1" x14ac:dyDescent="0.2">
      <c r="D4" s="140" t="s">
        <v>21</v>
      </c>
      <c r="E4" s="140"/>
      <c r="F4" s="140"/>
      <c r="G4" s="3" t="s">
        <v>173</v>
      </c>
      <c r="I4" s="145" t="s">
        <v>189</v>
      </c>
      <c r="J4" s="144"/>
      <c r="K4" s="144"/>
      <c r="L4" s="144"/>
      <c r="M4" s="144"/>
    </row>
    <row r="5" spans="1:19" ht="20.100000000000001" customHeight="1" x14ac:dyDescent="0.2">
      <c r="D5" s="140" t="s">
        <v>12</v>
      </c>
      <c r="E5" s="140"/>
      <c r="F5" s="140"/>
      <c r="G5" s="4">
        <v>46097</v>
      </c>
      <c r="I5" s="146"/>
      <c r="J5" s="28"/>
    </row>
    <row r="6" spans="1:19" ht="20.100000000000001" customHeight="1" x14ac:dyDescent="0.2">
      <c r="D6" s="140" t="s">
        <v>13</v>
      </c>
      <c r="E6" s="140"/>
      <c r="F6" s="140"/>
      <c r="G6" s="4">
        <v>46098</v>
      </c>
      <c r="J6" s="24"/>
    </row>
    <row r="8" spans="1:19" s="2" customFormat="1" ht="19.649999999999999" customHeight="1" x14ac:dyDescent="0.2">
      <c r="A8" s="25" t="s">
        <v>24</v>
      </c>
      <c r="B8" s="25" t="s">
        <v>42</v>
      </c>
      <c r="C8" s="25" t="s">
        <v>25</v>
      </c>
      <c r="D8" s="33" t="s">
        <v>26</v>
      </c>
      <c r="E8" s="33" t="s">
        <v>27</v>
      </c>
      <c r="F8" s="33" t="s">
        <v>28</v>
      </c>
      <c r="G8" s="25" t="s">
        <v>29</v>
      </c>
      <c r="H8" s="25" t="s">
        <v>30</v>
      </c>
      <c r="I8" s="25" t="s">
        <v>31</v>
      </c>
      <c r="J8" s="34" t="s">
        <v>32</v>
      </c>
      <c r="K8" s="34" t="s">
        <v>33</v>
      </c>
      <c r="L8" s="25" t="s">
        <v>34</v>
      </c>
      <c r="M8" s="25" t="s">
        <v>35</v>
      </c>
      <c r="N8" s="25" t="s">
        <v>36</v>
      </c>
      <c r="O8" s="35" t="s">
        <v>37</v>
      </c>
      <c r="P8" s="33" t="s">
        <v>38</v>
      </c>
      <c r="Q8" s="25" t="s">
        <v>39</v>
      </c>
      <c r="R8" s="35" t="s">
        <v>40</v>
      </c>
      <c r="S8" s="36" t="s">
        <v>41</v>
      </c>
    </row>
    <row r="9" spans="1:19" s="2" customFormat="1" ht="19.649999999999999" customHeight="1" x14ac:dyDescent="0.2">
      <c r="A9" s="13" t="s">
        <v>23</v>
      </c>
      <c r="B9" s="13"/>
      <c r="C9" s="13" t="s">
        <v>22</v>
      </c>
      <c r="D9" s="12" t="s">
        <v>4</v>
      </c>
      <c r="E9" s="12" t="s">
        <v>9</v>
      </c>
      <c r="F9" s="12" t="s">
        <v>5</v>
      </c>
      <c r="G9" s="13" t="s">
        <v>8</v>
      </c>
      <c r="H9" s="13" t="s">
        <v>0</v>
      </c>
      <c r="I9" s="13" t="s">
        <v>1</v>
      </c>
      <c r="J9" s="1" t="s">
        <v>2</v>
      </c>
      <c r="K9" s="1" t="s">
        <v>17</v>
      </c>
      <c r="L9" s="13" t="s">
        <v>3</v>
      </c>
      <c r="M9" s="13" t="s">
        <v>16</v>
      </c>
      <c r="N9" s="13" t="s">
        <v>15</v>
      </c>
      <c r="O9" s="8" t="s">
        <v>6</v>
      </c>
      <c r="P9" s="12" t="s">
        <v>18</v>
      </c>
      <c r="Q9" s="13" t="s">
        <v>7</v>
      </c>
      <c r="R9" s="8" t="s">
        <v>19</v>
      </c>
      <c r="S9" s="32" t="s">
        <v>20</v>
      </c>
    </row>
    <row r="10" spans="1:19" s="2" customFormat="1" ht="19.649999999999999" customHeight="1" x14ac:dyDescent="0.2">
      <c r="D10" s="12"/>
      <c r="E10" s="12"/>
      <c r="F10" s="12"/>
      <c r="G10" s="13"/>
      <c r="H10" s="13"/>
      <c r="I10" s="13"/>
      <c r="J10" s="1"/>
      <c r="K10" s="1"/>
      <c r="L10" s="13"/>
      <c r="M10" s="13"/>
      <c r="N10" s="13"/>
      <c r="O10" s="8"/>
      <c r="P10" s="12"/>
      <c r="Q10" s="13"/>
      <c r="R10" s="8"/>
      <c r="S10" s="32"/>
    </row>
    <row r="11" spans="1:19" s="2" customFormat="1" ht="19.649999999999999" customHeight="1" x14ac:dyDescent="0.2">
      <c r="A11" s="13"/>
      <c r="B11" s="13"/>
      <c r="C11" s="13"/>
      <c r="D11" s="79"/>
      <c r="E11" s="12"/>
      <c r="F11" s="12"/>
      <c r="G11" s="14"/>
      <c r="H11" s="41"/>
      <c r="I11" s="13"/>
      <c r="J11" s="17"/>
      <c r="K11" s="1"/>
      <c r="L11" s="14"/>
      <c r="M11" s="13"/>
      <c r="N11" s="13"/>
      <c r="O11" s="8"/>
      <c r="P11" s="12"/>
      <c r="Q11" s="13"/>
      <c r="R11" s="8"/>
      <c r="S11" s="32"/>
    </row>
    <row r="12" spans="1:19" s="2" customFormat="1" ht="19.649999999999999" customHeight="1" x14ac:dyDescent="0.2">
      <c r="A12" s="13"/>
      <c r="B12" s="13"/>
      <c r="C12" s="13"/>
      <c r="D12" s="79"/>
      <c r="E12" s="12"/>
      <c r="F12" s="12"/>
      <c r="G12" s="14"/>
      <c r="H12" s="41"/>
      <c r="I12" s="13"/>
      <c r="J12" s="17"/>
      <c r="K12" s="1"/>
      <c r="L12" s="14"/>
      <c r="M12" s="13"/>
      <c r="N12" s="13"/>
      <c r="O12" s="8"/>
      <c r="P12" s="12"/>
      <c r="Q12" s="13"/>
      <c r="R12" s="8"/>
      <c r="S12" s="32"/>
    </row>
    <row r="13" spans="1:19" s="2" customFormat="1" ht="19.649999999999999" customHeight="1" x14ac:dyDescent="0.2">
      <c r="A13" s="13"/>
      <c r="B13" s="13"/>
      <c r="C13" s="13"/>
      <c r="D13" s="79"/>
      <c r="E13" s="39" t="s">
        <v>43</v>
      </c>
      <c r="F13" s="30"/>
      <c r="G13" s="40" t="s">
        <v>48</v>
      </c>
      <c r="H13" s="13"/>
      <c r="I13" s="13"/>
      <c r="J13" s="1"/>
      <c r="K13" s="1"/>
      <c r="L13" s="13"/>
      <c r="M13" s="13"/>
      <c r="N13" s="13"/>
      <c r="O13" s="8"/>
      <c r="P13" s="12"/>
      <c r="Q13" s="13"/>
      <c r="R13" s="8"/>
      <c r="S13" s="32"/>
    </row>
    <row r="14" spans="1:19" s="2" customFormat="1" ht="19.649999999999999" customHeight="1" x14ac:dyDescent="0.2">
      <c r="A14" s="13" t="s">
        <v>52</v>
      </c>
      <c r="B14" s="117" t="s">
        <v>191</v>
      </c>
      <c r="C14" s="51"/>
      <c r="D14" s="80">
        <v>1</v>
      </c>
      <c r="E14" s="111" t="s">
        <v>50</v>
      </c>
      <c r="F14" s="12" t="s">
        <v>51</v>
      </c>
      <c r="G14" s="54" t="s">
        <v>69</v>
      </c>
      <c r="H14" s="100">
        <v>1</v>
      </c>
      <c r="I14" s="104">
        <v>13911</v>
      </c>
      <c r="J14" s="123">
        <f>H14*I14</f>
        <v>13911</v>
      </c>
      <c r="K14" s="43"/>
      <c r="L14" s="19" t="s">
        <v>49</v>
      </c>
      <c r="M14" s="139" t="s">
        <v>197</v>
      </c>
      <c r="N14" s="138" t="s">
        <v>196</v>
      </c>
      <c r="O14" s="8">
        <v>46081</v>
      </c>
      <c r="P14" s="12"/>
      <c r="Q14" s="60">
        <v>46095</v>
      </c>
      <c r="R14" s="8">
        <v>46097</v>
      </c>
      <c r="S14" s="32"/>
    </row>
    <row r="15" spans="1:19" s="2" customFormat="1" ht="19.649999999999999" customHeight="1" x14ac:dyDescent="0.2">
      <c r="A15" s="13" t="s">
        <v>54</v>
      </c>
      <c r="B15" s="117" t="s">
        <v>191</v>
      </c>
      <c r="C15" s="13"/>
      <c r="D15" s="78">
        <f t="shared" ref="D15" si="0">+D14+1</f>
        <v>2</v>
      </c>
      <c r="E15" s="12" t="s">
        <v>51</v>
      </c>
      <c r="F15" s="12" t="s">
        <v>51</v>
      </c>
      <c r="G15" s="67" t="s">
        <v>53</v>
      </c>
      <c r="H15" s="51">
        <v>2</v>
      </c>
      <c r="I15" s="123">
        <v>792</v>
      </c>
      <c r="J15" s="123">
        <f>H15*I15</f>
        <v>1584</v>
      </c>
      <c r="K15" s="1"/>
      <c r="L15" s="19" t="s">
        <v>135</v>
      </c>
      <c r="M15" s="139" t="s">
        <v>197</v>
      </c>
      <c r="N15" s="138" t="s">
        <v>196</v>
      </c>
      <c r="O15" s="8">
        <v>46081</v>
      </c>
      <c r="P15" s="12"/>
      <c r="Q15" s="60">
        <v>46095</v>
      </c>
      <c r="R15" s="8">
        <v>46097</v>
      </c>
      <c r="S15" s="32"/>
    </row>
    <row r="16" spans="1:19" s="2" customFormat="1" ht="19.649999999999999" customHeight="1" x14ac:dyDescent="0.2">
      <c r="A16" s="13" t="s">
        <v>55</v>
      </c>
      <c r="B16" s="117" t="s">
        <v>191</v>
      </c>
      <c r="C16" s="13"/>
      <c r="D16" s="78">
        <f>+D15+1</f>
        <v>3</v>
      </c>
      <c r="E16" s="12" t="s">
        <v>51</v>
      </c>
      <c r="F16" s="12" t="s">
        <v>51</v>
      </c>
      <c r="G16" s="81" t="s">
        <v>57</v>
      </c>
      <c r="H16" s="101">
        <v>4</v>
      </c>
      <c r="I16" s="101">
        <v>112</v>
      </c>
      <c r="J16" s="101">
        <f t="shared" ref="J16:J30" si="1">H16*I16</f>
        <v>448</v>
      </c>
      <c r="K16" s="52"/>
      <c r="L16" s="19" t="s">
        <v>56</v>
      </c>
      <c r="M16" s="139" t="s">
        <v>197</v>
      </c>
      <c r="N16" s="138" t="s">
        <v>196</v>
      </c>
      <c r="O16" s="8">
        <v>46081</v>
      </c>
      <c r="P16" s="12"/>
      <c r="Q16" s="60">
        <v>46095</v>
      </c>
      <c r="R16" s="8">
        <v>46097</v>
      </c>
      <c r="S16" s="32"/>
    </row>
    <row r="17" spans="1:19" s="2" customFormat="1" ht="19.649999999999999" customHeight="1" x14ac:dyDescent="0.2">
      <c r="A17" s="13" t="s">
        <v>55</v>
      </c>
      <c r="B17" s="117" t="s">
        <v>191</v>
      </c>
      <c r="C17" s="13"/>
      <c r="D17" s="78">
        <f>+D16+1</f>
        <v>4</v>
      </c>
      <c r="E17" s="12" t="s">
        <v>51</v>
      </c>
      <c r="F17" s="12" t="s">
        <v>51</v>
      </c>
      <c r="G17" s="81" t="s">
        <v>58</v>
      </c>
      <c r="H17" s="101">
        <v>4</v>
      </c>
      <c r="I17" s="101">
        <v>112</v>
      </c>
      <c r="J17" s="101">
        <f t="shared" si="1"/>
        <v>448</v>
      </c>
      <c r="K17" s="52"/>
      <c r="L17" s="19" t="s">
        <v>56</v>
      </c>
      <c r="M17" s="139" t="s">
        <v>197</v>
      </c>
      <c r="N17" s="138" t="s">
        <v>196</v>
      </c>
      <c r="O17" s="8">
        <v>46081</v>
      </c>
      <c r="P17" s="12"/>
      <c r="Q17" s="60">
        <v>46095</v>
      </c>
      <c r="R17" s="8">
        <v>46097</v>
      </c>
      <c r="S17" s="32"/>
    </row>
    <row r="18" spans="1:19" s="2" customFormat="1" ht="19.649999999999999" customHeight="1" x14ac:dyDescent="0.2">
      <c r="A18" s="13" t="s">
        <v>54</v>
      </c>
      <c r="B18" s="117" t="s">
        <v>191</v>
      </c>
      <c r="C18" s="51"/>
      <c r="D18" s="78">
        <f t="shared" ref="D18" si="2">+D17+1</f>
        <v>5</v>
      </c>
      <c r="E18" s="111" t="s">
        <v>50</v>
      </c>
      <c r="F18" s="12" t="s">
        <v>51</v>
      </c>
      <c r="G18" s="54" t="s">
        <v>123</v>
      </c>
      <c r="H18" s="101">
        <v>1</v>
      </c>
      <c r="I18" s="101">
        <v>4037</v>
      </c>
      <c r="J18" s="101">
        <f t="shared" si="1"/>
        <v>4037</v>
      </c>
      <c r="K18" s="52"/>
      <c r="L18" s="19" t="s">
        <v>121</v>
      </c>
      <c r="M18" s="139" t="s">
        <v>197</v>
      </c>
      <c r="N18" s="138" t="s">
        <v>196</v>
      </c>
      <c r="O18" s="8">
        <v>46081</v>
      </c>
      <c r="P18" s="12"/>
      <c r="Q18" s="60">
        <v>46095</v>
      </c>
      <c r="R18" s="8">
        <v>46097</v>
      </c>
      <c r="S18" s="32"/>
    </row>
    <row r="19" spans="1:19" s="2" customFormat="1" ht="19.649999999999999" customHeight="1" x14ac:dyDescent="0.2">
      <c r="A19" s="13" t="s">
        <v>55</v>
      </c>
      <c r="B19" s="117" t="s">
        <v>191</v>
      </c>
      <c r="C19" s="13"/>
      <c r="D19" s="78">
        <f>+D18+1</f>
        <v>6</v>
      </c>
      <c r="E19" s="12" t="s">
        <v>51</v>
      </c>
      <c r="F19" s="12" t="s">
        <v>51</v>
      </c>
      <c r="G19" s="64" t="s">
        <v>59</v>
      </c>
      <c r="H19" s="103">
        <v>8</v>
      </c>
      <c r="I19" s="124">
        <v>47</v>
      </c>
      <c r="J19" s="101">
        <f t="shared" si="1"/>
        <v>376</v>
      </c>
      <c r="K19" s="46"/>
      <c r="L19" s="22" t="s">
        <v>61</v>
      </c>
      <c r="M19" s="139" t="s">
        <v>197</v>
      </c>
      <c r="N19" s="138" t="s">
        <v>196</v>
      </c>
      <c r="O19" s="8">
        <v>46081</v>
      </c>
      <c r="P19" s="12"/>
      <c r="Q19" s="60">
        <v>46095</v>
      </c>
      <c r="R19" s="8">
        <v>46097</v>
      </c>
      <c r="S19" s="32"/>
    </row>
    <row r="20" spans="1:19" s="2" customFormat="1" ht="19.649999999999999" customHeight="1" x14ac:dyDescent="0.2">
      <c r="A20" s="13" t="s">
        <v>55</v>
      </c>
      <c r="B20" s="117" t="s">
        <v>191</v>
      </c>
      <c r="C20" s="13"/>
      <c r="D20" s="78">
        <f>+D19+1</f>
        <v>7</v>
      </c>
      <c r="E20" s="12" t="s">
        <v>51</v>
      </c>
      <c r="F20" s="12" t="s">
        <v>51</v>
      </c>
      <c r="G20" s="81" t="s">
        <v>60</v>
      </c>
      <c r="H20" s="101">
        <v>2</v>
      </c>
      <c r="I20" s="101">
        <v>112</v>
      </c>
      <c r="J20" s="101">
        <f t="shared" si="1"/>
        <v>224</v>
      </c>
      <c r="K20" s="52"/>
      <c r="L20" s="19" t="s">
        <v>56</v>
      </c>
      <c r="M20" s="139" t="s">
        <v>197</v>
      </c>
      <c r="N20" s="138" t="s">
        <v>196</v>
      </c>
      <c r="O20" s="8">
        <v>46081</v>
      </c>
      <c r="P20" s="12"/>
      <c r="Q20" s="60">
        <v>46095</v>
      </c>
      <c r="R20" s="8">
        <v>46097</v>
      </c>
      <c r="S20" s="32"/>
    </row>
    <row r="21" spans="1:19" s="2" customFormat="1" ht="19.649999999999999" customHeight="1" x14ac:dyDescent="0.2">
      <c r="A21" s="13" t="s">
        <v>52</v>
      </c>
      <c r="B21" s="117" t="s">
        <v>191</v>
      </c>
      <c r="C21" s="51"/>
      <c r="D21" s="78">
        <f t="shared" ref="D21:D24" si="3">+D20+1</f>
        <v>8</v>
      </c>
      <c r="E21" s="111" t="s">
        <v>50</v>
      </c>
      <c r="F21" s="12" t="s">
        <v>51</v>
      </c>
      <c r="G21" s="54" t="s">
        <v>68</v>
      </c>
      <c r="H21" s="102">
        <v>1</v>
      </c>
      <c r="I21" s="124">
        <v>17736</v>
      </c>
      <c r="J21" s="101">
        <f t="shared" si="1"/>
        <v>17736</v>
      </c>
      <c r="K21" s="53"/>
      <c r="L21" s="22" t="s">
        <v>62</v>
      </c>
      <c r="M21" s="139" t="s">
        <v>197</v>
      </c>
      <c r="N21" s="138" t="s">
        <v>196</v>
      </c>
      <c r="O21" s="8">
        <v>46081</v>
      </c>
      <c r="P21" s="12"/>
      <c r="Q21" s="60">
        <v>46095</v>
      </c>
      <c r="R21" s="8">
        <v>46097</v>
      </c>
      <c r="S21" s="32"/>
    </row>
    <row r="22" spans="1:19" s="2" customFormat="1" ht="19.649999999999999" customHeight="1" x14ac:dyDescent="0.2">
      <c r="A22" s="13" t="s">
        <v>119</v>
      </c>
      <c r="B22" s="117" t="s">
        <v>191</v>
      </c>
      <c r="C22" s="13"/>
      <c r="D22" s="78">
        <f t="shared" si="3"/>
        <v>9</v>
      </c>
      <c r="E22" s="12" t="s">
        <v>51</v>
      </c>
      <c r="F22" s="12" t="s">
        <v>51</v>
      </c>
      <c r="G22" s="58" t="s">
        <v>63</v>
      </c>
      <c r="H22" s="102">
        <v>4</v>
      </c>
      <c r="I22" s="124">
        <v>792</v>
      </c>
      <c r="J22" s="101">
        <f t="shared" si="1"/>
        <v>3168</v>
      </c>
      <c r="K22" s="53"/>
      <c r="L22" s="22" t="s">
        <v>118</v>
      </c>
      <c r="M22" s="139" t="s">
        <v>197</v>
      </c>
      <c r="N22" s="138" t="s">
        <v>196</v>
      </c>
      <c r="O22" s="8">
        <v>46081</v>
      </c>
      <c r="P22" s="12"/>
      <c r="Q22" s="60">
        <v>46095</v>
      </c>
      <c r="R22" s="8">
        <v>46097</v>
      </c>
      <c r="S22" s="32"/>
    </row>
    <row r="23" spans="1:19" s="2" customFormat="1" ht="19.649999999999999" customHeight="1" x14ac:dyDescent="0.2">
      <c r="A23" s="13" t="s">
        <v>55</v>
      </c>
      <c r="B23" s="117" t="s">
        <v>191</v>
      </c>
      <c r="C23" s="13"/>
      <c r="D23" s="78">
        <f t="shared" si="3"/>
        <v>10</v>
      </c>
      <c r="E23" s="12" t="s">
        <v>51</v>
      </c>
      <c r="F23" s="12" t="s">
        <v>51</v>
      </c>
      <c r="G23" s="58" t="s">
        <v>64</v>
      </c>
      <c r="H23" s="102">
        <v>2</v>
      </c>
      <c r="I23" s="124">
        <v>113</v>
      </c>
      <c r="J23" s="101">
        <f t="shared" si="1"/>
        <v>226</v>
      </c>
      <c r="K23" s="53"/>
      <c r="L23" s="19" t="s">
        <v>56</v>
      </c>
      <c r="M23" s="139" t="s">
        <v>197</v>
      </c>
      <c r="N23" s="138" t="s">
        <v>196</v>
      </c>
      <c r="O23" s="8">
        <v>46081</v>
      </c>
      <c r="P23" s="12"/>
      <c r="Q23" s="60">
        <v>46095</v>
      </c>
      <c r="R23" s="8">
        <v>46097</v>
      </c>
      <c r="S23" s="32"/>
    </row>
    <row r="24" spans="1:19" s="2" customFormat="1" ht="19.649999999999999" customHeight="1" x14ac:dyDescent="0.2">
      <c r="A24" s="13" t="s">
        <v>54</v>
      </c>
      <c r="B24" s="117" t="s">
        <v>191</v>
      </c>
      <c r="C24" s="51"/>
      <c r="D24" s="78">
        <f t="shared" si="3"/>
        <v>11</v>
      </c>
      <c r="E24" s="111" t="s">
        <v>50</v>
      </c>
      <c r="F24" s="12" t="s">
        <v>51</v>
      </c>
      <c r="G24" s="54" t="s">
        <v>67</v>
      </c>
      <c r="H24" s="102">
        <v>1</v>
      </c>
      <c r="I24" s="124">
        <v>2099</v>
      </c>
      <c r="J24" s="101">
        <f t="shared" si="1"/>
        <v>2099</v>
      </c>
      <c r="K24" s="53"/>
      <c r="L24" s="22" t="s">
        <v>65</v>
      </c>
      <c r="M24" s="139" t="s">
        <v>197</v>
      </c>
      <c r="N24" s="138" t="s">
        <v>196</v>
      </c>
      <c r="O24" s="8">
        <v>46081</v>
      </c>
      <c r="P24" s="12"/>
      <c r="Q24" s="60">
        <v>46095</v>
      </c>
      <c r="R24" s="8">
        <v>46097</v>
      </c>
      <c r="S24" s="32"/>
    </row>
    <row r="25" spans="1:19" s="2" customFormat="1" ht="19.649999999999999" customHeight="1" x14ac:dyDescent="0.2">
      <c r="A25" s="13" t="s">
        <v>55</v>
      </c>
      <c r="B25" s="117" t="s">
        <v>191</v>
      </c>
      <c r="C25" s="13"/>
      <c r="D25" s="78">
        <f>+D24+1</f>
        <v>12</v>
      </c>
      <c r="E25" s="12" t="s">
        <v>51</v>
      </c>
      <c r="F25" s="12" t="s">
        <v>51</v>
      </c>
      <c r="G25" s="81" t="s">
        <v>57</v>
      </c>
      <c r="H25" s="101">
        <v>3</v>
      </c>
      <c r="I25" s="101">
        <v>112</v>
      </c>
      <c r="J25" s="101">
        <f t="shared" si="1"/>
        <v>336</v>
      </c>
      <c r="K25" s="52"/>
      <c r="L25" s="19" t="s">
        <v>56</v>
      </c>
      <c r="M25" s="139" t="s">
        <v>197</v>
      </c>
      <c r="N25" s="138" t="s">
        <v>196</v>
      </c>
      <c r="O25" s="8">
        <v>46081</v>
      </c>
      <c r="P25" s="12"/>
      <c r="Q25" s="60">
        <v>46095</v>
      </c>
      <c r="R25" s="8">
        <v>46097</v>
      </c>
      <c r="S25" s="32"/>
    </row>
    <row r="26" spans="1:19" s="2" customFormat="1" ht="19.649999999999999" customHeight="1" x14ac:dyDescent="0.2">
      <c r="A26" s="13" t="s">
        <v>54</v>
      </c>
      <c r="B26" s="117" t="s">
        <v>191</v>
      </c>
      <c r="C26" s="13"/>
      <c r="D26" s="78">
        <f t="shared" ref="D26:D27" si="4">+D25+1</f>
        <v>13</v>
      </c>
      <c r="E26" s="12" t="s">
        <v>51</v>
      </c>
      <c r="F26" s="12" t="s">
        <v>51</v>
      </c>
      <c r="G26" s="58" t="s">
        <v>66</v>
      </c>
      <c r="H26" s="102">
        <v>3</v>
      </c>
      <c r="I26" s="124">
        <v>640</v>
      </c>
      <c r="J26" s="101">
        <f t="shared" si="1"/>
        <v>1920</v>
      </c>
      <c r="K26" s="53"/>
      <c r="L26" s="22" t="s">
        <v>120</v>
      </c>
      <c r="M26" s="139" t="s">
        <v>197</v>
      </c>
      <c r="N26" s="138" t="s">
        <v>196</v>
      </c>
      <c r="O26" s="8">
        <v>46081</v>
      </c>
      <c r="P26" s="12"/>
      <c r="Q26" s="60">
        <v>46095</v>
      </c>
      <c r="R26" s="8">
        <v>46097</v>
      </c>
      <c r="S26" s="32"/>
    </row>
    <row r="27" spans="1:19" s="2" customFormat="1" ht="19.649999999999999" customHeight="1" x14ac:dyDescent="0.2">
      <c r="A27" s="13" t="s">
        <v>54</v>
      </c>
      <c r="B27" s="117" t="s">
        <v>191</v>
      </c>
      <c r="C27" s="51"/>
      <c r="D27" s="78">
        <f t="shared" si="4"/>
        <v>14</v>
      </c>
      <c r="E27" s="111" t="s">
        <v>50</v>
      </c>
      <c r="F27" s="12" t="s">
        <v>51</v>
      </c>
      <c r="G27" s="54" t="s">
        <v>125</v>
      </c>
      <c r="H27" s="102">
        <v>1</v>
      </c>
      <c r="I27" s="124">
        <v>2385</v>
      </c>
      <c r="J27" s="101">
        <f t="shared" si="1"/>
        <v>2385</v>
      </c>
      <c r="K27" s="53"/>
      <c r="L27" s="22" t="s">
        <v>122</v>
      </c>
      <c r="M27" s="139" t="s">
        <v>197</v>
      </c>
      <c r="N27" s="138" t="s">
        <v>196</v>
      </c>
      <c r="O27" s="8">
        <v>46081</v>
      </c>
      <c r="P27" s="12"/>
      <c r="Q27" s="60">
        <v>46095</v>
      </c>
      <c r="R27" s="8">
        <v>46097</v>
      </c>
      <c r="S27" s="32"/>
    </row>
    <row r="28" spans="1:19" s="2" customFormat="1" ht="19.649999999999999" customHeight="1" x14ac:dyDescent="0.2">
      <c r="A28" s="13" t="s">
        <v>55</v>
      </c>
      <c r="B28" s="117" t="s">
        <v>191</v>
      </c>
      <c r="C28" s="13"/>
      <c r="D28" s="78">
        <f>+D27+1</f>
        <v>15</v>
      </c>
      <c r="E28" s="12" t="s">
        <v>51</v>
      </c>
      <c r="F28" s="12" t="s">
        <v>51</v>
      </c>
      <c r="G28" s="64" t="s">
        <v>59</v>
      </c>
      <c r="H28" s="103">
        <v>2</v>
      </c>
      <c r="I28" s="124">
        <v>187</v>
      </c>
      <c r="J28" s="101">
        <f t="shared" si="1"/>
        <v>374</v>
      </c>
      <c r="K28" s="46"/>
      <c r="L28" s="22" t="s">
        <v>61</v>
      </c>
      <c r="M28" s="139" t="s">
        <v>197</v>
      </c>
      <c r="N28" s="138" t="s">
        <v>196</v>
      </c>
      <c r="O28" s="8">
        <v>46081</v>
      </c>
      <c r="P28" s="12"/>
      <c r="Q28" s="60">
        <v>46095</v>
      </c>
      <c r="R28" s="8">
        <v>46097</v>
      </c>
      <c r="S28" s="32"/>
    </row>
    <row r="29" spans="1:19" s="2" customFormat="1" ht="19.649999999999999" customHeight="1" x14ac:dyDescent="0.2">
      <c r="A29" s="13" t="s">
        <v>55</v>
      </c>
      <c r="B29" s="117" t="s">
        <v>191</v>
      </c>
      <c r="C29" s="13"/>
      <c r="D29" s="78">
        <f>+D28+1</f>
        <v>16</v>
      </c>
      <c r="E29" s="12" t="s">
        <v>51</v>
      </c>
      <c r="F29" s="12" t="s">
        <v>51</v>
      </c>
      <c r="G29" s="81" t="s">
        <v>57</v>
      </c>
      <c r="H29" s="101">
        <v>2</v>
      </c>
      <c r="I29" s="101">
        <v>112</v>
      </c>
      <c r="J29" s="101">
        <f t="shared" si="1"/>
        <v>224</v>
      </c>
      <c r="K29" s="52"/>
      <c r="L29" s="19" t="s">
        <v>56</v>
      </c>
      <c r="M29" s="139" t="s">
        <v>197</v>
      </c>
      <c r="N29" s="138" t="s">
        <v>196</v>
      </c>
      <c r="O29" s="8">
        <v>46081</v>
      </c>
      <c r="P29" s="12"/>
      <c r="Q29" s="60">
        <v>46095</v>
      </c>
      <c r="R29" s="8">
        <v>46097</v>
      </c>
      <c r="S29" s="32"/>
    </row>
    <row r="30" spans="1:19" s="2" customFormat="1" ht="19.649999999999999" customHeight="1" x14ac:dyDescent="0.2">
      <c r="A30" s="13" t="s">
        <v>54</v>
      </c>
      <c r="B30" s="117" t="s">
        <v>191</v>
      </c>
      <c r="C30" s="13"/>
      <c r="D30" s="78">
        <f t="shared" ref="D30" si="5">+D29+1</f>
        <v>17</v>
      </c>
      <c r="E30" s="12" t="s">
        <v>51</v>
      </c>
      <c r="F30" s="12" t="s">
        <v>51</v>
      </c>
      <c r="G30" s="58" t="s">
        <v>124</v>
      </c>
      <c r="H30" s="102">
        <v>2</v>
      </c>
      <c r="I30" s="124">
        <v>640</v>
      </c>
      <c r="J30" s="101">
        <f t="shared" si="1"/>
        <v>1280</v>
      </c>
      <c r="K30" s="53"/>
      <c r="L30" s="22" t="s">
        <v>120</v>
      </c>
      <c r="M30" s="139" t="s">
        <v>197</v>
      </c>
      <c r="N30" s="138" t="s">
        <v>196</v>
      </c>
      <c r="O30" s="8">
        <v>46081</v>
      </c>
      <c r="P30" s="12"/>
      <c r="Q30" s="60">
        <v>46095</v>
      </c>
      <c r="R30" s="8">
        <v>46097</v>
      </c>
      <c r="S30" s="32"/>
    </row>
    <row r="31" spans="1:19" s="2" customFormat="1" ht="19.649999999999999" customHeight="1" x14ac:dyDescent="0.2">
      <c r="A31" s="13"/>
      <c r="B31" s="13"/>
      <c r="C31" s="13"/>
      <c r="D31" s="12"/>
      <c r="E31" s="12"/>
      <c r="F31" s="12"/>
      <c r="G31" s="14"/>
      <c r="H31" s="41"/>
      <c r="I31" s="13"/>
      <c r="J31" s="17"/>
      <c r="K31" s="1"/>
      <c r="L31" s="14"/>
      <c r="M31" s="21"/>
      <c r="N31" s="13"/>
      <c r="O31" s="8"/>
      <c r="P31" s="12"/>
      <c r="Q31" s="13"/>
      <c r="R31" s="8"/>
      <c r="S31" s="32"/>
    </row>
    <row r="32" spans="1:19" s="2" customFormat="1" ht="19.649999999999999" customHeight="1" x14ac:dyDescent="0.2">
      <c r="A32" s="13"/>
      <c r="B32" s="13"/>
      <c r="C32" s="13"/>
      <c r="D32" s="12"/>
      <c r="E32" s="12"/>
      <c r="F32" s="12"/>
      <c r="G32" s="23">
        <f>SUM(J14:J32)</f>
        <v>50776</v>
      </c>
      <c r="H32" s="41"/>
      <c r="I32" s="13"/>
      <c r="J32" s="17"/>
      <c r="K32" s="1"/>
      <c r="L32" s="14"/>
      <c r="M32" s="13"/>
      <c r="N32" s="13"/>
      <c r="O32" s="8"/>
      <c r="P32" s="12"/>
      <c r="Q32" s="13"/>
      <c r="R32" s="8"/>
      <c r="S32" s="32"/>
    </row>
    <row r="33" spans="1:19" s="2" customFormat="1" ht="19.649999999999999" customHeight="1" x14ac:dyDescent="0.2">
      <c r="A33" s="13"/>
      <c r="B33" s="13"/>
      <c r="C33" s="13"/>
      <c r="D33" s="12"/>
      <c r="E33" s="12"/>
      <c r="F33" s="12"/>
      <c r="G33" s="38"/>
      <c r="H33" s="41"/>
      <c r="I33" s="13"/>
      <c r="J33" s="17"/>
      <c r="K33" s="1"/>
      <c r="L33" s="14"/>
      <c r="M33" s="13"/>
      <c r="N33" s="13"/>
      <c r="O33" s="8"/>
      <c r="P33" s="12"/>
      <c r="Q33" s="13"/>
      <c r="R33" s="8"/>
      <c r="S33" s="32"/>
    </row>
    <row r="34" spans="1:19" s="2" customFormat="1" ht="19.649999999999999" customHeight="1" x14ac:dyDescent="0.2">
      <c r="A34" s="13"/>
      <c r="B34" s="13"/>
      <c r="C34" s="13"/>
      <c r="D34" s="12"/>
      <c r="E34" s="12"/>
      <c r="F34" s="12"/>
      <c r="G34" s="38"/>
      <c r="H34" s="41"/>
      <c r="I34" s="13"/>
      <c r="J34" s="17"/>
      <c r="K34" s="1"/>
      <c r="L34" s="14"/>
      <c r="M34" s="13"/>
      <c r="N34" s="13"/>
      <c r="O34" s="8"/>
      <c r="P34" s="12"/>
      <c r="Q34" s="13"/>
      <c r="R34" s="8"/>
      <c r="S34" s="32"/>
    </row>
    <row r="35" spans="1:19" s="2" customFormat="1" ht="19.649999999999999" customHeight="1" x14ac:dyDescent="0.2">
      <c r="A35" s="13"/>
      <c r="B35" s="13"/>
      <c r="C35" s="13"/>
      <c r="D35" s="12"/>
      <c r="E35" s="12"/>
      <c r="F35" s="12"/>
      <c r="G35" s="38"/>
      <c r="H35" s="41"/>
      <c r="I35" s="13"/>
      <c r="J35" s="17"/>
      <c r="K35" s="1"/>
      <c r="L35" s="14"/>
      <c r="M35" s="13"/>
      <c r="N35" s="13"/>
      <c r="O35" s="8"/>
      <c r="P35" s="12"/>
      <c r="Q35" s="13"/>
      <c r="R35" s="8"/>
      <c r="S35" s="32"/>
    </row>
    <row r="36" spans="1:19" s="2" customFormat="1" ht="19.649999999999999" customHeight="1" x14ac:dyDescent="0.2">
      <c r="A36" s="13"/>
      <c r="B36" s="13"/>
      <c r="C36" s="13"/>
      <c r="D36" s="79"/>
      <c r="E36" s="39"/>
      <c r="F36" s="30"/>
      <c r="G36" s="40" t="s">
        <v>126</v>
      </c>
      <c r="H36" s="13"/>
      <c r="I36" s="13"/>
      <c r="J36" s="1"/>
      <c r="K36" s="1"/>
      <c r="L36" s="13"/>
      <c r="M36" s="13"/>
      <c r="N36" s="13"/>
      <c r="O36" s="8"/>
      <c r="P36" s="12"/>
      <c r="Q36" s="13"/>
      <c r="R36" s="8"/>
      <c r="S36" s="32"/>
    </row>
    <row r="37" spans="1:19" s="2" customFormat="1" ht="19.649999999999999" customHeight="1" x14ac:dyDescent="0.2">
      <c r="A37" s="13" t="s">
        <v>54</v>
      </c>
      <c r="B37" s="118" t="s">
        <v>192</v>
      </c>
      <c r="C37" s="13"/>
      <c r="D37" s="80">
        <f>+D30+1</f>
        <v>18</v>
      </c>
      <c r="E37" s="12" t="s">
        <v>51</v>
      </c>
      <c r="F37" s="12" t="s">
        <v>51</v>
      </c>
      <c r="G37" s="54" t="s">
        <v>127</v>
      </c>
      <c r="H37" s="100">
        <v>2</v>
      </c>
      <c r="I37" s="104">
        <v>1023</v>
      </c>
      <c r="J37" s="123">
        <f>H37*I37</f>
        <v>2046</v>
      </c>
      <c r="K37" s="43"/>
      <c r="L37" s="19" t="s">
        <v>136</v>
      </c>
      <c r="M37" s="139" t="s">
        <v>197</v>
      </c>
      <c r="N37" s="138" t="s">
        <v>196</v>
      </c>
      <c r="O37" s="8">
        <v>46081</v>
      </c>
      <c r="P37" s="12"/>
      <c r="Q37" s="60">
        <v>46095</v>
      </c>
      <c r="R37" s="8">
        <v>46097</v>
      </c>
      <c r="S37" s="32"/>
    </row>
    <row r="38" spans="1:19" s="2" customFormat="1" ht="19.649999999999999" customHeight="1" x14ac:dyDescent="0.2">
      <c r="A38" s="13" t="s">
        <v>54</v>
      </c>
      <c r="B38" s="118" t="s">
        <v>192</v>
      </c>
      <c r="C38" s="51"/>
      <c r="D38" s="78">
        <f t="shared" ref="D38" si="6">+D37+1</f>
        <v>19</v>
      </c>
      <c r="E38" s="111" t="s">
        <v>50</v>
      </c>
      <c r="F38" s="12" t="s">
        <v>51</v>
      </c>
      <c r="G38" s="67" t="s">
        <v>131</v>
      </c>
      <c r="H38" s="51">
        <v>1</v>
      </c>
      <c r="I38" s="123">
        <v>2259</v>
      </c>
      <c r="J38" s="123">
        <f>H38*I38</f>
        <v>2259</v>
      </c>
      <c r="K38" s="1"/>
      <c r="L38" s="19" t="s">
        <v>128</v>
      </c>
      <c r="M38" s="139" t="s">
        <v>197</v>
      </c>
      <c r="N38" s="138" t="s">
        <v>196</v>
      </c>
      <c r="O38" s="8">
        <v>46081</v>
      </c>
      <c r="P38" s="12"/>
      <c r="Q38" s="60">
        <v>46095</v>
      </c>
      <c r="R38" s="8">
        <v>46097</v>
      </c>
      <c r="S38" s="32"/>
    </row>
    <row r="39" spans="1:19" s="2" customFormat="1" ht="19.649999999999999" customHeight="1" x14ac:dyDescent="0.2">
      <c r="A39" s="13" t="s">
        <v>54</v>
      </c>
      <c r="B39" s="118" t="s">
        <v>192</v>
      </c>
      <c r="C39" s="51"/>
      <c r="D39" s="78">
        <f>+D38+1</f>
        <v>20</v>
      </c>
      <c r="E39" s="111" t="s">
        <v>50</v>
      </c>
      <c r="F39" s="12" t="s">
        <v>51</v>
      </c>
      <c r="G39" s="81" t="s">
        <v>132</v>
      </c>
      <c r="H39" s="101">
        <v>1</v>
      </c>
      <c r="I39" s="101">
        <v>2259</v>
      </c>
      <c r="J39" s="123">
        <f t="shared" ref="J39:J40" si="7">H39*I39</f>
        <v>2259</v>
      </c>
      <c r="K39" s="52"/>
      <c r="L39" s="19" t="s">
        <v>129</v>
      </c>
      <c r="M39" s="139" t="s">
        <v>197</v>
      </c>
      <c r="N39" s="138" t="s">
        <v>196</v>
      </c>
      <c r="O39" s="8">
        <v>46081</v>
      </c>
      <c r="P39" s="12"/>
      <c r="Q39" s="60">
        <v>46095</v>
      </c>
      <c r="R39" s="8">
        <v>46097</v>
      </c>
      <c r="S39" s="32"/>
    </row>
    <row r="40" spans="1:19" s="2" customFormat="1" ht="19.649999999999999" customHeight="1" x14ac:dyDescent="0.2">
      <c r="A40" s="13" t="s">
        <v>55</v>
      </c>
      <c r="B40" s="118" t="s">
        <v>192</v>
      </c>
      <c r="C40" s="13"/>
      <c r="D40" s="78">
        <f>+D39+1</f>
        <v>21</v>
      </c>
      <c r="E40" s="12" t="s">
        <v>51</v>
      </c>
      <c r="F40" s="12" t="s">
        <v>51</v>
      </c>
      <c r="G40" s="81" t="s">
        <v>130</v>
      </c>
      <c r="H40" s="101">
        <v>4</v>
      </c>
      <c r="I40" s="101">
        <v>96</v>
      </c>
      <c r="J40" s="123">
        <f t="shared" si="7"/>
        <v>384</v>
      </c>
      <c r="K40" s="52"/>
      <c r="L40" s="19" t="s">
        <v>137</v>
      </c>
      <c r="M40" s="139" t="s">
        <v>197</v>
      </c>
      <c r="N40" s="138" t="s">
        <v>196</v>
      </c>
      <c r="O40" s="8">
        <v>46081</v>
      </c>
      <c r="P40" s="12"/>
      <c r="Q40" s="60">
        <v>46095</v>
      </c>
      <c r="R40" s="8">
        <v>46097</v>
      </c>
      <c r="S40" s="32"/>
    </row>
    <row r="41" spans="1:19" s="2" customFormat="1" ht="19.649999999999999" customHeight="1" x14ac:dyDescent="0.2">
      <c r="A41" s="13"/>
      <c r="B41" s="13"/>
      <c r="C41" s="13"/>
      <c r="D41" s="12"/>
      <c r="E41" s="12"/>
      <c r="F41" s="12"/>
      <c r="G41" s="14"/>
      <c r="H41" s="41"/>
      <c r="I41" s="13"/>
      <c r="J41" s="17"/>
      <c r="K41" s="1"/>
      <c r="L41" s="14"/>
      <c r="M41" s="21"/>
      <c r="N41" s="13"/>
      <c r="O41" s="8"/>
      <c r="P41" s="12"/>
      <c r="Q41" s="13"/>
      <c r="R41" s="8"/>
      <c r="S41" s="32"/>
    </row>
    <row r="42" spans="1:19" s="2" customFormat="1" ht="19.649999999999999" customHeight="1" x14ac:dyDescent="0.2">
      <c r="A42" s="13"/>
      <c r="B42" s="13"/>
      <c r="C42" s="13"/>
      <c r="D42" s="12"/>
      <c r="E42" s="12"/>
      <c r="F42" s="12"/>
      <c r="G42" s="23">
        <f>SUM(J37:J42)</f>
        <v>6948</v>
      </c>
      <c r="H42" s="41"/>
      <c r="I42" s="13"/>
      <c r="J42" s="17"/>
      <c r="K42" s="1"/>
      <c r="L42" s="14"/>
      <c r="M42" s="13"/>
      <c r="N42" s="13"/>
      <c r="O42" s="8"/>
      <c r="P42" s="12"/>
      <c r="Q42" s="13"/>
      <c r="R42" s="8"/>
      <c r="S42" s="32"/>
    </row>
    <row r="43" spans="1:19" s="2" customFormat="1" ht="19.649999999999999" customHeight="1" x14ac:dyDescent="0.2">
      <c r="A43" s="13"/>
      <c r="B43" s="13"/>
      <c r="C43" s="13"/>
      <c r="D43" s="12"/>
      <c r="E43" s="12"/>
      <c r="F43" s="12"/>
      <c r="G43" s="38"/>
      <c r="H43" s="41"/>
      <c r="I43" s="13"/>
      <c r="J43" s="17"/>
      <c r="K43" s="1"/>
      <c r="L43" s="14"/>
      <c r="M43" s="13"/>
      <c r="N43" s="13"/>
      <c r="O43" s="8"/>
      <c r="P43" s="12"/>
      <c r="Q43" s="13"/>
      <c r="R43" s="8"/>
      <c r="S43" s="32"/>
    </row>
    <row r="44" spans="1:19" s="2" customFormat="1" ht="19.649999999999999" customHeight="1" x14ac:dyDescent="0.2">
      <c r="A44" s="13"/>
      <c r="B44" s="13"/>
      <c r="C44" s="13"/>
      <c r="D44" s="12"/>
      <c r="E44" s="12"/>
      <c r="F44" s="12"/>
      <c r="G44" s="38"/>
      <c r="H44" s="41"/>
      <c r="I44" s="13"/>
      <c r="J44" s="17"/>
      <c r="K44" s="1"/>
      <c r="L44" s="14"/>
      <c r="M44" s="13"/>
      <c r="N44" s="13"/>
      <c r="O44" s="8"/>
      <c r="P44" s="12"/>
      <c r="Q44" s="13"/>
      <c r="R44" s="8"/>
      <c r="S44" s="32"/>
    </row>
    <row r="45" spans="1:19" s="2" customFormat="1" ht="19.649999999999999" customHeight="1" x14ac:dyDescent="0.2">
      <c r="A45" s="13"/>
      <c r="B45" s="13"/>
      <c r="C45" s="13"/>
      <c r="D45" s="12"/>
      <c r="E45" s="12"/>
      <c r="F45" s="12"/>
      <c r="G45" s="38"/>
      <c r="H45" s="41"/>
      <c r="I45" s="13"/>
      <c r="J45" s="17"/>
      <c r="K45" s="1"/>
      <c r="L45" s="14"/>
      <c r="M45" s="13"/>
      <c r="N45" s="13"/>
      <c r="O45" s="8"/>
      <c r="P45" s="12"/>
      <c r="Q45" s="13"/>
      <c r="R45" s="8"/>
      <c r="S45" s="32"/>
    </row>
    <row r="46" spans="1:19" s="2" customFormat="1" ht="19.649999999999999" customHeight="1" x14ac:dyDescent="0.2">
      <c r="A46" s="13"/>
      <c r="B46" s="13"/>
      <c r="C46" s="13"/>
      <c r="D46" s="12"/>
      <c r="E46" s="12"/>
      <c r="F46" s="12"/>
      <c r="G46" s="14"/>
      <c r="H46" s="41"/>
      <c r="I46" s="13"/>
      <c r="J46" s="17"/>
      <c r="K46" s="1"/>
      <c r="L46" s="14"/>
      <c r="M46" s="13"/>
      <c r="N46" s="13"/>
      <c r="O46" s="8"/>
      <c r="P46" s="12"/>
      <c r="Q46" s="13"/>
      <c r="R46" s="8"/>
      <c r="S46" s="32"/>
    </row>
    <row r="47" spans="1:19" s="2" customFormat="1" ht="19.649999999999999" customHeight="1" x14ac:dyDescent="0.2">
      <c r="A47" s="13"/>
      <c r="B47" s="13"/>
      <c r="C47" s="13"/>
      <c r="D47" s="12"/>
      <c r="E47" s="12"/>
      <c r="F47" s="12"/>
      <c r="G47" s="13"/>
      <c r="H47" s="13"/>
      <c r="I47" s="13"/>
      <c r="J47" s="1"/>
      <c r="K47" s="1"/>
      <c r="L47" s="13"/>
      <c r="M47" s="13"/>
      <c r="N47" s="13"/>
      <c r="O47" s="8"/>
      <c r="P47" s="12"/>
      <c r="Q47" s="13"/>
      <c r="R47" s="8"/>
      <c r="S47" s="32"/>
    </row>
    <row r="48" spans="1:19" s="2" customFormat="1" ht="19.649999999999999" customHeight="1" x14ac:dyDescent="0.2">
      <c r="A48" s="13"/>
      <c r="B48" s="13"/>
      <c r="C48" s="13"/>
      <c r="D48" s="12"/>
      <c r="E48" s="39"/>
      <c r="F48" s="30"/>
      <c r="G48" s="31" t="s">
        <v>138</v>
      </c>
      <c r="H48" s="13"/>
      <c r="I48" s="13"/>
      <c r="J48" s="1"/>
      <c r="K48" s="1"/>
      <c r="L48" s="13"/>
      <c r="M48" s="13"/>
      <c r="N48" s="13"/>
      <c r="O48" s="8"/>
      <c r="P48" s="12"/>
      <c r="Q48" s="13"/>
      <c r="R48" s="8"/>
      <c r="S48" s="32"/>
    </row>
    <row r="49" spans="1:19" s="2" customFormat="1" ht="19.649999999999999" customHeight="1" x14ac:dyDescent="0.2">
      <c r="A49" s="13" t="s">
        <v>55</v>
      </c>
      <c r="B49" s="119" t="s">
        <v>193</v>
      </c>
      <c r="C49" s="13"/>
      <c r="D49" s="78">
        <f>+D40+1</f>
        <v>22</v>
      </c>
      <c r="E49" s="12" t="s">
        <v>84</v>
      </c>
      <c r="F49" s="12" t="s">
        <v>84</v>
      </c>
      <c r="G49" s="56" t="s">
        <v>85</v>
      </c>
      <c r="H49" s="50">
        <v>1</v>
      </c>
      <c r="I49" s="50">
        <v>549</v>
      </c>
      <c r="J49" s="125">
        <f t="shared" ref="J49:J58" si="8">H49*I49</f>
        <v>549</v>
      </c>
      <c r="K49" s="43"/>
      <c r="L49" s="49" t="s">
        <v>86</v>
      </c>
      <c r="M49" s="139" t="s">
        <v>197</v>
      </c>
      <c r="N49" s="138" t="s">
        <v>196</v>
      </c>
      <c r="O49" s="8">
        <v>46081</v>
      </c>
      <c r="P49" s="12"/>
      <c r="Q49" s="60">
        <v>46095</v>
      </c>
      <c r="R49" s="8">
        <v>46097</v>
      </c>
      <c r="S49" s="32"/>
    </row>
    <row r="50" spans="1:19" s="2" customFormat="1" ht="19.649999999999999" customHeight="1" x14ac:dyDescent="0.2">
      <c r="A50" s="13" t="s">
        <v>55</v>
      </c>
      <c r="B50" s="119" t="s">
        <v>193</v>
      </c>
      <c r="C50" s="13"/>
      <c r="D50" s="78">
        <f t="shared" ref="D50:D58" si="9">+D49+1</f>
        <v>23</v>
      </c>
      <c r="E50" s="15" t="s">
        <v>87</v>
      </c>
      <c r="F50" s="15" t="s">
        <v>87</v>
      </c>
      <c r="G50" s="54" t="s">
        <v>88</v>
      </c>
      <c r="H50" s="105">
        <v>1</v>
      </c>
      <c r="I50" s="125">
        <v>446</v>
      </c>
      <c r="J50" s="125">
        <f t="shared" si="8"/>
        <v>446</v>
      </c>
      <c r="K50" s="43"/>
      <c r="L50" s="22" t="s">
        <v>89</v>
      </c>
      <c r="M50" s="139" t="s">
        <v>197</v>
      </c>
      <c r="N50" s="138" t="s">
        <v>196</v>
      </c>
      <c r="O50" s="8">
        <v>46081</v>
      </c>
      <c r="P50" s="12"/>
      <c r="Q50" s="60">
        <v>46095</v>
      </c>
      <c r="R50" s="8">
        <v>46097</v>
      </c>
      <c r="S50" s="32"/>
    </row>
    <row r="51" spans="1:19" s="2" customFormat="1" ht="19.649999999999999" customHeight="1" x14ac:dyDescent="0.2">
      <c r="A51" s="13" t="s">
        <v>55</v>
      </c>
      <c r="B51" s="119" t="s">
        <v>193</v>
      </c>
      <c r="C51" s="13"/>
      <c r="D51" s="78">
        <f t="shared" si="9"/>
        <v>24</v>
      </c>
      <c r="E51" s="15" t="s">
        <v>87</v>
      </c>
      <c r="F51" s="15" t="s">
        <v>87</v>
      </c>
      <c r="G51" s="54" t="s">
        <v>90</v>
      </c>
      <c r="H51" s="105">
        <v>1</v>
      </c>
      <c r="I51" s="125">
        <v>272</v>
      </c>
      <c r="J51" s="125">
        <f t="shared" si="8"/>
        <v>272</v>
      </c>
      <c r="K51" s="43"/>
      <c r="L51" s="22" t="s">
        <v>89</v>
      </c>
      <c r="M51" s="139" t="s">
        <v>197</v>
      </c>
      <c r="N51" s="138" t="s">
        <v>196</v>
      </c>
      <c r="O51" s="8">
        <v>46081</v>
      </c>
      <c r="P51" s="12"/>
      <c r="Q51" s="60">
        <v>46095</v>
      </c>
      <c r="R51" s="8">
        <v>46097</v>
      </c>
      <c r="S51" s="32"/>
    </row>
    <row r="52" spans="1:19" s="2" customFormat="1" ht="19.649999999999999" customHeight="1" x14ac:dyDescent="0.2">
      <c r="A52" s="13" t="s">
        <v>55</v>
      </c>
      <c r="B52" s="119" t="s">
        <v>193</v>
      </c>
      <c r="C52" s="13"/>
      <c r="D52" s="78">
        <f t="shared" si="9"/>
        <v>25</v>
      </c>
      <c r="E52" s="12" t="s">
        <v>84</v>
      </c>
      <c r="F52" s="12" t="s">
        <v>84</v>
      </c>
      <c r="G52" s="56" t="s">
        <v>91</v>
      </c>
      <c r="H52" s="50">
        <v>1</v>
      </c>
      <c r="I52" s="50">
        <v>620</v>
      </c>
      <c r="J52" s="125">
        <f t="shared" si="8"/>
        <v>620</v>
      </c>
      <c r="K52" s="43"/>
      <c r="L52" s="49" t="s">
        <v>92</v>
      </c>
      <c r="M52" s="139" t="s">
        <v>197</v>
      </c>
      <c r="N52" s="138" t="s">
        <v>196</v>
      </c>
      <c r="O52" s="8">
        <v>46081</v>
      </c>
      <c r="P52" s="12"/>
      <c r="Q52" s="60">
        <v>46095</v>
      </c>
      <c r="R52" s="8">
        <v>46097</v>
      </c>
      <c r="S52" s="32"/>
    </row>
    <row r="53" spans="1:19" s="2" customFormat="1" ht="19.649999999999999" customHeight="1" x14ac:dyDescent="0.2">
      <c r="A53" s="13" t="s">
        <v>55</v>
      </c>
      <c r="B53" s="119" t="s">
        <v>193</v>
      </c>
      <c r="C53" s="13"/>
      <c r="D53" s="78">
        <f t="shared" si="9"/>
        <v>26</v>
      </c>
      <c r="E53" s="12" t="s">
        <v>84</v>
      </c>
      <c r="F53" s="12" t="s">
        <v>84</v>
      </c>
      <c r="G53" s="56" t="s">
        <v>93</v>
      </c>
      <c r="H53" s="50">
        <v>1</v>
      </c>
      <c r="I53" s="50">
        <v>287</v>
      </c>
      <c r="J53" s="125">
        <f t="shared" si="8"/>
        <v>287</v>
      </c>
      <c r="K53" s="43"/>
      <c r="L53" s="49" t="s">
        <v>94</v>
      </c>
      <c r="M53" s="139" t="s">
        <v>197</v>
      </c>
      <c r="N53" s="138" t="s">
        <v>196</v>
      </c>
      <c r="O53" s="8">
        <v>46081</v>
      </c>
      <c r="P53" s="12"/>
      <c r="Q53" s="60">
        <v>46095</v>
      </c>
      <c r="R53" s="8">
        <v>46097</v>
      </c>
      <c r="S53" s="32"/>
    </row>
    <row r="54" spans="1:19" s="2" customFormat="1" ht="19.649999999999999" customHeight="1" x14ac:dyDescent="0.2">
      <c r="A54" s="13" t="s">
        <v>55</v>
      </c>
      <c r="B54" s="119" t="s">
        <v>193</v>
      </c>
      <c r="C54" s="13"/>
      <c r="D54" s="78">
        <f t="shared" si="9"/>
        <v>27</v>
      </c>
      <c r="E54" s="63" t="s">
        <v>84</v>
      </c>
      <c r="F54" s="63" t="s">
        <v>84</v>
      </c>
      <c r="G54" s="62" t="s">
        <v>95</v>
      </c>
      <c r="H54" s="104">
        <v>1</v>
      </c>
      <c r="I54" s="124">
        <v>225</v>
      </c>
      <c r="J54" s="125">
        <f t="shared" si="8"/>
        <v>225</v>
      </c>
      <c r="K54" s="43"/>
      <c r="L54" s="16" t="s">
        <v>96</v>
      </c>
      <c r="M54" s="139" t="s">
        <v>197</v>
      </c>
      <c r="N54" s="138" t="s">
        <v>196</v>
      </c>
      <c r="O54" s="8">
        <v>46081</v>
      </c>
      <c r="P54" s="12"/>
      <c r="Q54" s="60">
        <v>46095</v>
      </c>
      <c r="R54" s="8">
        <v>46097</v>
      </c>
      <c r="S54" s="32"/>
    </row>
    <row r="55" spans="1:19" s="2" customFormat="1" ht="19.649999999999999" customHeight="1" x14ac:dyDescent="0.2">
      <c r="A55" s="13" t="s">
        <v>55</v>
      </c>
      <c r="B55" s="119" t="s">
        <v>193</v>
      </c>
      <c r="C55" s="13"/>
      <c r="D55" s="78">
        <f t="shared" si="9"/>
        <v>28</v>
      </c>
      <c r="E55" s="12" t="s">
        <v>84</v>
      </c>
      <c r="F55" s="12" t="s">
        <v>84</v>
      </c>
      <c r="G55" s="56" t="s">
        <v>97</v>
      </c>
      <c r="H55" s="50">
        <v>2</v>
      </c>
      <c r="I55" s="50">
        <v>198</v>
      </c>
      <c r="J55" s="125">
        <f t="shared" si="8"/>
        <v>396</v>
      </c>
      <c r="K55" s="43"/>
      <c r="L55" s="49" t="s">
        <v>98</v>
      </c>
      <c r="M55" s="139" t="s">
        <v>197</v>
      </c>
      <c r="N55" s="138" t="s">
        <v>196</v>
      </c>
      <c r="O55" s="8">
        <v>46081</v>
      </c>
      <c r="P55" s="12"/>
      <c r="Q55" s="60">
        <v>46095</v>
      </c>
      <c r="R55" s="8">
        <v>46097</v>
      </c>
      <c r="S55" s="32"/>
    </row>
    <row r="56" spans="1:19" s="2" customFormat="1" ht="19.649999999999999" customHeight="1" x14ac:dyDescent="0.2">
      <c r="A56" s="13" t="s">
        <v>55</v>
      </c>
      <c r="B56" s="119" t="s">
        <v>193</v>
      </c>
      <c r="C56" s="13"/>
      <c r="D56" s="78">
        <f t="shared" si="9"/>
        <v>29</v>
      </c>
      <c r="E56" s="12" t="s">
        <v>84</v>
      </c>
      <c r="F56" s="12" t="s">
        <v>84</v>
      </c>
      <c r="G56" s="56" t="s">
        <v>99</v>
      </c>
      <c r="H56" s="50">
        <v>1</v>
      </c>
      <c r="I56" s="50">
        <v>130</v>
      </c>
      <c r="J56" s="125">
        <f t="shared" si="8"/>
        <v>130</v>
      </c>
      <c r="K56" s="43"/>
      <c r="L56" s="49" t="s">
        <v>92</v>
      </c>
      <c r="M56" s="139" t="s">
        <v>197</v>
      </c>
      <c r="N56" s="138" t="s">
        <v>196</v>
      </c>
      <c r="O56" s="8">
        <v>46081</v>
      </c>
      <c r="P56" s="12"/>
      <c r="Q56" s="60">
        <v>46095</v>
      </c>
      <c r="R56" s="8">
        <v>46097</v>
      </c>
      <c r="S56" s="32"/>
    </row>
    <row r="57" spans="1:19" s="2" customFormat="1" ht="19.649999999999999" customHeight="1" x14ac:dyDescent="0.2">
      <c r="A57" s="13" t="s">
        <v>55</v>
      </c>
      <c r="B57" s="119" t="s">
        <v>193</v>
      </c>
      <c r="C57" s="13"/>
      <c r="D57" s="78">
        <f t="shared" si="9"/>
        <v>30</v>
      </c>
      <c r="E57" s="63" t="s">
        <v>84</v>
      </c>
      <c r="F57" s="63" t="s">
        <v>84</v>
      </c>
      <c r="G57" s="64" t="s">
        <v>100</v>
      </c>
      <c r="H57" s="106">
        <v>1</v>
      </c>
      <c r="I57" s="126">
        <v>900</v>
      </c>
      <c r="J57" s="125">
        <f t="shared" si="8"/>
        <v>900</v>
      </c>
      <c r="K57" s="65"/>
      <c r="L57" s="66" t="s">
        <v>101</v>
      </c>
      <c r="M57" s="139" t="s">
        <v>197</v>
      </c>
      <c r="N57" s="138" t="s">
        <v>196</v>
      </c>
      <c r="O57" s="8">
        <v>46081</v>
      </c>
      <c r="P57" s="12"/>
      <c r="Q57" s="60">
        <v>46095</v>
      </c>
      <c r="R57" s="8">
        <v>46097</v>
      </c>
      <c r="S57" s="32"/>
    </row>
    <row r="58" spans="1:19" s="2" customFormat="1" ht="19.649999999999999" customHeight="1" x14ac:dyDescent="0.2">
      <c r="A58" s="13" t="s">
        <v>55</v>
      </c>
      <c r="B58" s="119" t="s">
        <v>193</v>
      </c>
      <c r="C58" s="13"/>
      <c r="D58" s="78">
        <f t="shared" si="9"/>
        <v>31</v>
      </c>
      <c r="E58" s="63" t="s">
        <v>84</v>
      </c>
      <c r="F58" s="63" t="s">
        <v>84</v>
      </c>
      <c r="G58" s="64" t="s">
        <v>102</v>
      </c>
      <c r="H58" s="106">
        <v>1</v>
      </c>
      <c r="I58" s="126">
        <v>1475</v>
      </c>
      <c r="J58" s="125">
        <f t="shared" si="8"/>
        <v>1475</v>
      </c>
      <c r="K58" s="65"/>
      <c r="L58" s="66" t="s">
        <v>101</v>
      </c>
      <c r="M58" s="139" t="s">
        <v>197</v>
      </c>
      <c r="N58" s="138" t="s">
        <v>196</v>
      </c>
      <c r="O58" s="8">
        <v>46081</v>
      </c>
      <c r="P58" s="12"/>
      <c r="Q58" s="60">
        <v>46095</v>
      </c>
      <c r="R58" s="8">
        <v>46097</v>
      </c>
      <c r="S58" s="32"/>
    </row>
    <row r="59" spans="1:19" s="2" customFormat="1" ht="19.649999999999999" customHeight="1" x14ac:dyDescent="0.2">
      <c r="D59" s="12"/>
      <c r="E59" s="12"/>
      <c r="F59" s="12"/>
      <c r="G59" s="14"/>
      <c r="H59" s="41"/>
      <c r="I59" s="13"/>
      <c r="J59" s="17"/>
      <c r="K59" s="1"/>
      <c r="L59" s="14"/>
      <c r="M59" s="13"/>
      <c r="N59" s="13"/>
      <c r="O59" s="8"/>
      <c r="P59" s="12"/>
      <c r="Q59" s="13"/>
      <c r="R59" s="8"/>
      <c r="S59" s="32"/>
    </row>
    <row r="60" spans="1:19" s="2" customFormat="1" ht="19.649999999999999" customHeight="1" x14ac:dyDescent="0.2">
      <c r="D60" s="12"/>
      <c r="E60" s="12"/>
      <c r="F60" s="12"/>
      <c r="G60" s="23">
        <f>SUM(J49:J59)</f>
        <v>5300</v>
      </c>
      <c r="H60" s="41"/>
      <c r="I60" s="13"/>
      <c r="J60" s="17"/>
      <c r="K60" s="1"/>
      <c r="L60" s="14"/>
      <c r="M60" s="13"/>
      <c r="N60" s="13"/>
      <c r="O60" s="8"/>
      <c r="P60" s="12"/>
      <c r="Q60" s="13"/>
      <c r="R60" s="8"/>
      <c r="S60" s="32"/>
    </row>
    <row r="61" spans="1:19" s="2" customFormat="1" ht="19.649999999999999" customHeight="1" x14ac:dyDescent="0.2">
      <c r="D61" s="12"/>
      <c r="E61" s="12"/>
      <c r="F61" s="12"/>
      <c r="G61" s="14"/>
      <c r="H61" s="41"/>
      <c r="I61" s="13"/>
      <c r="J61" s="17"/>
      <c r="K61" s="1"/>
      <c r="L61" s="14"/>
      <c r="M61" s="13"/>
      <c r="N61" s="13"/>
      <c r="O61" s="8"/>
      <c r="P61" s="12"/>
      <c r="Q61" s="13"/>
      <c r="R61" s="8"/>
      <c r="S61" s="32"/>
    </row>
    <row r="62" spans="1:19" s="2" customFormat="1" ht="19.649999999999999" customHeight="1" x14ac:dyDescent="0.2">
      <c r="D62" s="12"/>
      <c r="E62" s="12"/>
      <c r="F62" s="12"/>
      <c r="G62" s="14"/>
      <c r="H62" s="41"/>
      <c r="I62" s="13"/>
      <c r="J62" s="17"/>
      <c r="K62" s="1"/>
      <c r="L62" s="14"/>
      <c r="M62" s="13"/>
      <c r="N62" s="13"/>
      <c r="O62" s="8"/>
      <c r="P62" s="12"/>
      <c r="Q62" s="13"/>
      <c r="R62" s="8"/>
      <c r="S62" s="32"/>
    </row>
    <row r="63" spans="1:19" s="2" customFormat="1" ht="19.649999999999999" customHeight="1" x14ac:dyDescent="0.2">
      <c r="D63" s="12"/>
      <c r="E63" s="12"/>
      <c r="F63" s="12"/>
      <c r="G63" s="14"/>
      <c r="H63" s="41"/>
      <c r="I63" s="13"/>
      <c r="J63" s="17"/>
      <c r="K63" s="1"/>
      <c r="L63" s="14"/>
      <c r="M63" s="13"/>
      <c r="N63" s="13"/>
      <c r="O63" s="8"/>
      <c r="P63" s="12"/>
      <c r="Q63" s="13"/>
      <c r="R63" s="8"/>
      <c r="S63" s="32"/>
    </row>
    <row r="64" spans="1:19" s="2" customFormat="1" ht="19.649999999999999" customHeight="1" x14ac:dyDescent="0.2">
      <c r="D64" s="12"/>
      <c r="E64" s="39" t="s">
        <v>139</v>
      </c>
      <c r="F64" s="30"/>
      <c r="G64" s="31" t="s">
        <v>140</v>
      </c>
      <c r="H64" s="41"/>
      <c r="I64" s="13"/>
      <c r="J64" s="17"/>
      <c r="K64" s="1"/>
      <c r="L64" s="14"/>
      <c r="M64" s="13"/>
      <c r="N64" s="13"/>
      <c r="O64" s="8"/>
      <c r="P64" s="12"/>
      <c r="Q64" s="13"/>
      <c r="R64" s="8"/>
      <c r="S64" s="32"/>
    </row>
    <row r="65" spans="1:19" s="2" customFormat="1" ht="19.649999999999999" customHeight="1" x14ac:dyDescent="0.2">
      <c r="A65" s="13" t="s">
        <v>55</v>
      </c>
      <c r="B65" s="120" t="s">
        <v>195</v>
      </c>
      <c r="C65" s="13"/>
      <c r="D65" s="78">
        <f>+D58+1</f>
        <v>32</v>
      </c>
      <c r="E65" s="12" t="s">
        <v>51</v>
      </c>
      <c r="F65" s="12" t="s">
        <v>51</v>
      </c>
      <c r="G65" s="81" t="s">
        <v>176</v>
      </c>
      <c r="H65" s="101">
        <v>4</v>
      </c>
      <c r="I65" s="101">
        <v>120</v>
      </c>
      <c r="J65" s="126">
        <f t="shared" ref="J65:J91" si="10">H65*I65</f>
        <v>480</v>
      </c>
      <c r="K65" s="52"/>
      <c r="L65" s="19" t="s">
        <v>56</v>
      </c>
      <c r="M65" s="13" t="s">
        <v>177</v>
      </c>
      <c r="N65" s="138" t="s">
        <v>196</v>
      </c>
      <c r="O65" s="8">
        <v>46081</v>
      </c>
      <c r="P65" s="12"/>
      <c r="Q65" s="60">
        <v>46095</v>
      </c>
      <c r="R65" s="8">
        <v>46097</v>
      </c>
      <c r="S65" s="32"/>
    </row>
    <row r="66" spans="1:19" s="2" customFormat="1" ht="19.649999999999999" customHeight="1" x14ac:dyDescent="0.2">
      <c r="A66" s="13" t="s">
        <v>52</v>
      </c>
      <c r="B66" s="120" t="s">
        <v>195</v>
      </c>
      <c r="C66" s="51"/>
      <c r="D66" s="78">
        <f t="shared" ref="D66:D67" si="11">+D65+1</f>
        <v>33</v>
      </c>
      <c r="E66" s="111" t="s">
        <v>50</v>
      </c>
      <c r="F66" s="12" t="s">
        <v>51</v>
      </c>
      <c r="G66" s="58" t="s">
        <v>187</v>
      </c>
      <c r="H66" s="102">
        <v>1</v>
      </c>
      <c r="I66" s="124">
        <v>20933</v>
      </c>
      <c r="J66" s="126">
        <f t="shared" si="10"/>
        <v>20933</v>
      </c>
      <c r="K66" s="1"/>
      <c r="L66" s="14" t="s">
        <v>174</v>
      </c>
      <c r="M66" s="139" t="s">
        <v>197</v>
      </c>
      <c r="N66" s="138" t="s">
        <v>196</v>
      </c>
      <c r="O66" s="8">
        <v>46081</v>
      </c>
      <c r="P66" s="12"/>
      <c r="Q66" s="60">
        <v>46095</v>
      </c>
      <c r="R66" s="8">
        <v>46097</v>
      </c>
      <c r="S66" s="32"/>
    </row>
    <row r="67" spans="1:19" s="2" customFormat="1" ht="19.649999999999999" customHeight="1" x14ac:dyDescent="0.2">
      <c r="A67" s="13" t="s">
        <v>55</v>
      </c>
      <c r="B67" s="120" t="s">
        <v>195</v>
      </c>
      <c r="C67" s="13"/>
      <c r="D67" s="78">
        <f t="shared" si="11"/>
        <v>34</v>
      </c>
      <c r="E67" s="12" t="s">
        <v>51</v>
      </c>
      <c r="F67" s="12" t="s">
        <v>51</v>
      </c>
      <c r="G67" s="58" t="s">
        <v>73</v>
      </c>
      <c r="H67" s="102">
        <v>4</v>
      </c>
      <c r="I67" s="124">
        <v>77</v>
      </c>
      <c r="J67" s="126">
        <f t="shared" si="10"/>
        <v>308</v>
      </c>
      <c r="K67" s="1"/>
      <c r="L67" s="14" t="s">
        <v>61</v>
      </c>
      <c r="M67" s="139" t="s">
        <v>197</v>
      </c>
      <c r="N67" s="138" t="s">
        <v>196</v>
      </c>
      <c r="O67" s="8">
        <v>46081</v>
      </c>
      <c r="P67" s="12"/>
      <c r="Q67" s="60">
        <v>46095</v>
      </c>
      <c r="R67" s="8">
        <v>46097</v>
      </c>
      <c r="S67" s="32"/>
    </row>
    <row r="68" spans="1:19" s="2" customFormat="1" ht="19.649999999999999" customHeight="1" x14ac:dyDescent="0.2">
      <c r="A68" s="13" t="s">
        <v>55</v>
      </c>
      <c r="B68" s="120" t="s">
        <v>195</v>
      </c>
      <c r="C68" s="13"/>
      <c r="D68" s="78">
        <f>+D67+1</f>
        <v>35</v>
      </c>
      <c r="E68" s="12" t="s">
        <v>51</v>
      </c>
      <c r="F68" s="12" t="s">
        <v>51</v>
      </c>
      <c r="G68" s="81" t="s">
        <v>58</v>
      </c>
      <c r="H68" s="101">
        <v>6</v>
      </c>
      <c r="I68" s="101">
        <v>112</v>
      </c>
      <c r="J68" s="126">
        <f t="shared" si="10"/>
        <v>672</v>
      </c>
      <c r="K68" s="52"/>
      <c r="L68" s="19" t="s">
        <v>56</v>
      </c>
      <c r="M68" s="139" t="s">
        <v>197</v>
      </c>
      <c r="N68" s="138" t="s">
        <v>196</v>
      </c>
      <c r="O68" s="8">
        <v>46081</v>
      </c>
      <c r="P68" s="12"/>
      <c r="Q68" s="60">
        <v>46095</v>
      </c>
      <c r="R68" s="8">
        <v>46097</v>
      </c>
      <c r="S68" s="32"/>
    </row>
    <row r="69" spans="1:19" s="2" customFormat="1" ht="19.649999999999999" customHeight="1" x14ac:dyDescent="0.2">
      <c r="A69" s="13" t="s">
        <v>52</v>
      </c>
      <c r="B69" s="120" t="s">
        <v>195</v>
      </c>
      <c r="C69" s="51"/>
      <c r="D69" s="78">
        <f>+D68+1</f>
        <v>36</v>
      </c>
      <c r="E69" s="111" t="s">
        <v>50</v>
      </c>
      <c r="F69" s="12" t="s">
        <v>51</v>
      </c>
      <c r="G69" s="58" t="s">
        <v>188</v>
      </c>
      <c r="H69" s="102">
        <v>1</v>
      </c>
      <c r="I69" s="124">
        <v>27994</v>
      </c>
      <c r="J69" s="126">
        <f t="shared" si="10"/>
        <v>27994</v>
      </c>
      <c r="K69" s="1"/>
      <c r="L69" s="14" t="s">
        <v>175</v>
      </c>
      <c r="M69" s="139" t="s">
        <v>197</v>
      </c>
      <c r="N69" s="138" t="s">
        <v>196</v>
      </c>
      <c r="O69" s="8">
        <v>46081</v>
      </c>
      <c r="P69" s="12"/>
      <c r="Q69" s="60">
        <v>46095</v>
      </c>
      <c r="R69" s="8">
        <v>46097</v>
      </c>
      <c r="S69" s="32"/>
    </row>
    <row r="70" spans="1:19" s="2" customFormat="1" ht="19.649999999999999" customHeight="1" x14ac:dyDescent="0.2">
      <c r="A70" s="13" t="s">
        <v>55</v>
      </c>
      <c r="B70" s="120" t="s">
        <v>195</v>
      </c>
      <c r="C70" s="13"/>
      <c r="D70" s="78">
        <f t="shared" ref="D70:D80" si="12">+D69+1</f>
        <v>37</v>
      </c>
      <c r="E70" s="12" t="s">
        <v>51</v>
      </c>
      <c r="F70" s="12" t="s">
        <v>51</v>
      </c>
      <c r="G70" s="58" t="s">
        <v>71</v>
      </c>
      <c r="H70" s="102">
        <v>2</v>
      </c>
      <c r="I70" s="124">
        <v>1019</v>
      </c>
      <c r="J70" s="126">
        <f t="shared" si="10"/>
        <v>2038</v>
      </c>
      <c r="K70" s="1"/>
      <c r="L70" s="22" t="s">
        <v>120</v>
      </c>
      <c r="M70" s="139" t="s">
        <v>197</v>
      </c>
      <c r="N70" s="138" t="s">
        <v>196</v>
      </c>
      <c r="O70" s="8">
        <v>46081</v>
      </c>
      <c r="P70" s="12"/>
      <c r="Q70" s="60">
        <v>46095</v>
      </c>
      <c r="R70" s="8">
        <v>46097</v>
      </c>
      <c r="S70" s="32"/>
    </row>
    <row r="71" spans="1:19" s="2" customFormat="1" ht="19.649999999999999" customHeight="1" x14ac:dyDescent="0.2">
      <c r="A71" s="13" t="s">
        <v>55</v>
      </c>
      <c r="B71" s="120" t="s">
        <v>195</v>
      </c>
      <c r="C71" s="13"/>
      <c r="D71" s="78">
        <f t="shared" si="12"/>
        <v>38</v>
      </c>
      <c r="E71" s="12" t="s">
        <v>51</v>
      </c>
      <c r="F71" s="12" t="s">
        <v>51</v>
      </c>
      <c r="G71" s="58" t="s">
        <v>72</v>
      </c>
      <c r="H71" s="102">
        <v>4</v>
      </c>
      <c r="I71" s="124">
        <v>1079</v>
      </c>
      <c r="J71" s="126">
        <f t="shared" si="10"/>
        <v>4316</v>
      </c>
      <c r="K71" s="1"/>
      <c r="L71" s="22" t="s">
        <v>120</v>
      </c>
      <c r="M71" s="139" t="s">
        <v>197</v>
      </c>
      <c r="N71" s="138" t="s">
        <v>196</v>
      </c>
      <c r="O71" s="8">
        <v>46081</v>
      </c>
      <c r="P71" s="12"/>
      <c r="Q71" s="60">
        <v>46095</v>
      </c>
      <c r="R71" s="8">
        <v>46097</v>
      </c>
      <c r="S71" s="32"/>
    </row>
    <row r="72" spans="1:19" s="2" customFormat="1" ht="19.649999999999999" customHeight="1" x14ac:dyDescent="0.2">
      <c r="A72" s="13" t="s">
        <v>55</v>
      </c>
      <c r="B72" s="120" t="s">
        <v>195</v>
      </c>
      <c r="C72" s="13"/>
      <c r="D72" s="78">
        <f t="shared" si="12"/>
        <v>39</v>
      </c>
      <c r="E72" s="12" t="s">
        <v>51</v>
      </c>
      <c r="F72" s="12" t="s">
        <v>51</v>
      </c>
      <c r="G72" s="58" t="s">
        <v>73</v>
      </c>
      <c r="H72" s="102">
        <v>16</v>
      </c>
      <c r="I72" s="124">
        <v>41</v>
      </c>
      <c r="J72" s="126">
        <f t="shared" si="10"/>
        <v>656</v>
      </c>
      <c r="K72" s="1"/>
      <c r="L72" s="14" t="s">
        <v>61</v>
      </c>
      <c r="M72" s="139" t="s">
        <v>197</v>
      </c>
      <c r="N72" s="138" t="s">
        <v>196</v>
      </c>
      <c r="O72" s="8">
        <v>46081</v>
      </c>
      <c r="P72" s="12"/>
      <c r="Q72" s="60">
        <v>46095</v>
      </c>
      <c r="R72" s="8">
        <v>46097</v>
      </c>
      <c r="S72" s="32"/>
    </row>
    <row r="73" spans="1:19" s="2" customFormat="1" ht="19.649999999999999" customHeight="1" x14ac:dyDescent="0.2">
      <c r="A73" s="13" t="s">
        <v>55</v>
      </c>
      <c r="B73" s="120" t="s">
        <v>195</v>
      </c>
      <c r="C73" s="13"/>
      <c r="D73" s="78">
        <f t="shared" si="12"/>
        <v>40</v>
      </c>
      <c r="E73" s="12" t="s">
        <v>51</v>
      </c>
      <c r="F73" s="12" t="s">
        <v>51</v>
      </c>
      <c r="G73" s="58" t="s">
        <v>57</v>
      </c>
      <c r="H73" s="102">
        <v>8</v>
      </c>
      <c r="I73" s="124">
        <v>112</v>
      </c>
      <c r="J73" s="126">
        <f t="shared" si="10"/>
        <v>896</v>
      </c>
      <c r="K73" s="1"/>
      <c r="L73" s="14" t="s">
        <v>56</v>
      </c>
      <c r="M73" s="139" t="s">
        <v>197</v>
      </c>
      <c r="N73" s="138" t="s">
        <v>196</v>
      </c>
      <c r="O73" s="8">
        <v>46081</v>
      </c>
      <c r="P73" s="12"/>
      <c r="Q73" s="60">
        <v>46095</v>
      </c>
      <c r="R73" s="8">
        <v>46097</v>
      </c>
      <c r="S73" s="32"/>
    </row>
    <row r="74" spans="1:19" s="2" customFormat="1" ht="19.649999999999999" customHeight="1" x14ac:dyDescent="0.2">
      <c r="A74" s="13" t="s">
        <v>55</v>
      </c>
      <c r="B74" s="120" t="s">
        <v>195</v>
      </c>
      <c r="C74" s="13"/>
      <c r="D74" s="78">
        <f t="shared" si="12"/>
        <v>41</v>
      </c>
      <c r="E74" s="12" t="s">
        <v>51</v>
      </c>
      <c r="F74" s="12" t="s">
        <v>51</v>
      </c>
      <c r="G74" s="58" t="s">
        <v>74</v>
      </c>
      <c r="H74" s="102">
        <v>2</v>
      </c>
      <c r="I74" s="124">
        <v>112</v>
      </c>
      <c r="J74" s="126">
        <f t="shared" si="10"/>
        <v>224</v>
      </c>
      <c r="K74" s="1"/>
      <c r="L74" s="14" t="s">
        <v>56</v>
      </c>
      <c r="M74" s="139" t="s">
        <v>197</v>
      </c>
      <c r="N74" s="138" t="s">
        <v>196</v>
      </c>
      <c r="O74" s="8">
        <v>46081</v>
      </c>
      <c r="P74" s="12"/>
      <c r="Q74" s="60">
        <v>46095</v>
      </c>
      <c r="R74" s="8">
        <v>46097</v>
      </c>
      <c r="S74" s="32"/>
    </row>
    <row r="75" spans="1:19" s="2" customFormat="1" ht="19.649999999999999" customHeight="1" x14ac:dyDescent="0.2">
      <c r="A75" s="13" t="s">
        <v>54</v>
      </c>
      <c r="B75" s="120" t="s">
        <v>195</v>
      </c>
      <c r="C75" s="51"/>
      <c r="D75" s="78">
        <f t="shared" si="12"/>
        <v>42</v>
      </c>
      <c r="E75" s="111" t="s">
        <v>50</v>
      </c>
      <c r="F75" s="12" t="s">
        <v>51</v>
      </c>
      <c r="G75" s="58" t="s">
        <v>81</v>
      </c>
      <c r="H75" s="102">
        <v>1</v>
      </c>
      <c r="I75" s="124">
        <v>2511</v>
      </c>
      <c r="J75" s="126">
        <f t="shared" si="10"/>
        <v>2511</v>
      </c>
      <c r="K75" s="1"/>
      <c r="L75" s="14" t="s">
        <v>75</v>
      </c>
      <c r="M75" s="139" t="s">
        <v>197</v>
      </c>
      <c r="N75" s="138" t="s">
        <v>196</v>
      </c>
      <c r="O75" s="8">
        <v>46081</v>
      </c>
      <c r="P75" s="12"/>
      <c r="Q75" s="60">
        <v>46095</v>
      </c>
      <c r="R75" s="8">
        <v>46097</v>
      </c>
      <c r="S75" s="32"/>
    </row>
    <row r="76" spans="1:19" s="2" customFormat="1" ht="19.649999999999999" customHeight="1" x14ac:dyDescent="0.2">
      <c r="A76" s="13" t="s">
        <v>55</v>
      </c>
      <c r="B76" s="120" t="s">
        <v>195</v>
      </c>
      <c r="C76" s="13"/>
      <c r="D76" s="78">
        <f t="shared" si="12"/>
        <v>43</v>
      </c>
      <c r="E76" s="12" t="s">
        <v>51</v>
      </c>
      <c r="F76" s="12" t="s">
        <v>51</v>
      </c>
      <c r="G76" s="58" t="s">
        <v>57</v>
      </c>
      <c r="H76" s="102">
        <v>2</v>
      </c>
      <c r="I76" s="124">
        <v>112</v>
      </c>
      <c r="J76" s="126">
        <f t="shared" si="10"/>
        <v>224</v>
      </c>
      <c r="K76" s="1"/>
      <c r="L76" s="14" t="s">
        <v>56</v>
      </c>
      <c r="M76" s="139" t="s">
        <v>197</v>
      </c>
      <c r="N76" s="138" t="s">
        <v>196</v>
      </c>
      <c r="O76" s="8">
        <v>46081</v>
      </c>
      <c r="P76" s="12"/>
      <c r="Q76" s="60">
        <v>46095</v>
      </c>
      <c r="R76" s="8">
        <v>46097</v>
      </c>
      <c r="S76" s="32"/>
    </row>
    <row r="77" spans="1:19" s="2" customFormat="1" ht="19.649999999999999" customHeight="1" x14ac:dyDescent="0.2">
      <c r="A77" s="13" t="s">
        <v>54</v>
      </c>
      <c r="B77" s="120" t="s">
        <v>195</v>
      </c>
      <c r="C77" s="51"/>
      <c r="D77" s="78">
        <f t="shared" si="12"/>
        <v>44</v>
      </c>
      <c r="E77" s="111" t="s">
        <v>50</v>
      </c>
      <c r="F77" s="12" t="s">
        <v>51</v>
      </c>
      <c r="G77" s="58" t="s">
        <v>82</v>
      </c>
      <c r="H77" s="102">
        <v>1</v>
      </c>
      <c r="I77" s="124">
        <v>2752</v>
      </c>
      <c r="J77" s="126">
        <f t="shared" si="10"/>
        <v>2752</v>
      </c>
      <c r="K77" s="1"/>
      <c r="L77" s="14" t="s">
        <v>76</v>
      </c>
      <c r="M77" s="139" t="s">
        <v>197</v>
      </c>
      <c r="N77" s="138" t="s">
        <v>196</v>
      </c>
      <c r="O77" s="8">
        <v>46081</v>
      </c>
      <c r="P77" s="12"/>
      <c r="Q77" s="60">
        <v>46095</v>
      </c>
      <c r="R77" s="8">
        <v>46097</v>
      </c>
      <c r="S77" s="32"/>
    </row>
    <row r="78" spans="1:19" s="2" customFormat="1" ht="19.649999999999999" customHeight="1" x14ac:dyDescent="0.2">
      <c r="A78" s="13" t="s">
        <v>55</v>
      </c>
      <c r="B78" s="120" t="s">
        <v>195</v>
      </c>
      <c r="C78" s="13"/>
      <c r="D78" s="78">
        <f t="shared" si="12"/>
        <v>45</v>
      </c>
      <c r="E78" s="12" t="s">
        <v>51</v>
      </c>
      <c r="F78" s="12" t="s">
        <v>51</v>
      </c>
      <c r="G78" s="58" t="s">
        <v>77</v>
      </c>
      <c r="H78" s="102">
        <v>2</v>
      </c>
      <c r="I78" s="124">
        <v>127</v>
      </c>
      <c r="J78" s="126">
        <f t="shared" si="10"/>
        <v>254</v>
      </c>
      <c r="K78" s="1"/>
      <c r="L78" s="14" t="s">
        <v>56</v>
      </c>
      <c r="M78" s="139" t="s">
        <v>197</v>
      </c>
      <c r="N78" s="138" t="s">
        <v>196</v>
      </c>
      <c r="O78" s="8">
        <v>46081</v>
      </c>
      <c r="P78" s="12"/>
      <c r="Q78" s="60">
        <v>46095</v>
      </c>
      <c r="R78" s="8">
        <v>46097</v>
      </c>
      <c r="S78" s="32"/>
    </row>
    <row r="79" spans="1:19" s="2" customFormat="1" ht="19.649999999999999" customHeight="1" x14ac:dyDescent="0.2">
      <c r="A79" s="13" t="s">
        <v>55</v>
      </c>
      <c r="B79" s="120" t="s">
        <v>195</v>
      </c>
      <c r="C79" s="13"/>
      <c r="D79" s="78">
        <f t="shared" si="12"/>
        <v>46</v>
      </c>
      <c r="E79" s="12" t="s">
        <v>51</v>
      </c>
      <c r="F79" s="12" t="s">
        <v>51</v>
      </c>
      <c r="G79" s="58" t="s">
        <v>57</v>
      </c>
      <c r="H79" s="102">
        <v>2</v>
      </c>
      <c r="I79" s="124">
        <v>112</v>
      </c>
      <c r="J79" s="126">
        <f t="shared" si="10"/>
        <v>224</v>
      </c>
      <c r="K79" s="1"/>
      <c r="L79" s="14" t="s">
        <v>56</v>
      </c>
      <c r="M79" s="139" t="s">
        <v>197</v>
      </c>
      <c r="N79" s="138" t="s">
        <v>196</v>
      </c>
      <c r="O79" s="8">
        <v>46081</v>
      </c>
      <c r="P79" s="12"/>
      <c r="Q79" s="60">
        <v>46095</v>
      </c>
      <c r="R79" s="8">
        <v>46097</v>
      </c>
      <c r="S79" s="32"/>
    </row>
    <row r="80" spans="1:19" s="2" customFormat="1" ht="19.649999999999999" customHeight="1" x14ac:dyDescent="0.2">
      <c r="A80" s="13" t="s">
        <v>54</v>
      </c>
      <c r="B80" s="120" t="s">
        <v>195</v>
      </c>
      <c r="C80" s="13"/>
      <c r="D80" s="78">
        <f t="shared" si="12"/>
        <v>47</v>
      </c>
      <c r="E80" s="12" t="s">
        <v>51</v>
      </c>
      <c r="F80" s="12" t="s">
        <v>51</v>
      </c>
      <c r="G80" s="58" t="s">
        <v>78</v>
      </c>
      <c r="H80" s="102">
        <v>2</v>
      </c>
      <c r="I80" s="124">
        <v>623</v>
      </c>
      <c r="J80" s="126">
        <f t="shared" si="10"/>
        <v>1246</v>
      </c>
      <c r="K80" s="1"/>
      <c r="L80" s="22" t="s">
        <v>133</v>
      </c>
      <c r="M80" s="139" t="s">
        <v>197</v>
      </c>
      <c r="N80" s="138" t="s">
        <v>196</v>
      </c>
      <c r="O80" s="8">
        <v>46081</v>
      </c>
      <c r="P80" s="12"/>
      <c r="Q80" s="60">
        <v>46095</v>
      </c>
      <c r="R80" s="8">
        <v>46097</v>
      </c>
      <c r="S80" s="32"/>
    </row>
    <row r="81" spans="1:19" s="2" customFormat="1" ht="19.649999999999999" customHeight="1" x14ac:dyDescent="0.2">
      <c r="A81" s="13" t="s">
        <v>55</v>
      </c>
      <c r="B81" s="120" t="s">
        <v>195</v>
      </c>
      <c r="C81" s="13"/>
      <c r="D81" s="78">
        <f>+D80+1</f>
        <v>48</v>
      </c>
      <c r="E81" s="12" t="s">
        <v>51</v>
      </c>
      <c r="F81" s="12" t="s">
        <v>51</v>
      </c>
      <c r="G81" s="58" t="s">
        <v>79</v>
      </c>
      <c r="H81" s="102">
        <v>2</v>
      </c>
      <c r="I81" s="124">
        <v>92</v>
      </c>
      <c r="J81" s="126">
        <f t="shared" si="10"/>
        <v>184</v>
      </c>
      <c r="K81" s="1"/>
      <c r="L81" s="14"/>
      <c r="M81" s="139" t="s">
        <v>197</v>
      </c>
      <c r="N81" s="138" t="s">
        <v>196</v>
      </c>
      <c r="O81" s="8">
        <v>46081</v>
      </c>
      <c r="P81" s="12"/>
      <c r="Q81" s="60">
        <v>46095</v>
      </c>
      <c r="R81" s="8">
        <v>46097</v>
      </c>
      <c r="S81" s="32"/>
    </row>
    <row r="82" spans="1:19" s="2" customFormat="1" ht="19.649999999999999" customHeight="1" x14ac:dyDescent="0.2">
      <c r="A82" s="13" t="s">
        <v>54</v>
      </c>
      <c r="B82" s="120" t="s">
        <v>195</v>
      </c>
      <c r="C82" s="51"/>
      <c r="D82" s="78">
        <f t="shared" ref="D82:D91" si="13">+D81+1</f>
        <v>49</v>
      </c>
      <c r="E82" s="111" t="s">
        <v>50</v>
      </c>
      <c r="F82" s="12" t="s">
        <v>51</v>
      </c>
      <c r="G82" s="58" t="s">
        <v>83</v>
      </c>
      <c r="H82" s="102">
        <v>1</v>
      </c>
      <c r="I82" s="124">
        <v>4040</v>
      </c>
      <c r="J82" s="126">
        <f t="shared" si="10"/>
        <v>4040</v>
      </c>
      <c r="K82" s="1"/>
      <c r="L82" s="14" t="s">
        <v>80</v>
      </c>
      <c r="M82" s="139" t="s">
        <v>197</v>
      </c>
      <c r="N82" s="138" t="s">
        <v>196</v>
      </c>
      <c r="O82" s="8">
        <v>46081</v>
      </c>
      <c r="P82" s="12"/>
      <c r="Q82" s="60">
        <v>46095</v>
      </c>
      <c r="R82" s="8">
        <v>46097</v>
      </c>
      <c r="S82" s="32"/>
    </row>
    <row r="83" spans="1:19" s="2" customFormat="1" ht="19.649999999999999" customHeight="1" x14ac:dyDescent="0.2">
      <c r="A83" s="13" t="s">
        <v>55</v>
      </c>
      <c r="B83" s="120" t="s">
        <v>195</v>
      </c>
      <c r="C83" s="51"/>
      <c r="D83" s="78">
        <f t="shared" si="13"/>
        <v>50</v>
      </c>
      <c r="E83" s="12" t="s">
        <v>51</v>
      </c>
      <c r="F83" s="12" t="s">
        <v>51</v>
      </c>
      <c r="G83" s="148" t="s">
        <v>198</v>
      </c>
      <c r="H83" s="13">
        <v>1</v>
      </c>
      <c r="I83" s="27">
        <v>4080</v>
      </c>
      <c r="J83" s="126">
        <f t="shared" si="10"/>
        <v>4080</v>
      </c>
      <c r="K83" s="1"/>
      <c r="L83" s="16" t="s">
        <v>199</v>
      </c>
      <c r="M83" s="139" t="s">
        <v>197</v>
      </c>
      <c r="N83" s="149" t="s">
        <v>200</v>
      </c>
      <c r="O83" s="8">
        <v>46099</v>
      </c>
      <c r="P83" s="12"/>
      <c r="Q83" s="60">
        <v>46100</v>
      </c>
      <c r="R83" s="8">
        <v>46104</v>
      </c>
      <c r="S83" s="32"/>
    </row>
    <row r="84" spans="1:19" s="2" customFormat="1" ht="19.649999999999999" customHeight="1" x14ac:dyDescent="0.2">
      <c r="A84" s="13" t="s">
        <v>54</v>
      </c>
      <c r="B84" s="120" t="s">
        <v>195</v>
      </c>
      <c r="C84" s="51"/>
      <c r="D84" s="78">
        <f t="shared" si="13"/>
        <v>51</v>
      </c>
      <c r="E84" s="111" t="s">
        <v>50</v>
      </c>
      <c r="F84" s="12" t="s">
        <v>51</v>
      </c>
      <c r="G84" s="150" t="s">
        <v>201</v>
      </c>
      <c r="H84" s="47">
        <v>1</v>
      </c>
      <c r="I84" s="46">
        <v>2613</v>
      </c>
      <c r="J84" s="126">
        <f t="shared" si="10"/>
        <v>2613</v>
      </c>
      <c r="K84" s="1"/>
      <c r="L84" s="16" t="s">
        <v>202</v>
      </c>
      <c r="M84" s="139" t="s">
        <v>197</v>
      </c>
      <c r="N84" s="149" t="s">
        <v>200</v>
      </c>
      <c r="O84" s="8">
        <v>46099</v>
      </c>
      <c r="P84" s="12"/>
      <c r="Q84" s="60">
        <v>46112</v>
      </c>
      <c r="R84" s="8">
        <v>46113</v>
      </c>
      <c r="S84" s="32"/>
    </row>
    <row r="85" spans="1:19" s="2" customFormat="1" ht="19.649999999999999" customHeight="1" x14ac:dyDescent="0.2">
      <c r="A85" s="13" t="s">
        <v>55</v>
      </c>
      <c r="B85" s="120" t="s">
        <v>195</v>
      </c>
      <c r="C85" s="51"/>
      <c r="D85" s="78">
        <f t="shared" si="13"/>
        <v>52</v>
      </c>
      <c r="E85" s="12" t="s">
        <v>51</v>
      </c>
      <c r="F85" s="12" t="s">
        <v>51</v>
      </c>
      <c r="G85" s="150" t="s">
        <v>203</v>
      </c>
      <c r="H85" s="47">
        <v>4</v>
      </c>
      <c r="I85" s="46">
        <v>260</v>
      </c>
      <c r="J85" s="126">
        <f t="shared" si="10"/>
        <v>1040</v>
      </c>
      <c r="K85" s="1"/>
      <c r="L85" s="14" t="s">
        <v>204</v>
      </c>
      <c r="M85" s="139" t="s">
        <v>197</v>
      </c>
      <c r="N85" s="149" t="s">
        <v>200</v>
      </c>
      <c r="O85" s="8">
        <v>46099</v>
      </c>
      <c r="P85" s="12"/>
      <c r="Q85" s="60">
        <v>46100</v>
      </c>
      <c r="R85" s="8">
        <v>46104</v>
      </c>
      <c r="S85" s="32"/>
    </row>
    <row r="86" spans="1:19" s="2" customFormat="1" ht="19.649999999999999" customHeight="1" x14ac:dyDescent="0.2">
      <c r="A86" s="13" t="s">
        <v>55</v>
      </c>
      <c r="B86" s="120" t="s">
        <v>195</v>
      </c>
      <c r="C86" s="51"/>
      <c r="D86" s="78">
        <f t="shared" si="13"/>
        <v>53</v>
      </c>
      <c r="E86" s="12" t="s">
        <v>51</v>
      </c>
      <c r="F86" s="12" t="s">
        <v>51</v>
      </c>
      <c r="G86" s="150" t="s">
        <v>205</v>
      </c>
      <c r="H86" s="47">
        <v>2</v>
      </c>
      <c r="I86" s="46">
        <v>84</v>
      </c>
      <c r="J86" s="126">
        <f t="shared" si="10"/>
        <v>168</v>
      </c>
      <c r="K86" s="1"/>
      <c r="L86" s="14" t="s">
        <v>206</v>
      </c>
      <c r="M86" s="139" t="s">
        <v>197</v>
      </c>
      <c r="N86" s="149" t="s">
        <v>200</v>
      </c>
      <c r="O86" s="8">
        <v>46099</v>
      </c>
      <c r="P86" s="12"/>
      <c r="Q86" s="60">
        <v>46100</v>
      </c>
      <c r="R86" s="8">
        <v>46104</v>
      </c>
      <c r="S86" s="32"/>
    </row>
    <row r="87" spans="1:19" s="2" customFormat="1" ht="19.649999999999999" customHeight="1" x14ac:dyDescent="0.2">
      <c r="A87" s="13" t="s">
        <v>55</v>
      </c>
      <c r="B87" s="120" t="s">
        <v>195</v>
      </c>
      <c r="C87" s="51"/>
      <c r="D87" s="78">
        <f t="shared" si="13"/>
        <v>54</v>
      </c>
      <c r="E87" s="12" t="s">
        <v>51</v>
      </c>
      <c r="F87" s="12" t="s">
        <v>51</v>
      </c>
      <c r="G87" s="150" t="s">
        <v>207</v>
      </c>
      <c r="H87" s="47">
        <v>2</v>
      </c>
      <c r="I87" s="46">
        <v>375</v>
      </c>
      <c r="J87" s="126">
        <f t="shared" si="10"/>
        <v>750</v>
      </c>
      <c r="K87" s="1"/>
      <c r="L87" s="14" t="s">
        <v>208</v>
      </c>
      <c r="M87" s="139" t="s">
        <v>197</v>
      </c>
      <c r="N87" s="149" t="s">
        <v>200</v>
      </c>
      <c r="O87" s="8">
        <v>46099</v>
      </c>
      <c r="P87" s="12"/>
      <c r="Q87" s="60">
        <v>46100</v>
      </c>
      <c r="R87" s="8">
        <v>46104</v>
      </c>
      <c r="S87" s="32"/>
    </row>
    <row r="88" spans="1:19" s="2" customFormat="1" ht="19.649999999999999" customHeight="1" x14ac:dyDescent="0.2">
      <c r="A88" s="13" t="s">
        <v>55</v>
      </c>
      <c r="B88" s="120" t="s">
        <v>195</v>
      </c>
      <c r="C88" s="51"/>
      <c r="D88" s="78">
        <f t="shared" si="13"/>
        <v>55</v>
      </c>
      <c r="E88" s="12" t="s">
        <v>51</v>
      </c>
      <c r="F88" s="12" t="s">
        <v>51</v>
      </c>
      <c r="G88" s="150" t="s">
        <v>73</v>
      </c>
      <c r="H88" s="47">
        <v>5</v>
      </c>
      <c r="I88" s="46">
        <v>194</v>
      </c>
      <c r="J88" s="126">
        <f t="shared" si="10"/>
        <v>970</v>
      </c>
      <c r="K88" s="1"/>
      <c r="L88" s="14" t="s">
        <v>209</v>
      </c>
      <c r="M88" s="139" t="s">
        <v>197</v>
      </c>
      <c r="N88" s="149" t="s">
        <v>200</v>
      </c>
      <c r="O88" s="8">
        <v>46099</v>
      </c>
      <c r="P88" s="12"/>
      <c r="Q88" s="60">
        <v>46100</v>
      </c>
      <c r="R88" s="8">
        <v>46104</v>
      </c>
      <c r="S88" s="32"/>
    </row>
    <row r="89" spans="1:19" s="2" customFormat="1" ht="19.649999999999999" customHeight="1" x14ac:dyDescent="0.2">
      <c r="A89" s="13" t="s">
        <v>55</v>
      </c>
      <c r="B89" s="120" t="s">
        <v>195</v>
      </c>
      <c r="C89" s="51"/>
      <c r="D89" s="78">
        <f t="shared" si="13"/>
        <v>56</v>
      </c>
      <c r="E89" s="12" t="s">
        <v>51</v>
      </c>
      <c r="F89" s="12" t="s">
        <v>51</v>
      </c>
      <c r="G89" s="150" t="s">
        <v>210</v>
      </c>
      <c r="H89" s="47">
        <v>2</v>
      </c>
      <c r="I89" s="46">
        <v>33</v>
      </c>
      <c r="J89" s="126">
        <f t="shared" si="10"/>
        <v>66</v>
      </c>
      <c r="K89" s="1"/>
      <c r="L89" s="14" t="s">
        <v>134</v>
      </c>
      <c r="M89" s="139" t="s">
        <v>197</v>
      </c>
      <c r="N89" s="149" t="s">
        <v>200</v>
      </c>
      <c r="O89" s="8">
        <v>46099</v>
      </c>
      <c r="P89" s="12"/>
      <c r="Q89" s="60">
        <v>46100</v>
      </c>
      <c r="R89" s="8">
        <v>46104</v>
      </c>
      <c r="S89" s="32"/>
    </row>
    <row r="90" spans="1:19" s="2" customFormat="1" ht="19.649999999999999" customHeight="1" x14ac:dyDescent="0.2">
      <c r="A90" s="13" t="s">
        <v>52</v>
      </c>
      <c r="B90" s="120" t="s">
        <v>195</v>
      </c>
      <c r="C90" s="51"/>
      <c r="D90" s="78">
        <f t="shared" si="13"/>
        <v>57</v>
      </c>
      <c r="E90" s="111" t="s">
        <v>50</v>
      </c>
      <c r="F90" s="12" t="s">
        <v>51</v>
      </c>
      <c r="G90" s="150" t="s">
        <v>211</v>
      </c>
      <c r="H90" s="47">
        <v>1</v>
      </c>
      <c r="I90" s="46">
        <v>12471</v>
      </c>
      <c r="J90" s="126">
        <f t="shared" si="10"/>
        <v>12471</v>
      </c>
      <c r="K90" s="1"/>
      <c r="L90" s="14" t="s">
        <v>212</v>
      </c>
      <c r="M90" s="139" t="s">
        <v>197</v>
      </c>
      <c r="N90" s="149" t="s">
        <v>200</v>
      </c>
      <c r="O90" s="8">
        <v>46099</v>
      </c>
      <c r="P90" s="12"/>
      <c r="Q90" s="60">
        <v>46112</v>
      </c>
      <c r="R90" s="8">
        <v>46113</v>
      </c>
      <c r="S90" s="32"/>
    </row>
    <row r="91" spans="1:19" s="2" customFormat="1" ht="19.649999999999999" customHeight="1" x14ac:dyDescent="0.2">
      <c r="A91" s="13" t="s">
        <v>55</v>
      </c>
      <c r="B91" s="120" t="s">
        <v>195</v>
      </c>
      <c r="C91" s="51"/>
      <c r="D91" s="78">
        <f t="shared" si="13"/>
        <v>58</v>
      </c>
      <c r="E91" s="12" t="s">
        <v>51</v>
      </c>
      <c r="F91" s="12" t="s">
        <v>51</v>
      </c>
      <c r="G91" s="150" t="s">
        <v>213</v>
      </c>
      <c r="H91" s="47">
        <v>2</v>
      </c>
      <c r="I91" s="46">
        <v>284</v>
      </c>
      <c r="J91" s="126">
        <f t="shared" si="10"/>
        <v>568</v>
      </c>
      <c r="K91" s="1"/>
      <c r="L91" s="14" t="s">
        <v>214</v>
      </c>
      <c r="M91" s="139" t="s">
        <v>197</v>
      </c>
      <c r="N91" s="149" t="s">
        <v>200</v>
      </c>
      <c r="O91" s="8">
        <v>46099</v>
      </c>
      <c r="P91" s="12"/>
      <c r="Q91" s="60">
        <v>46100</v>
      </c>
      <c r="R91" s="8">
        <v>46104</v>
      </c>
      <c r="S91" s="32"/>
    </row>
    <row r="92" spans="1:19" s="2" customFormat="1" ht="19.649999999999999" customHeight="1" x14ac:dyDescent="0.2">
      <c r="A92" s="147"/>
      <c r="B92" s="147"/>
      <c r="C92" s="147"/>
      <c r="D92" s="12"/>
      <c r="E92" s="12"/>
      <c r="F92" s="12"/>
      <c r="G92" s="18"/>
      <c r="H92" s="47"/>
      <c r="I92" s="46"/>
      <c r="J92" s="48"/>
      <c r="K92" s="1"/>
      <c r="L92" s="14"/>
      <c r="M92" s="13"/>
      <c r="N92" s="13"/>
      <c r="O92" s="8"/>
      <c r="P92" s="12"/>
      <c r="Q92" s="13"/>
      <c r="R92" s="8"/>
      <c r="S92" s="32"/>
    </row>
    <row r="93" spans="1:19" s="2" customFormat="1" ht="19.649999999999999" customHeight="1" x14ac:dyDescent="0.2">
      <c r="A93" s="13"/>
      <c r="B93" s="13"/>
      <c r="C93" s="13"/>
      <c r="D93" s="12"/>
      <c r="E93" s="12"/>
      <c r="F93" s="12"/>
      <c r="G93" s="23">
        <f>SUM(J65:J92)</f>
        <v>92678</v>
      </c>
      <c r="H93" s="41"/>
      <c r="I93" s="13"/>
      <c r="J93" s="17"/>
      <c r="K93" s="1"/>
      <c r="L93" s="14"/>
      <c r="M93" s="13"/>
      <c r="N93" s="13"/>
      <c r="O93" s="8"/>
      <c r="P93" s="12"/>
      <c r="Q93" s="13"/>
      <c r="R93" s="8"/>
      <c r="S93" s="32"/>
    </row>
    <row r="94" spans="1:19" s="2" customFormat="1" ht="19.649999999999999" customHeight="1" x14ac:dyDescent="0.2">
      <c r="A94" s="13"/>
      <c r="B94" s="13"/>
      <c r="C94" s="13"/>
      <c r="D94" s="12"/>
      <c r="E94" s="12"/>
      <c r="F94" s="12"/>
      <c r="G94" s="14"/>
      <c r="H94" s="41"/>
      <c r="I94" s="13"/>
      <c r="J94" s="17"/>
      <c r="K94" s="1"/>
      <c r="L94" s="14"/>
      <c r="M94" s="13"/>
      <c r="N94" s="13"/>
      <c r="O94" s="8"/>
      <c r="P94" s="12"/>
      <c r="Q94" s="13"/>
      <c r="R94" s="8"/>
      <c r="S94" s="32"/>
    </row>
    <row r="95" spans="1:19" s="2" customFormat="1" ht="19.649999999999999" customHeight="1" x14ac:dyDescent="0.2">
      <c r="A95" s="13"/>
      <c r="B95" s="13"/>
      <c r="C95" s="13"/>
      <c r="D95" s="12"/>
      <c r="E95" s="12"/>
      <c r="F95" s="12"/>
      <c r="G95" s="14"/>
      <c r="H95" s="41"/>
      <c r="I95" s="13"/>
      <c r="J95" s="17"/>
      <c r="K95" s="1"/>
      <c r="L95" s="14"/>
      <c r="M95" s="13"/>
      <c r="N95" s="13"/>
      <c r="O95" s="8"/>
      <c r="P95" s="12"/>
      <c r="Q95" s="13"/>
      <c r="R95" s="8"/>
      <c r="S95" s="32"/>
    </row>
    <row r="96" spans="1:19" s="2" customFormat="1" ht="19.649999999999999" customHeight="1" x14ac:dyDescent="0.2">
      <c r="A96" s="13"/>
      <c r="B96" s="13"/>
      <c r="C96" s="13"/>
      <c r="D96" s="12"/>
      <c r="E96" s="12"/>
      <c r="F96" s="12"/>
      <c r="G96" s="13"/>
      <c r="H96" s="13"/>
      <c r="I96" s="13"/>
      <c r="J96" s="1"/>
      <c r="K96" s="1"/>
      <c r="L96" s="13"/>
      <c r="M96" s="13"/>
      <c r="N96" s="13"/>
      <c r="O96" s="8"/>
      <c r="P96" s="12"/>
      <c r="Q96" s="13"/>
      <c r="R96" s="8"/>
      <c r="S96" s="32"/>
    </row>
    <row r="97" spans="1:19" s="2" customFormat="1" ht="19.649999999999999" customHeight="1" x14ac:dyDescent="0.2">
      <c r="A97" s="13"/>
      <c r="B97" s="13"/>
      <c r="C97" s="13"/>
      <c r="D97" s="12"/>
      <c r="E97" s="12"/>
      <c r="F97" s="12"/>
      <c r="G97" s="14"/>
      <c r="H97" s="41"/>
      <c r="I97" s="13"/>
      <c r="J97" s="17"/>
      <c r="K97" s="1"/>
      <c r="L97" s="14"/>
      <c r="M97" s="13"/>
      <c r="N97" s="13"/>
      <c r="O97" s="8"/>
      <c r="P97" s="12"/>
      <c r="Q97" s="13"/>
      <c r="R97" s="8"/>
      <c r="S97" s="32"/>
    </row>
    <row r="98" spans="1:19" s="2" customFormat="1" ht="19.649999999999999" customHeight="1" x14ac:dyDescent="0.2">
      <c r="A98" s="13"/>
      <c r="B98" s="13"/>
      <c r="C98" s="13"/>
      <c r="D98" s="12"/>
      <c r="E98" s="12"/>
      <c r="F98" s="12"/>
      <c r="G98" s="14"/>
      <c r="H98" s="41"/>
      <c r="I98" s="13"/>
      <c r="J98" s="17"/>
      <c r="K98" s="1"/>
      <c r="L98" s="14"/>
      <c r="M98" s="13"/>
      <c r="N98" s="13"/>
      <c r="O98" s="8"/>
      <c r="P98" s="12"/>
      <c r="Q98" s="13"/>
      <c r="R98" s="8"/>
      <c r="S98" s="32"/>
    </row>
    <row r="99" spans="1:19" s="2" customFormat="1" ht="19.649999999999999" customHeight="1" x14ac:dyDescent="0.2">
      <c r="A99" s="13"/>
      <c r="B99" s="13"/>
      <c r="C99" s="13"/>
      <c r="D99" s="12"/>
      <c r="E99" s="29"/>
      <c r="F99" s="30"/>
      <c r="G99" s="31" t="s">
        <v>141</v>
      </c>
      <c r="H99" s="13"/>
      <c r="I99" s="13"/>
      <c r="J99" s="1"/>
      <c r="K99" s="1"/>
      <c r="L99" s="13"/>
      <c r="M99" s="13"/>
      <c r="N99" s="13"/>
      <c r="O99" s="8"/>
      <c r="P99" s="12"/>
      <c r="Q99" s="13"/>
      <c r="R99" s="8"/>
      <c r="S99" s="32"/>
    </row>
    <row r="100" spans="1:19" s="2" customFormat="1" ht="19.649999999999999" customHeight="1" x14ac:dyDescent="0.2">
      <c r="A100" s="99" t="s">
        <v>54</v>
      </c>
      <c r="B100" s="121" t="s">
        <v>194</v>
      </c>
      <c r="C100" s="51"/>
      <c r="D100" s="78">
        <f>+D82+1</f>
        <v>50</v>
      </c>
      <c r="E100" s="116" t="s">
        <v>50</v>
      </c>
      <c r="F100" s="82" t="s">
        <v>142</v>
      </c>
      <c r="G100" s="83" t="s">
        <v>143</v>
      </c>
      <c r="H100" s="108">
        <v>1</v>
      </c>
      <c r="I100" s="127">
        <v>10475</v>
      </c>
      <c r="J100" s="129">
        <f>+H100*I100</f>
        <v>10475</v>
      </c>
      <c r="K100" s="84"/>
      <c r="L100" s="85" t="s">
        <v>144</v>
      </c>
      <c r="M100" s="139" t="s">
        <v>197</v>
      </c>
      <c r="N100" s="138" t="s">
        <v>196</v>
      </c>
      <c r="O100" s="8">
        <v>46081</v>
      </c>
      <c r="P100" s="12"/>
      <c r="Q100" s="60">
        <v>46095</v>
      </c>
      <c r="R100" s="8">
        <v>46097</v>
      </c>
      <c r="S100" s="32"/>
    </row>
    <row r="101" spans="1:19" s="2" customFormat="1" ht="19.649999999999999" customHeight="1" x14ac:dyDescent="0.2">
      <c r="A101" s="99" t="s">
        <v>55</v>
      </c>
      <c r="B101" s="121" t="s">
        <v>194</v>
      </c>
      <c r="C101" s="13"/>
      <c r="D101" s="78">
        <f>+D100+1</f>
        <v>51</v>
      </c>
      <c r="E101" s="63" t="s">
        <v>84</v>
      </c>
      <c r="F101" s="63" t="s">
        <v>84</v>
      </c>
      <c r="G101" s="86" t="s">
        <v>103</v>
      </c>
      <c r="H101" s="51">
        <v>12</v>
      </c>
      <c r="I101" s="123">
        <v>94</v>
      </c>
      <c r="J101" s="129">
        <f t="shared" ref="J101:J103" si="14">+H101*I101</f>
        <v>1128</v>
      </c>
      <c r="K101" s="1"/>
      <c r="L101" s="16" t="s">
        <v>104</v>
      </c>
      <c r="M101" s="139" t="s">
        <v>197</v>
      </c>
      <c r="N101" s="138" t="s">
        <v>196</v>
      </c>
      <c r="O101" s="8">
        <v>46081</v>
      </c>
      <c r="P101" s="12"/>
      <c r="Q101" s="60">
        <v>46095</v>
      </c>
      <c r="R101" s="8">
        <v>46097</v>
      </c>
      <c r="S101" s="32"/>
    </row>
    <row r="102" spans="1:19" s="2" customFormat="1" ht="19.649999999999999" customHeight="1" x14ac:dyDescent="0.2">
      <c r="A102" s="99" t="s">
        <v>55</v>
      </c>
      <c r="B102" s="121" t="s">
        <v>194</v>
      </c>
      <c r="C102" s="13"/>
      <c r="D102" s="78">
        <f t="shared" ref="D102:D126" si="15">+D101+1</f>
        <v>52</v>
      </c>
      <c r="E102" s="82" t="s">
        <v>142</v>
      </c>
      <c r="F102" s="82" t="s">
        <v>142</v>
      </c>
      <c r="G102" s="83" t="s">
        <v>145</v>
      </c>
      <c r="H102" s="108">
        <v>6</v>
      </c>
      <c r="I102" s="127">
        <v>245</v>
      </c>
      <c r="J102" s="129">
        <f t="shared" si="14"/>
        <v>1470</v>
      </c>
      <c r="K102" s="84"/>
      <c r="L102" s="85" t="s">
        <v>146</v>
      </c>
      <c r="M102" s="139" t="s">
        <v>197</v>
      </c>
      <c r="N102" s="138" t="s">
        <v>196</v>
      </c>
      <c r="O102" s="8">
        <v>46081</v>
      </c>
      <c r="P102" s="12"/>
      <c r="Q102" s="60">
        <v>46095</v>
      </c>
      <c r="R102" s="8">
        <v>46097</v>
      </c>
      <c r="S102" s="32"/>
    </row>
    <row r="103" spans="1:19" s="2" customFormat="1" ht="19.649999999999999" customHeight="1" x14ac:dyDescent="0.2">
      <c r="A103" s="99" t="s">
        <v>55</v>
      </c>
      <c r="B103" s="121" t="s">
        <v>194</v>
      </c>
      <c r="C103" s="13"/>
      <c r="D103" s="78">
        <f t="shared" si="15"/>
        <v>53</v>
      </c>
      <c r="E103" s="82" t="s">
        <v>142</v>
      </c>
      <c r="F103" s="82" t="s">
        <v>142</v>
      </c>
      <c r="G103" s="83" t="s">
        <v>70</v>
      </c>
      <c r="H103" s="108">
        <v>6</v>
      </c>
      <c r="I103" s="127">
        <v>120</v>
      </c>
      <c r="J103" s="129">
        <f t="shared" si="14"/>
        <v>720</v>
      </c>
      <c r="K103" s="84"/>
      <c r="L103" s="85" t="s">
        <v>56</v>
      </c>
      <c r="M103" s="139" t="s">
        <v>197</v>
      </c>
      <c r="N103" s="138" t="s">
        <v>196</v>
      </c>
      <c r="O103" s="8">
        <v>46081</v>
      </c>
      <c r="P103" s="12"/>
      <c r="Q103" s="60">
        <v>46095</v>
      </c>
      <c r="R103" s="8">
        <v>46097</v>
      </c>
      <c r="S103" s="32"/>
    </row>
    <row r="104" spans="1:19" s="2" customFormat="1" ht="19.649999999999999" customHeight="1" x14ac:dyDescent="0.2">
      <c r="A104" s="99" t="s">
        <v>55</v>
      </c>
      <c r="B104" s="121" t="s">
        <v>194</v>
      </c>
      <c r="C104" s="13"/>
      <c r="D104" s="78">
        <f t="shared" si="15"/>
        <v>54</v>
      </c>
      <c r="E104" s="12" t="s">
        <v>84</v>
      </c>
      <c r="F104" s="12" t="s">
        <v>84</v>
      </c>
      <c r="G104" s="58" t="s">
        <v>147</v>
      </c>
      <c r="H104" s="104">
        <v>1</v>
      </c>
      <c r="I104" s="50">
        <v>2256</v>
      </c>
      <c r="J104" s="130">
        <f>H104*I104</f>
        <v>2256</v>
      </c>
      <c r="K104" s="55"/>
      <c r="L104" s="68" t="s">
        <v>105</v>
      </c>
      <c r="M104" s="139" t="s">
        <v>197</v>
      </c>
      <c r="N104" s="138" t="s">
        <v>196</v>
      </c>
      <c r="O104" s="8">
        <v>46081</v>
      </c>
      <c r="P104" s="12"/>
      <c r="Q104" s="60">
        <v>46095</v>
      </c>
      <c r="R104" s="8">
        <v>46097</v>
      </c>
      <c r="S104" s="32"/>
    </row>
    <row r="105" spans="1:19" s="2" customFormat="1" ht="19.649999999999999" customHeight="1" x14ac:dyDescent="0.2">
      <c r="A105" s="122" t="s">
        <v>185</v>
      </c>
      <c r="B105" s="121" t="s">
        <v>194</v>
      </c>
      <c r="C105" s="13"/>
      <c r="D105" s="78">
        <f t="shared" si="15"/>
        <v>55</v>
      </c>
      <c r="E105" s="12" t="s">
        <v>84</v>
      </c>
      <c r="F105" s="12" t="s">
        <v>84</v>
      </c>
      <c r="G105" s="58" t="s">
        <v>184</v>
      </c>
      <c r="H105" s="100">
        <v>1</v>
      </c>
      <c r="I105" s="50">
        <v>13900</v>
      </c>
      <c r="J105" s="130">
        <f>H105*I105</f>
        <v>13900</v>
      </c>
      <c r="K105" s="107"/>
      <c r="L105" s="14" t="s">
        <v>186</v>
      </c>
      <c r="M105" s="139" t="s">
        <v>197</v>
      </c>
      <c r="N105" s="138" t="s">
        <v>196</v>
      </c>
      <c r="O105" s="8">
        <v>46081</v>
      </c>
      <c r="P105" s="12"/>
      <c r="Q105" s="60">
        <v>46095</v>
      </c>
      <c r="R105" s="8">
        <v>46097</v>
      </c>
      <c r="S105" s="32"/>
    </row>
    <row r="106" spans="1:19" s="2" customFormat="1" ht="19.649999999999999" customHeight="1" x14ac:dyDescent="0.2">
      <c r="A106" s="99" t="s">
        <v>55</v>
      </c>
      <c r="B106" s="121" t="s">
        <v>194</v>
      </c>
      <c r="C106" s="13"/>
      <c r="D106" s="78">
        <f t="shared" si="15"/>
        <v>56</v>
      </c>
      <c r="E106" s="12" t="s">
        <v>84</v>
      </c>
      <c r="F106" s="12" t="s">
        <v>84</v>
      </c>
      <c r="G106" s="58" t="s">
        <v>148</v>
      </c>
      <c r="H106" s="104">
        <v>1</v>
      </c>
      <c r="I106" s="50">
        <v>4936</v>
      </c>
      <c r="J106" s="130">
        <f t="shared" ref="J106:J127" si="16">H106*I106</f>
        <v>4936</v>
      </c>
      <c r="K106" s="55"/>
      <c r="L106" s="16" t="s">
        <v>106</v>
      </c>
      <c r="M106" s="139" t="s">
        <v>197</v>
      </c>
      <c r="N106" s="138" t="s">
        <v>196</v>
      </c>
      <c r="O106" s="8">
        <v>46081</v>
      </c>
      <c r="P106" s="12"/>
      <c r="Q106" s="60">
        <v>46095</v>
      </c>
      <c r="R106" s="8">
        <v>46097</v>
      </c>
      <c r="S106" s="32"/>
    </row>
    <row r="107" spans="1:19" s="2" customFormat="1" ht="19.649999999999999" customHeight="1" x14ac:dyDescent="0.2">
      <c r="A107" s="99" t="s">
        <v>55</v>
      </c>
      <c r="B107" s="121" t="s">
        <v>194</v>
      </c>
      <c r="C107" s="13"/>
      <c r="D107" s="78">
        <f t="shared" si="15"/>
        <v>57</v>
      </c>
      <c r="E107" s="12" t="s">
        <v>84</v>
      </c>
      <c r="F107" s="12" t="s">
        <v>84</v>
      </c>
      <c r="G107" s="54" t="s">
        <v>107</v>
      </c>
      <c r="H107" s="104">
        <v>1</v>
      </c>
      <c r="I107" s="50">
        <v>5373</v>
      </c>
      <c r="J107" s="130">
        <f t="shared" si="16"/>
        <v>5373</v>
      </c>
      <c r="K107" s="55"/>
      <c r="L107" s="16" t="s">
        <v>108</v>
      </c>
      <c r="M107" s="139" t="s">
        <v>197</v>
      </c>
      <c r="N107" s="138" t="s">
        <v>196</v>
      </c>
      <c r="O107" s="8">
        <v>46081</v>
      </c>
      <c r="P107" s="12"/>
      <c r="Q107" s="60">
        <v>46095</v>
      </c>
      <c r="R107" s="8">
        <v>46097</v>
      </c>
      <c r="S107" s="32"/>
    </row>
    <row r="108" spans="1:19" s="2" customFormat="1" ht="19.649999999999999" customHeight="1" x14ac:dyDescent="0.2">
      <c r="A108" s="99" t="s">
        <v>55</v>
      </c>
      <c r="B108" s="121" t="s">
        <v>194</v>
      </c>
      <c r="C108" s="13"/>
      <c r="D108" s="78">
        <f t="shared" si="15"/>
        <v>58</v>
      </c>
      <c r="E108" s="12" t="s">
        <v>84</v>
      </c>
      <c r="F108" s="12" t="s">
        <v>84</v>
      </c>
      <c r="G108" s="54" t="s">
        <v>115</v>
      </c>
      <c r="H108" s="104">
        <v>1</v>
      </c>
      <c r="I108" s="50">
        <v>1638</v>
      </c>
      <c r="J108" s="130">
        <f t="shared" si="16"/>
        <v>1638</v>
      </c>
      <c r="K108" s="87"/>
      <c r="L108" s="16" t="s">
        <v>149</v>
      </c>
      <c r="M108" s="139" t="s">
        <v>197</v>
      </c>
      <c r="N108" s="138" t="s">
        <v>196</v>
      </c>
      <c r="O108" s="8">
        <v>46081</v>
      </c>
      <c r="P108" s="12"/>
      <c r="Q108" s="60">
        <v>46095</v>
      </c>
      <c r="R108" s="8">
        <v>46097</v>
      </c>
      <c r="S108" s="32"/>
    </row>
    <row r="109" spans="1:19" s="2" customFormat="1" ht="19.649999999999999" customHeight="1" x14ac:dyDescent="0.2">
      <c r="A109" s="99" t="s">
        <v>55</v>
      </c>
      <c r="B109" s="121" t="s">
        <v>194</v>
      </c>
      <c r="C109" s="13"/>
      <c r="D109" s="78">
        <f t="shared" si="15"/>
        <v>59</v>
      </c>
      <c r="E109" s="12" t="s">
        <v>84</v>
      </c>
      <c r="F109" s="12" t="s">
        <v>84</v>
      </c>
      <c r="G109" s="54" t="s">
        <v>150</v>
      </c>
      <c r="H109" s="104">
        <v>1</v>
      </c>
      <c r="I109" s="50">
        <v>1258</v>
      </c>
      <c r="J109" s="130">
        <f t="shared" si="16"/>
        <v>1258</v>
      </c>
      <c r="K109" s="69"/>
      <c r="L109" s="16" t="s">
        <v>109</v>
      </c>
      <c r="M109" s="139" t="s">
        <v>197</v>
      </c>
      <c r="N109" s="138" t="s">
        <v>196</v>
      </c>
      <c r="O109" s="8">
        <v>46081</v>
      </c>
      <c r="P109" s="12"/>
      <c r="Q109" s="60">
        <v>46095</v>
      </c>
      <c r="R109" s="8">
        <v>46097</v>
      </c>
      <c r="S109" s="32"/>
    </row>
    <row r="110" spans="1:19" s="2" customFormat="1" ht="19.649999999999999" customHeight="1" x14ac:dyDescent="0.2">
      <c r="A110" s="99" t="s">
        <v>55</v>
      </c>
      <c r="B110" s="121" t="s">
        <v>194</v>
      </c>
      <c r="C110" s="13"/>
      <c r="D110" s="78">
        <f t="shared" si="15"/>
        <v>60</v>
      </c>
      <c r="E110" s="12" t="s">
        <v>84</v>
      </c>
      <c r="F110" s="12" t="s">
        <v>84</v>
      </c>
      <c r="G110" s="54" t="s">
        <v>151</v>
      </c>
      <c r="H110" s="104">
        <v>1</v>
      </c>
      <c r="I110" s="50">
        <v>1317</v>
      </c>
      <c r="J110" s="130">
        <f t="shared" si="16"/>
        <v>1317</v>
      </c>
      <c r="K110" s="69"/>
      <c r="L110" s="16" t="s">
        <v>109</v>
      </c>
      <c r="M110" s="139" t="s">
        <v>197</v>
      </c>
      <c r="N110" s="138" t="s">
        <v>196</v>
      </c>
      <c r="O110" s="8">
        <v>46081</v>
      </c>
      <c r="P110" s="12"/>
      <c r="Q110" s="60">
        <v>46095</v>
      </c>
      <c r="R110" s="8">
        <v>46097</v>
      </c>
      <c r="S110" s="32"/>
    </row>
    <row r="111" spans="1:19" s="2" customFormat="1" ht="19.649999999999999" customHeight="1" x14ac:dyDescent="0.2">
      <c r="A111" s="99" t="s">
        <v>55</v>
      </c>
      <c r="B111" s="121" t="s">
        <v>194</v>
      </c>
      <c r="C111" s="13"/>
      <c r="D111" s="78">
        <f t="shared" si="15"/>
        <v>61</v>
      </c>
      <c r="E111" s="12" t="s">
        <v>84</v>
      </c>
      <c r="F111" s="12" t="s">
        <v>84</v>
      </c>
      <c r="G111" s="54" t="s">
        <v>152</v>
      </c>
      <c r="H111" s="104">
        <v>1</v>
      </c>
      <c r="I111" s="50">
        <v>1323</v>
      </c>
      <c r="J111" s="130">
        <f t="shared" si="16"/>
        <v>1323</v>
      </c>
      <c r="K111" s="69"/>
      <c r="L111" s="16" t="s">
        <v>109</v>
      </c>
      <c r="M111" s="139" t="s">
        <v>197</v>
      </c>
      <c r="N111" s="138" t="s">
        <v>196</v>
      </c>
      <c r="O111" s="8">
        <v>46081</v>
      </c>
      <c r="P111" s="12"/>
      <c r="Q111" s="60">
        <v>46095</v>
      </c>
      <c r="R111" s="8">
        <v>46097</v>
      </c>
      <c r="S111" s="32"/>
    </row>
    <row r="112" spans="1:19" s="2" customFormat="1" ht="19.649999999999999" customHeight="1" x14ac:dyDescent="0.2">
      <c r="A112" s="99" t="s">
        <v>55</v>
      </c>
      <c r="B112" s="121" t="s">
        <v>194</v>
      </c>
      <c r="C112" s="13"/>
      <c r="D112" s="78">
        <f>+D111+1</f>
        <v>62</v>
      </c>
      <c r="E112" s="63" t="s">
        <v>84</v>
      </c>
      <c r="F112" s="63" t="s">
        <v>84</v>
      </c>
      <c r="G112" s="64" t="s">
        <v>110</v>
      </c>
      <c r="H112" s="106">
        <v>1</v>
      </c>
      <c r="I112" s="126">
        <v>1019</v>
      </c>
      <c r="J112" s="131">
        <f>H112*I112</f>
        <v>1019</v>
      </c>
      <c r="K112" s="65"/>
      <c r="L112" s="70" t="s">
        <v>111</v>
      </c>
      <c r="M112" s="139" t="s">
        <v>197</v>
      </c>
      <c r="N112" s="138" t="s">
        <v>196</v>
      </c>
      <c r="O112" s="8">
        <v>46081</v>
      </c>
      <c r="P112" s="12"/>
      <c r="Q112" s="60">
        <v>46095</v>
      </c>
      <c r="R112" s="8">
        <v>46097</v>
      </c>
      <c r="S112" s="32"/>
    </row>
    <row r="113" spans="1:19" s="2" customFormat="1" ht="19.649999999999999" customHeight="1" x14ac:dyDescent="0.2">
      <c r="A113" s="99" t="s">
        <v>55</v>
      </c>
      <c r="B113" s="121" t="s">
        <v>194</v>
      </c>
      <c r="C113" s="13"/>
      <c r="D113" s="78">
        <f t="shared" si="15"/>
        <v>63</v>
      </c>
      <c r="E113" s="63" t="s">
        <v>112</v>
      </c>
      <c r="F113" s="63" t="s">
        <v>84</v>
      </c>
      <c r="G113" s="64" t="s">
        <v>153</v>
      </c>
      <c r="H113" s="103">
        <v>1</v>
      </c>
      <c r="I113" s="126">
        <v>1611</v>
      </c>
      <c r="J113" s="132">
        <f>H113*I113</f>
        <v>1611</v>
      </c>
      <c r="K113" s="71"/>
      <c r="L113" s="72" t="s">
        <v>113</v>
      </c>
      <c r="M113" s="139" t="s">
        <v>197</v>
      </c>
      <c r="N113" s="138" t="s">
        <v>196</v>
      </c>
      <c r="O113" s="8">
        <v>46081</v>
      </c>
      <c r="P113" s="12"/>
      <c r="Q113" s="60">
        <v>46095</v>
      </c>
      <c r="R113" s="8">
        <v>46097</v>
      </c>
      <c r="S113" s="32"/>
    </row>
    <row r="114" spans="1:19" s="2" customFormat="1" ht="19.649999999999999" customHeight="1" x14ac:dyDescent="0.2">
      <c r="A114" s="99" t="s">
        <v>55</v>
      </c>
      <c r="B114" s="121" t="s">
        <v>194</v>
      </c>
      <c r="C114" s="13"/>
      <c r="D114" s="78">
        <f t="shared" si="15"/>
        <v>64</v>
      </c>
      <c r="E114" s="63" t="s">
        <v>84</v>
      </c>
      <c r="F114" s="88" t="s">
        <v>84</v>
      </c>
      <c r="G114" s="57" t="s">
        <v>154</v>
      </c>
      <c r="H114" s="103">
        <v>8</v>
      </c>
      <c r="I114" s="126">
        <v>91</v>
      </c>
      <c r="J114" s="133">
        <f t="shared" ref="J114" si="17">H114*I114</f>
        <v>728</v>
      </c>
      <c r="K114" s="71"/>
      <c r="L114" s="20" t="s">
        <v>155</v>
      </c>
      <c r="M114" s="139" t="s">
        <v>197</v>
      </c>
      <c r="N114" s="138" t="s">
        <v>196</v>
      </c>
      <c r="O114" s="8">
        <v>46081</v>
      </c>
      <c r="P114" s="12"/>
      <c r="Q114" s="60">
        <v>46095</v>
      </c>
      <c r="R114" s="8">
        <v>46097</v>
      </c>
      <c r="S114" s="32"/>
    </row>
    <row r="115" spans="1:19" s="2" customFormat="1" ht="19.649999999999999" customHeight="1" x14ac:dyDescent="0.2">
      <c r="A115" s="99" t="s">
        <v>55</v>
      </c>
      <c r="B115" s="121" t="s">
        <v>194</v>
      </c>
      <c r="C115" s="51"/>
      <c r="D115" s="78">
        <f>+D114+1</f>
        <v>65</v>
      </c>
      <c r="E115" s="12" t="s">
        <v>84</v>
      </c>
      <c r="F115" s="12" t="s">
        <v>84</v>
      </c>
      <c r="G115" s="73" t="s">
        <v>114</v>
      </c>
      <c r="H115" s="51">
        <v>2</v>
      </c>
      <c r="I115" s="51">
        <v>346</v>
      </c>
      <c r="J115" s="134">
        <f t="shared" si="16"/>
        <v>692</v>
      </c>
      <c r="K115" s="1"/>
      <c r="L115" s="14" t="s">
        <v>94</v>
      </c>
      <c r="M115" s="139" t="s">
        <v>197</v>
      </c>
      <c r="N115" s="138" t="s">
        <v>196</v>
      </c>
      <c r="O115" s="8">
        <v>46081</v>
      </c>
      <c r="P115" s="12"/>
      <c r="Q115" s="60">
        <v>46095</v>
      </c>
      <c r="R115" s="8">
        <v>46097</v>
      </c>
      <c r="S115" s="32"/>
    </row>
    <row r="116" spans="1:19" s="2" customFormat="1" ht="19.649999999999999" customHeight="1" x14ac:dyDescent="0.2">
      <c r="A116" s="99" t="s">
        <v>55</v>
      </c>
      <c r="B116" s="121" t="s">
        <v>194</v>
      </c>
      <c r="C116" s="13"/>
      <c r="D116" s="78">
        <f t="shared" si="15"/>
        <v>66</v>
      </c>
      <c r="E116" s="82" t="s">
        <v>142</v>
      </c>
      <c r="F116" s="82" t="s">
        <v>142</v>
      </c>
      <c r="G116" s="83" t="s">
        <v>77</v>
      </c>
      <c r="H116" s="108">
        <v>2</v>
      </c>
      <c r="I116" s="127">
        <v>127</v>
      </c>
      <c r="J116" s="134">
        <f t="shared" si="16"/>
        <v>254</v>
      </c>
      <c r="K116" s="84"/>
      <c r="L116" s="85" t="s">
        <v>134</v>
      </c>
      <c r="M116" s="139" t="s">
        <v>197</v>
      </c>
      <c r="N116" s="138" t="s">
        <v>196</v>
      </c>
      <c r="O116" s="8">
        <v>46081</v>
      </c>
      <c r="P116" s="12"/>
      <c r="Q116" s="60">
        <v>46095</v>
      </c>
      <c r="R116" s="8">
        <v>46097</v>
      </c>
      <c r="S116" s="32"/>
    </row>
    <row r="117" spans="1:19" s="2" customFormat="1" ht="19.649999999999999" customHeight="1" x14ac:dyDescent="0.2">
      <c r="A117" s="99" t="s">
        <v>55</v>
      </c>
      <c r="B117" s="121" t="s">
        <v>194</v>
      </c>
      <c r="C117" s="13"/>
      <c r="D117" s="78">
        <f t="shared" si="15"/>
        <v>67</v>
      </c>
      <c r="E117" s="89" t="s">
        <v>156</v>
      </c>
      <c r="F117" s="63" t="s">
        <v>84</v>
      </c>
      <c r="G117" s="58" t="s">
        <v>157</v>
      </c>
      <c r="H117" s="114">
        <v>1</v>
      </c>
      <c r="I117" s="114">
        <v>622</v>
      </c>
      <c r="J117" s="131">
        <f t="shared" si="16"/>
        <v>622</v>
      </c>
      <c r="K117" s="1"/>
      <c r="L117" s="19" t="s">
        <v>158</v>
      </c>
      <c r="M117" s="139" t="s">
        <v>197</v>
      </c>
      <c r="N117" s="138" t="s">
        <v>196</v>
      </c>
      <c r="O117" s="8">
        <v>46081</v>
      </c>
      <c r="P117" s="12"/>
      <c r="Q117" s="60">
        <v>46095</v>
      </c>
      <c r="R117" s="8">
        <v>46097</v>
      </c>
      <c r="S117" s="32"/>
    </row>
    <row r="118" spans="1:19" s="2" customFormat="1" ht="19.649999999999999" customHeight="1" x14ac:dyDescent="0.2">
      <c r="A118" s="99" t="s">
        <v>55</v>
      </c>
      <c r="B118" s="121" t="s">
        <v>194</v>
      </c>
      <c r="C118" s="13"/>
      <c r="D118" s="78">
        <f t="shared" si="15"/>
        <v>68</v>
      </c>
      <c r="E118" s="63" t="s">
        <v>84</v>
      </c>
      <c r="F118" s="63" t="s">
        <v>84</v>
      </c>
      <c r="G118" s="90" t="s">
        <v>159</v>
      </c>
      <c r="H118" s="51">
        <v>2</v>
      </c>
      <c r="I118" s="51">
        <v>158</v>
      </c>
      <c r="J118" s="131">
        <f t="shared" si="16"/>
        <v>316</v>
      </c>
      <c r="K118" s="91"/>
      <c r="L118" s="16" t="s">
        <v>160</v>
      </c>
      <c r="M118" s="139" t="s">
        <v>197</v>
      </c>
      <c r="N118" s="138" t="s">
        <v>196</v>
      </c>
      <c r="O118" s="8">
        <v>46081</v>
      </c>
      <c r="P118" s="12"/>
      <c r="Q118" s="60">
        <v>46095</v>
      </c>
      <c r="R118" s="8">
        <v>46097</v>
      </c>
      <c r="S118" s="32"/>
    </row>
    <row r="119" spans="1:19" s="2" customFormat="1" ht="19.649999999999999" customHeight="1" x14ac:dyDescent="0.2">
      <c r="A119" s="99" t="s">
        <v>55</v>
      </c>
      <c r="B119" s="121" t="s">
        <v>194</v>
      </c>
      <c r="C119" s="13"/>
      <c r="D119" s="78">
        <f t="shared" si="15"/>
        <v>69</v>
      </c>
      <c r="E119" s="89" t="s">
        <v>84</v>
      </c>
      <c r="F119" s="89" t="s">
        <v>84</v>
      </c>
      <c r="G119" s="56" t="s">
        <v>161</v>
      </c>
      <c r="H119" s="115">
        <v>1</v>
      </c>
      <c r="I119" s="50">
        <v>346</v>
      </c>
      <c r="J119" s="135">
        <f t="shared" si="16"/>
        <v>346</v>
      </c>
      <c r="K119" s="44"/>
      <c r="L119" s="49" t="s">
        <v>162</v>
      </c>
      <c r="M119" s="139" t="s">
        <v>197</v>
      </c>
      <c r="N119" s="138" t="s">
        <v>196</v>
      </c>
      <c r="O119" s="8">
        <v>46081</v>
      </c>
      <c r="P119" s="12"/>
      <c r="Q119" s="60">
        <v>46095</v>
      </c>
      <c r="R119" s="8">
        <v>46097</v>
      </c>
      <c r="S119" s="32"/>
    </row>
    <row r="120" spans="1:19" s="2" customFormat="1" ht="19.649999999999999" customHeight="1" x14ac:dyDescent="0.2">
      <c r="A120" s="99" t="s">
        <v>55</v>
      </c>
      <c r="B120" s="121" t="s">
        <v>194</v>
      </c>
      <c r="C120" s="51"/>
      <c r="D120" s="78">
        <f t="shared" si="15"/>
        <v>70</v>
      </c>
      <c r="E120" s="12" t="s">
        <v>84</v>
      </c>
      <c r="F120" s="12" t="s">
        <v>84</v>
      </c>
      <c r="G120" s="92" t="s">
        <v>183</v>
      </c>
      <c r="H120" s="51">
        <v>1</v>
      </c>
      <c r="I120" s="101">
        <v>3506</v>
      </c>
      <c r="J120" s="101">
        <f t="shared" si="16"/>
        <v>3506</v>
      </c>
      <c r="K120" s="75"/>
      <c r="L120" s="16" t="s">
        <v>182</v>
      </c>
      <c r="M120" s="139" t="s">
        <v>197</v>
      </c>
      <c r="N120" s="138" t="s">
        <v>196</v>
      </c>
      <c r="O120" s="8">
        <v>46081</v>
      </c>
      <c r="P120" s="12"/>
      <c r="Q120" s="60">
        <v>46095</v>
      </c>
      <c r="R120" s="8">
        <v>46097</v>
      </c>
      <c r="S120" s="32"/>
    </row>
    <row r="121" spans="1:19" s="2" customFormat="1" ht="19.649999999999999" customHeight="1" x14ac:dyDescent="0.2">
      <c r="A121" s="99" t="s">
        <v>55</v>
      </c>
      <c r="B121" s="121" t="s">
        <v>194</v>
      </c>
      <c r="C121" s="51"/>
      <c r="D121" s="78">
        <f t="shared" si="15"/>
        <v>71</v>
      </c>
      <c r="E121" s="15" t="s">
        <v>84</v>
      </c>
      <c r="F121" s="15" t="s">
        <v>84</v>
      </c>
      <c r="G121" s="57" t="s">
        <v>181</v>
      </c>
      <c r="H121" s="104">
        <v>1</v>
      </c>
      <c r="I121" s="125">
        <v>3010</v>
      </c>
      <c r="J121" s="136">
        <f t="shared" si="16"/>
        <v>3010</v>
      </c>
      <c r="K121" s="1"/>
      <c r="L121" s="16" t="s">
        <v>182</v>
      </c>
      <c r="M121" s="139" t="s">
        <v>197</v>
      </c>
      <c r="N121" s="138" t="s">
        <v>196</v>
      </c>
      <c r="O121" s="8">
        <v>46081</v>
      </c>
      <c r="P121" s="12"/>
      <c r="Q121" s="60">
        <v>46095</v>
      </c>
      <c r="R121" s="8">
        <v>46097</v>
      </c>
      <c r="S121" s="32"/>
    </row>
    <row r="122" spans="1:19" s="2" customFormat="1" ht="19.649999999999999" customHeight="1" x14ac:dyDescent="0.2">
      <c r="A122" s="99" t="s">
        <v>55</v>
      </c>
      <c r="B122" s="121" t="s">
        <v>194</v>
      </c>
      <c r="C122" s="13"/>
      <c r="D122" s="78">
        <f t="shared" si="15"/>
        <v>72</v>
      </c>
      <c r="E122" s="110" t="s">
        <v>178</v>
      </c>
      <c r="F122" s="12" t="s">
        <v>84</v>
      </c>
      <c r="G122" s="112" t="s">
        <v>179</v>
      </c>
      <c r="H122" s="51">
        <v>1</v>
      </c>
      <c r="I122" s="104">
        <v>2560</v>
      </c>
      <c r="J122" s="101">
        <f t="shared" si="16"/>
        <v>2560</v>
      </c>
      <c r="K122" s="113"/>
      <c r="L122" s="16" t="s">
        <v>180</v>
      </c>
      <c r="M122" s="139" t="s">
        <v>197</v>
      </c>
      <c r="N122" s="138" t="s">
        <v>196</v>
      </c>
      <c r="O122" s="8">
        <v>46081</v>
      </c>
      <c r="P122" s="12"/>
      <c r="Q122" s="60">
        <v>46095</v>
      </c>
      <c r="R122" s="8">
        <v>46097</v>
      </c>
      <c r="S122" s="32"/>
    </row>
    <row r="123" spans="1:19" s="2" customFormat="1" ht="19.649999999999999" customHeight="1" x14ac:dyDescent="0.2">
      <c r="A123" s="99" t="s">
        <v>55</v>
      </c>
      <c r="B123" s="121" t="s">
        <v>194</v>
      </c>
      <c r="C123" s="13"/>
      <c r="D123" s="78">
        <f t="shared" si="15"/>
        <v>73</v>
      </c>
      <c r="E123" s="42" t="s">
        <v>163</v>
      </c>
      <c r="F123" s="12" t="s">
        <v>87</v>
      </c>
      <c r="G123" s="93" t="s">
        <v>164</v>
      </c>
      <c r="H123" s="109">
        <v>2</v>
      </c>
      <c r="I123" s="128">
        <v>1450</v>
      </c>
      <c r="J123" s="123">
        <f t="shared" si="16"/>
        <v>2900</v>
      </c>
      <c r="K123" s="94"/>
      <c r="L123" s="95" t="s">
        <v>165</v>
      </c>
      <c r="M123" s="139" t="s">
        <v>197</v>
      </c>
      <c r="N123" s="138" t="s">
        <v>196</v>
      </c>
      <c r="O123" s="8">
        <v>46081</v>
      </c>
      <c r="P123" s="12"/>
      <c r="Q123" s="60">
        <v>46095</v>
      </c>
      <c r="R123" s="8">
        <v>46097</v>
      </c>
      <c r="S123" s="32"/>
    </row>
    <row r="124" spans="1:19" s="2" customFormat="1" ht="19.649999999999999" customHeight="1" x14ac:dyDescent="0.2">
      <c r="A124" s="99" t="s">
        <v>55</v>
      </c>
      <c r="B124" s="121" t="s">
        <v>194</v>
      </c>
      <c r="C124" s="13"/>
      <c r="D124" s="78">
        <f t="shared" si="15"/>
        <v>74</v>
      </c>
      <c r="E124" s="42" t="s">
        <v>163</v>
      </c>
      <c r="F124" s="12" t="s">
        <v>87</v>
      </c>
      <c r="G124" s="93" t="s">
        <v>166</v>
      </c>
      <c r="H124" s="109">
        <v>2</v>
      </c>
      <c r="I124" s="128">
        <v>409</v>
      </c>
      <c r="J124" s="137">
        <f t="shared" si="16"/>
        <v>818</v>
      </c>
      <c r="K124" s="94"/>
      <c r="L124" s="95" t="s">
        <v>167</v>
      </c>
      <c r="M124" s="139" t="s">
        <v>197</v>
      </c>
      <c r="N124" s="138" t="s">
        <v>196</v>
      </c>
      <c r="O124" s="8">
        <v>46081</v>
      </c>
      <c r="P124" s="12"/>
      <c r="Q124" s="60">
        <v>46095</v>
      </c>
      <c r="R124" s="8">
        <v>46097</v>
      </c>
      <c r="S124" s="32"/>
    </row>
    <row r="125" spans="1:19" s="2" customFormat="1" ht="19.649999999999999" customHeight="1" x14ac:dyDescent="0.2">
      <c r="A125" s="99" t="s">
        <v>55</v>
      </c>
      <c r="B125" s="121" t="s">
        <v>194</v>
      </c>
      <c r="C125" s="13"/>
      <c r="D125" s="78">
        <f t="shared" si="15"/>
        <v>75</v>
      </c>
      <c r="E125" s="42" t="s">
        <v>163</v>
      </c>
      <c r="F125" s="12" t="s">
        <v>87</v>
      </c>
      <c r="G125" s="93" t="s">
        <v>168</v>
      </c>
      <c r="H125" s="109">
        <v>2</v>
      </c>
      <c r="I125" s="128">
        <v>45</v>
      </c>
      <c r="J125" s="137">
        <f t="shared" si="16"/>
        <v>90</v>
      </c>
      <c r="K125" s="94"/>
      <c r="L125" s="95" t="s">
        <v>169</v>
      </c>
      <c r="M125" s="139" t="s">
        <v>197</v>
      </c>
      <c r="N125" s="138" t="s">
        <v>196</v>
      </c>
      <c r="O125" s="8">
        <v>46081</v>
      </c>
      <c r="P125" s="12"/>
      <c r="Q125" s="60">
        <v>46095</v>
      </c>
      <c r="R125" s="8">
        <v>46097</v>
      </c>
      <c r="S125" s="32"/>
    </row>
    <row r="126" spans="1:19" s="2" customFormat="1" ht="19.649999999999999" customHeight="1" x14ac:dyDescent="0.2">
      <c r="A126" s="99" t="s">
        <v>55</v>
      </c>
      <c r="B126" s="121" t="s">
        <v>194</v>
      </c>
      <c r="C126" s="13"/>
      <c r="D126" s="78">
        <f t="shared" si="15"/>
        <v>76</v>
      </c>
      <c r="E126" s="74" t="s">
        <v>84</v>
      </c>
      <c r="F126" s="74" t="s">
        <v>84</v>
      </c>
      <c r="G126" s="76" t="s">
        <v>116</v>
      </c>
      <c r="H126" s="101">
        <v>1</v>
      </c>
      <c r="I126" s="101">
        <v>5451</v>
      </c>
      <c r="J126" s="130">
        <f t="shared" si="16"/>
        <v>5451</v>
      </c>
      <c r="K126" s="77"/>
      <c r="L126" s="96" t="s">
        <v>117</v>
      </c>
      <c r="M126" s="139" t="s">
        <v>197</v>
      </c>
      <c r="N126" s="138" t="s">
        <v>196</v>
      </c>
      <c r="O126" s="8">
        <v>46081</v>
      </c>
      <c r="P126" s="12"/>
      <c r="Q126" s="60">
        <v>46095</v>
      </c>
      <c r="R126" s="8">
        <v>46097</v>
      </c>
      <c r="S126" s="32"/>
    </row>
    <row r="127" spans="1:19" s="2" customFormat="1" ht="19.649999999999999" customHeight="1" x14ac:dyDescent="0.2">
      <c r="A127" s="99" t="s">
        <v>55</v>
      </c>
      <c r="B127" s="121" t="s">
        <v>194</v>
      </c>
      <c r="C127" s="13"/>
      <c r="D127" s="78">
        <f>+D126+1</f>
        <v>77</v>
      </c>
      <c r="E127" s="63" t="s">
        <v>84</v>
      </c>
      <c r="F127" s="63" t="s">
        <v>84</v>
      </c>
      <c r="G127" s="98" t="s">
        <v>170</v>
      </c>
      <c r="H127" s="51">
        <v>2</v>
      </c>
      <c r="I127" s="101">
        <v>247</v>
      </c>
      <c r="J127" s="134">
        <f t="shared" si="16"/>
        <v>494</v>
      </c>
      <c r="K127" s="1"/>
      <c r="L127" s="97" t="s">
        <v>171</v>
      </c>
      <c r="M127" s="139" t="s">
        <v>197</v>
      </c>
      <c r="N127" s="138" t="s">
        <v>196</v>
      </c>
      <c r="O127" s="8">
        <v>46081</v>
      </c>
      <c r="P127" s="12"/>
      <c r="Q127" s="60">
        <v>46095</v>
      </c>
      <c r="R127" s="8">
        <v>46097</v>
      </c>
      <c r="S127" s="32"/>
    </row>
    <row r="128" spans="1:19" s="2" customFormat="1" ht="19.649999999999999" customHeight="1" x14ac:dyDescent="0.2">
      <c r="A128" s="13"/>
      <c r="B128" s="13"/>
      <c r="C128" s="13"/>
      <c r="D128" s="12"/>
      <c r="E128" s="12"/>
      <c r="F128" s="12"/>
      <c r="G128" s="59"/>
      <c r="H128" s="13"/>
      <c r="I128" s="27"/>
      <c r="J128" s="61"/>
      <c r="K128" s="1"/>
      <c r="L128" s="16"/>
      <c r="M128" s="16"/>
      <c r="N128" s="13"/>
      <c r="O128" s="8"/>
      <c r="P128" s="12"/>
      <c r="Q128" s="60"/>
      <c r="R128" s="8"/>
      <c r="S128" s="32"/>
    </row>
    <row r="129" spans="1:19" s="2" customFormat="1" ht="19.649999999999999" customHeight="1" x14ac:dyDescent="0.2">
      <c r="A129" s="13"/>
      <c r="B129" s="13"/>
      <c r="C129" s="13"/>
      <c r="D129" s="12"/>
      <c r="E129" s="12"/>
      <c r="F129" s="12"/>
      <c r="G129" s="23">
        <f>SUM(J99:J128)</f>
        <v>70211</v>
      </c>
      <c r="H129" s="13"/>
      <c r="I129" s="13"/>
      <c r="J129" s="1"/>
      <c r="K129" s="1"/>
      <c r="L129" s="13"/>
      <c r="M129" s="13"/>
      <c r="N129" s="13"/>
      <c r="O129" s="8"/>
      <c r="P129" s="12"/>
      <c r="Q129" s="13"/>
      <c r="R129" s="8"/>
      <c r="S129" s="32"/>
    </row>
    <row r="130" spans="1:19" s="2" customFormat="1" ht="19.649999999999999" customHeight="1" x14ac:dyDescent="0.2">
      <c r="A130" s="13"/>
      <c r="B130" s="13"/>
      <c r="C130" s="13"/>
      <c r="D130" s="12"/>
      <c r="E130" s="12"/>
      <c r="F130" s="12"/>
      <c r="G130" s="13"/>
      <c r="H130" s="13"/>
      <c r="I130" s="13"/>
      <c r="J130" s="1"/>
      <c r="K130" s="1"/>
      <c r="L130" s="13"/>
      <c r="M130" s="13"/>
      <c r="N130" s="13"/>
      <c r="O130" s="8"/>
      <c r="P130" s="12"/>
      <c r="Q130" s="13"/>
      <c r="R130" s="8"/>
      <c r="S130" s="32"/>
    </row>
    <row r="131" spans="1:19" s="2" customFormat="1" ht="19.649999999999999" customHeight="1" x14ac:dyDescent="0.2">
      <c r="A131" s="13"/>
      <c r="B131" s="13"/>
      <c r="C131" s="13"/>
      <c r="D131" s="12"/>
      <c r="E131" s="12"/>
      <c r="F131" s="12"/>
      <c r="G131" s="26"/>
      <c r="H131" s="13"/>
      <c r="I131" s="13"/>
      <c r="J131" s="1"/>
      <c r="K131" s="1"/>
      <c r="L131" s="13"/>
      <c r="M131" s="13"/>
      <c r="N131" s="13"/>
      <c r="O131" s="8"/>
      <c r="P131" s="12"/>
      <c r="Q131" s="13"/>
      <c r="R131" s="8"/>
      <c r="S131" s="32"/>
    </row>
    <row r="132" spans="1:19" s="2" customFormat="1" ht="19.649999999999999" customHeight="1" x14ac:dyDescent="0.2">
      <c r="A132" s="13"/>
      <c r="B132" s="13"/>
      <c r="C132" s="13"/>
      <c r="D132" s="12"/>
      <c r="E132" s="12"/>
      <c r="F132" s="12"/>
      <c r="G132" s="14"/>
      <c r="H132" s="41"/>
      <c r="I132" s="13"/>
      <c r="J132" s="17"/>
      <c r="K132" s="45"/>
      <c r="L132" s="14"/>
      <c r="M132" s="13"/>
      <c r="N132" s="13"/>
      <c r="O132" s="8"/>
      <c r="P132" s="12"/>
      <c r="Q132" s="13"/>
      <c r="R132" s="8"/>
      <c r="S132" s="32"/>
    </row>
    <row r="133" spans="1:19" s="2" customFormat="1" ht="19.649999999999999" customHeight="1" x14ac:dyDescent="0.2">
      <c r="A133" s="13"/>
      <c r="B133" s="13"/>
      <c r="C133" s="13"/>
      <c r="D133" s="12"/>
      <c r="E133" s="12"/>
      <c r="F133" s="12"/>
      <c r="G133" s="14"/>
      <c r="H133" s="41"/>
      <c r="I133" s="13"/>
      <c r="J133" s="17"/>
      <c r="K133" s="1"/>
      <c r="L133" s="14"/>
      <c r="M133" s="13"/>
      <c r="N133" s="13"/>
      <c r="O133" s="8"/>
      <c r="P133" s="12"/>
      <c r="Q133" s="13"/>
      <c r="R133" s="8"/>
      <c r="S133" s="32"/>
    </row>
    <row r="134" spans="1:19" s="2" customFormat="1" ht="19.649999999999999" customHeight="1" x14ac:dyDescent="0.2">
      <c r="A134" s="13"/>
      <c r="B134" s="13"/>
      <c r="C134" s="13"/>
      <c r="D134" s="12"/>
      <c r="E134" s="12"/>
      <c r="F134" s="12"/>
      <c r="G134" s="14"/>
      <c r="H134" s="41"/>
      <c r="I134" s="13"/>
      <c r="J134" s="17"/>
      <c r="K134" s="1"/>
      <c r="L134" s="14"/>
      <c r="M134" s="13"/>
      <c r="N134" s="13"/>
      <c r="O134" s="8"/>
      <c r="P134" s="12"/>
      <c r="Q134" s="13"/>
      <c r="R134" s="8"/>
      <c r="S134" s="32"/>
    </row>
    <row r="135" spans="1:19" s="2" customFormat="1" ht="19.649999999999999" customHeight="1" x14ac:dyDescent="0.2">
      <c r="A135" s="13"/>
      <c r="B135" s="13"/>
      <c r="C135" s="13"/>
      <c r="D135" s="12"/>
      <c r="E135" s="12"/>
      <c r="F135" s="12"/>
      <c r="G135" s="14"/>
      <c r="H135" s="41"/>
      <c r="I135" s="13"/>
      <c r="J135" s="17"/>
      <c r="K135" s="1"/>
      <c r="L135" s="14"/>
      <c r="M135" s="13"/>
      <c r="N135" s="13"/>
      <c r="O135" s="8"/>
      <c r="P135" s="12"/>
      <c r="Q135" s="13"/>
      <c r="R135" s="8"/>
      <c r="S135" s="32"/>
    </row>
    <row r="136" spans="1:19" s="24" customFormat="1" x14ac:dyDescent="0.2">
      <c r="A136"/>
      <c r="B136"/>
      <c r="C136"/>
      <c r="D136" s="2"/>
      <c r="E136"/>
      <c r="F136"/>
      <c r="G136"/>
      <c r="H136" s="2"/>
      <c r="I136" s="2"/>
      <c r="J136" s="37"/>
      <c r="K136" s="2"/>
      <c r="L136"/>
      <c r="M136"/>
      <c r="N136" s="2"/>
      <c r="O136" s="9"/>
      <c r="P136"/>
      <c r="Q136" s="6"/>
      <c r="R136" s="10"/>
      <c r="S136" s="11"/>
    </row>
  </sheetData>
  <mergeCells count="8">
    <mergeCell ref="D6:F6"/>
    <mergeCell ref="D2:F2"/>
    <mergeCell ref="I2:K2"/>
    <mergeCell ref="D3:F3"/>
    <mergeCell ref="J3:M4"/>
    <mergeCell ref="D4:F4"/>
    <mergeCell ref="I4:I5"/>
    <mergeCell ref="D5:F5"/>
  </mergeCells>
  <phoneticPr fontId="15"/>
  <dataValidations count="1">
    <dataValidation imeMode="hiragana" allowBlank="1" showInputMessage="1" showErrorMessage="1" sqref="L19 L21:L22 L24 L26:L28 L30 L70:L71 L80" xr:uid="{B2B48D1E-1D1B-47DF-89A6-D0DECD2C15CE}"/>
  </dataValidations>
  <pageMargins left="0" right="0" top="0" bottom="0" header="0" footer="0"/>
  <pageSetup paperSize="8" scale="65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21"/>
  <sheetViews>
    <sheetView topLeftCell="A109" workbookViewId="0">
      <selection activeCell="G123" sqref="G123:J123"/>
    </sheetView>
  </sheetViews>
  <sheetFormatPr defaultRowHeight="13.2" x14ac:dyDescent="0.2"/>
  <cols>
    <col min="3" max="3" width="19.88671875" customWidth="1"/>
  </cols>
  <sheetData>
    <row r="1" spans="2:7" x14ac:dyDescent="0.2">
      <c r="B1" t="s">
        <v>45</v>
      </c>
      <c r="D1" t="s">
        <v>44</v>
      </c>
      <c r="G1" t="s">
        <v>46</v>
      </c>
    </row>
    <row r="2" spans="2:7" x14ac:dyDescent="0.2">
      <c r="B2">
        <v>5914</v>
      </c>
      <c r="D2">
        <v>30500</v>
      </c>
      <c r="G2">
        <v>88326</v>
      </c>
    </row>
    <row r="3" spans="2:7" x14ac:dyDescent="0.2">
      <c r="B3">
        <v>792</v>
      </c>
      <c r="D3">
        <v>25000</v>
      </c>
      <c r="G3">
        <v>1596</v>
      </c>
    </row>
    <row r="4" spans="2:7" x14ac:dyDescent="0.2">
      <c r="B4">
        <v>3960</v>
      </c>
      <c r="D4">
        <v>25000</v>
      </c>
      <c r="G4">
        <v>1443</v>
      </c>
    </row>
    <row r="5" spans="2:7" x14ac:dyDescent="0.2">
      <c r="B5">
        <v>2376</v>
      </c>
      <c r="D5">
        <v>25000</v>
      </c>
      <c r="G5">
        <v>684</v>
      </c>
    </row>
    <row r="6" spans="2:7" x14ac:dyDescent="0.2">
      <c r="B6">
        <v>354</v>
      </c>
      <c r="D6">
        <v>13000</v>
      </c>
    </row>
    <row r="7" spans="2:7" x14ac:dyDescent="0.2">
      <c r="B7">
        <v>2376</v>
      </c>
      <c r="D7">
        <v>6500</v>
      </c>
    </row>
    <row r="8" spans="2:7" x14ac:dyDescent="0.2">
      <c r="B8">
        <v>354</v>
      </c>
      <c r="D8">
        <v>24000</v>
      </c>
      <c r="G8">
        <v>2034</v>
      </c>
    </row>
    <row r="9" spans="2:7" x14ac:dyDescent="0.2">
      <c r="B9">
        <v>4752</v>
      </c>
      <c r="D9">
        <v>13500</v>
      </c>
      <c r="G9">
        <v>67036</v>
      </c>
    </row>
    <row r="10" spans="2:7" x14ac:dyDescent="0.2">
      <c r="B10">
        <v>792</v>
      </c>
      <c r="G10">
        <v>82612</v>
      </c>
    </row>
    <row r="11" spans="2:7" x14ac:dyDescent="0.2">
      <c r="B11">
        <v>4355</v>
      </c>
      <c r="D11">
        <v>21500</v>
      </c>
      <c r="G11">
        <v>280</v>
      </c>
    </row>
    <row r="12" spans="2:7" x14ac:dyDescent="0.2">
      <c r="B12">
        <v>5226</v>
      </c>
      <c r="D12">
        <v>1080</v>
      </c>
      <c r="G12">
        <v>792</v>
      </c>
    </row>
    <row r="13" spans="2:7" x14ac:dyDescent="0.2">
      <c r="B13">
        <v>5820</v>
      </c>
      <c r="D13">
        <v>3840</v>
      </c>
      <c r="G13">
        <v>996</v>
      </c>
    </row>
    <row r="14" spans="2:7" x14ac:dyDescent="0.2">
      <c r="B14">
        <v>14697</v>
      </c>
      <c r="D14">
        <v>2380</v>
      </c>
      <c r="G14">
        <v>1120</v>
      </c>
    </row>
    <row r="15" spans="2:7" x14ac:dyDescent="0.2">
      <c r="B15">
        <v>3544</v>
      </c>
      <c r="G15">
        <v>3780</v>
      </c>
    </row>
    <row r="16" spans="2:7" x14ac:dyDescent="0.2">
      <c r="B16">
        <v>18650</v>
      </c>
      <c r="G16">
        <v>10740</v>
      </c>
    </row>
    <row r="17" spans="2:7" x14ac:dyDescent="0.2">
      <c r="B17">
        <v>1760</v>
      </c>
      <c r="D17">
        <v>2400</v>
      </c>
      <c r="G17">
        <v>1746</v>
      </c>
    </row>
    <row r="18" spans="2:7" x14ac:dyDescent="0.2">
      <c r="B18">
        <v>13160</v>
      </c>
      <c r="D18">
        <v>12000</v>
      </c>
      <c r="G18">
        <v>47364</v>
      </c>
    </row>
    <row r="19" spans="2:7" x14ac:dyDescent="0.2">
      <c r="B19">
        <v>15760</v>
      </c>
      <c r="D19">
        <v>124628</v>
      </c>
      <c r="G19">
        <v>280</v>
      </c>
    </row>
    <row r="20" spans="2:7" x14ac:dyDescent="0.2">
      <c r="B20">
        <v>17620</v>
      </c>
      <c r="G20">
        <v>996</v>
      </c>
    </row>
    <row r="21" spans="2:7" x14ac:dyDescent="0.2">
      <c r="B21">
        <v>472</v>
      </c>
      <c r="D21">
        <f>SUM(D2:D20)</f>
        <v>330328</v>
      </c>
      <c r="G21">
        <v>945</v>
      </c>
    </row>
    <row r="22" spans="2:7" x14ac:dyDescent="0.2">
      <c r="B22">
        <v>880</v>
      </c>
      <c r="G22">
        <v>1746</v>
      </c>
    </row>
    <row r="23" spans="2:7" x14ac:dyDescent="0.2">
      <c r="B23">
        <v>60000</v>
      </c>
      <c r="G23">
        <v>27140</v>
      </c>
    </row>
    <row r="24" spans="2:7" x14ac:dyDescent="0.2">
      <c r="B24">
        <v>20000</v>
      </c>
      <c r="G24">
        <v>888</v>
      </c>
    </row>
    <row r="25" spans="2:7" x14ac:dyDescent="0.2">
      <c r="B25">
        <v>368</v>
      </c>
      <c r="G25">
        <v>720</v>
      </c>
    </row>
    <row r="26" spans="2:7" x14ac:dyDescent="0.2">
      <c r="B26">
        <v>4364</v>
      </c>
      <c r="G26">
        <v>39490</v>
      </c>
    </row>
    <row r="27" spans="2:7" x14ac:dyDescent="0.2">
      <c r="B27">
        <v>23530</v>
      </c>
      <c r="G27">
        <v>720</v>
      </c>
    </row>
    <row r="28" spans="2:7" x14ac:dyDescent="0.2">
      <c r="B28">
        <v>448</v>
      </c>
      <c r="G28">
        <v>31421</v>
      </c>
    </row>
    <row r="29" spans="2:7" x14ac:dyDescent="0.2">
      <c r="B29">
        <v>37774</v>
      </c>
      <c r="G29">
        <v>280</v>
      </c>
    </row>
    <row r="30" spans="2:7" x14ac:dyDescent="0.2">
      <c r="B30">
        <v>784</v>
      </c>
      <c r="G30">
        <v>996</v>
      </c>
    </row>
    <row r="31" spans="2:7" x14ac:dyDescent="0.2">
      <c r="B31">
        <v>308</v>
      </c>
      <c r="G31">
        <v>945</v>
      </c>
    </row>
    <row r="32" spans="2:7" x14ac:dyDescent="0.2">
      <c r="B32">
        <v>561</v>
      </c>
      <c r="G32">
        <v>1608</v>
      </c>
    </row>
    <row r="33" spans="2:7" x14ac:dyDescent="0.2">
      <c r="B33">
        <v>392</v>
      </c>
      <c r="G33">
        <v>150000</v>
      </c>
    </row>
    <row r="34" spans="2:7" x14ac:dyDescent="0.2">
      <c r="B34">
        <v>304</v>
      </c>
      <c r="G34">
        <v>5076</v>
      </c>
    </row>
    <row r="35" spans="2:7" x14ac:dyDescent="0.2">
      <c r="B35">
        <v>25343</v>
      </c>
      <c r="G35">
        <v>3492</v>
      </c>
    </row>
    <row r="36" spans="2:7" x14ac:dyDescent="0.2">
      <c r="B36">
        <v>374</v>
      </c>
      <c r="G36">
        <v>90000</v>
      </c>
    </row>
    <row r="37" spans="2:7" x14ac:dyDescent="0.2">
      <c r="B37">
        <v>308</v>
      </c>
      <c r="G37">
        <v>8025</v>
      </c>
    </row>
    <row r="38" spans="2:7" x14ac:dyDescent="0.2">
      <c r="B38">
        <v>191</v>
      </c>
      <c r="G38">
        <v>20480</v>
      </c>
    </row>
    <row r="39" spans="2:7" x14ac:dyDescent="0.2">
      <c r="B39">
        <v>2646</v>
      </c>
      <c r="G39">
        <v>50000</v>
      </c>
    </row>
    <row r="40" spans="2:7" x14ac:dyDescent="0.2">
      <c r="B40">
        <v>38972</v>
      </c>
      <c r="G40">
        <v>8025</v>
      </c>
    </row>
    <row r="41" spans="2:7" x14ac:dyDescent="0.2">
      <c r="B41">
        <v>224</v>
      </c>
      <c r="G41">
        <v>20480</v>
      </c>
    </row>
    <row r="42" spans="2:7" x14ac:dyDescent="0.2">
      <c r="B42">
        <v>308</v>
      </c>
      <c r="G42">
        <v>145000</v>
      </c>
    </row>
    <row r="43" spans="2:7" x14ac:dyDescent="0.2">
      <c r="B43">
        <v>904</v>
      </c>
      <c r="G43">
        <v>8025</v>
      </c>
    </row>
    <row r="44" spans="2:7" x14ac:dyDescent="0.2">
      <c r="B44">
        <v>304</v>
      </c>
      <c r="G44">
        <v>20480</v>
      </c>
    </row>
    <row r="45" spans="2:7" x14ac:dyDescent="0.2">
      <c r="B45">
        <v>28588</v>
      </c>
      <c r="G45">
        <v>1880</v>
      </c>
    </row>
    <row r="46" spans="2:7" x14ac:dyDescent="0.2">
      <c r="B46">
        <v>224</v>
      </c>
      <c r="G46">
        <v>50000</v>
      </c>
    </row>
    <row r="47" spans="2:7" x14ac:dyDescent="0.2">
      <c r="B47">
        <v>374</v>
      </c>
      <c r="G47">
        <v>8025</v>
      </c>
    </row>
    <row r="48" spans="2:7" x14ac:dyDescent="0.2">
      <c r="B48">
        <v>374</v>
      </c>
      <c r="G48">
        <v>20480</v>
      </c>
    </row>
    <row r="49" spans="2:7" x14ac:dyDescent="0.2">
      <c r="B49">
        <v>191</v>
      </c>
      <c r="G49">
        <v>80000</v>
      </c>
    </row>
    <row r="50" spans="2:7" x14ac:dyDescent="0.2">
      <c r="B50">
        <v>904</v>
      </c>
      <c r="G50">
        <v>8025</v>
      </c>
    </row>
    <row r="51" spans="2:7" x14ac:dyDescent="0.2">
      <c r="B51">
        <v>8362</v>
      </c>
      <c r="G51">
        <v>20480</v>
      </c>
    </row>
    <row r="52" spans="2:7" x14ac:dyDescent="0.2">
      <c r="B52">
        <v>112</v>
      </c>
      <c r="G52">
        <v>1880</v>
      </c>
    </row>
    <row r="53" spans="2:7" x14ac:dyDescent="0.2">
      <c r="B53">
        <v>56</v>
      </c>
      <c r="G53">
        <v>110000</v>
      </c>
    </row>
    <row r="54" spans="2:7" x14ac:dyDescent="0.2">
      <c r="B54">
        <v>20.6</v>
      </c>
      <c r="G54">
        <v>8025</v>
      </c>
    </row>
    <row r="55" spans="2:7" x14ac:dyDescent="0.2">
      <c r="B55">
        <v>5915</v>
      </c>
      <c r="G55">
        <v>20480</v>
      </c>
    </row>
    <row r="56" spans="2:7" x14ac:dyDescent="0.2">
      <c r="B56">
        <v>56</v>
      </c>
      <c r="G56">
        <v>1880</v>
      </c>
    </row>
    <row r="57" spans="2:7" x14ac:dyDescent="0.2">
      <c r="B57">
        <v>56</v>
      </c>
    </row>
    <row r="58" spans="2:7" x14ac:dyDescent="0.2">
      <c r="B58">
        <v>20.6</v>
      </c>
      <c r="G58">
        <f>SUM(G8:G57)</f>
        <v>1186913</v>
      </c>
    </row>
    <row r="59" spans="2:7" x14ac:dyDescent="0.2">
      <c r="B59">
        <v>23106</v>
      </c>
    </row>
    <row r="60" spans="2:7" x14ac:dyDescent="0.2">
      <c r="B60">
        <v>224</v>
      </c>
    </row>
    <row r="61" spans="2:7" x14ac:dyDescent="0.2">
      <c r="B61">
        <v>112</v>
      </c>
    </row>
    <row r="62" spans="2:7" x14ac:dyDescent="0.2">
      <c r="B62">
        <v>41.2</v>
      </c>
    </row>
    <row r="63" spans="2:7" x14ac:dyDescent="0.2">
      <c r="B63">
        <v>12832</v>
      </c>
    </row>
    <row r="64" spans="2:7" x14ac:dyDescent="0.2">
      <c r="B64">
        <v>84</v>
      </c>
    </row>
    <row r="65" spans="2:2" x14ac:dyDescent="0.2">
      <c r="B65">
        <v>84</v>
      </c>
    </row>
    <row r="66" spans="2:2" x14ac:dyDescent="0.2">
      <c r="B66">
        <v>30.900000000000002</v>
      </c>
    </row>
    <row r="67" spans="2:2" x14ac:dyDescent="0.2">
      <c r="B67">
        <v>32635</v>
      </c>
    </row>
    <row r="68" spans="2:2" x14ac:dyDescent="0.2">
      <c r="B68">
        <v>560</v>
      </c>
    </row>
    <row r="69" spans="2:2" x14ac:dyDescent="0.2">
      <c r="B69">
        <v>280</v>
      </c>
    </row>
    <row r="70" spans="2:2" x14ac:dyDescent="0.2">
      <c r="B70">
        <v>103</v>
      </c>
    </row>
    <row r="71" spans="2:2" x14ac:dyDescent="0.2">
      <c r="B71">
        <v>5826</v>
      </c>
    </row>
    <row r="72" spans="2:2" x14ac:dyDescent="0.2">
      <c r="B72">
        <v>224</v>
      </c>
    </row>
    <row r="73" spans="2:2" x14ac:dyDescent="0.2">
      <c r="B73">
        <v>4136</v>
      </c>
    </row>
    <row r="74" spans="2:2" x14ac:dyDescent="0.2">
      <c r="B74">
        <v>112</v>
      </c>
    </row>
    <row r="75" spans="2:2" x14ac:dyDescent="0.2">
      <c r="B75">
        <v>4492</v>
      </c>
    </row>
    <row r="76" spans="2:2" x14ac:dyDescent="0.2">
      <c r="B76">
        <v>112</v>
      </c>
    </row>
    <row r="77" spans="2:2" x14ac:dyDescent="0.2">
      <c r="B77">
        <v>56</v>
      </c>
    </row>
    <row r="78" spans="2:2" x14ac:dyDescent="0.2">
      <c r="B78">
        <v>20.6</v>
      </c>
    </row>
    <row r="79" spans="2:2" x14ac:dyDescent="0.2">
      <c r="B79">
        <v>7294</v>
      </c>
    </row>
    <row r="80" spans="2:2" x14ac:dyDescent="0.2">
      <c r="B80">
        <v>224</v>
      </c>
    </row>
    <row r="81" spans="2:2" x14ac:dyDescent="0.2">
      <c r="B81">
        <v>4014</v>
      </c>
    </row>
    <row r="82" spans="2:2" x14ac:dyDescent="0.2">
      <c r="B82">
        <v>112</v>
      </c>
    </row>
    <row r="83" spans="2:2" x14ac:dyDescent="0.2">
      <c r="B83">
        <v>56</v>
      </c>
    </row>
    <row r="84" spans="2:2" x14ac:dyDescent="0.2">
      <c r="B84">
        <v>20.6</v>
      </c>
    </row>
    <row r="85" spans="2:2" x14ac:dyDescent="0.2">
      <c r="B85">
        <v>7539</v>
      </c>
    </row>
    <row r="86" spans="2:2" x14ac:dyDescent="0.2">
      <c r="B86">
        <v>112</v>
      </c>
    </row>
    <row r="87" spans="2:2" x14ac:dyDescent="0.2">
      <c r="B87">
        <v>56</v>
      </c>
    </row>
    <row r="88" spans="2:2" x14ac:dyDescent="0.2">
      <c r="B88">
        <v>20.6</v>
      </c>
    </row>
    <row r="89" spans="2:2" x14ac:dyDescent="0.2">
      <c r="B89">
        <v>15987</v>
      </c>
    </row>
    <row r="90" spans="2:2" x14ac:dyDescent="0.2">
      <c r="B90">
        <v>9784</v>
      </c>
    </row>
    <row r="91" spans="2:2" x14ac:dyDescent="0.2">
      <c r="B91">
        <v>224</v>
      </c>
    </row>
    <row r="92" spans="2:2" x14ac:dyDescent="0.2">
      <c r="B92">
        <v>5293</v>
      </c>
    </row>
    <row r="93" spans="2:2" x14ac:dyDescent="0.2">
      <c r="B93">
        <v>112</v>
      </c>
    </row>
    <row r="94" spans="2:2" x14ac:dyDescent="0.2">
      <c r="B94">
        <v>56</v>
      </c>
    </row>
    <row r="95" spans="2:2" x14ac:dyDescent="0.2">
      <c r="B95">
        <v>20.6</v>
      </c>
    </row>
    <row r="96" spans="2:2" x14ac:dyDescent="0.2">
      <c r="B96">
        <v>8062</v>
      </c>
    </row>
    <row r="97" spans="2:2" x14ac:dyDescent="0.2">
      <c r="B97">
        <v>112</v>
      </c>
    </row>
    <row r="98" spans="2:2" x14ac:dyDescent="0.2">
      <c r="B98">
        <v>56</v>
      </c>
    </row>
    <row r="99" spans="2:2" x14ac:dyDescent="0.2">
      <c r="B99">
        <v>20.6</v>
      </c>
    </row>
    <row r="100" spans="2:2" x14ac:dyDescent="0.2">
      <c r="B100">
        <v>13788</v>
      </c>
    </row>
    <row r="101" spans="2:2" x14ac:dyDescent="0.2">
      <c r="B101">
        <v>224</v>
      </c>
    </row>
    <row r="102" spans="2:2" x14ac:dyDescent="0.2">
      <c r="B102">
        <v>112</v>
      </c>
    </row>
    <row r="103" spans="2:2" x14ac:dyDescent="0.2">
      <c r="B103">
        <v>41.2</v>
      </c>
    </row>
    <row r="104" spans="2:2" x14ac:dyDescent="0.2">
      <c r="B104">
        <v>9073</v>
      </c>
    </row>
    <row r="105" spans="2:2" x14ac:dyDescent="0.2">
      <c r="B105">
        <v>41766</v>
      </c>
    </row>
    <row r="106" spans="2:2" x14ac:dyDescent="0.2">
      <c r="B106">
        <v>224</v>
      </c>
    </row>
    <row r="107" spans="2:2" x14ac:dyDescent="0.2">
      <c r="B107">
        <v>224</v>
      </c>
    </row>
    <row r="108" spans="2:2" x14ac:dyDescent="0.2">
      <c r="B108">
        <v>82.4</v>
      </c>
    </row>
    <row r="109" spans="2:2" x14ac:dyDescent="0.2">
      <c r="B109">
        <v>48594</v>
      </c>
    </row>
    <row r="110" spans="2:2" x14ac:dyDescent="0.2">
      <c r="B110">
        <v>112</v>
      </c>
    </row>
    <row r="111" spans="2:2" x14ac:dyDescent="0.2">
      <c r="B111">
        <v>112</v>
      </c>
    </row>
    <row r="112" spans="2:2" x14ac:dyDescent="0.2">
      <c r="B112">
        <v>41.2</v>
      </c>
    </row>
    <row r="113" spans="2:2" x14ac:dyDescent="0.2">
      <c r="B113">
        <v>5015</v>
      </c>
    </row>
    <row r="114" spans="2:2" x14ac:dyDescent="0.2">
      <c r="B114">
        <v>84</v>
      </c>
    </row>
    <row r="115" spans="2:2" x14ac:dyDescent="0.2">
      <c r="B115">
        <v>240</v>
      </c>
    </row>
    <row r="116" spans="2:2" x14ac:dyDescent="0.2">
      <c r="B116">
        <v>339</v>
      </c>
    </row>
    <row r="117" spans="2:2" x14ac:dyDescent="0.2">
      <c r="B117">
        <v>4364</v>
      </c>
    </row>
    <row r="118" spans="2:2" x14ac:dyDescent="0.2">
      <c r="B118">
        <v>23530</v>
      </c>
    </row>
    <row r="119" spans="2:2" x14ac:dyDescent="0.2">
      <c r="B119">
        <v>448</v>
      </c>
    </row>
    <row r="121" spans="2:2" x14ac:dyDescent="0.2">
      <c r="B121">
        <f>SUM(B2:B119)</f>
        <v>679934.09999999986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D990B-30BC-4F86-9BD5-38F4ECB58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SETB0298-A01　20260228 構成③</vt:lpstr>
      <vt:lpstr>Sheet3</vt:lpstr>
      <vt:lpstr>'SETB0298-A01　20260228 構成③'!Print_Area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齋藤 秀昭</cp:lastModifiedBy>
  <cp:lastPrinted>2018-12-14T00:20:12Z</cp:lastPrinted>
  <dcterms:created xsi:type="dcterms:W3CDTF">2011-12-13T06:48:43Z</dcterms:created>
  <dcterms:modified xsi:type="dcterms:W3CDTF">2026-03-18T00:51:19Z</dcterms:modified>
</cp:coreProperties>
</file>