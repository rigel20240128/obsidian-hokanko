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88B4E8C3-DCE1-4A59-94B7-4732C7F8F7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B0316-A01③ 2set (20260325)" sheetId="15" r:id="rId1"/>
    <sheet name="Sheet2" sheetId="2" r:id="rId2"/>
    <sheet name="Sheet3" sheetId="3" r:id="rId3"/>
  </sheets>
  <definedNames>
    <definedName name="_xlnm._FilterDatabase" localSheetId="0" hidden="1">'SETB0316-A01③ 2set (20260325)'!$D$8:$Q$239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8" i="15" l="1"/>
  <c r="J167" i="15"/>
  <c r="D167" i="15"/>
  <c r="J150" i="15"/>
  <c r="J149" i="15"/>
  <c r="J175" i="15"/>
  <c r="J226" i="15"/>
  <c r="J225" i="15"/>
  <c r="J224" i="15"/>
  <c r="J223" i="15"/>
  <c r="J146" i="15"/>
  <c r="J147" i="15"/>
  <c r="J148" i="15"/>
  <c r="J151" i="15"/>
  <c r="J152" i="15"/>
  <c r="J153" i="15"/>
  <c r="J154" i="15"/>
  <c r="J155" i="15"/>
  <c r="J15" i="15"/>
  <c r="J16" i="15"/>
  <c r="J17" i="15"/>
  <c r="J18" i="15"/>
  <c r="D168" i="15" l="1"/>
  <c r="J235" i="15"/>
  <c r="J234" i="15"/>
  <c r="J233" i="15"/>
  <c r="J222" i="15"/>
  <c r="C222" i="15"/>
  <c r="J221" i="15"/>
  <c r="C221" i="15"/>
  <c r="J220" i="15"/>
  <c r="C220" i="15"/>
  <c r="J219" i="15"/>
  <c r="J218" i="15"/>
  <c r="C218" i="15"/>
  <c r="J217" i="15"/>
  <c r="C217" i="15"/>
  <c r="J216" i="15"/>
  <c r="C216" i="15"/>
  <c r="J215" i="15"/>
  <c r="J214" i="15"/>
  <c r="J213" i="15"/>
  <c r="C213" i="15"/>
  <c r="J212" i="15"/>
  <c r="C212" i="15"/>
  <c r="J211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66" i="15"/>
  <c r="J165" i="15"/>
  <c r="J164" i="15"/>
  <c r="J163" i="15"/>
  <c r="J162" i="15"/>
  <c r="J161" i="15"/>
  <c r="J160" i="15"/>
  <c r="J159" i="15"/>
  <c r="J158" i="15"/>
  <c r="J157" i="15"/>
  <c r="J15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0" i="15"/>
  <c r="J89" i="15"/>
  <c r="J88" i="15"/>
  <c r="J87" i="15"/>
  <c r="J86" i="15"/>
  <c r="J85" i="15"/>
  <c r="J84" i="15"/>
  <c r="J83" i="15"/>
  <c r="J82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4" i="15"/>
  <c r="J13" i="15"/>
  <c r="J12" i="15"/>
  <c r="D13" i="15"/>
  <c r="D14" i="15" s="1"/>
  <c r="D15" i="15" s="1"/>
  <c r="D16" i="15" s="1"/>
  <c r="D17" i="15" l="1"/>
  <c r="D18" i="15" s="1"/>
  <c r="D19" i="15" s="1"/>
  <c r="D20" i="15" s="1"/>
  <c r="D21" i="15" s="1"/>
  <c r="D22" i="15" s="1"/>
  <c r="G115" i="15"/>
  <c r="G92" i="15"/>
  <c r="G205" i="15"/>
  <c r="G228" i="15"/>
  <c r="G77" i="15"/>
  <c r="G170" i="15"/>
  <c r="L2" i="15"/>
  <c r="D23" i="15" l="1"/>
  <c r="D24" i="15" l="1"/>
  <c r="D25" i="15" l="1"/>
  <c r="D26" i="15" s="1"/>
  <c r="D27" i="15" s="1"/>
  <c r="D28" i="15" s="1"/>
  <c r="D29" i="15" s="1"/>
  <c r="D30" i="15" s="1"/>
  <c r="D31" i="15" s="1"/>
  <c r="D32" i="15" s="1"/>
  <c r="D33" i="15" s="1"/>
  <c r="D34" i="15" s="1"/>
  <c r="D35" i="15" l="1"/>
  <c r="D36" i="15" s="1"/>
  <c r="D37" i="15" l="1"/>
  <c r="D38" i="15" l="1"/>
  <c r="D39" i="15" s="1"/>
  <c r="D40" i="15" s="1"/>
  <c r="D41" i="15" l="1"/>
  <c r="D42" i="15" s="1"/>
  <c r="D43" i="15" s="1"/>
  <c r="D44" i="15" s="1"/>
  <c r="D45" i="15" s="1"/>
  <c r="D46" i="15" s="1"/>
  <c r="D47" i="15" s="1"/>
  <c r="D48" i="15" s="1"/>
  <c r="D49" i="15" s="1"/>
  <c r="D50" i="15" s="1"/>
  <c r="D51" i="15" s="1"/>
  <c r="D52" i="15" s="1"/>
  <c r="D53" i="15" s="1"/>
  <c r="D54" i="15" s="1"/>
  <c r="D55" i="15" s="1"/>
  <c r="D56" i="15" s="1"/>
  <c r="D57" i="15" l="1"/>
  <c r="D58" i="15" s="1"/>
  <c r="D59" i="15" s="1"/>
  <c r="D60" i="15" s="1"/>
  <c r="D61" i="15" s="1"/>
  <c r="D62" i="15" s="1"/>
  <c r="D63" i="15" s="1"/>
  <c r="D64" i="15" s="1"/>
  <c r="D65" i="15" s="1"/>
  <c r="D66" i="15" s="1"/>
  <c r="D67" i="15" s="1"/>
  <c r="D68" i="15" s="1"/>
  <c r="D69" i="15" s="1"/>
  <c r="D70" i="15" s="1"/>
  <c r="D71" i="15" l="1"/>
  <c r="D72" i="15" s="1"/>
  <c r="D73" i="15" l="1"/>
  <c r="D74" i="15" s="1"/>
  <c r="D82" i="15" s="1"/>
  <c r="D83" i="15" s="1"/>
  <c r="D84" i="15" s="1"/>
  <c r="D85" i="15" s="1"/>
  <c r="D86" i="15" s="1"/>
  <c r="D87" i="15" s="1"/>
  <c r="D88" i="15" s="1"/>
  <c r="D89" i="15" s="1"/>
  <c r="D90" i="15" s="1"/>
  <c r="D98" i="15" l="1"/>
  <c r="D99" i="15" s="1"/>
  <c r="D100" i="15" s="1"/>
  <c r="D101" i="15" s="1"/>
  <c r="D102" i="15" s="1"/>
  <c r="D103" i="15" s="1"/>
  <c r="D104" i="15" s="1"/>
  <c r="D105" i="15" s="1"/>
  <c r="D106" i="15" s="1"/>
  <c r="D107" i="15" s="1"/>
  <c r="D108" i="15" s="1"/>
  <c r="D109" i="15" s="1"/>
  <c r="D110" i="15" s="1"/>
  <c r="D111" i="15" s="1"/>
  <c r="D112" i="15" s="1"/>
  <c r="D121" i="15" s="1"/>
  <c r="D122" i="15" s="1"/>
  <c r="D123" i="15" s="1"/>
  <c r="D124" i="15" s="1"/>
  <c r="D125" i="15" s="1"/>
  <c r="D126" i="15" s="1"/>
  <c r="D127" i="15" s="1"/>
  <c r="D128" i="15" s="1"/>
  <c r="D129" i="15" s="1"/>
  <c r="D130" i="15" s="1"/>
  <c r="D131" i="15" s="1"/>
  <c r="D132" i="15" s="1"/>
  <c r="D133" i="15" s="1"/>
  <c r="D134" i="15" s="1"/>
  <c r="D135" i="15" s="1"/>
  <c r="D136" i="15" s="1"/>
  <c r="D137" i="15" s="1"/>
  <c r="D138" i="15" s="1"/>
  <c r="D139" i="15" s="1"/>
  <c r="D140" i="15" s="1"/>
  <c r="D141" i="15" s="1"/>
  <c r="D142" i="15" s="1"/>
  <c r="D143" i="15" s="1"/>
  <c r="D144" i="15" s="1"/>
  <c r="D145" i="15" s="1"/>
  <c r="D146" i="15" s="1"/>
  <c r="D147" i="15" s="1"/>
  <c r="D148" i="15" s="1"/>
  <c r="D149" i="15" s="1"/>
  <c r="D150" i="15" s="1"/>
  <c r="D151" i="15" s="1"/>
  <c r="D152" i="15" s="1"/>
  <c r="D153" i="15" s="1"/>
  <c r="D154" i="15" s="1"/>
  <c r="D155" i="15" s="1"/>
  <c r="D156" i="15" s="1"/>
  <c r="D157" i="15" s="1"/>
  <c r="D158" i="15" s="1"/>
  <c r="D159" i="15" s="1"/>
  <c r="D160" i="15" s="1"/>
  <c r="D161" i="15" s="1"/>
  <c r="D162" i="15" s="1"/>
  <c r="D163" i="15" s="1"/>
  <c r="D164" i="15" s="1"/>
  <c r="D165" i="15" s="1"/>
  <c r="D166" i="15" s="1"/>
  <c r="D175" i="15" s="1"/>
  <c r="D176" i="15" s="1"/>
  <c r="D177" i="15" s="1"/>
  <c r="D178" i="15" s="1"/>
  <c r="D179" i="15" s="1"/>
  <c r="D180" i="15" s="1"/>
  <c r="D181" i="15" s="1"/>
  <c r="D182" i="15" s="1"/>
  <c r="D183" i="15" s="1"/>
  <c r="D184" i="15" s="1"/>
  <c r="D185" i="15" s="1"/>
  <c r="D186" i="15" s="1"/>
  <c r="D187" i="15" s="1"/>
  <c r="D188" i="15" s="1"/>
  <c r="D189" i="15" s="1"/>
  <c r="D190" i="15" s="1"/>
  <c r="D191" i="15" s="1"/>
  <c r="D192" i="15" s="1"/>
  <c r="D193" i="15" s="1"/>
  <c r="D194" i="15" s="1"/>
  <c r="D195" i="15" s="1"/>
  <c r="D196" i="15" s="1"/>
  <c r="D197" i="15" s="1"/>
  <c r="D198" i="15" s="1"/>
  <c r="D199" i="15" s="1"/>
  <c r="D200" i="15" s="1"/>
  <c r="D201" i="15" s="1"/>
  <c r="D202" i="15" s="1"/>
  <c r="D211" i="15" l="1"/>
  <c r="D212" i="15" s="1"/>
  <c r="D213" i="15" s="1"/>
  <c r="D214" i="15" l="1"/>
  <c r="D215" i="15" s="1"/>
  <c r="D216" i="15" s="1"/>
  <c r="D217" i="15" s="1"/>
  <c r="D218" i="15" s="1"/>
  <c r="D219" i="15" l="1"/>
  <c r="D220" i="15" s="1"/>
  <c r="D221" i="15" s="1"/>
  <c r="D222" i="15" s="1"/>
  <c r="D223" i="15" s="1"/>
  <c r="D224" i="15" s="1"/>
  <c r="D225" i="15" s="1"/>
  <c r="D226" i="15" s="1"/>
</calcChain>
</file>

<file path=xl/sharedStrings.xml><?xml version="1.0" encoding="utf-8"?>
<sst xmlns="http://schemas.openxmlformats.org/spreadsheetml/2006/main" count="1308" uniqueCount="427">
  <si>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</si>
  <si>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</si>
  <si>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</si>
  <si>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</si>
  <si>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</si>
  <si>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</si>
  <si>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</si>
  <si>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</si>
  <si>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</si>
  <si>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</si>
  <si>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</si>
  <si>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</si>
  <si>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</si>
  <si>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</si>
  <si>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</si>
  <si>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</si>
  <si>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</si>
  <si>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</si>
  <si>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</si>
  <si>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</si>
  <si>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</si>
  <si>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</si>
  <si>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ミスミ</t>
  </si>
  <si>
    <t>運送費</t>
  </si>
  <si>
    <t>設計費</t>
  </si>
  <si>
    <t>組立調整費</t>
  </si>
  <si>
    <t>ﾉｯｸﾋﾟﾝ　φ3-10mm</t>
  </si>
  <si>
    <t>ミスミ</t>
    <phoneticPr fontId="13"/>
  </si>
  <si>
    <t>PUT6-10-B</t>
    <phoneticPr fontId="13"/>
  </si>
  <si>
    <t>配電部分</t>
    <rPh sb="0" eb="2">
      <t>ハイデン</t>
    </rPh>
    <rPh sb="2" eb="4">
      <t>ブブン</t>
    </rPh>
    <phoneticPr fontId="11"/>
  </si>
  <si>
    <t>セットカラー　止めねじ固定</t>
    <phoneticPr fontId="11"/>
  </si>
  <si>
    <t>SCB4-20</t>
    <phoneticPr fontId="11"/>
  </si>
  <si>
    <t>MNCNL6-M5</t>
    <phoneticPr fontId="13"/>
  </si>
  <si>
    <t>MNCNL4-M5</t>
    <phoneticPr fontId="13"/>
  </si>
  <si>
    <t>MWS-DS37A-HT37</t>
    <phoneticPr fontId="13"/>
  </si>
  <si>
    <t>Dsubコネクタ端子台</t>
    <rPh sb="8" eb="10">
      <t>タンシ</t>
    </rPh>
    <rPh sb="10" eb="11">
      <t>ダイ</t>
    </rPh>
    <phoneticPr fontId="13"/>
  </si>
  <si>
    <t>コモン端子台</t>
    <rPh sb="3" eb="5">
      <t>タンシ</t>
    </rPh>
    <rPh sb="5" eb="6">
      <t>ダイ</t>
    </rPh>
    <phoneticPr fontId="13"/>
  </si>
  <si>
    <t>DINレール</t>
    <phoneticPr fontId="13"/>
  </si>
  <si>
    <t>SLBNR4</t>
    <phoneticPr fontId="13"/>
  </si>
  <si>
    <t>漏電ブレーカ</t>
    <rPh sb="0" eb="2">
      <t>ロウデン</t>
    </rPh>
    <phoneticPr fontId="13"/>
  </si>
  <si>
    <t>TBS-22</t>
    <phoneticPr fontId="13"/>
  </si>
  <si>
    <t>浸け置きﾕﾆｯﾄ</t>
    <rPh sb="0" eb="1">
      <t>ツ</t>
    </rPh>
    <rPh sb="2" eb="3">
      <t>オ</t>
    </rPh>
    <phoneticPr fontId="13"/>
  </si>
  <si>
    <t>CRKB4-8</t>
    <phoneticPr fontId="13"/>
  </si>
  <si>
    <t>CHNS4</t>
    <phoneticPr fontId="13"/>
  </si>
  <si>
    <t>蝶ﾅｯﾄ</t>
    <phoneticPr fontId="13"/>
  </si>
  <si>
    <t>RSCB4-15</t>
    <phoneticPr fontId="13"/>
  </si>
  <si>
    <t>六角ﾎﾞﾙﾄ</t>
    <phoneticPr fontId="13"/>
  </si>
  <si>
    <t>PUT4-10-B</t>
    <phoneticPr fontId="13"/>
  </si>
  <si>
    <t>ﾉｽﾞﾙ位置合わせ冶具　</t>
    <phoneticPr fontId="11"/>
  </si>
  <si>
    <t>ミニチュアワンタッチ継手　エルボ</t>
    <phoneticPr fontId="11"/>
  </si>
  <si>
    <t>押え板</t>
    <phoneticPr fontId="13"/>
  </si>
  <si>
    <t>ASFCS-A27-B14-T0.3-D4.5-E6-C6-P15</t>
    <phoneticPr fontId="13"/>
  </si>
  <si>
    <t>SCB4-5</t>
    <phoneticPr fontId="13"/>
  </si>
  <si>
    <t>SCB4-12</t>
    <phoneticPr fontId="11"/>
  </si>
  <si>
    <t xml:space="preserve">HDV-2 </t>
    <phoneticPr fontId="13"/>
  </si>
  <si>
    <t>1日間</t>
    <rPh sb="1" eb="2">
      <t>ヒ</t>
    </rPh>
    <rPh sb="2" eb="3">
      <t>カン</t>
    </rPh>
    <phoneticPr fontId="11"/>
  </si>
  <si>
    <t>3日間</t>
    <rPh sb="1" eb="2">
      <t>ヒ</t>
    </rPh>
    <rPh sb="2" eb="3">
      <t>カン</t>
    </rPh>
    <phoneticPr fontId="11"/>
  </si>
  <si>
    <t>8日間</t>
    <rPh sb="1" eb="2">
      <t>ヒ</t>
    </rPh>
    <rPh sb="2" eb="3">
      <t>カン</t>
    </rPh>
    <phoneticPr fontId="11"/>
  </si>
  <si>
    <t>2日間</t>
    <rPh sb="1" eb="2">
      <t>ヒ</t>
    </rPh>
    <rPh sb="2" eb="3">
      <t>カン</t>
    </rPh>
    <phoneticPr fontId="11"/>
  </si>
  <si>
    <t>ﾏｰｶｰﾋﾟﾝ</t>
    <phoneticPr fontId="13"/>
  </si>
  <si>
    <t>リブ</t>
    <phoneticPr fontId="13"/>
  </si>
  <si>
    <t>WQBB-JW-A22-B8-T15-H6.5-Q45-X6-F10-S10.5-Z3</t>
    <phoneticPr fontId="13"/>
  </si>
  <si>
    <t>位置決めｶﾞｲﾄﾞ受け　2018-09-13-X028　</t>
    <phoneticPr fontId="13"/>
  </si>
  <si>
    <t>アルミフレーム用フレームキャップ</t>
    <phoneticPr fontId="13"/>
  </si>
  <si>
    <t xml:space="preserve">SHNTP5-5 </t>
    <phoneticPr fontId="13"/>
  </si>
  <si>
    <t xml:space="preserve">SCB4-8  </t>
    <phoneticPr fontId="13"/>
  </si>
  <si>
    <t xml:space="preserve">SHNTP5-4  </t>
    <phoneticPr fontId="13"/>
  </si>
  <si>
    <t xml:space="preserve">SBCB4-6 </t>
    <phoneticPr fontId="13"/>
  </si>
  <si>
    <t>WSSS10-4-1</t>
    <phoneticPr fontId="13"/>
  </si>
  <si>
    <t>金属ﾜｯｼｬｰ　　Ｔ寸選択・指定タイプ　並級</t>
    <rPh sb="0" eb="2">
      <t>キンゾク</t>
    </rPh>
    <phoneticPr fontId="13"/>
  </si>
  <si>
    <t>MS3-10</t>
    <phoneticPr fontId="13"/>
  </si>
  <si>
    <t>meviy</t>
    <phoneticPr fontId="13"/>
  </si>
  <si>
    <t>JTDA-SUD-A27-B12-T2-X6-Y6-M4-L15-MA4</t>
    <phoneticPr fontId="13"/>
  </si>
  <si>
    <t>シム</t>
    <phoneticPr fontId="13"/>
  </si>
  <si>
    <t>六角穴付きﾎﾞﾙﾄ　M4×5mm　　　　6本</t>
    <rPh sb="21" eb="22">
      <t>ホン</t>
    </rPh>
    <phoneticPr fontId="13"/>
  </si>
  <si>
    <t xml:space="preserve">SPWF4 </t>
    <phoneticPr fontId="13"/>
  </si>
  <si>
    <t>ワッシャ　　平座金　　M4×8mm　　　4個</t>
    <rPh sb="21" eb="22">
      <t>コ</t>
    </rPh>
    <phoneticPr fontId="13"/>
  </si>
  <si>
    <t>3日目</t>
    <rPh sb="1" eb="2">
      <t>ヒ</t>
    </rPh>
    <rPh sb="2" eb="3">
      <t>メ</t>
    </rPh>
    <phoneticPr fontId="13"/>
  </si>
  <si>
    <t>1日目</t>
    <rPh sb="1" eb="2">
      <t>ヒ</t>
    </rPh>
    <rPh sb="2" eb="3">
      <t>メ</t>
    </rPh>
    <phoneticPr fontId="13"/>
  </si>
  <si>
    <t>2日目</t>
    <rPh sb="1" eb="2">
      <t>ヒ</t>
    </rPh>
    <rPh sb="2" eb="3">
      <t>メ</t>
    </rPh>
    <phoneticPr fontId="13"/>
  </si>
  <si>
    <t>RACW30-40-10</t>
    <phoneticPr fontId="11"/>
  </si>
  <si>
    <t xml:space="preserve"> 六角穴付ボタンボルト　　6本</t>
    <rPh sb="14" eb="15">
      <t>ホン</t>
    </rPh>
    <phoneticPr fontId="13"/>
  </si>
  <si>
    <t>JPLRS4-P5.0-B7.0</t>
    <phoneticPr fontId="11"/>
  </si>
  <si>
    <t xml:space="preserve">SCB5-8   </t>
    <phoneticPr fontId="11"/>
  </si>
  <si>
    <t>六角穴付ボルト</t>
    <phoneticPr fontId="11"/>
  </si>
  <si>
    <t>SCB5-12</t>
    <phoneticPr fontId="11"/>
  </si>
  <si>
    <t>SETB0075-X02　RA取付板</t>
    <phoneticPr fontId="11"/>
  </si>
  <si>
    <t>CBSST8-16</t>
    <phoneticPr fontId="11"/>
  </si>
  <si>
    <t xml:space="preserve">SCB5-10 </t>
    <phoneticPr fontId="11"/>
  </si>
  <si>
    <t>SETB0075-X03　シャフトホルダ変換板</t>
    <phoneticPr fontId="11"/>
  </si>
  <si>
    <t>MS3-6</t>
    <phoneticPr fontId="11"/>
  </si>
  <si>
    <t>SSTHS10M-MB</t>
    <phoneticPr fontId="11"/>
  </si>
  <si>
    <t>CBSST5-16</t>
    <phoneticPr fontId="11"/>
  </si>
  <si>
    <t>SETB0075-X04 セットカラー固定ﾌﾞﾗｹｯﾄ</t>
    <phoneticPr fontId="11"/>
  </si>
  <si>
    <t>CBSST5-12</t>
    <phoneticPr fontId="11"/>
  </si>
  <si>
    <t>SETB0075-Y05  補強ﾌﾞﾛｯｸ</t>
    <phoneticPr fontId="11"/>
  </si>
  <si>
    <t>SETB0075-Y06　ﾊﾞﾙﾌﾞﾎﾙﾀﾞｰﾌﾞﾗｹｯﾄ</t>
    <phoneticPr fontId="11"/>
  </si>
  <si>
    <t xml:space="preserve">MS3-10 </t>
    <phoneticPr fontId="11"/>
  </si>
  <si>
    <t>ノックピン</t>
    <phoneticPr fontId="11"/>
  </si>
  <si>
    <t xml:space="preserve">SCB4-10 </t>
    <phoneticPr fontId="11"/>
  </si>
  <si>
    <t>SCB4-16</t>
    <phoneticPr fontId="11"/>
  </si>
  <si>
    <t xml:space="preserve">SCB6-10 </t>
    <phoneticPr fontId="11"/>
  </si>
  <si>
    <t>MS3-35</t>
    <phoneticPr fontId="11"/>
  </si>
  <si>
    <t>SETB0075-Y07 ｶﾑﾌｧﾛｱ固定ﾌﾞﾛｯｸ</t>
    <phoneticPr fontId="11"/>
  </si>
  <si>
    <t>C-CFA5-13</t>
    <phoneticPr fontId="11"/>
  </si>
  <si>
    <t>CFBRA5-40</t>
    <phoneticPr fontId="11"/>
  </si>
  <si>
    <t>SBCB5-10</t>
    <phoneticPr fontId="11"/>
  </si>
  <si>
    <t>CSHCS-SUS-M3-4</t>
    <phoneticPr fontId="11"/>
  </si>
  <si>
    <t>SFB3-8</t>
    <phoneticPr fontId="11"/>
  </si>
  <si>
    <t>AETTS10-93-SC46.5-M3-N3</t>
    <phoneticPr fontId="11"/>
  </si>
  <si>
    <t>PSSFGW10-44-M5-N5-WRC11-Y4</t>
    <phoneticPr fontId="11"/>
  </si>
  <si>
    <t xml:space="preserve">MVBLK-AMW-2GL-8WK59    </t>
    <phoneticPr fontId="11"/>
  </si>
  <si>
    <t xml:space="preserve"> SETB0047-Y04　SV51、SV70、SV91、SV97用ホルダ(P=25)</t>
    <rPh sb="33" eb="34">
      <t>ヨウ</t>
    </rPh>
    <phoneticPr fontId="13"/>
  </si>
  <si>
    <t>低頭六角穴付ボルト</t>
    <phoneticPr fontId="11"/>
  </si>
  <si>
    <t>MVBLK-AMW-2UH-4X1XW</t>
    <phoneticPr fontId="11"/>
  </si>
  <si>
    <t>8日目</t>
    <rPh sb="1" eb="2">
      <t>ヒ</t>
    </rPh>
    <rPh sb="2" eb="3">
      <t>メ</t>
    </rPh>
    <phoneticPr fontId="13"/>
  </si>
  <si>
    <t>MVBLK-AMW-2UH-KS44C</t>
    <phoneticPr fontId="11"/>
  </si>
  <si>
    <t>MVBLK-AMW-2UH-LT9DG</t>
    <phoneticPr fontId="11"/>
  </si>
  <si>
    <t>MVBLK-AMW-2UH-AZWZ7</t>
    <phoneticPr fontId="11"/>
  </si>
  <si>
    <t>MVBLK-AMW-2UH-KM5D8</t>
    <phoneticPr fontId="11"/>
  </si>
  <si>
    <t>MVBLK-AMW-2UH-D2WFZ</t>
    <phoneticPr fontId="11"/>
  </si>
  <si>
    <t>SUNCO</t>
    <phoneticPr fontId="11"/>
  </si>
  <si>
    <t>シャフト　両端めねじタイプ</t>
    <phoneticPr fontId="11"/>
  </si>
  <si>
    <t>円形支柱－両端めねじ</t>
    <phoneticPr fontId="11"/>
  </si>
  <si>
    <t>5日目</t>
    <rPh sb="1" eb="2">
      <t>ヒ</t>
    </rPh>
    <rPh sb="2" eb="3">
      <t>メ</t>
    </rPh>
    <phoneticPr fontId="13"/>
  </si>
  <si>
    <t>カムフォロア　頭部六角穴付　フラットタイプ</t>
    <phoneticPr fontId="11"/>
  </si>
  <si>
    <t>カムフォロア用ブラケット</t>
    <phoneticPr fontId="11"/>
  </si>
  <si>
    <t>六角穴付ボタンボルト　－ステンレス</t>
    <phoneticPr fontId="11"/>
  </si>
  <si>
    <t>シャフトホルダ　-ブラケット型スタンダードタイプ</t>
    <phoneticPr fontId="11"/>
  </si>
  <si>
    <t>止め金具　　　　　　2個</t>
    <rPh sb="0" eb="1">
      <t>ト</t>
    </rPh>
    <rPh sb="2" eb="4">
      <t>カナグ</t>
    </rPh>
    <rPh sb="11" eb="12">
      <t>コ</t>
    </rPh>
    <phoneticPr fontId="13"/>
  </si>
  <si>
    <t xml:space="preserve">漏電ブレーカ　ｶﾊﾞｰ  1セット </t>
    <phoneticPr fontId="13"/>
  </si>
  <si>
    <t>SCB4-5</t>
    <phoneticPr fontId="11"/>
  </si>
  <si>
    <t>SBCB5-8</t>
    <phoneticPr fontId="11"/>
  </si>
  <si>
    <t>六角穴付ボタンボルト　</t>
    <phoneticPr fontId="11"/>
  </si>
  <si>
    <t>sunco</t>
    <phoneticPr fontId="13"/>
  </si>
  <si>
    <t>CSH-SUS-M3-12</t>
    <phoneticPr fontId="11"/>
  </si>
  <si>
    <t>六角穴付きボルト ステンレス</t>
    <phoneticPr fontId="11"/>
  </si>
  <si>
    <t>平座金－単品販売－　4枚 在庫使用</t>
    <rPh sb="11" eb="12">
      <t>マイ</t>
    </rPh>
    <phoneticPr fontId="13"/>
  </si>
  <si>
    <t>出荷依頼項目NO.</t>
    <rPh sb="0" eb="4">
      <t>シュッカイライ</t>
    </rPh>
    <rPh sb="4" eb="6">
      <t>コウモク</t>
    </rPh>
    <phoneticPr fontId="11"/>
  </si>
  <si>
    <t>AETTS8-93-SC46.5-M3-N3</t>
    <phoneticPr fontId="11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</si>
  <si>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6本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1"/>
  </si>
  <si>
    <t>六角穴付皿ボルト　  2本　×2SET　</t>
    <phoneticPr fontId="11"/>
  </si>
  <si>
    <t>六角穴付皿ボルト　  9本　×2SET　</t>
    <phoneticPr fontId="11"/>
  </si>
  <si>
    <t>日産ﾈｼﾞ</t>
    <phoneticPr fontId="13"/>
  </si>
  <si>
    <t>ﾐｽﾐ</t>
    <phoneticPr fontId="13"/>
  </si>
  <si>
    <t>CSHSM-SUS-M3-5</t>
    <phoneticPr fontId="13"/>
  </si>
  <si>
    <t>小頭ﾈｼﾞ</t>
    <phoneticPr fontId="13"/>
  </si>
  <si>
    <t>浸け置きカップ</t>
    <rPh sb="0" eb="1">
      <t>ツ</t>
    </rPh>
    <rPh sb="2" eb="3">
      <t>オ</t>
    </rPh>
    <phoneticPr fontId="13"/>
  </si>
  <si>
    <t>SUNCO</t>
    <phoneticPr fontId="13"/>
  </si>
  <si>
    <t>皿ﾈｼﾞ</t>
    <phoneticPr fontId="13"/>
  </si>
  <si>
    <t>捨て打ちBOX</t>
    <rPh sb="0" eb="1">
      <t>ス</t>
    </rPh>
    <rPh sb="2" eb="3">
      <t>ウ</t>
    </rPh>
    <phoneticPr fontId="13"/>
  </si>
  <si>
    <t>FNT3</t>
    <phoneticPr fontId="13"/>
  </si>
  <si>
    <t>袋ﾅｯﾄ</t>
    <phoneticPr fontId="13"/>
  </si>
  <si>
    <t>KBXS100-100</t>
    <phoneticPr fontId="13"/>
  </si>
  <si>
    <t>金属BOX</t>
    <phoneticPr fontId="13"/>
  </si>
  <si>
    <t>MVSHM-3N02050-34E-FLG51</t>
    <phoneticPr fontId="11"/>
  </si>
  <si>
    <t>SETB0106-Z01　カップ受け板金1</t>
    <phoneticPr fontId="11"/>
  </si>
  <si>
    <t>MVSHM-3N03054-33U-TS97K</t>
    <phoneticPr fontId="13"/>
  </si>
  <si>
    <t>SSTT0329金属BOX受皿</t>
    <phoneticPr fontId="13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</si>
  <si>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-Z03　カップ受け板金2</t>
    </r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</si>
  <si>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-Z04　金属BOX受け板金3</t>
    </r>
    <rPh sb="13" eb="15">
      <t>キンゾク</t>
    </rPh>
    <phoneticPr fontId="11"/>
  </si>
  <si>
    <t>MVSHM-3N02052-37F-TF1BL</t>
    <phoneticPr fontId="11"/>
  </si>
  <si>
    <t>MVSHM-3N02052-37F-UF7PA</t>
    <phoneticPr fontId="11"/>
  </si>
  <si>
    <t>CSHCS-SUS-M4-5</t>
    <phoneticPr fontId="13"/>
  </si>
  <si>
    <t>井桁ﾜｰｸ治具</t>
    <rPh sb="0" eb="2">
      <t>イゲタ</t>
    </rPh>
    <rPh sb="5" eb="7">
      <t>ジグ</t>
    </rPh>
    <phoneticPr fontId="13"/>
  </si>
  <si>
    <t>5日間</t>
    <rPh sb="1" eb="2">
      <t>ヒ</t>
    </rPh>
    <rPh sb="2" eb="3">
      <t>カン</t>
    </rPh>
    <phoneticPr fontId="13"/>
  </si>
  <si>
    <t>ミニチュアクランプレバー</t>
    <phoneticPr fontId="13"/>
  </si>
  <si>
    <t>CLMSC5-12-B</t>
    <phoneticPr fontId="13"/>
  </si>
  <si>
    <t>SUMCO</t>
    <phoneticPr fontId="13"/>
  </si>
  <si>
    <t>CSHZ-SUS-M4-55</t>
    <phoneticPr fontId="13"/>
  </si>
  <si>
    <t xml:space="preserve">六角穴付きボルト ステンレス </t>
    <phoneticPr fontId="13"/>
  </si>
  <si>
    <t>3日間</t>
    <rPh sb="1" eb="2">
      <t>ヒ</t>
    </rPh>
    <rPh sb="2" eb="3">
      <t>カン</t>
    </rPh>
    <phoneticPr fontId="13"/>
  </si>
  <si>
    <t>HBLFSNF5-SEP</t>
    <phoneticPr fontId="13"/>
  </si>
  <si>
    <t>５シリーズ（溝幅６ｍｍ）　－１列溝用－　突起付反転ブラケット</t>
    <phoneticPr fontId="13"/>
  </si>
  <si>
    <t>HFC5-2020-S</t>
    <phoneticPr fontId="13"/>
  </si>
  <si>
    <t>HFC5-2040-S</t>
    <phoneticPr fontId="13"/>
  </si>
  <si>
    <t>アルミフレーム　５シリーズ　正方形　２０×２０ｍｍ　１列溝　４面溝</t>
    <phoneticPr fontId="13"/>
  </si>
  <si>
    <t>HNTP5-4</t>
    <phoneticPr fontId="13"/>
  </si>
  <si>
    <t>後入れバネナット  6個　凸無し</t>
    <rPh sb="11" eb="12">
      <t>コ</t>
    </rPh>
    <rPh sb="13" eb="14">
      <t>トツ</t>
    </rPh>
    <rPh sb="14" eb="15">
      <t>ナ</t>
    </rPh>
    <phoneticPr fontId="13"/>
  </si>
  <si>
    <t xml:space="preserve">HNTP5-5 </t>
    <phoneticPr fontId="13"/>
  </si>
  <si>
    <t>後入れバネナット  4個+4個　凸無し</t>
    <rPh sb="11" eb="12">
      <t>コ</t>
    </rPh>
    <rPh sb="14" eb="15">
      <t>コ</t>
    </rPh>
    <rPh sb="16" eb="17">
      <t>トツ</t>
    </rPh>
    <rPh sb="17" eb="18">
      <t>ナ</t>
    </rPh>
    <phoneticPr fontId="13"/>
  </si>
  <si>
    <t>7日間</t>
    <rPh sb="1" eb="2">
      <t>ヒ</t>
    </rPh>
    <rPh sb="2" eb="3">
      <t>カン</t>
    </rPh>
    <phoneticPr fontId="13"/>
  </si>
  <si>
    <t>NOOSAF4-8-7</t>
    <phoneticPr fontId="13"/>
  </si>
  <si>
    <t>厚型ローレットノブ</t>
    <phoneticPr fontId="13"/>
  </si>
  <si>
    <t>SCB5-20</t>
    <phoneticPr fontId="13"/>
  </si>
  <si>
    <t>六角穴付ボルト　　22本 在庫使用</t>
    <rPh sb="11" eb="12">
      <t>ホン</t>
    </rPh>
    <phoneticPr fontId="13"/>
  </si>
  <si>
    <t>BLFA-SUD-T2-A20-B20-H29-J15-X8-Y10-W0-N4-E10.5-S5-G10-MA3-LCC1</t>
    <phoneticPr fontId="13"/>
  </si>
  <si>
    <t>SETB0082-X02-1 　U字型外形位置決めﾌﾞﾛｯｸ</t>
    <phoneticPr fontId="13"/>
  </si>
  <si>
    <t>JTAB-SUD-A400-B37-T2-X20-Y10-G20-N4-L200-V180-S10-W20-NA4-CC2</t>
    <phoneticPr fontId="13"/>
  </si>
  <si>
    <t>SETB0082-X03　井桁ﾜｰｸ冶具ﾜｰｸ受け　2mm幅　</t>
    <phoneticPr fontId="13"/>
  </si>
  <si>
    <t>6日間</t>
    <rPh sb="1" eb="2">
      <t>ヒ</t>
    </rPh>
    <rPh sb="2" eb="3">
      <t>カン</t>
    </rPh>
    <phoneticPr fontId="13"/>
  </si>
  <si>
    <t>MVBLK-SUB-2XX-P8KB5</t>
    <phoneticPr fontId="13"/>
  </si>
  <si>
    <r>
      <rPr>
        <sz val="11"/>
        <rFont val="ＭＳ Ｐゴシック"/>
        <family val="3"/>
        <charset val="128"/>
      </rPr>
      <t>SETB0082-X05-1</t>
    </r>
    <r>
      <rPr>
        <sz val="11"/>
        <color indexed="8"/>
        <rFont val="ＭＳ Ｐゴシック"/>
        <family val="3"/>
        <charset val="128"/>
      </rPr>
      <t xml:space="preserve"> ﾜｰｸ押さえ</t>
    </r>
    <phoneticPr fontId="13"/>
  </si>
  <si>
    <t>8日間</t>
    <rPh sb="1" eb="2">
      <t>ヒ</t>
    </rPh>
    <rPh sb="2" eb="3">
      <t>カン</t>
    </rPh>
    <phoneticPr fontId="13"/>
  </si>
  <si>
    <t>日産ﾈｼﾞ</t>
    <rPh sb="0" eb="2">
      <t>ニッサン</t>
    </rPh>
    <phoneticPr fontId="13"/>
  </si>
  <si>
    <t>フランジボタン</t>
    <phoneticPr fontId="13"/>
  </si>
  <si>
    <t xml:space="preserve">CRONUR12  </t>
    <phoneticPr fontId="13"/>
  </si>
  <si>
    <t>コロコンローラ　ローラ幅９、１０ｍｍタイプ</t>
    <phoneticPr fontId="13"/>
  </si>
  <si>
    <t>MS4-35</t>
    <phoneticPr fontId="13"/>
  </si>
  <si>
    <t>ﾉｯｸﾋﾟﾝ　φ4-35mm</t>
    <phoneticPr fontId="13"/>
  </si>
  <si>
    <t>2日間</t>
    <rPh sb="1" eb="2">
      <t>ヒ</t>
    </rPh>
    <rPh sb="2" eb="3">
      <t>カン</t>
    </rPh>
    <phoneticPr fontId="13"/>
  </si>
  <si>
    <t>後入れバネナット  14個</t>
    <rPh sb="12" eb="13">
      <t>コ</t>
    </rPh>
    <phoneticPr fontId="13"/>
  </si>
  <si>
    <t>SNCAA-XN-V6-D12-L11.2</t>
    <phoneticPr fontId="13"/>
  </si>
  <si>
    <t>金属カラー　－並級</t>
    <phoneticPr fontId="13"/>
  </si>
  <si>
    <t>SNCS-XX-V4-D6-L18.5</t>
    <phoneticPr fontId="13"/>
  </si>
  <si>
    <t>金属ワッシャ　Ｔ寸選択・指定タイプ</t>
    <phoneticPr fontId="13"/>
  </si>
  <si>
    <t>ワッシャ　　 12個</t>
    <phoneticPr fontId="13"/>
  </si>
  <si>
    <t>SPWF5</t>
    <phoneticPr fontId="13"/>
  </si>
  <si>
    <t>WSSS10-5-2</t>
    <phoneticPr fontId="13"/>
  </si>
  <si>
    <t>HFS5-2020-570-Z5-XA115.5-XB240.5-XC365.5-XD490.5</t>
    <phoneticPr fontId="13"/>
  </si>
  <si>
    <t>NFS5-2020-492-AV51-BV226-CV401-Z5-XA77-XB352</t>
    <phoneticPr fontId="13"/>
  </si>
  <si>
    <t>NFS5-2040-492-AV77-BV352-Z5-XA51-XB226-XC401</t>
    <phoneticPr fontId="13"/>
  </si>
  <si>
    <t>FWSSA-D16-V5-T8.7</t>
    <phoneticPr fontId="11"/>
  </si>
  <si>
    <t>金属ワッシャ　－焼入品　フリー指定タイプ－</t>
    <phoneticPr fontId="11"/>
  </si>
  <si>
    <t>MS3-20</t>
    <phoneticPr fontId="13"/>
  </si>
  <si>
    <t>ﾉｯｸﾋﾟﾝ　φ3-20mm</t>
    <phoneticPr fontId="11"/>
  </si>
  <si>
    <t>低頭六角穴付ボルト  2本+1本　　    まとめて発注　</t>
    <rPh sb="15" eb="16">
      <t>ホン</t>
    </rPh>
    <phoneticPr fontId="11"/>
  </si>
  <si>
    <t>SETB0133-Y08 ｶﾑﾌｧﾛｱｶﾞｲﾄﾞ</t>
    <phoneticPr fontId="11"/>
  </si>
  <si>
    <t>SETB0133-Y09 右側ｶﾞｲﾄﾞｶﾊﾞｰ</t>
    <phoneticPr fontId="11"/>
  </si>
  <si>
    <t>SETB0133-Y10 左側ｶﾞｲﾄﾞｶﾊﾞｰ</t>
    <phoneticPr fontId="11"/>
  </si>
  <si>
    <t>SETB0133-Y11 上部ｶﾞｲﾄﾞｶﾊﾞｰ</t>
    <rPh sb="13" eb="14">
      <t>ウエ</t>
    </rPh>
    <rPh sb="14" eb="15">
      <t>ブ</t>
    </rPh>
    <phoneticPr fontId="11"/>
  </si>
  <si>
    <t>MVBLK-AMN-38U-DN3NT</t>
    <phoneticPr fontId="11"/>
  </si>
  <si>
    <t>6日目</t>
    <rPh sb="1" eb="2">
      <t>ヒ</t>
    </rPh>
    <rPh sb="2" eb="3">
      <t>メ</t>
    </rPh>
    <phoneticPr fontId="13"/>
  </si>
  <si>
    <t>MVSHM-3N02054-38U-WD5SU</t>
    <phoneticPr fontId="11"/>
  </si>
  <si>
    <t>MVSHM-3N02006-38U-D2XMB</t>
    <phoneticPr fontId="11"/>
  </si>
  <si>
    <t>MVSHM-3N02006-38U-E1PYU</t>
    <phoneticPr fontId="11"/>
  </si>
  <si>
    <t>PACK10-CIMRS5-16-0.1</t>
    <phoneticPr fontId="11"/>
  </si>
  <si>
    <t>シムリング</t>
    <phoneticPr fontId="11"/>
  </si>
  <si>
    <t>エアチューブ  在庫使用</t>
    <phoneticPr fontId="13"/>
  </si>
  <si>
    <t>低頭六角穴付ボルト　2本</t>
    <rPh sb="11" eb="12">
      <t>ホン</t>
    </rPh>
    <phoneticPr fontId="11"/>
  </si>
  <si>
    <t>SSCMW10</t>
    <phoneticPr fontId="11"/>
  </si>
  <si>
    <t>Dsub9　オス　コネクタハーネス　#4-40ショートねじ</t>
    <phoneticPr fontId="13"/>
  </si>
  <si>
    <t>Dsubコネクタハーネス　M2.6ショートネジ</t>
    <phoneticPr fontId="13"/>
  </si>
  <si>
    <t>MWS-B3102</t>
    <phoneticPr fontId="13"/>
  </si>
  <si>
    <t>https://www.monotaro.com/p/1026/1684/?t.mpn=a8110</t>
    <phoneticPr fontId="11"/>
  </si>
  <si>
    <t>1日目</t>
    <rPh sb="1" eb="3">
      <t>ヒメ</t>
    </rPh>
    <phoneticPr fontId="13"/>
  </si>
  <si>
    <t>配線ダクト（側片折り取り可能）　1本　　カッチンダクト</t>
    <rPh sb="17" eb="18">
      <t>ホン</t>
    </rPh>
    <phoneticPr fontId="13"/>
  </si>
  <si>
    <t>ノックピン　－プラス公差－　2本+1本</t>
    <rPh sb="15" eb="16">
      <t>ホン</t>
    </rPh>
    <rPh sb="18" eb="19">
      <t>ホン</t>
    </rPh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</si>
  <si>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140</t>
    </r>
    <r>
      <rPr>
        <sz val="11"/>
        <color theme="1"/>
        <rFont val="ＭＳ Ｐゴシック"/>
        <family val="3"/>
        <charset val="128"/>
        <scheme val="minor"/>
      </rPr>
      <t>-</t>
    </r>
    <r>
      <rPr>
        <b/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01　ﾂｰﾙ取付板</t>
    </r>
    <phoneticPr fontId="11"/>
  </si>
  <si>
    <t>SETB-0012-Z05 カップホルダー</t>
    <phoneticPr fontId="11"/>
  </si>
  <si>
    <t>AETGS8-44.9-SC15-M4-N4</t>
    <phoneticPr fontId="11"/>
  </si>
  <si>
    <t>MS4-8</t>
    <phoneticPr fontId="11"/>
  </si>
  <si>
    <t>SCB4-14</t>
    <phoneticPr fontId="11"/>
  </si>
  <si>
    <t>SETB0140-Y02　上下ｼﾘﾝﾀﾞｰﾍﾞｰｽ</t>
    <phoneticPr fontId="11"/>
  </si>
  <si>
    <t>CBSST4-10</t>
    <phoneticPr fontId="11"/>
  </si>
  <si>
    <t>SETB0140-Y03　上下ｼﾘﾝﾀﾞｰﾄｯﾌﾟ変換板</t>
    <phoneticPr fontId="11"/>
  </si>
  <si>
    <t>SCB4-8</t>
    <phoneticPr fontId="11"/>
  </si>
  <si>
    <t>SETB0140-Y04　上下ﾊﾞﾙﾌﾞ変換板</t>
    <phoneticPr fontId="11"/>
  </si>
  <si>
    <t>円形支柱－片端おねじ片端めねじ</t>
    <phoneticPr fontId="11"/>
  </si>
  <si>
    <t>ノックピン　プラス公差</t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</si>
  <si>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140</t>
    </r>
    <r>
      <rPr>
        <sz val="11"/>
        <color theme="1"/>
        <rFont val="ＭＳ Ｐゴシック"/>
        <family val="3"/>
        <charset val="128"/>
        <scheme val="minor"/>
      </rPr>
      <t>-Z01 電磁弁+レギュラーﾕﾆｯﾄ取付板金</t>
    </r>
    <phoneticPr fontId="11"/>
  </si>
  <si>
    <t>ｼﾑ PACK10-CIMRS</t>
    <phoneticPr fontId="11"/>
  </si>
  <si>
    <t>SETB0316-A01　AXAロボット600+SV70ﾛｰﾀﾘｰｱｸﾁｭｴﾀｰSV51MD＋浸け置き+SVC720F＋配電BOX　原価一覧　20230111</t>
    <phoneticPr fontId="11"/>
  </si>
  <si>
    <t>図面NO.　SETB-0316-A01</t>
    <rPh sb="0" eb="2">
      <t>ズメン</t>
    </rPh>
    <phoneticPr fontId="11"/>
  </si>
  <si>
    <t>南</t>
    <rPh sb="0" eb="1">
      <t>ミナミ</t>
    </rPh>
    <phoneticPr fontId="11"/>
  </si>
  <si>
    <t>SHNTP6-6</t>
    <phoneticPr fontId="13"/>
  </si>
  <si>
    <t>後入れバネナット</t>
    <phoneticPr fontId="13"/>
  </si>
  <si>
    <t>1日間</t>
    <rPh sb="1" eb="2">
      <t>ヒ</t>
    </rPh>
    <rPh sb="2" eb="3">
      <t>カン</t>
    </rPh>
    <phoneticPr fontId="13"/>
  </si>
  <si>
    <t>ナット</t>
    <phoneticPr fontId="13"/>
  </si>
  <si>
    <t>MVSHM-3N03050-346-FBZBJ</t>
    <phoneticPr fontId="13"/>
  </si>
  <si>
    <t>SETB0108-Z1　スイッチBOX固定ﾌﾞﾗｹｯﾄ</t>
    <phoneticPr fontId="13"/>
  </si>
  <si>
    <t>スイッチBOX固定ﾌﾞﾗｹｯﾄ　AXA用</t>
    <rPh sb="19" eb="20">
      <t>ヨウ</t>
    </rPh>
    <phoneticPr fontId="13"/>
  </si>
  <si>
    <t>SCB4-8　　　</t>
    <phoneticPr fontId="13"/>
  </si>
  <si>
    <t>六角穴付ボルト－ステンレス　 (M4×8)　　4本使用</t>
    <rPh sb="24" eb="25">
      <t>ホン</t>
    </rPh>
    <rPh sb="25" eb="27">
      <t>シヨウ</t>
    </rPh>
    <phoneticPr fontId="13"/>
  </si>
  <si>
    <t>SCB5-10　　　　</t>
    <phoneticPr fontId="13"/>
  </si>
  <si>
    <t>六角穴付ボルト－ステンレス　 (M5×10)　　2本使用</t>
    <rPh sb="25" eb="26">
      <t>ホン</t>
    </rPh>
    <rPh sb="26" eb="28">
      <t>シヨウ</t>
    </rPh>
    <phoneticPr fontId="13"/>
  </si>
  <si>
    <t>SHNTP6-5</t>
    <phoneticPr fontId="13"/>
  </si>
  <si>
    <t>SCB6-10</t>
    <phoneticPr fontId="13"/>
  </si>
  <si>
    <t>架台ﾕﾆｯﾄ</t>
    <rPh sb="0" eb="2">
      <t>カダイ</t>
    </rPh>
    <phoneticPr fontId="13"/>
  </si>
  <si>
    <t>元圧</t>
    <rPh sb="0" eb="1">
      <t>モト</t>
    </rPh>
    <rPh sb="1" eb="2">
      <t>アツ</t>
    </rPh>
    <phoneticPr fontId="13"/>
  </si>
  <si>
    <t>BSLG6</t>
    <phoneticPr fontId="13"/>
  </si>
  <si>
    <t>ワンタッチ継手　ブラインドプラグ</t>
    <phoneticPr fontId="13"/>
  </si>
  <si>
    <t>BVHVU6-3　</t>
    <phoneticPr fontId="13"/>
  </si>
  <si>
    <t>3方弁　ハンドバルブ</t>
    <phoneticPr fontId="13"/>
  </si>
  <si>
    <t>FAMBS-SUD-T2-A60-B120-L60-F40-H45-N6-V48-S65-W30-MA4  　ﾚｷﾞｭﾚｰﾀ固定用</t>
    <phoneticPr fontId="13"/>
  </si>
  <si>
    <t>Ｌ字ﾌﾞﾗｹｯﾄ</t>
    <rPh sb="0" eb="2">
      <t>リジ</t>
    </rPh>
    <phoneticPr fontId="13"/>
  </si>
  <si>
    <t>日本ピスコ</t>
    <rPh sb="0" eb="2">
      <t>ニホン</t>
    </rPh>
    <phoneticPr fontId="13"/>
  </si>
  <si>
    <t>PAW6-02</t>
    <phoneticPr fontId="13"/>
  </si>
  <si>
    <t>一般配管用 チューブフィッティング ダブルブランチエイ</t>
    <phoneticPr fontId="13"/>
  </si>
  <si>
    <t>六角穴付ボルト－ステンレス　 (M4×10)　2本</t>
    <rPh sb="24" eb="25">
      <t>ホン</t>
    </rPh>
    <phoneticPr fontId="13"/>
  </si>
  <si>
    <t>六角穴付ボルト－ステンレス　 (M6×10)  2本使用</t>
    <rPh sb="25" eb="26">
      <t>ホン</t>
    </rPh>
    <rPh sb="26" eb="28">
      <t>シヨウ</t>
    </rPh>
    <phoneticPr fontId="13"/>
  </si>
  <si>
    <t xml:space="preserve">SLBNR4 </t>
    <phoneticPr fontId="13"/>
  </si>
  <si>
    <t>MVSHM-3N02050-3T2-J8B5C</t>
    <phoneticPr fontId="13"/>
  </si>
  <si>
    <r>
      <t>SETA0010-Z04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位置決めベース</t>
    </r>
    <phoneticPr fontId="13"/>
  </si>
  <si>
    <t>MVSHM-3N03002-3T2-EXPLE</t>
    <phoneticPr fontId="13"/>
  </si>
  <si>
    <r>
      <t>SETA0010-Z02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角度切替ベース</t>
    </r>
    <phoneticPr fontId="13"/>
  </si>
  <si>
    <t>MVSHM-ZZ99000-3SZ-7ELAD</t>
    <phoneticPr fontId="13"/>
  </si>
  <si>
    <r>
      <t>SETA0010-Z03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角度切替ブラケット</t>
    </r>
    <phoneticPr fontId="13"/>
  </si>
  <si>
    <t>AWSS-D-D6-V4-T1.9</t>
    <phoneticPr fontId="13"/>
  </si>
  <si>
    <t>金属ワッシャ　－Ｔ寸公差選択タイプ－</t>
    <phoneticPr fontId="13"/>
  </si>
  <si>
    <t>MS2-6</t>
    <phoneticPr fontId="13"/>
  </si>
  <si>
    <t>ノックピン　ストレート</t>
    <phoneticPr fontId="13"/>
  </si>
  <si>
    <t>A8001</t>
    <phoneticPr fontId="13"/>
  </si>
  <si>
    <t>汎用3芯OAタップ 6ヶ口</t>
    <phoneticPr fontId="13"/>
  </si>
  <si>
    <t>ｵﾑﾛﾝ</t>
    <phoneticPr fontId="11"/>
  </si>
  <si>
    <t>MY2N-D2 DC24</t>
    <phoneticPr fontId="11"/>
  </si>
  <si>
    <t>MY ミニパワーリレー</t>
    <phoneticPr fontId="11"/>
  </si>
  <si>
    <t>PYFZ-08</t>
    <phoneticPr fontId="11"/>
  </si>
  <si>
    <t>表面接続角型ソケット</t>
    <phoneticPr fontId="11"/>
  </si>
  <si>
    <t>PYC-E1</t>
    <phoneticPr fontId="11"/>
  </si>
  <si>
    <t xml:space="preserve">リレー用共用オプション品 </t>
    <phoneticPr fontId="11"/>
  </si>
  <si>
    <t>ULJP-C-ULJPSS-5</t>
    <phoneticPr fontId="13"/>
  </si>
  <si>
    <t>ACコード(プラグ）　　5m</t>
    <phoneticPr fontId="13"/>
  </si>
  <si>
    <t>日産ﾈｼﾞ</t>
    <rPh sb="0" eb="2">
      <t>ニッサン</t>
    </rPh>
    <phoneticPr fontId="11"/>
  </si>
  <si>
    <t>フランジボタン</t>
    <phoneticPr fontId="11"/>
  </si>
  <si>
    <t xml:space="preserve">六角穴付ボル  　　　　2本  </t>
    <rPh sb="13" eb="14">
      <t>ホン</t>
    </rPh>
    <phoneticPr fontId="11"/>
  </si>
  <si>
    <t>六角穴付皿ボルト　  4本　　</t>
    <phoneticPr fontId="11"/>
  </si>
  <si>
    <t>SFB3-5</t>
    <phoneticPr fontId="11"/>
  </si>
  <si>
    <t>Ｎo.【230913】</t>
    <phoneticPr fontId="11"/>
  </si>
  <si>
    <t>エア・ブラウン株式会社(株式会社住本製作所)</t>
    <phoneticPr fontId="11"/>
  </si>
  <si>
    <r>
      <t>SETB0128</t>
    </r>
    <r>
      <rPr>
        <b/>
        <sz val="11"/>
        <color theme="1"/>
        <rFont val="ＭＳ Ｐゴシック"/>
        <family val="3"/>
        <charset val="128"/>
        <scheme val="minor"/>
      </rPr>
      <t>-Z05</t>
    </r>
    <r>
      <rPr>
        <sz val="11"/>
        <color theme="1"/>
        <rFont val="ＭＳ Ｐゴシック"/>
        <family val="3"/>
        <charset val="128"/>
        <scheme val="minor"/>
      </rPr>
      <t>　捨て射ちBOX受け</t>
    </r>
    <phoneticPr fontId="11"/>
  </si>
  <si>
    <t>MCLPTW6-1</t>
    <phoneticPr fontId="11"/>
  </si>
  <si>
    <t>MCPTK6-1</t>
    <phoneticPr fontId="11"/>
  </si>
  <si>
    <t>チューブ用継手　ナット・スリーブ一体型　ストレート</t>
    <phoneticPr fontId="11"/>
  </si>
  <si>
    <t>チューブ用継手　ナット・スリーブ一体型　エルボ</t>
    <phoneticPr fontId="11"/>
  </si>
  <si>
    <t>APMTS-N1-T1</t>
    <phoneticPr fontId="11"/>
  </si>
  <si>
    <t>ねじ変換継手 SUS316</t>
    <phoneticPr fontId="11"/>
  </si>
  <si>
    <r>
      <t xml:space="preserve">ノックピン　－プラス公差－ 1本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>
      <rPr>
        <sz val="11"/>
        <color theme="1"/>
        <rFont val="ＭＳ Ｐゴシック"/>
        <family val="3"/>
        <charset val="128"/>
        <scheme val="minor"/>
      </rPr>
      <t>　</t>
    </r>
    <rPh sb="15" eb="16">
      <t>ホン</t>
    </rPh>
    <phoneticPr fontId="11"/>
  </si>
  <si>
    <t>SETB0316-Y04　ﾂｰﾙ治具AXA-HV+IL100S　ﾌﾞﾗｹｯﾄ</t>
    <phoneticPr fontId="11"/>
  </si>
  <si>
    <t>MS2-6</t>
    <phoneticPr fontId="11"/>
  </si>
  <si>
    <t xml:space="preserve"> ノックピン     12　本　　　 </t>
    <phoneticPr fontId="11"/>
  </si>
  <si>
    <t>SETB0316-Y05　HVｶﾒﾗ取付用　Ｌ字ﾌﾞﾗｹｯﾄ</t>
    <phoneticPr fontId="11"/>
  </si>
  <si>
    <t>MS2-15</t>
    <phoneticPr fontId="11"/>
  </si>
  <si>
    <t xml:space="preserve"> ノックピン     4　本　　　 </t>
    <phoneticPr fontId="11"/>
  </si>
  <si>
    <t>SCB4-6</t>
    <phoneticPr fontId="11"/>
  </si>
  <si>
    <t xml:space="preserve">六角穴付ボルト  3本　  </t>
    <rPh sb="10" eb="11">
      <t>ホン</t>
    </rPh>
    <phoneticPr fontId="11"/>
  </si>
  <si>
    <t>WSSA8-4-5</t>
    <phoneticPr fontId="11"/>
  </si>
  <si>
    <t>金属ワッシャ</t>
    <phoneticPr fontId="11"/>
  </si>
  <si>
    <t>MVBLK-AMW-4G8-D9W29</t>
    <phoneticPr fontId="11"/>
  </si>
  <si>
    <t>MVBLK-AMW-4G8-63HXN</t>
    <phoneticPr fontId="11"/>
  </si>
  <si>
    <t>MVBLK-AMW-4G9-R1D3G</t>
  </si>
  <si>
    <t>MVBLK-AMW-4G8-FYET3</t>
    <phoneticPr fontId="11"/>
  </si>
  <si>
    <t>MVSHM-3N03002-4G9-F3WKZ</t>
    <phoneticPr fontId="11"/>
  </si>
  <si>
    <t>MVSHM-3N03052-4G9-C3T1A</t>
    <phoneticPr fontId="11"/>
  </si>
  <si>
    <t>MVSHM-3N03002-4G9-6M3P1</t>
    <phoneticPr fontId="11"/>
  </si>
  <si>
    <t>MVSHM-ZZ99000000000-JPA243U9A111AB</t>
    <phoneticPr fontId="11"/>
  </si>
  <si>
    <t>MVSHM-3N03054-38U-7PGND</t>
    <phoneticPr fontId="11"/>
  </si>
  <si>
    <t>PDDU-PT-MS-9-2.5-02S</t>
    <phoneticPr fontId="13"/>
  </si>
  <si>
    <t>PDDJ-PS-JS-37-3</t>
    <phoneticPr fontId="13"/>
  </si>
  <si>
    <t>MRB-80</t>
    <phoneticPr fontId="13"/>
  </si>
  <si>
    <t>MRB-180</t>
    <phoneticPr fontId="13"/>
  </si>
  <si>
    <t>FSC10-C-3</t>
    <phoneticPr fontId="13"/>
  </si>
  <si>
    <t>M8丸型防水コネクタハーネス  ＳＶＥＭﾛﾝｸﾞ3m　TYPE</t>
    <phoneticPr fontId="13"/>
  </si>
  <si>
    <t>AYSK15-10</t>
    <phoneticPr fontId="13"/>
  </si>
  <si>
    <t>SCB4-8</t>
    <phoneticPr fontId="13"/>
  </si>
  <si>
    <t>六角穴付きﾎﾞﾙﾄ　M4×8mm　　　　4本</t>
    <rPh sb="21" eb="22">
      <t>ホン</t>
    </rPh>
    <phoneticPr fontId="13"/>
  </si>
  <si>
    <t>品名 / 型式</t>
    <phoneticPr fontId="11"/>
  </si>
  <si>
    <t xml:space="preserve">SPWF4 </t>
    <phoneticPr fontId="11"/>
  </si>
  <si>
    <t>ワッシャ　4</t>
    <phoneticPr fontId="11"/>
  </si>
  <si>
    <t>M4ﾅｯﾄ　4</t>
    <phoneticPr fontId="13"/>
  </si>
  <si>
    <t>SETB0316-X01　井桁ﾜｰｸ冶具ﾍﾞｰｽ- 1 (400mm)</t>
    <phoneticPr fontId="13"/>
  </si>
  <si>
    <t>SETB0316-X02　捨て打ち2固定Ｌ字ﾌﾞﾗｹｯﾄ</t>
    <phoneticPr fontId="11"/>
  </si>
  <si>
    <t>樹脂付ローレットボルト　　1</t>
    <rPh sb="0" eb="2">
      <t>ジュシ</t>
    </rPh>
    <rPh sb="2" eb="3">
      <t>ツキ</t>
    </rPh>
    <phoneticPr fontId="13"/>
  </si>
  <si>
    <t>ミスミ</t>
    <phoneticPr fontId="11"/>
  </si>
  <si>
    <t>SETB0324-X04　ﾃﾞｨﾃｸﾄｽｲｯﾁL字ﾌﾞﾗｹｯﾄ</t>
    <phoneticPr fontId="11"/>
  </si>
  <si>
    <t xml:space="preserve">六角穴付ボルト　　8本+2 </t>
    <rPh sb="10" eb="11">
      <t>ホン</t>
    </rPh>
    <phoneticPr fontId="13"/>
  </si>
  <si>
    <t>樹脂付ローレットボルト　　4</t>
    <rPh sb="0" eb="2">
      <t>ジュシ</t>
    </rPh>
    <rPh sb="2" eb="3">
      <t>ツキ</t>
    </rPh>
    <phoneticPr fontId="13"/>
  </si>
  <si>
    <t>SETB0316-X04　Tip detect　L字ﾌﾞﾗｹｯﾄ</t>
    <phoneticPr fontId="11"/>
  </si>
  <si>
    <t>RBUW50-50</t>
    <phoneticPr fontId="11"/>
  </si>
  <si>
    <t xml:space="preserve">六角穴付ボルト　　+2 </t>
    <phoneticPr fontId="13"/>
  </si>
  <si>
    <t>SCB5-8</t>
    <phoneticPr fontId="13"/>
  </si>
  <si>
    <t>SCB5-10</t>
    <phoneticPr fontId="13"/>
  </si>
  <si>
    <t>後入れバネナット  8個</t>
    <rPh sb="11" eb="12">
      <t>コ</t>
    </rPh>
    <phoneticPr fontId="13"/>
  </si>
  <si>
    <t>CBSST4-8</t>
    <phoneticPr fontId="11"/>
  </si>
  <si>
    <t xml:space="preserve">六角穴付低頭ボルト　　8本+2 </t>
    <rPh sb="4" eb="6">
      <t>テイトウ</t>
    </rPh>
    <rPh sb="12" eb="13">
      <t>ホン</t>
    </rPh>
    <phoneticPr fontId="13"/>
  </si>
  <si>
    <t>MVSHM-3N03052-4GN-LGH6H</t>
    <phoneticPr fontId="11"/>
  </si>
  <si>
    <t>MVSHM-3N02052-4GN-69YD7</t>
    <phoneticPr fontId="11"/>
  </si>
  <si>
    <t>MVBLK-AMW-4GN-HJ2K3</t>
    <phoneticPr fontId="11"/>
  </si>
  <si>
    <t xml:space="preserve">PACK10-CIMRS4-8-0.5 </t>
    <phoneticPr fontId="11"/>
  </si>
  <si>
    <t>ADR-361-JP</t>
    <phoneticPr fontId="13"/>
  </si>
  <si>
    <t>JAPPY</t>
    <phoneticPr fontId="13"/>
  </si>
  <si>
    <t>EBS-32FB-10A</t>
    <phoneticPr fontId="13"/>
  </si>
  <si>
    <t>ゴム足</t>
    <phoneticPr fontId="11"/>
  </si>
  <si>
    <t>37103-3122-000FL-8P</t>
    <phoneticPr fontId="11"/>
  </si>
  <si>
    <t>37303-3122-000FL-8P</t>
    <phoneticPr fontId="11"/>
  </si>
  <si>
    <t>e-CON　ソケットコネクタ　ｵｽ(黄色)</t>
    <rPh sb="18" eb="20">
      <t>キイロ</t>
    </rPh>
    <phoneticPr fontId="11"/>
  </si>
  <si>
    <t>e-CON　ソケットコネクタ　ﾒｽ(黄色)</t>
    <rPh sb="18" eb="20">
      <t>キイロ</t>
    </rPh>
    <phoneticPr fontId="11"/>
  </si>
  <si>
    <t>37303-3163-000FL-8P</t>
    <phoneticPr fontId="11"/>
  </si>
  <si>
    <t>e-CON　ソケットコネクタ　ﾒｽ(橙色)</t>
    <rPh sb="18" eb="20">
      <t>ダイダイイロ</t>
    </rPh>
    <phoneticPr fontId="11"/>
  </si>
  <si>
    <t>e-CON　ソケットコネクタ　ｵｽ(橙色)</t>
    <rPh sb="18" eb="20">
      <t>ダイダイイロ</t>
    </rPh>
    <phoneticPr fontId="11"/>
  </si>
  <si>
    <t>37103-3163-000FL-8P</t>
    <phoneticPr fontId="11"/>
  </si>
  <si>
    <t>SCB4-10　　　　</t>
    <phoneticPr fontId="13"/>
  </si>
  <si>
    <r>
      <t>六角穴付ボル  　　　</t>
    </r>
    <r>
      <rPr>
        <sz val="11"/>
        <rFont val="ＭＳ Ｐゴシック"/>
        <family val="3"/>
        <charset val="128"/>
        <scheme val="minor"/>
      </rPr>
      <t xml:space="preserve">　3本 </t>
    </r>
    <phoneticPr fontId="11"/>
  </si>
  <si>
    <t>六角穴付ボルト  2本+2　  社内在庫使用</t>
    <phoneticPr fontId="11"/>
  </si>
  <si>
    <t>六角穴付ボルト  3本　 +2</t>
    <rPh sb="10" eb="11">
      <t>ホン</t>
    </rPh>
    <phoneticPr fontId="11"/>
  </si>
  <si>
    <t>NO.230913-1 H-SAITOU</t>
  </si>
  <si>
    <t>NO.230913-2 H-SAITOU</t>
    <phoneticPr fontId="11"/>
  </si>
  <si>
    <t>NO.230913-3 H-SAITOU</t>
    <phoneticPr fontId="11"/>
  </si>
  <si>
    <t>NO.230913-4 H-SAITOU</t>
    <phoneticPr fontId="11"/>
  </si>
  <si>
    <t>NO.230913-5 H-SAITOU</t>
    <phoneticPr fontId="11"/>
  </si>
  <si>
    <t>NO.230913-6 H-SAITOU</t>
    <phoneticPr fontId="11"/>
  </si>
  <si>
    <t>ST300R 【大電×ミスミ】極細高耐久ロボットケーブル（シールド無・有）(３芯）</t>
    <rPh sb="39" eb="40">
      <t>シン</t>
    </rPh>
    <phoneticPr fontId="13"/>
  </si>
  <si>
    <r>
      <t>SS300SB-24-1P-8⇒</t>
    </r>
    <r>
      <rPr>
        <b/>
        <sz val="11"/>
        <color rgb="FF0070C0"/>
        <rFont val="ＭＳ Ｐゴシック"/>
        <family val="3"/>
        <charset val="128"/>
        <scheme val="minor"/>
      </rPr>
      <t>SS300RSB-24-1P-32</t>
    </r>
    <phoneticPr fontId="13"/>
  </si>
  <si>
    <t>SS300RSB UL規格シールド付小径(２芯）</t>
    <rPh sb="22" eb="23">
      <t>シン</t>
    </rPh>
    <phoneticPr fontId="13"/>
  </si>
  <si>
    <r>
      <t>SS300UCRSB-23-3-10⇒</t>
    </r>
    <r>
      <rPr>
        <b/>
        <sz val="11"/>
        <color rgb="FF0070C0"/>
        <rFont val="ＭＳ Ｐゴシック"/>
        <family val="3"/>
        <charset val="128"/>
        <scheme val="minor"/>
      </rPr>
      <t>ST300RSB-24AWG-3-40</t>
    </r>
    <phoneticPr fontId="13"/>
  </si>
  <si>
    <t>シリンダーｾﾝｻｰ用</t>
    <rPh sb="9" eb="10">
      <t>ヨウ</t>
    </rPh>
    <phoneticPr fontId="11"/>
  </si>
  <si>
    <t>電磁弁用</t>
    <rPh sb="0" eb="3">
      <t>デンジベン</t>
    </rPh>
    <rPh sb="3" eb="4">
      <t>ヨウ</t>
    </rPh>
    <phoneticPr fontId="11"/>
  </si>
  <si>
    <t>ﾘﾌﾞ (RBUW)</t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</si>
  <si>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 xml:space="preserve">4本　 </t>
    </r>
    <rPh sb="10" eb="11">
      <t>ホン</t>
    </rPh>
    <phoneticPr fontId="11"/>
  </si>
  <si>
    <r>
      <t>六角穴付ボルト  3</t>
    </r>
    <r>
      <rPr>
        <sz val="11"/>
        <color rgb="FFFF0000"/>
        <rFont val="ＭＳ Ｐゴシック"/>
        <family val="3"/>
        <charset val="128"/>
        <scheme val="minor"/>
      </rPr>
      <t xml:space="preserve">本+4+6　  </t>
    </r>
    <rPh sb="10" eb="11">
      <t>ホン</t>
    </rPh>
    <phoneticPr fontId="11"/>
  </si>
  <si>
    <r>
      <t xml:space="preserve">六角穴付ボルト   </t>
    </r>
    <r>
      <rPr>
        <sz val="11"/>
        <color rgb="FFFF0000"/>
        <rFont val="ＭＳ Ｐゴシック"/>
        <family val="3"/>
        <charset val="128"/>
        <scheme val="minor"/>
      </rPr>
      <t xml:space="preserve">2本　 </t>
    </r>
    <rPh sb="11" eb="12">
      <t>ホン</t>
    </rPh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</si>
  <si>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 xml:space="preserve">5本+4　　  </t>
    </r>
    <rPh sb="10" eb="11">
      <t>ホン</t>
    </rPh>
    <phoneticPr fontId="11"/>
  </si>
  <si>
    <r>
      <t>六角穴付ボルト  　</t>
    </r>
    <r>
      <rPr>
        <sz val="11"/>
        <color rgb="FFFF0000"/>
        <rFont val="ＭＳ Ｐゴシック"/>
        <family val="3"/>
        <charset val="128"/>
        <scheme val="minor"/>
      </rPr>
      <t xml:space="preserve">2本　  </t>
    </r>
    <phoneticPr fontId="11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</si>
  <si>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 xml:space="preserve">　2本  </t>
    </r>
    <rPh sb="13" eb="14">
      <t>ホン</t>
    </rPh>
    <phoneticPr fontId="11"/>
  </si>
  <si>
    <t>AB24E7EBCA</t>
    <phoneticPr fontId="11"/>
  </si>
  <si>
    <t>③</t>
    <phoneticPr fontId="11"/>
  </si>
  <si>
    <t xml:space="preserve">USYL6 </t>
    <phoneticPr fontId="13"/>
  </si>
  <si>
    <t>ワンタッチ継手　Ｙタイプ</t>
    <phoneticPr fontId="13"/>
  </si>
  <si>
    <t>AB24ECC32B</t>
    <phoneticPr fontId="11"/>
  </si>
  <si>
    <t>UJDST4-W</t>
    <phoneticPr fontId="13"/>
  </si>
  <si>
    <t>ﾜﾝﾀｯﾁ継手異径ﾕﾆｵﾝｽﾄﾚｰﾄ</t>
    <rPh sb="5" eb="7">
      <t>ツギテ</t>
    </rPh>
    <rPh sb="7" eb="8">
      <t>イ</t>
    </rPh>
    <rPh sb="8" eb="9">
      <t>ケイ</t>
    </rPh>
    <phoneticPr fontId="13"/>
  </si>
  <si>
    <t>USSTL4</t>
    <phoneticPr fontId="13"/>
  </si>
  <si>
    <t>ﾜﾝﾀｯﾁ継手ﾕﾆｵﾝｽﾄﾚｰﾄ</t>
    <rPh sb="5" eb="7">
      <t>ツギテ</t>
    </rPh>
    <phoneticPr fontId="13"/>
  </si>
  <si>
    <t>日本ﾋﾟｽｺ</t>
    <rPh sb="0" eb="2">
      <t>ニホン</t>
    </rPh>
    <phoneticPr fontId="11"/>
  </si>
  <si>
    <t>PLGJ4-6M</t>
    <phoneticPr fontId="11"/>
  </si>
  <si>
    <t>一般配管用 チューブフィッティングミニタイプ 違径ソケットエルボ</t>
    <phoneticPr fontId="11"/>
  </si>
  <si>
    <r>
      <t>FSA-PS-350-220-150-K-WB2410280088⇒</t>
    </r>
    <r>
      <rPr>
        <sz val="11"/>
        <color rgb="FFFF0000"/>
        <rFont val="ＭＳ Ｐゴシック"/>
        <family val="3"/>
        <charset val="128"/>
        <scheme val="minor"/>
      </rPr>
      <t>次回はF</t>
    </r>
    <r>
      <rPr>
        <b/>
        <sz val="11"/>
        <color rgb="FFFF0000"/>
        <rFont val="ＭＳ Ｐゴシック"/>
        <family val="3"/>
        <charset val="128"/>
        <scheme val="minor"/>
      </rPr>
      <t>SA-PS-350-220-150-K-WB2604150164</t>
    </r>
    <rPh sb="34" eb="36">
      <t>ジカイ</t>
    </rPh>
    <phoneticPr fontId="11"/>
  </si>
  <si>
    <r>
      <t>SETB0241　　配電BOX　350×220×150　20241028</t>
    </r>
    <r>
      <rPr>
        <b/>
        <sz val="11"/>
        <color rgb="FFFF0000"/>
        <rFont val="ＭＳ Ｐゴシック"/>
        <family val="3"/>
        <charset val="128"/>
        <scheme val="minor"/>
      </rPr>
      <t>次回はSETB316で手配する事　M4</t>
    </r>
    <rPh sb="36" eb="38">
      <t>ジカイ</t>
    </rPh>
    <rPh sb="47" eb="49">
      <t>テハイ</t>
    </rPh>
    <rPh sb="51" eb="52">
      <t>コト</t>
    </rPh>
    <phoneticPr fontId="13"/>
  </si>
  <si>
    <r>
      <t xml:space="preserve">MVSHM-3N03050-4GN-GZE1D  </t>
    </r>
    <r>
      <rPr>
        <b/>
        <sz val="11"/>
        <color rgb="FFFF0000"/>
        <rFont val="ＭＳ Ｐゴシック"/>
        <family val="3"/>
        <charset val="128"/>
        <scheme val="minor"/>
      </rPr>
      <t>次回は下記の型式を発注する事</t>
    </r>
    <rPh sb="25" eb="27">
      <t>ジカイ</t>
    </rPh>
    <rPh sb="28" eb="30">
      <t>カキ</t>
    </rPh>
    <rPh sb="31" eb="33">
      <t>カタシキ</t>
    </rPh>
    <rPh sb="34" eb="36">
      <t>ハッチュウ</t>
    </rPh>
    <rPh sb="38" eb="39">
      <t>コト</t>
    </rPh>
    <phoneticPr fontId="11"/>
  </si>
  <si>
    <t>MVSHM-3N03050-4J8-ESDLJ</t>
    <phoneticPr fontId="11"/>
  </si>
  <si>
    <r>
      <t>SETB0316-X02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捨て打ち2固定Ｌ字ﾌﾞﾗｹｯﾄ</t>
    </r>
    <phoneticPr fontId="11"/>
  </si>
  <si>
    <t>AB24G1541F</t>
    <phoneticPr fontId="11"/>
  </si>
  <si>
    <t>FNCLSS-V6-D16-L16</t>
    <phoneticPr fontId="11"/>
  </si>
  <si>
    <t>金属カラー　－並級／精密級　寸法フリー指定タイプ－</t>
    <phoneticPr fontId="11"/>
  </si>
  <si>
    <t xml:space="preserve">
AB24G1B9AB</t>
    <phoneticPr fontId="11"/>
  </si>
  <si>
    <t>SSBCB6-25</t>
    <phoneticPr fontId="11"/>
  </si>
  <si>
    <t>SUS316 / SUSXM7】六角穴付ボタンボルト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</si>
</sst>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#,##0_ "/>
    <numFmt numFmtId="183" formatCode="0_ ;[Red]\-0\ "/>
  </numFmts>
  <fonts count="34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b/>
      <sz val="12"/>
      <color rgb="FF0070C0"/>
      <name val="ＭＳ Ｐゴシック"/>
      <family val="3"/>
      <charset val="128"/>
      <scheme val="minor"/>
    </font>
    <font>
      <b/>
      <sz val="12"/>
      <color theme="9" tint="-0.499984740745262"/>
      <name val="ＭＳ Ｐゴシック"/>
      <family val="3"/>
      <charset val="128"/>
      <scheme val="minor"/>
    </font>
    <font>
      <b/>
      <sz val="12"/>
      <color rgb="FF00B050"/>
      <name val="ＭＳ Ｐゴシック"/>
      <family val="3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0" fillId="0" borderId="0">
      <alignment vertical="center"/>
    </xf>
    <xf numFmtId="0" fontId="15" fillId="0" borderId="0">
      <alignment vertical="center"/>
    </xf>
  </cellStyleXfs>
  <cellXfs count="334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49" fontId="5" fillId="0" borderId="1" xfId="0" applyNumberFormat="1" applyFont="1" applyBorder="1" applyAlignment="1">
      <alignment vertical="center" shrinkToFit="1"/>
    </xf>
    <xf numFmtId="0" fontId="9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12" fillId="0" borderId="8" xfId="0" applyFont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10" fillId="0" borderId="8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56" fontId="0" fillId="0" borderId="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0" fontId="16" fillId="0" borderId="8" xfId="0" applyFont="1" applyBorder="1">
      <alignment vertical="center"/>
    </xf>
    <xf numFmtId="176" fontId="0" fillId="0" borderId="8" xfId="0" applyNumberForma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3" fontId="16" fillId="0" borderId="8" xfId="0" applyNumberFormat="1" applyFont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6" fillId="5" borderId="8" xfId="0" applyFont="1" applyFill="1" applyBorder="1">
      <alignment vertical="center"/>
    </xf>
    <xf numFmtId="0" fontId="20" fillId="0" borderId="8" xfId="0" applyFont="1" applyBorder="1" applyAlignment="1">
      <alignment horizontal="center" vertical="center"/>
    </xf>
    <xf numFmtId="176" fontId="0" fillId="0" borderId="8" xfId="0" applyNumberFormat="1" applyBorder="1" applyAlignment="1"/>
    <xf numFmtId="0" fontId="0" fillId="0" borderId="8" xfId="0" applyBorder="1" applyAlignment="1">
      <alignment horizontal="left" vertical="center" shrinkToFit="1"/>
    </xf>
    <xf numFmtId="3" fontId="15" fillId="0" borderId="8" xfId="0" applyNumberFormat="1" applyFont="1" applyBorder="1" applyAlignment="1">
      <alignment horizontal="center" vertical="center"/>
    </xf>
    <xf numFmtId="0" fontId="15" fillId="0" borderId="8" xfId="3" applyBorder="1" applyAlignment="1">
      <alignment vertical="center"/>
    </xf>
    <xf numFmtId="0" fontId="0" fillId="5" borderId="8" xfId="0" applyFill="1" applyBorder="1" applyAlignment="1">
      <alignment horizontal="center" vertical="center"/>
    </xf>
    <xf numFmtId="176" fontId="0" fillId="0" borderId="10" xfId="0" applyNumberFormat="1" applyBorder="1" applyAlignment="1"/>
    <xf numFmtId="0" fontId="16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3" fontId="0" fillId="5" borderId="15" xfId="0" applyNumberForma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vertical="center" shrinkToFit="1"/>
    </xf>
    <xf numFmtId="176" fontId="12" fillId="0" borderId="11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/>
    <xf numFmtId="0" fontId="10" fillId="0" borderId="8" xfId="0" applyFont="1" applyBorder="1" applyAlignment="1">
      <alignment horizontal="left" vertical="center" shrinkToFit="1"/>
    </xf>
    <xf numFmtId="176" fontId="7" fillId="0" borderId="2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49" fontId="5" fillId="0" borderId="2" xfId="0" applyNumberFormat="1" applyFont="1" applyBorder="1" applyAlignment="1">
      <alignment vertical="center" shrinkToFit="1"/>
    </xf>
    <xf numFmtId="176" fontId="0" fillId="0" borderId="5" xfId="0" applyNumberFormat="1" applyBorder="1" applyAlignment="1">
      <alignment horizontal="center" vertical="center"/>
    </xf>
    <xf numFmtId="49" fontId="10" fillId="0" borderId="8" xfId="0" applyNumberFormat="1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176" fontId="16" fillId="0" borderId="8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38" fontId="0" fillId="0" borderId="8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6" fillId="0" borderId="8" xfId="0" applyNumberFormat="1" applyFont="1" applyBorder="1" applyAlignment="1">
      <alignment horizontal="center" vertical="center"/>
    </xf>
    <xf numFmtId="0" fontId="15" fillId="0" borderId="11" xfId="3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6" fontId="0" fillId="0" borderId="7" xfId="0" applyNumberFormat="1" applyBorder="1">
      <alignment vertical="center"/>
    </xf>
    <xf numFmtId="0" fontId="0" fillId="0" borderId="17" xfId="0" applyBorder="1" applyAlignment="1">
      <alignment vertical="center" shrinkToFit="1"/>
    </xf>
    <xf numFmtId="176" fontId="7" fillId="0" borderId="8" xfId="0" applyNumberFormat="1" applyFon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176" fontId="24" fillId="0" borderId="15" xfId="0" applyNumberFormat="1" applyFont="1" applyBorder="1" applyAlignment="1">
      <alignment horizontal="center" vertical="center"/>
    </xf>
    <xf numFmtId="181" fontId="16" fillId="0" borderId="15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8" fillId="0" borderId="1" xfId="0" applyFont="1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3" fontId="0" fillId="0" borderId="17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shrinkToFit="1"/>
    </xf>
    <xf numFmtId="3" fontId="0" fillId="0" borderId="18" xfId="0" applyNumberFormat="1" applyBorder="1" applyAlignment="1">
      <alignment horizontal="center" vertical="center"/>
    </xf>
    <xf numFmtId="0" fontId="0" fillId="0" borderId="6" xfId="0" applyBorder="1" applyAlignment="1">
      <alignment vertical="center" shrinkToFit="1"/>
    </xf>
    <xf numFmtId="176" fontId="7" fillId="0" borderId="15" xfId="0" applyNumberFormat="1" applyFont="1" applyBorder="1" applyAlignment="1">
      <alignment horizontal="center" vertical="center"/>
    </xf>
    <xf numFmtId="176" fontId="0" fillId="0" borderId="16" xfId="0" applyNumberFormat="1" applyBorder="1" applyAlignment="1"/>
    <xf numFmtId="0" fontId="0" fillId="0" borderId="9" xfId="0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5" fillId="0" borderId="7" xfId="0" applyFont="1" applyBorder="1">
      <alignment vertical="center"/>
    </xf>
    <xf numFmtId="176" fontId="0" fillId="0" borderId="5" xfId="0" applyNumberFormat="1" applyBorder="1">
      <alignment vertical="center"/>
    </xf>
    <xf numFmtId="176" fontId="8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3" fontId="0" fillId="10" borderId="8" xfId="0" applyNumberForma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shrinkToFit="1"/>
    </xf>
    <xf numFmtId="0" fontId="10" fillId="0" borderId="8" xfId="0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1" fillId="0" borderId="0" xfId="2">
      <alignment vertical="center"/>
    </xf>
    <xf numFmtId="3" fontId="0" fillId="0" borderId="6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left" vertical="center" shrinkToFit="1"/>
    </xf>
    <xf numFmtId="0" fontId="2" fillId="9" borderId="8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3" fontId="12" fillId="0" borderId="8" xfId="0" applyNumberFormat="1" applyFont="1" applyBorder="1" applyAlignment="1">
      <alignment horizontal="left" vertical="center"/>
    </xf>
    <xf numFmtId="0" fontId="0" fillId="0" borderId="0" xfId="0" applyAlignment="1">
      <alignment vertical="center" shrinkToFit="1"/>
    </xf>
    <xf numFmtId="0" fontId="0" fillId="0" borderId="10" xfId="0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5" fillId="0" borderId="8" xfId="3" applyBorder="1" applyAlignment="1">
      <alignment horizontal="left"/>
    </xf>
    <xf numFmtId="0" fontId="5" fillId="0" borderId="8" xfId="0" applyFont="1" applyBorder="1" applyAlignment="1">
      <alignment horizontal="left" vertical="center"/>
    </xf>
    <xf numFmtId="3" fontId="15" fillId="0" borderId="11" xfId="0" applyNumberFormat="1" applyFont="1" applyBorder="1" applyAlignment="1">
      <alignment horizontal="center" vertical="center"/>
    </xf>
    <xf numFmtId="0" fontId="26" fillId="0" borderId="8" xfId="3" applyFont="1" applyBorder="1" applyAlignment="1">
      <alignment horizontal="left" vertical="center" wrapText="1"/>
    </xf>
    <xf numFmtId="0" fontId="0" fillId="8" borderId="1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76" fontId="0" fillId="0" borderId="12" xfId="0" applyNumberFormat="1" applyBorder="1" applyAlignment="1"/>
    <xf numFmtId="0" fontId="5" fillId="0" borderId="11" xfId="0" applyFont="1" applyBorder="1" applyAlignment="1">
      <alignment horizontal="left" vertical="center"/>
    </xf>
    <xf numFmtId="0" fontId="10" fillId="8" borderId="8" xfId="0" applyFont="1" applyFill="1" applyBorder="1" applyAlignment="1">
      <alignment horizontal="center" vertical="center"/>
    </xf>
    <xf numFmtId="176" fontId="15" fillId="0" borderId="8" xfId="0" applyNumberFormat="1" applyFont="1" applyBorder="1" applyAlignment="1"/>
    <xf numFmtId="0" fontId="16" fillId="0" borderId="1" xfId="0" applyFont="1" applyBorder="1" applyAlignment="1">
      <alignment vertical="center" shrinkToFit="1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vertical="center" shrinkToFit="1"/>
    </xf>
    <xf numFmtId="3" fontId="15" fillId="0" borderId="10" xfId="0" applyNumberFormat="1" applyFont="1" applyBorder="1" applyAlignment="1">
      <alignment horizontal="center" vertical="center"/>
    </xf>
    <xf numFmtId="176" fontId="15" fillId="0" borderId="10" xfId="0" applyNumberFormat="1" applyFont="1" applyBorder="1">
      <alignment vertical="center"/>
    </xf>
    <xf numFmtId="3" fontId="10" fillId="0" borderId="8" xfId="4" applyNumberFormat="1" applyBorder="1" applyAlignment="1">
      <alignment horizontal="center" vertical="center"/>
    </xf>
    <xf numFmtId="0" fontId="10" fillId="0" borderId="8" xfId="4" applyBorder="1" applyAlignment="1">
      <alignment horizontal="left" vertical="center"/>
    </xf>
    <xf numFmtId="0" fontId="0" fillId="0" borderId="20" xfId="0" applyBorder="1" applyAlignment="1">
      <alignment vertical="center" shrinkToFit="1"/>
    </xf>
    <xf numFmtId="0" fontId="2" fillId="11" borderId="8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6" xfId="0" applyFont="1" applyBorder="1" applyAlignment="1">
      <alignment vertical="center" shrinkToFit="1"/>
    </xf>
    <xf numFmtId="0" fontId="10" fillId="0" borderId="1" xfId="0" applyFont="1" applyBorder="1" applyAlignment="1">
      <alignment horizontal="left" vertical="center"/>
    </xf>
    <xf numFmtId="176" fontId="16" fillId="0" borderId="8" xfId="0" applyNumberFormat="1" applyFont="1" applyBorder="1">
      <alignment vertical="center"/>
    </xf>
    <xf numFmtId="0" fontId="10" fillId="0" borderId="10" xfId="0" applyFont="1" applyBorder="1" applyAlignment="1">
      <alignment horizontal="left" vertical="center"/>
    </xf>
    <xf numFmtId="0" fontId="0" fillId="5" borderId="8" xfId="0" applyFill="1" applyBorder="1" applyAlignment="1">
      <alignment horizontal="right" vertical="center"/>
    </xf>
    <xf numFmtId="179" fontId="0" fillId="5" borderId="8" xfId="0" applyNumberFormat="1" applyFill="1" applyBorder="1" applyAlignment="1">
      <alignment horizontal="center" vertical="center"/>
    </xf>
    <xf numFmtId="3" fontId="0" fillId="5" borderId="8" xfId="0" applyNumberFormat="1" applyFill="1" applyBorder="1" applyAlignment="1">
      <alignment horizontal="center" vertical="center"/>
    </xf>
    <xf numFmtId="178" fontId="0" fillId="5" borderId="8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8" xfId="3" applyFont="1" applyBorder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  <xf numFmtId="181" fontId="16" fillId="0" borderId="8" xfId="0" applyNumberFormat="1" applyFont="1" applyBorder="1" applyAlignment="1">
      <alignment horizontal="right" vertical="center"/>
    </xf>
    <xf numFmtId="181" fontId="16" fillId="5" borderId="8" xfId="0" applyNumberFormat="1" applyFont="1" applyFill="1" applyBorder="1" applyAlignment="1">
      <alignment horizontal="right" vertical="center"/>
    </xf>
    <xf numFmtId="176" fontId="24" fillId="13" borderId="8" xfId="0" applyNumberFormat="1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left" vertical="center"/>
    </xf>
    <xf numFmtId="49" fontId="16" fillId="14" borderId="8" xfId="0" applyNumberFormat="1" applyFont="1" applyFill="1" applyBorder="1" applyAlignment="1">
      <alignment horizontal="left" vertical="center"/>
    </xf>
    <xf numFmtId="0" fontId="16" fillId="14" borderId="8" xfId="0" applyFont="1" applyFill="1" applyBorder="1" applyAlignment="1">
      <alignment horizontal="center" vertical="center"/>
    </xf>
    <xf numFmtId="49" fontId="0" fillId="14" borderId="8" xfId="0" applyNumberFormat="1" applyFill="1" applyBorder="1" applyAlignment="1">
      <alignment horizontal="left" vertical="center"/>
    </xf>
    <xf numFmtId="0" fontId="0" fillId="14" borderId="8" xfId="0" applyFill="1" applyBorder="1" applyAlignment="1">
      <alignment horizontal="center" vertical="center"/>
    </xf>
    <xf numFmtId="0" fontId="16" fillId="14" borderId="8" xfId="0" applyFont="1" applyFill="1" applyBorder="1">
      <alignment vertical="center"/>
    </xf>
    <xf numFmtId="0" fontId="16" fillId="14" borderId="10" xfId="0" applyFont="1" applyFill="1" applyBorder="1" applyAlignment="1">
      <alignment horizontal="center" vertical="center"/>
    </xf>
    <xf numFmtId="0" fontId="12" fillId="14" borderId="8" xfId="0" applyFont="1" applyFill="1" applyBorder="1">
      <alignment vertical="center"/>
    </xf>
    <xf numFmtId="0" fontId="12" fillId="14" borderId="8" xfId="0" applyFont="1" applyFill="1" applyBorder="1" applyAlignment="1">
      <alignment horizontal="center" vertical="center"/>
    </xf>
    <xf numFmtId="0" fontId="15" fillId="14" borderId="8" xfId="3" applyFill="1" applyBorder="1" applyAlignment="1">
      <alignment horizontal="left" vertical="center"/>
    </xf>
    <xf numFmtId="0" fontId="16" fillId="14" borderId="10" xfId="0" applyFont="1" applyFill="1" applyBorder="1">
      <alignment vertical="center"/>
    </xf>
    <xf numFmtId="0" fontId="15" fillId="14" borderId="11" xfId="3" applyFill="1" applyBorder="1"/>
    <xf numFmtId="176" fontId="15" fillId="14" borderId="11" xfId="0" applyNumberFormat="1" applyFont="1" applyFill="1" applyBorder="1" applyAlignment="1">
      <alignment horizontal="center" vertical="center"/>
    </xf>
    <xf numFmtId="38" fontId="0" fillId="14" borderId="8" xfId="0" applyNumberFormat="1" applyFill="1" applyBorder="1" applyAlignment="1">
      <alignment horizontal="center" vertical="center"/>
    </xf>
    <xf numFmtId="176" fontId="15" fillId="0" borderId="12" xfId="0" applyNumberFormat="1" applyFont="1" applyBorder="1" applyAlignment="1"/>
    <xf numFmtId="0" fontId="15" fillId="0" borderId="11" xfId="3" applyBorder="1" applyAlignment="1">
      <alignment vertical="center"/>
    </xf>
    <xf numFmtId="176" fontId="15" fillId="14" borderId="10" xfId="0" applyNumberFormat="1" applyFont="1" applyFill="1" applyBorder="1" applyAlignment="1">
      <alignment horizontal="center" vertical="center"/>
    </xf>
    <xf numFmtId="176" fontId="0" fillId="14" borderId="8" xfId="0" applyNumberFormat="1" applyFill="1" applyBorder="1" applyAlignment="1">
      <alignment horizontal="center" vertical="center"/>
    </xf>
    <xf numFmtId="0" fontId="16" fillId="14" borderId="8" xfId="0" applyFont="1" applyFill="1" applyBorder="1" applyAlignment="1">
      <alignment vertical="center" shrinkToFit="1"/>
    </xf>
    <xf numFmtId="0" fontId="16" fillId="14" borderId="8" xfId="0" applyFont="1" applyFill="1" applyBorder="1" applyAlignment="1">
      <alignment horizontal="left" vertical="center"/>
    </xf>
    <xf numFmtId="176" fontId="16" fillId="0" borderId="10" xfId="0" applyNumberFormat="1" applyFont="1" applyBorder="1" applyAlignment="1">
      <alignment horizontal="left" vertical="center"/>
    </xf>
    <xf numFmtId="176" fontId="16" fillId="0" borderId="10" xfId="0" applyNumberFormat="1" applyFont="1" applyBorder="1">
      <alignment vertical="center"/>
    </xf>
    <xf numFmtId="38" fontId="10" fillId="0" borderId="21" xfId="4" applyNumberFormat="1" applyBorder="1" applyAlignment="1">
      <alignment horizontal="center" vertical="center"/>
    </xf>
    <xf numFmtId="38" fontId="10" fillId="0" borderId="22" xfId="4" applyNumberFormat="1" applyBorder="1" applyAlignment="1">
      <alignment horizontal="center" vertical="center"/>
    </xf>
    <xf numFmtId="176" fontId="16" fillId="14" borderId="8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 shrinkToFit="1"/>
    </xf>
    <xf numFmtId="49" fontId="10" fillId="14" borderId="8" xfId="0" applyNumberFormat="1" applyFont="1" applyFill="1" applyBorder="1" applyAlignment="1">
      <alignment horizontal="left" vertical="center"/>
    </xf>
    <xf numFmtId="3" fontId="5" fillId="0" borderId="8" xfId="0" applyNumberFormat="1" applyFont="1" applyBorder="1" applyAlignment="1">
      <alignment horizontal="center" vertical="center"/>
    </xf>
    <xf numFmtId="176" fontId="10" fillId="14" borderId="8" xfId="0" applyNumberFormat="1" applyFont="1" applyFill="1" applyBorder="1" applyAlignment="1">
      <alignment horizontal="center" vertical="center"/>
    </xf>
    <xf numFmtId="0" fontId="5" fillId="14" borderId="7" xfId="0" applyFont="1" applyFill="1" applyBorder="1">
      <alignment vertical="center"/>
    </xf>
    <xf numFmtId="0" fontId="5" fillId="14" borderId="8" xfId="0" applyFont="1" applyFill="1" applyBorder="1" applyAlignment="1">
      <alignment horizontal="center" vertical="center"/>
    </xf>
    <xf numFmtId="0" fontId="15" fillId="14" borderId="7" xfId="0" applyFont="1" applyFill="1" applyBorder="1">
      <alignment vertical="center"/>
    </xf>
    <xf numFmtId="0" fontId="15" fillId="14" borderId="8" xfId="0" applyFont="1" applyFill="1" applyBorder="1" applyAlignment="1">
      <alignment horizontal="center" vertical="center"/>
    </xf>
    <xf numFmtId="49" fontId="10" fillId="14" borderId="8" xfId="0" applyNumberFormat="1" applyFont="1" applyFill="1" applyBorder="1" applyAlignment="1">
      <alignment horizontal="left" vertical="center" wrapText="1"/>
    </xf>
    <xf numFmtId="0" fontId="15" fillId="14" borderId="8" xfId="3" applyFill="1" applyBorder="1" applyAlignment="1">
      <alignment vertical="center"/>
    </xf>
    <xf numFmtId="49" fontId="12" fillId="14" borderId="8" xfId="0" applyNumberFormat="1" applyFont="1" applyFill="1" applyBorder="1" applyAlignment="1">
      <alignment horizontal="left" vertical="center"/>
    </xf>
    <xf numFmtId="181" fontId="12" fillId="14" borderId="8" xfId="0" applyNumberFormat="1" applyFont="1" applyFill="1" applyBorder="1" applyAlignment="1">
      <alignment horizontal="center" vertical="center"/>
    </xf>
    <xf numFmtId="3" fontId="10" fillId="14" borderId="8" xfId="0" applyNumberFormat="1" applyFont="1" applyFill="1" applyBorder="1" applyAlignment="1">
      <alignment horizontal="left" vertical="center"/>
    </xf>
    <xf numFmtId="181" fontId="16" fillId="14" borderId="8" xfId="0" applyNumberFormat="1" applyFont="1" applyFill="1" applyBorder="1" applyAlignment="1">
      <alignment horizontal="center" vertical="center"/>
    </xf>
    <xf numFmtId="0" fontId="15" fillId="14" borderId="8" xfId="0" applyFont="1" applyFill="1" applyBorder="1">
      <alignment vertical="center"/>
    </xf>
    <xf numFmtId="180" fontId="15" fillId="14" borderId="8" xfId="0" applyNumberFormat="1" applyFont="1" applyFill="1" applyBorder="1" applyAlignment="1">
      <alignment horizontal="center" vertical="center"/>
    </xf>
    <xf numFmtId="181" fontId="16" fillId="14" borderId="8" xfId="0" applyNumberFormat="1" applyFont="1" applyFill="1" applyBorder="1" applyAlignment="1">
      <alignment horizontal="right" vertical="center"/>
    </xf>
    <xf numFmtId="0" fontId="0" fillId="14" borderId="8" xfId="0" applyFill="1" applyBorder="1" applyAlignment="1">
      <alignment horizontal="left" vertical="center"/>
    </xf>
    <xf numFmtId="0" fontId="0" fillId="14" borderId="8" xfId="0" applyFill="1" applyBorder="1" applyAlignment="1">
      <alignment vertical="center" wrapText="1"/>
    </xf>
    <xf numFmtId="0" fontId="0" fillId="14" borderId="15" xfId="0" applyFill="1" applyBorder="1" applyAlignment="1">
      <alignment horizontal="right" vertical="center"/>
    </xf>
    <xf numFmtId="0" fontId="0" fillId="14" borderId="8" xfId="0" applyFill="1" applyBorder="1">
      <alignment vertical="center"/>
    </xf>
    <xf numFmtId="177" fontId="3" fillId="0" borderId="2" xfId="0" applyNumberFormat="1" applyFont="1" applyBorder="1" applyAlignment="1">
      <alignment horizontal="center" vertical="center"/>
    </xf>
    <xf numFmtId="3" fontId="14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176" fontId="28" fillId="0" borderId="8" xfId="0" applyNumberFormat="1" applyFont="1" applyBorder="1" applyAlignment="1">
      <alignment horizontal="center" vertical="center"/>
    </xf>
    <xf numFmtId="38" fontId="2" fillId="0" borderId="8" xfId="0" applyNumberFormat="1" applyFont="1" applyBorder="1" applyAlignment="1">
      <alignment horizontal="center" vertical="center"/>
    </xf>
    <xf numFmtId="0" fontId="20" fillId="14" borderId="8" xfId="0" applyFont="1" applyFill="1" applyBorder="1" applyAlignment="1">
      <alignment horizontal="center" vertical="center"/>
    </xf>
    <xf numFmtId="0" fontId="0" fillId="14" borderId="11" xfId="0" applyFill="1" applyBorder="1" applyAlignment="1">
      <alignment horizontal="left" vertical="center"/>
    </xf>
    <xf numFmtId="181" fontId="0" fillId="14" borderId="11" xfId="0" applyNumberFormat="1" applyFill="1" applyBorder="1">
      <alignment vertical="center"/>
    </xf>
    <xf numFmtId="0" fontId="10" fillId="14" borderId="8" xfId="0" applyFont="1" applyFill="1" applyBorder="1" applyAlignment="1">
      <alignment horizontal="left" vertical="center"/>
    </xf>
    <xf numFmtId="181" fontId="0" fillId="14" borderId="8" xfId="0" applyNumberFormat="1" applyFill="1" applyBorder="1">
      <alignment vertical="center"/>
    </xf>
    <xf numFmtId="181" fontId="16" fillId="14" borderId="8" xfId="0" applyNumberFormat="1" applyFont="1" applyFill="1" applyBorder="1">
      <alignment vertical="center"/>
    </xf>
    <xf numFmtId="0" fontId="20" fillId="14" borderId="8" xfId="0" applyFont="1" applyFill="1" applyBorder="1">
      <alignment vertical="center"/>
    </xf>
    <xf numFmtId="0" fontId="5" fillId="14" borderId="8" xfId="0" applyFont="1" applyFill="1" applyBorder="1">
      <alignment vertical="center"/>
    </xf>
    <xf numFmtId="0" fontId="5" fillId="14" borderId="11" xfId="0" applyFont="1" applyFill="1" applyBorder="1">
      <alignment vertical="center"/>
    </xf>
    <xf numFmtId="0" fontId="10" fillId="14" borderId="11" xfId="0" applyFont="1" applyFill="1" applyBorder="1" applyAlignment="1">
      <alignment horizontal="left" vertical="center"/>
    </xf>
    <xf numFmtId="181" fontId="10" fillId="14" borderId="11" xfId="0" applyNumberFormat="1" applyFont="1" applyFill="1" applyBorder="1">
      <alignment vertical="center"/>
    </xf>
    <xf numFmtId="0" fontId="0" fillId="14" borderId="8" xfId="0" applyFill="1" applyBorder="1" applyAlignment="1">
      <alignment horizontal="right" vertical="center"/>
    </xf>
    <xf numFmtId="0" fontId="15" fillId="14" borderId="8" xfId="0" applyFont="1" applyFill="1" applyBorder="1" applyAlignment="1">
      <alignment horizontal="right" vertical="center"/>
    </xf>
    <xf numFmtId="3" fontId="0" fillId="14" borderId="8" xfId="0" applyNumberForma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0" fillId="14" borderId="0" xfId="0" applyFill="1">
      <alignment vertical="center"/>
    </xf>
    <xf numFmtId="0" fontId="16" fillId="14" borderId="8" xfId="4" applyFont="1" applyFill="1" applyBorder="1" applyAlignment="1">
      <alignment horizontal="left" vertical="center"/>
    </xf>
    <xf numFmtId="181" fontId="16" fillId="14" borderId="8" xfId="4" applyNumberFormat="1" applyFont="1" applyFill="1" applyBorder="1" applyAlignment="1">
      <alignment horizontal="center" vertical="center"/>
    </xf>
    <xf numFmtId="0" fontId="10" fillId="14" borderId="10" xfId="0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6" fillId="14" borderId="8" xfId="0" applyFont="1" applyFill="1" applyBorder="1" applyAlignment="1">
      <alignment vertical="center" wrapText="1"/>
    </xf>
    <xf numFmtId="0" fontId="18" fillId="0" borderId="0" xfId="0" applyFont="1" applyAlignment="1">
      <alignment vertical="center" shrinkToFit="1"/>
    </xf>
    <xf numFmtId="0" fontId="0" fillId="14" borderId="11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176" fontId="16" fillId="0" borderId="10" xfId="0" applyNumberFormat="1" applyFont="1" applyBorder="1" applyAlignment="1"/>
    <xf numFmtId="0" fontId="15" fillId="14" borderId="10" xfId="0" applyFont="1" applyFill="1" applyBorder="1">
      <alignment vertical="center"/>
    </xf>
    <xf numFmtId="3" fontId="5" fillId="7" borderId="2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3" fontId="0" fillId="7" borderId="8" xfId="0" applyNumberForma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29" fillId="14" borderId="8" xfId="0" applyFont="1" applyFill="1" applyBorder="1" applyAlignment="1">
      <alignment horizontal="center" vertical="center"/>
    </xf>
    <xf numFmtId="0" fontId="29" fillId="9" borderId="8" xfId="0" applyFont="1" applyFill="1" applyBorder="1" applyAlignment="1">
      <alignment horizontal="center" vertical="center"/>
    </xf>
    <xf numFmtId="0" fontId="29" fillId="15" borderId="8" xfId="0" applyFont="1" applyFill="1" applyBorder="1" applyAlignment="1">
      <alignment horizontal="center" vertical="center"/>
    </xf>
    <xf numFmtId="0" fontId="29" fillId="16" borderId="8" xfId="0" applyFont="1" applyFill="1" applyBorder="1" applyAlignment="1">
      <alignment horizontal="center" vertical="center"/>
    </xf>
    <xf numFmtId="0" fontId="29" fillId="17" borderId="8" xfId="0" applyFont="1" applyFill="1" applyBorder="1" applyAlignment="1">
      <alignment horizontal="center" vertical="center"/>
    </xf>
    <xf numFmtId="0" fontId="29" fillId="12" borderId="8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 shrinkToFit="1"/>
    </xf>
    <xf numFmtId="176" fontId="8" fillId="14" borderId="8" xfId="0" applyNumberFormat="1" applyFont="1" applyFill="1" applyBorder="1" applyAlignment="1">
      <alignment horizontal="center" vertical="center"/>
    </xf>
    <xf numFmtId="38" fontId="16" fillId="14" borderId="8" xfId="0" applyNumberFormat="1" applyFont="1" applyFill="1" applyBorder="1" applyAlignment="1">
      <alignment horizontal="center" vertical="center"/>
    </xf>
    <xf numFmtId="183" fontId="0" fillId="14" borderId="8" xfId="0" applyNumberFormat="1" applyFill="1" applyBorder="1" applyAlignment="1">
      <alignment horizontal="center" vertical="center"/>
    </xf>
    <xf numFmtId="0" fontId="22" fillId="14" borderId="8" xfId="3" applyFont="1" applyFill="1" applyBorder="1" applyAlignment="1">
      <alignment horizontal="center" vertical="center"/>
    </xf>
    <xf numFmtId="38" fontId="12" fillId="14" borderId="8" xfId="0" applyNumberFormat="1" applyFont="1" applyFill="1" applyBorder="1" applyAlignment="1">
      <alignment horizontal="center" vertical="center"/>
    </xf>
    <xf numFmtId="176" fontId="15" fillId="14" borderId="8" xfId="0" applyNumberFormat="1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183" fontId="16" fillId="14" borderId="8" xfId="0" applyNumberFormat="1" applyFont="1" applyFill="1" applyBorder="1" applyAlignment="1">
      <alignment horizontal="center" vertical="center"/>
    </xf>
    <xf numFmtId="0" fontId="16" fillId="14" borderId="8" xfId="4" applyFont="1" applyFill="1" applyBorder="1" applyAlignment="1">
      <alignment horizontal="center" vertical="center"/>
    </xf>
    <xf numFmtId="0" fontId="15" fillId="14" borderId="8" xfId="3" applyFill="1" applyBorder="1" applyAlignment="1">
      <alignment horizontal="center" vertical="center"/>
    </xf>
    <xf numFmtId="0" fontId="15" fillId="14" borderId="11" xfId="3" applyFill="1" applyBorder="1" applyAlignment="1">
      <alignment horizontal="center" vertical="center"/>
    </xf>
    <xf numFmtId="38" fontId="0" fillId="14" borderId="8" xfId="0" applyNumberFormat="1" applyFill="1" applyBorder="1">
      <alignment vertical="center"/>
    </xf>
    <xf numFmtId="176" fontId="0" fillId="14" borderId="8" xfId="0" applyNumberFormat="1" applyFill="1" applyBorder="1">
      <alignment vertical="center"/>
    </xf>
    <xf numFmtId="176" fontId="16" fillId="14" borderId="8" xfId="0" applyNumberFormat="1" applyFont="1" applyFill="1" applyBorder="1">
      <alignment vertical="center"/>
    </xf>
    <xf numFmtId="0" fontId="16" fillId="14" borderId="8" xfId="0" applyFont="1" applyFill="1" applyBorder="1" applyAlignment="1">
      <alignment horizontal="right" vertical="center"/>
    </xf>
    <xf numFmtId="0" fontId="0" fillId="14" borderId="15" xfId="0" applyFill="1" applyBorder="1">
      <alignment vertical="center"/>
    </xf>
    <xf numFmtId="176" fontId="22" fillId="14" borderId="8" xfId="0" applyNumberFormat="1" applyFont="1" applyFill="1" applyBorder="1" applyAlignment="1">
      <alignment horizontal="center" vertical="center"/>
    </xf>
    <xf numFmtId="176" fontId="20" fillId="14" borderId="8" xfId="0" applyNumberFormat="1" applyFont="1" applyFill="1" applyBorder="1" applyAlignment="1">
      <alignment horizontal="center" vertical="center"/>
    </xf>
    <xf numFmtId="38" fontId="12" fillId="14" borderId="10" xfId="0" applyNumberFormat="1" applyFont="1" applyFill="1" applyBorder="1" applyAlignment="1">
      <alignment horizontal="center" vertical="center"/>
    </xf>
    <xf numFmtId="38" fontId="16" fillId="14" borderId="13" xfId="0" applyNumberFormat="1" applyFont="1" applyFill="1" applyBorder="1" applyAlignment="1">
      <alignment horizontal="center" vertical="center"/>
    </xf>
    <xf numFmtId="176" fontId="0" fillId="14" borderId="11" xfId="0" applyNumberFormat="1" applyFill="1" applyBorder="1" applyAlignment="1">
      <alignment horizontal="center" vertical="center"/>
    </xf>
    <xf numFmtId="176" fontId="20" fillId="14" borderId="10" xfId="0" applyNumberFormat="1" applyFont="1" applyFill="1" applyBorder="1" applyAlignment="1">
      <alignment horizontal="center" vertical="center"/>
    </xf>
    <xf numFmtId="176" fontId="0" fillId="14" borderId="10" xfId="0" applyNumberFormat="1" applyFill="1" applyBorder="1" applyAlignment="1">
      <alignment horizontal="center" vertical="center"/>
    </xf>
    <xf numFmtId="176" fontId="10" fillId="14" borderId="11" xfId="0" applyNumberFormat="1" applyFont="1" applyFill="1" applyBorder="1" applyAlignment="1">
      <alignment horizontal="center" vertical="center"/>
    </xf>
    <xf numFmtId="176" fontId="0" fillId="14" borderId="8" xfId="0" applyNumberFormat="1" applyFill="1" applyBorder="1" applyAlignment="1">
      <alignment horizontal="right" vertical="center"/>
    </xf>
    <xf numFmtId="182" fontId="16" fillId="14" borderId="8" xfId="0" applyNumberFormat="1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18" borderId="8" xfId="0" applyFont="1" applyFill="1" applyBorder="1">
      <alignment vertical="center"/>
    </xf>
    <xf numFmtId="0" fontId="0" fillId="18" borderId="8" xfId="0" applyFill="1" applyBorder="1" applyAlignment="1">
      <alignment horizontal="center" vertical="center"/>
    </xf>
    <xf numFmtId="176" fontId="12" fillId="14" borderId="8" xfId="0" applyNumberFormat="1" applyFont="1" applyFill="1" applyBorder="1">
      <alignment vertical="center"/>
    </xf>
    <xf numFmtId="0" fontId="0" fillId="5" borderId="8" xfId="0" applyFill="1" applyBorder="1">
      <alignment vertical="center"/>
    </xf>
    <xf numFmtId="0" fontId="32" fillId="5" borderId="8" xfId="0" applyFont="1" applyFill="1" applyBorder="1" applyAlignment="1">
      <alignment horizontal="left" vertical="center"/>
    </xf>
    <xf numFmtId="56" fontId="0" fillId="5" borderId="8" xfId="0" applyNumberFormat="1" applyFill="1" applyBorder="1" applyAlignment="1">
      <alignment horizontal="center" vertical="center"/>
    </xf>
    <xf numFmtId="0" fontId="15" fillId="18" borderId="8" xfId="3" applyFill="1" applyBorder="1" applyAlignment="1">
      <alignment horizontal="left" vertical="center"/>
    </xf>
    <xf numFmtId="0" fontId="15" fillId="18" borderId="8" xfId="3" applyFill="1" applyBorder="1" applyAlignment="1">
      <alignment horizontal="center" vertical="center"/>
    </xf>
    <xf numFmtId="0" fontId="15" fillId="0" borderId="8" xfId="3" applyBorder="1" applyAlignment="1">
      <alignment horizontal="left" vertical="center"/>
    </xf>
    <xf numFmtId="0" fontId="15" fillId="18" borderId="8" xfId="0" applyFont="1" applyFill="1" applyBorder="1">
      <alignment vertical="center"/>
    </xf>
    <xf numFmtId="0" fontId="15" fillId="18" borderId="8" xfId="0" applyFont="1" applyFill="1" applyBorder="1" applyAlignment="1">
      <alignment horizontal="center" vertical="center"/>
    </xf>
    <xf numFmtId="176" fontId="16" fillId="18" borderId="8" xfId="0" applyNumberFormat="1" applyFont="1" applyFill="1" applyBorder="1" applyAlignment="1">
      <alignment horizontal="center" vertical="center"/>
    </xf>
    <xf numFmtId="0" fontId="10" fillId="18" borderId="11" xfId="0" applyFont="1" applyFill="1" applyBorder="1" applyAlignment="1">
      <alignment horizontal="left" vertical="center"/>
    </xf>
    <xf numFmtId="181" fontId="10" fillId="18" borderId="11" xfId="0" applyNumberFormat="1" applyFont="1" applyFill="1" applyBorder="1">
      <alignment vertical="center"/>
    </xf>
    <xf numFmtId="0" fontId="33" fillId="0" borderId="8" xfId="0" applyFont="1" applyBorder="1" applyAlignment="1">
      <alignment horizontal="center" vertical="center"/>
    </xf>
    <xf numFmtId="0" fontId="10" fillId="18" borderId="8" xfId="0" applyFont="1" applyFill="1" applyBorder="1" applyAlignment="1">
      <alignment horizontal="left" vertical="center"/>
    </xf>
    <xf numFmtId="181" fontId="0" fillId="18" borderId="8" xfId="0" applyNumberFormat="1" applyFill="1" applyBorder="1">
      <alignment vertical="center"/>
    </xf>
    <xf numFmtId="178" fontId="0" fillId="0" borderId="6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Alignment="1">
      <alignment horizontal="center" vertical="center"/>
    </xf>
    <xf numFmtId="176" fontId="7" fillId="3" borderId="19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176" fontId="7" fillId="3" borderId="6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21" fillId="6" borderId="15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3" fontId="21" fillId="6" borderId="10" xfId="0" applyNumberFormat="1" applyFont="1" applyFill="1" applyBorder="1" applyAlignment="1">
      <alignment horizontal="center" vertical="center"/>
    </xf>
    <xf numFmtId="3" fontId="21" fillId="6" borderId="14" xfId="0" applyNumberFormat="1" applyFont="1" applyFill="1" applyBorder="1" applyAlignment="1">
      <alignment horizontal="center" vertical="center"/>
    </xf>
    <xf numFmtId="3" fontId="21" fillId="6" borderId="13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3" fontId="21" fillId="7" borderId="10" xfId="0" applyNumberFormat="1" applyFont="1" applyFill="1" applyBorder="1" applyAlignment="1">
      <alignment horizontal="center" vertical="center"/>
    </xf>
    <xf numFmtId="3" fontId="21" fillId="7" borderId="14" xfId="0" applyNumberFormat="1" applyFont="1" applyFill="1" applyBorder="1" applyAlignment="1">
      <alignment horizontal="center" vertical="center"/>
    </xf>
    <xf numFmtId="3" fontId="21" fillId="7" borderId="13" xfId="0" applyNumberFormat="1" applyFont="1" applyFill="1" applyBorder="1" applyAlignment="1">
      <alignment horizontal="center" vertical="center"/>
    </xf>
    <xf numFmtId="176" fontId="24" fillId="6" borderId="10" xfId="0" applyNumberFormat="1" applyFont="1" applyFill="1" applyBorder="1" applyAlignment="1">
      <alignment horizontal="center" vertical="center"/>
    </xf>
    <xf numFmtId="176" fontId="24" fillId="6" borderId="14" xfId="0" applyNumberFormat="1" applyFont="1" applyFill="1" applyBorder="1" applyAlignment="1">
      <alignment horizontal="center" vertical="center"/>
    </xf>
    <xf numFmtId="176" fontId="24" fillId="6" borderId="13" xfId="0" applyNumberFormat="1" applyFont="1" applyFill="1" applyBorder="1" applyAlignment="1">
      <alignment horizontal="center" vertical="center"/>
    </xf>
    <xf numFmtId="3" fontId="17" fillId="2" borderId="11" xfId="0" applyNumberFormat="1" applyFont="1" applyFill="1" applyBorder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p/1026/1684/?t.mpn=a8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9B16-26BA-4595-B2FC-67EEA9D7228D}">
  <sheetPr>
    <tabColor rgb="FF00B050"/>
  </sheetPr>
  <dimension ref="A2:S239"/>
  <sheetViews>
    <sheetView tabSelected="1" zoomScale="70" zoomScaleNormal="70" workbookViewId="0">
      <pane xSplit="12" ySplit="8" topLeftCell="M146" activePane="bottomRight" state="frozen"/>
      <selection activeCell="D26" sqref="D26"/>
      <selection pane="topRight" activeCell="D26" sqref="D26"/>
      <selection pane="bottomLeft" activeCell="D26" sqref="D26"/>
      <selection pane="bottomRight" activeCell="G157" sqref="G157"/>
    </sheetView>
  </sheetViews>
  <sheetFormatPr defaultColWidth="11.77734375" defaultRowHeight="13.5" customHeight="1" x14ac:dyDescent="0.2"/>
  <cols>
    <col min="1" max="1" width="7.109375" customWidth="1"/>
    <col min="2" max="2" width="19.77734375" customWidth="1"/>
    <col min="3" max="3" width="14.88671875" customWidth="1"/>
    <col min="4" max="4" width="6.21875" style="5" customWidth="1"/>
    <col min="5" max="5" width="15.21875" customWidth="1"/>
    <col min="6" max="6" width="15.44140625" customWidth="1"/>
    <col min="7" max="7" width="73.21875" customWidth="1"/>
    <col min="8" max="8" width="10.77734375" style="5" customWidth="1"/>
    <col min="9" max="10" width="12.109375" style="5" customWidth="1"/>
    <col min="11" max="11" width="7.109375" style="9" customWidth="1"/>
    <col min="12" max="12" width="50.44140625" customWidth="1"/>
    <col min="13" max="13" width="14.77734375" customWidth="1"/>
    <col min="14" max="14" width="17.6640625" style="5" customWidth="1"/>
    <col min="15" max="15" width="17" style="5" customWidth="1"/>
    <col min="16" max="16" width="7.88671875" customWidth="1"/>
    <col min="17" max="17" width="16.33203125" style="5" customWidth="1"/>
    <col min="18" max="18" width="17.88671875" style="41" customWidth="1"/>
    <col min="19" max="19" width="19.33203125" style="41" customWidth="1"/>
  </cols>
  <sheetData>
    <row r="2" spans="1:19" ht="20.100000000000001" customHeight="1" x14ac:dyDescent="0.2">
      <c r="D2" s="312" t="s">
        <v>0</v>
      </c>
      <c r="E2" s="312"/>
      <c r="F2" s="312"/>
      <c r="G2" s="26" t="s">
        <v>309</v>
      </c>
      <c r="I2" s="313" t="s">
        <v>1</v>
      </c>
      <c r="J2" s="314"/>
      <c r="K2" s="315"/>
      <c r="L2" s="8">
        <f>SUM(J:J)</f>
        <v>968839</v>
      </c>
    </row>
    <row r="3" spans="1:19" ht="20.100000000000001" customHeight="1" x14ac:dyDescent="0.2">
      <c r="D3" s="312" t="s">
        <v>2</v>
      </c>
      <c r="E3" s="312"/>
      <c r="F3" s="312"/>
      <c r="G3" s="7" t="s">
        <v>254</v>
      </c>
    </row>
    <row r="4" spans="1:19" ht="20.100000000000001" customHeight="1" x14ac:dyDescent="0.2">
      <c r="D4" s="312" t="s">
        <v>3</v>
      </c>
      <c r="E4" s="312"/>
      <c r="F4" s="312"/>
      <c r="G4" s="7" t="s">
        <v>308</v>
      </c>
      <c r="I4" s="316" t="s">
        <v>252</v>
      </c>
      <c r="J4" s="316"/>
      <c r="K4" s="316"/>
      <c r="L4" s="316"/>
      <c r="M4" s="75"/>
    </row>
    <row r="5" spans="1:19" ht="20.100000000000001" customHeight="1" x14ac:dyDescent="0.2">
      <c r="D5" s="312" t="s">
        <v>4</v>
      </c>
      <c r="E5" s="312"/>
      <c r="F5" s="312"/>
      <c r="G5" s="208">
        <v>46125</v>
      </c>
      <c r="H5" s="317" t="s">
        <v>405</v>
      </c>
      <c r="I5" s="316"/>
      <c r="J5" s="316"/>
      <c r="K5" s="316"/>
      <c r="L5" s="316"/>
    </row>
    <row r="6" spans="1:19" ht="20.100000000000001" customHeight="1" x14ac:dyDescent="0.2">
      <c r="D6" s="312" t="s">
        <v>5</v>
      </c>
      <c r="E6" s="312"/>
      <c r="F6" s="312"/>
      <c r="G6" s="208">
        <v>46126</v>
      </c>
      <c r="H6" s="318"/>
      <c r="I6" s="319" t="s">
        <v>253</v>
      </c>
      <c r="J6" s="319"/>
      <c r="K6" s="319"/>
      <c r="L6" s="319"/>
    </row>
    <row r="8" spans="1:19" s="5" customFormat="1" ht="19.5" customHeight="1" x14ac:dyDescent="0.2">
      <c r="C8" s="113" t="s">
        <v>138</v>
      </c>
      <c r="D8" s="112" t="s">
        <v>6</v>
      </c>
      <c r="E8" s="2" t="s">
        <v>7</v>
      </c>
      <c r="F8" s="2" t="s">
        <v>8</v>
      </c>
      <c r="G8" s="236" t="s">
        <v>346</v>
      </c>
      <c r="H8" s="20" t="s">
        <v>9</v>
      </c>
      <c r="I8" s="20" t="s">
        <v>10</v>
      </c>
      <c r="J8" s="1" t="s">
        <v>11</v>
      </c>
      <c r="K8" s="1" t="s">
        <v>12</v>
      </c>
      <c r="L8" s="20" t="s">
        <v>13</v>
      </c>
      <c r="M8" s="20" t="s">
        <v>14</v>
      </c>
      <c r="N8" s="20" t="s">
        <v>15</v>
      </c>
      <c r="O8" s="22" t="s">
        <v>16</v>
      </c>
      <c r="P8" s="2" t="s">
        <v>17</v>
      </c>
      <c r="Q8" s="20" t="s">
        <v>18</v>
      </c>
      <c r="R8" s="22" t="s">
        <v>19</v>
      </c>
      <c r="S8" s="6" t="s">
        <v>20</v>
      </c>
    </row>
    <row r="9" spans="1:19" s="5" customFormat="1" ht="19.5" customHeight="1" x14ac:dyDescent="0.2">
      <c r="D9" s="34"/>
      <c r="E9" s="34"/>
      <c r="F9" s="34"/>
      <c r="G9" s="145"/>
      <c r="H9" s="18"/>
      <c r="I9" s="184"/>
      <c r="J9" s="185"/>
      <c r="K9" s="10"/>
      <c r="L9" s="19"/>
      <c r="M9" s="20"/>
      <c r="N9" s="20"/>
      <c r="O9" s="22"/>
      <c r="P9" s="2"/>
      <c r="Q9" s="20"/>
      <c r="R9" s="22"/>
      <c r="S9" s="6"/>
    </row>
    <row r="10" spans="1:19" s="5" customFormat="1" ht="19.5" customHeight="1" x14ac:dyDescent="0.2">
      <c r="D10" s="189"/>
      <c r="E10" s="139"/>
      <c r="F10" s="139"/>
      <c r="G10" s="95"/>
      <c r="H10" s="18"/>
      <c r="I10" s="18"/>
      <c r="J10" s="18"/>
      <c r="K10" s="10"/>
      <c r="L10" s="19"/>
      <c r="M10" s="20"/>
      <c r="N10" s="20"/>
      <c r="O10" s="22"/>
      <c r="P10" s="2"/>
      <c r="Q10" s="20"/>
      <c r="R10" s="22"/>
      <c r="S10" s="6"/>
    </row>
    <row r="11" spans="1:19" ht="18" customHeight="1" x14ac:dyDescent="0.2">
      <c r="C11" s="232"/>
      <c r="D11" s="302" t="s">
        <v>21</v>
      </c>
      <c r="E11" s="303"/>
      <c r="F11" s="303"/>
      <c r="G11" s="304"/>
      <c r="H11" s="28"/>
      <c r="I11" s="28"/>
      <c r="J11" s="18"/>
      <c r="K11" s="10"/>
      <c r="L11" s="12"/>
      <c r="M11" s="21"/>
      <c r="N11" s="3"/>
      <c r="O11" s="22"/>
      <c r="P11" s="6"/>
      <c r="Q11" s="6"/>
      <c r="R11" s="22"/>
      <c r="S11" s="11"/>
    </row>
    <row r="12" spans="1:19" ht="18" customHeight="1" x14ac:dyDescent="0.2">
      <c r="A12" s="132" t="s">
        <v>124</v>
      </c>
      <c r="B12" s="248" t="s">
        <v>385</v>
      </c>
      <c r="C12" s="142">
        <v>3</v>
      </c>
      <c r="D12" s="244">
        <v>1</v>
      </c>
      <c r="E12" s="34" t="s">
        <v>27</v>
      </c>
      <c r="F12" s="34" t="s">
        <v>27</v>
      </c>
      <c r="G12" s="188" t="s">
        <v>109</v>
      </c>
      <c r="H12" s="190">
        <v>4</v>
      </c>
      <c r="I12" s="179">
        <v>1032</v>
      </c>
      <c r="J12" s="179">
        <f t="shared" ref="J12:J72" si="0">H12*I12</f>
        <v>4128</v>
      </c>
      <c r="K12" s="52">
        <v>2</v>
      </c>
      <c r="L12" s="65" t="s">
        <v>123</v>
      </c>
      <c r="M12" s="91"/>
      <c r="N12" s="282" t="s">
        <v>404</v>
      </c>
      <c r="O12" s="40">
        <v>46106</v>
      </c>
      <c r="P12" s="30"/>
      <c r="Q12" s="40">
        <v>46125</v>
      </c>
      <c r="R12" s="40">
        <v>46126</v>
      </c>
      <c r="S12" s="38"/>
    </row>
    <row r="13" spans="1:19" ht="18" customHeight="1" x14ac:dyDescent="0.2">
      <c r="A13" s="132" t="s">
        <v>124</v>
      </c>
      <c r="B13" s="248" t="s">
        <v>385</v>
      </c>
      <c r="C13" s="142">
        <v>3</v>
      </c>
      <c r="D13" s="115">
        <f>D12+1</f>
        <v>2</v>
      </c>
      <c r="E13" s="34" t="s">
        <v>27</v>
      </c>
      <c r="F13" s="34" t="s">
        <v>27</v>
      </c>
      <c r="G13" s="188" t="s">
        <v>139</v>
      </c>
      <c r="H13" s="190">
        <v>2</v>
      </c>
      <c r="I13" s="179">
        <v>963</v>
      </c>
      <c r="J13" s="179">
        <f t="shared" si="0"/>
        <v>1926</v>
      </c>
      <c r="K13" s="52">
        <v>1</v>
      </c>
      <c r="L13" s="65" t="s">
        <v>123</v>
      </c>
      <c r="M13" s="91"/>
      <c r="N13" s="282" t="s">
        <v>404</v>
      </c>
      <c r="O13" s="40">
        <v>46106</v>
      </c>
      <c r="P13" s="30"/>
      <c r="Q13" s="40">
        <v>46125</v>
      </c>
      <c r="R13" s="40">
        <v>46126</v>
      </c>
      <c r="S13" s="38"/>
    </row>
    <row r="14" spans="1:19" ht="18" customHeight="1" x14ac:dyDescent="0.2">
      <c r="A14" s="132" t="s">
        <v>115</v>
      </c>
      <c r="B14" s="248" t="s">
        <v>385</v>
      </c>
      <c r="C14" s="142">
        <v>3</v>
      </c>
      <c r="D14" s="115">
        <f t="shared" ref="D14:D66" si="1">D13+1</f>
        <v>3</v>
      </c>
      <c r="E14" s="106" t="s">
        <v>71</v>
      </c>
      <c r="F14" s="34" t="s">
        <v>27</v>
      </c>
      <c r="G14" s="188" t="s">
        <v>328</v>
      </c>
      <c r="H14" s="179">
        <v>2</v>
      </c>
      <c r="I14" s="179">
        <v>24821</v>
      </c>
      <c r="J14" s="179">
        <f t="shared" si="0"/>
        <v>49642</v>
      </c>
      <c r="K14" s="57">
        <v>1</v>
      </c>
      <c r="L14" s="65" t="s">
        <v>238</v>
      </c>
      <c r="M14" s="91"/>
      <c r="N14" s="282" t="s">
        <v>404</v>
      </c>
      <c r="O14" s="40">
        <v>46106</v>
      </c>
      <c r="P14" s="30"/>
      <c r="Q14" s="40">
        <v>46125</v>
      </c>
      <c r="R14" s="40">
        <v>46126</v>
      </c>
      <c r="S14" s="38"/>
    </row>
    <row r="15" spans="1:19" ht="18" customHeight="1" x14ac:dyDescent="0.2">
      <c r="A15" s="132" t="s">
        <v>124</v>
      </c>
      <c r="B15" s="248" t="s">
        <v>385</v>
      </c>
      <c r="C15" s="142"/>
      <c r="D15" s="115">
        <f t="shared" si="1"/>
        <v>4</v>
      </c>
      <c r="E15" s="34" t="s">
        <v>27</v>
      </c>
      <c r="F15" s="34" t="s">
        <v>27</v>
      </c>
      <c r="G15" s="188" t="s">
        <v>240</v>
      </c>
      <c r="H15" s="179">
        <v>8</v>
      </c>
      <c r="I15" s="179">
        <v>912</v>
      </c>
      <c r="J15" s="179">
        <f t="shared" si="0"/>
        <v>7296</v>
      </c>
      <c r="K15" s="57">
        <v>4</v>
      </c>
      <c r="L15" s="65" t="s">
        <v>248</v>
      </c>
      <c r="M15" s="91"/>
      <c r="N15" s="282" t="s">
        <v>404</v>
      </c>
      <c r="O15" s="40">
        <v>46106</v>
      </c>
      <c r="P15" s="30"/>
      <c r="Q15" s="40">
        <v>46125</v>
      </c>
      <c r="R15" s="40">
        <v>46126</v>
      </c>
      <c r="S15" s="38"/>
    </row>
    <row r="16" spans="1:19" ht="18" customHeight="1" x14ac:dyDescent="0.2">
      <c r="A16" s="132" t="s">
        <v>79</v>
      </c>
      <c r="B16" s="248" t="s">
        <v>385</v>
      </c>
      <c r="C16" s="142">
        <v>3</v>
      </c>
      <c r="D16" s="115">
        <f t="shared" si="1"/>
        <v>5</v>
      </c>
      <c r="E16" s="34" t="s">
        <v>27</v>
      </c>
      <c r="F16" s="34" t="s">
        <v>27</v>
      </c>
      <c r="G16" s="188" t="s">
        <v>82</v>
      </c>
      <c r="H16" s="179">
        <v>4</v>
      </c>
      <c r="I16" s="179">
        <v>739</v>
      </c>
      <c r="J16" s="179">
        <f t="shared" si="0"/>
        <v>2956</v>
      </c>
      <c r="K16" s="52">
        <v>2</v>
      </c>
      <c r="L16" s="53" t="s">
        <v>59</v>
      </c>
      <c r="M16" s="91"/>
      <c r="N16" s="282" t="s">
        <v>404</v>
      </c>
      <c r="O16" s="40">
        <v>46106</v>
      </c>
      <c r="P16" s="30"/>
      <c r="Q16" s="40">
        <v>46125</v>
      </c>
      <c r="R16" s="40">
        <v>46126</v>
      </c>
      <c r="S16" s="38"/>
    </row>
    <row r="17" spans="1:19" ht="18" customHeight="1" x14ac:dyDescent="0.2">
      <c r="A17" s="129" t="s">
        <v>78</v>
      </c>
      <c r="B17" s="248" t="s">
        <v>385</v>
      </c>
      <c r="C17" s="142">
        <v>3</v>
      </c>
      <c r="D17" s="115">
        <f>D16+1</f>
        <v>6</v>
      </c>
      <c r="E17" s="34" t="s">
        <v>27</v>
      </c>
      <c r="F17" s="34" t="s">
        <v>27</v>
      </c>
      <c r="G17" s="163" t="s">
        <v>83</v>
      </c>
      <c r="H17" s="186">
        <v>8</v>
      </c>
      <c r="I17" s="179">
        <v>118</v>
      </c>
      <c r="J17" s="179">
        <f t="shared" si="0"/>
        <v>944</v>
      </c>
      <c r="K17" s="57">
        <v>4</v>
      </c>
      <c r="L17" s="65" t="s">
        <v>398</v>
      </c>
      <c r="M17" s="91"/>
      <c r="N17" s="282" t="s">
        <v>404</v>
      </c>
      <c r="O17" s="40">
        <v>46106</v>
      </c>
      <c r="P17" s="30"/>
      <c r="Q17" s="40">
        <v>46125</v>
      </c>
      <c r="R17" s="40">
        <v>46126</v>
      </c>
      <c r="S17" s="38"/>
    </row>
    <row r="18" spans="1:19" ht="18" customHeight="1" x14ac:dyDescent="0.2">
      <c r="A18" s="129" t="s">
        <v>78</v>
      </c>
      <c r="B18" s="248" t="s">
        <v>385</v>
      </c>
      <c r="C18" s="142">
        <v>3</v>
      </c>
      <c r="D18" s="115">
        <f t="shared" si="1"/>
        <v>7</v>
      </c>
      <c r="E18" s="34" t="s">
        <v>27</v>
      </c>
      <c r="F18" s="34" t="s">
        <v>27</v>
      </c>
      <c r="G18" s="163" t="s">
        <v>85</v>
      </c>
      <c r="H18" s="186">
        <v>12</v>
      </c>
      <c r="I18" s="186">
        <v>14</v>
      </c>
      <c r="J18" s="179">
        <f t="shared" si="0"/>
        <v>168</v>
      </c>
      <c r="K18" s="242">
        <v>6</v>
      </c>
      <c r="L18" s="187" t="s">
        <v>383</v>
      </c>
      <c r="M18" s="91"/>
      <c r="N18" s="282" t="s">
        <v>404</v>
      </c>
      <c r="O18" s="40">
        <v>46106</v>
      </c>
      <c r="P18" s="30"/>
      <c r="Q18" s="40">
        <v>46125</v>
      </c>
      <c r="R18" s="40">
        <v>46126</v>
      </c>
      <c r="S18" s="38"/>
    </row>
    <row r="19" spans="1:19" ht="18" customHeight="1" x14ac:dyDescent="0.2">
      <c r="A19" s="129" t="s">
        <v>78</v>
      </c>
      <c r="B19" s="248" t="s">
        <v>385</v>
      </c>
      <c r="C19" s="142">
        <v>3</v>
      </c>
      <c r="D19" s="115">
        <f t="shared" si="1"/>
        <v>8</v>
      </c>
      <c r="E19" s="34" t="s">
        <v>27</v>
      </c>
      <c r="F19" s="34" t="s">
        <v>27</v>
      </c>
      <c r="G19" s="163" t="s">
        <v>92</v>
      </c>
      <c r="H19" s="186">
        <v>8</v>
      </c>
      <c r="I19" s="179">
        <v>24</v>
      </c>
      <c r="J19" s="179">
        <f t="shared" si="0"/>
        <v>192</v>
      </c>
      <c r="K19" s="57">
        <v>4</v>
      </c>
      <c r="L19" s="107" t="s">
        <v>216</v>
      </c>
      <c r="M19" s="91"/>
      <c r="N19" s="282" t="s">
        <v>404</v>
      </c>
      <c r="O19" s="40">
        <v>46106</v>
      </c>
      <c r="P19" s="30"/>
      <c r="Q19" s="40">
        <v>46125</v>
      </c>
      <c r="R19" s="40">
        <v>46126</v>
      </c>
      <c r="S19" s="38"/>
    </row>
    <row r="20" spans="1:19" ht="18" customHeight="1" x14ac:dyDescent="0.2">
      <c r="A20" s="132" t="s">
        <v>115</v>
      </c>
      <c r="B20" s="248" t="s">
        <v>385</v>
      </c>
      <c r="C20" s="142">
        <v>3</v>
      </c>
      <c r="D20" s="115">
        <f t="shared" si="1"/>
        <v>9</v>
      </c>
      <c r="E20" s="106" t="s">
        <v>71</v>
      </c>
      <c r="F20" s="34" t="s">
        <v>27</v>
      </c>
      <c r="G20" s="163" t="s">
        <v>329</v>
      </c>
      <c r="H20" s="186">
        <v>2</v>
      </c>
      <c r="I20" s="179">
        <v>7258</v>
      </c>
      <c r="J20" s="179">
        <f t="shared" si="0"/>
        <v>14516</v>
      </c>
      <c r="K20" s="57">
        <v>1</v>
      </c>
      <c r="L20" s="107" t="s">
        <v>243</v>
      </c>
      <c r="M20" s="91"/>
      <c r="N20" s="282" t="s">
        <v>404</v>
      </c>
      <c r="O20" s="40">
        <v>46106</v>
      </c>
      <c r="P20" s="30"/>
      <c r="Q20" s="40">
        <v>46125</v>
      </c>
      <c r="R20" s="40">
        <v>46126</v>
      </c>
      <c r="S20" s="38"/>
    </row>
    <row r="21" spans="1:19" ht="18" customHeight="1" x14ac:dyDescent="0.2">
      <c r="A21" s="129" t="s">
        <v>78</v>
      </c>
      <c r="B21" s="248" t="s">
        <v>385</v>
      </c>
      <c r="C21" s="142">
        <v>3</v>
      </c>
      <c r="D21" s="115">
        <f t="shared" si="1"/>
        <v>10</v>
      </c>
      <c r="E21" s="34" t="s">
        <v>27</v>
      </c>
      <c r="F21" s="34" t="s">
        <v>27</v>
      </c>
      <c r="G21" s="163" t="s">
        <v>244</v>
      </c>
      <c r="H21" s="186">
        <v>8</v>
      </c>
      <c r="I21" s="179">
        <v>22</v>
      </c>
      <c r="J21" s="179">
        <f t="shared" si="0"/>
        <v>176</v>
      </c>
      <c r="K21" s="57">
        <v>4</v>
      </c>
      <c r="L21" s="107" t="s">
        <v>113</v>
      </c>
      <c r="M21" s="91"/>
      <c r="N21" s="282" t="s">
        <v>404</v>
      </c>
      <c r="O21" s="40">
        <v>46106</v>
      </c>
      <c r="P21" s="30"/>
      <c r="Q21" s="40">
        <v>46125</v>
      </c>
      <c r="R21" s="40">
        <v>46126</v>
      </c>
      <c r="S21" s="38"/>
    </row>
    <row r="22" spans="1:19" ht="18" customHeight="1" x14ac:dyDescent="0.2">
      <c r="A22" s="132" t="s">
        <v>115</v>
      </c>
      <c r="B22" s="248" t="s">
        <v>385</v>
      </c>
      <c r="C22" s="142">
        <v>3</v>
      </c>
      <c r="D22" s="115">
        <f t="shared" si="1"/>
        <v>11</v>
      </c>
      <c r="E22" s="106" t="s">
        <v>71</v>
      </c>
      <c r="F22" s="34" t="s">
        <v>27</v>
      </c>
      <c r="G22" s="163" t="s">
        <v>330</v>
      </c>
      <c r="H22" s="186">
        <v>2</v>
      </c>
      <c r="I22" s="179">
        <v>7433</v>
      </c>
      <c r="J22" s="179">
        <f t="shared" si="0"/>
        <v>14866</v>
      </c>
      <c r="K22" s="57">
        <v>1</v>
      </c>
      <c r="L22" s="107" t="s">
        <v>245</v>
      </c>
      <c r="M22" s="91"/>
      <c r="N22" s="282" t="s">
        <v>404</v>
      </c>
      <c r="O22" s="40">
        <v>46106</v>
      </c>
      <c r="P22" s="30"/>
      <c r="Q22" s="40">
        <v>46125</v>
      </c>
      <c r="R22" s="40">
        <v>46126</v>
      </c>
      <c r="S22" s="38"/>
    </row>
    <row r="23" spans="1:19" ht="18" customHeight="1" x14ac:dyDescent="0.2">
      <c r="A23" s="129" t="s">
        <v>78</v>
      </c>
      <c r="B23" s="248" t="s">
        <v>385</v>
      </c>
      <c r="C23" s="142">
        <v>3</v>
      </c>
      <c r="D23" s="115">
        <f>D22+1</f>
        <v>12</v>
      </c>
      <c r="E23" s="34" t="s">
        <v>27</v>
      </c>
      <c r="F23" s="34" t="s">
        <v>27</v>
      </c>
      <c r="G23" s="163" t="s">
        <v>246</v>
      </c>
      <c r="H23" s="186">
        <v>12</v>
      </c>
      <c r="I23" s="179">
        <v>14</v>
      </c>
      <c r="J23" s="179">
        <f t="shared" si="0"/>
        <v>168</v>
      </c>
      <c r="K23" s="57">
        <v>6</v>
      </c>
      <c r="L23" s="65" t="s">
        <v>398</v>
      </c>
      <c r="M23" s="91"/>
      <c r="N23" s="282" t="s">
        <v>404</v>
      </c>
      <c r="O23" s="40">
        <v>46106</v>
      </c>
      <c r="P23" s="30"/>
      <c r="Q23" s="40">
        <v>46125</v>
      </c>
      <c r="R23" s="40">
        <v>46126</v>
      </c>
      <c r="S23" s="38"/>
    </row>
    <row r="24" spans="1:19" ht="18" customHeight="1" x14ac:dyDescent="0.2">
      <c r="A24" s="132" t="s">
        <v>115</v>
      </c>
      <c r="B24" s="248" t="s">
        <v>385</v>
      </c>
      <c r="C24" s="142">
        <v>3</v>
      </c>
      <c r="D24" s="115">
        <f t="shared" si="1"/>
        <v>13</v>
      </c>
      <c r="E24" s="106" t="s">
        <v>71</v>
      </c>
      <c r="F24" s="34" t="s">
        <v>27</v>
      </c>
      <c r="G24" s="163" t="s">
        <v>331</v>
      </c>
      <c r="H24" s="186">
        <v>2</v>
      </c>
      <c r="I24" s="179">
        <v>9271</v>
      </c>
      <c r="J24" s="179">
        <f t="shared" si="0"/>
        <v>18542</v>
      </c>
      <c r="K24" s="57">
        <v>1</v>
      </c>
      <c r="L24" s="107" t="s">
        <v>247</v>
      </c>
      <c r="M24" s="91"/>
      <c r="N24" s="282" t="s">
        <v>404</v>
      </c>
      <c r="O24" s="40">
        <v>46106</v>
      </c>
      <c r="P24" s="30"/>
      <c r="Q24" s="40">
        <v>46125</v>
      </c>
      <c r="R24" s="40">
        <v>46126</v>
      </c>
      <c r="S24" s="38"/>
    </row>
    <row r="25" spans="1:19" ht="18" customHeight="1" x14ac:dyDescent="0.2">
      <c r="A25" s="129" t="s">
        <v>78</v>
      </c>
      <c r="B25" s="248" t="s">
        <v>385</v>
      </c>
      <c r="C25" s="142">
        <v>3</v>
      </c>
      <c r="D25" s="115">
        <f>D24+1</f>
        <v>14</v>
      </c>
      <c r="E25" s="34" t="s">
        <v>27</v>
      </c>
      <c r="F25" s="34" t="s">
        <v>27</v>
      </c>
      <c r="G25" s="163" t="s">
        <v>53</v>
      </c>
      <c r="H25" s="186">
        <v>28</v>
      </c>
      <c r="I25" s="179">
        <v>15</v>
      </c>
      <c r="J25" s="179">
        <f t="shared" si="0"/>
        <v>420</v>
      </c>
      <c r="K25" s="57">
        <v>14</v>
      </c>
      <c r="L25" s="65" t="s">
        <v>399</v>
      </c>
      <c r="M25" s="91"/>
      <c r="N25" s="282" t="s">
        <v>404</v>
      </c>
      <c r="O25" s="40">
        <v>46106</v>
      </c>
      <c r="P25" s="30"/>
      <c r="Q25" s="40">
        <v>46125</v>
      </c>
      <c r="R25" s="40">
        <v>46126</v>
      </c>
      <c r="S25" s="38"/>
    </row>
    <row r="26" spans="1:19" ht="18" customHeight="1" x14ac:dyDescent="0.2">
      <c r="A26" s="132" t="s">
        <v>77</v>
      </c>
      <c r="B26" s="248" t="s">
        <v>385</v>
      </c>
      <c r="C26" s="142">
        <v>3</v>
      </c>
      <c r="D26" s="115">
        <f t="shared" si="1"/>
        <v>15</v>
      </c>
      <c r="E26" s="106" t="s">
        <v>71</v>
      </c>
      <c r="F26" s="34" t="s">
        <v>27</v>
      </c>
      <c r="G26" s="163" t="s">
        <v>332</v>
      </c>
      <c r="H26" s="186">
        <v>2</v>
      </c>
      <c r="I26" s="179">
        <v>4140</v>
      </c>
      <c r="J26" s="179">
        <f t="shared" si="0"/>
        <v>8280</v>
      </c>
      <c r="K26" s="57">
        <v>1</v>
      </c>
      <c r="L26" s="65" t="s">
        <v>318</v>
      </c>
      <c r="M26" s="91"/>
      <c r="N26" s="282" t="s">
        <v>404</v>
      </c>
      <c r="O26" s="40">
        <v>46106</v>
      </c>
      <c r="P26" s="30"/>
      <c r="Q26" s="40">
        <v>46125</v>
      </c>
      <c r="R26" s="40">
        <v>46126</v>
      </c>
      <c r="S26" s="38"/>
    </row>
    <row r="27" spans="1:19" ht="18" customHeight="1" x14ac:dyDescent="0.2">
      <c r="A27" s="129" t="s">
        <v>78</v>
      </c>
      <c r="B27" s="248" t="s">
        <v>385</v>
      </c>
      <c r="C27" s="142">
        <v>3</v>
      </c>
      <c r="D27" s="115">
        <f t="shared" si="1"/>
        <v>16</v>
      </c>
      <c r="E27" s="34" t="s">
        <v>27</v>
      </c>
      <c r="F27" s="34" t="s">
        <v>27</v>
      </c>
      <c r="G27" s="163" t="s">
        <v>319</v>
      </c>
      <c r="H27" s="186">
        <v>24</v>
      </c>
      <c r="I27" s="179">
        <v>37</v>
      </c>
      <c r="J27" s="179">
        <f t="shared" si="0"/>
        <v>888</v>
      </c>
      <c r="K27" s="57">
        <v>12</v>
      </c>
      <c r="L27" s="65" t="s">
        <v>320</v>
      </c>
      <c r="M27" s="91"/>
      <c r="N27" s="282" t="s">
        <v>404</v>
      </c>
      <c r="O27" s="40">
        <v>46106</v>
      </c>
      <c r="P27" s="30"/>
      <c r="Q27" s="40">
        <v>46125</v>
      </c>
      <c r="R27" s="40">
        <v>46126</v>
      </c>
      <c r="S27" s="38"/>
    </row>
    <row r="28" spans="1:19" ht="18" customHeight="1" x14ac:dyDescent="0.2">
      <c r="A28" s="132" t="s">
        <v>77</v>
      </c>
      <c r="B28" s="248" t="s">
        <v>385</v>
      </c>
      <c r="C28" s="142">
        <v>3</v>
      </c>
      <c r="D28" s="115">
        <f t="shared" si="1"/>
        <v>17</v>
      </c>
      <c r="E28" s="106" t="s">
        <v>71</v>
      </c>
      <c r="F28" s="34" t="s">
        <v>27</v>
      </c>
      <c r="G28" s="163" t="s">
        <v>333</v>
      </c>
      <c r="H28" s="186">
        <v>2</v>
      </c>
      <c r="I28" s="179">
        <v>2878</v>
      </c>
      <c r="J28" s="179">
        <f t="shared" si="0"/>
        <v>5756</v>
      </c>
      <c r="K28" s="57">
        <v>1</v>
      </c>
      <c r="L28" s="65" t="s">
        <v>321</v>
      </c>
      <c r="M28" s="91"/>
      <c r="N28" s="282" t="s">
        <v>404</v>
      </c>
      <c r="O28" s="40">
        <v>46106</v>
      </c>
      <c r="P28" s="30"/>
      <c r="Q28" s="40">
        <v>46125</v>
      </c>
      <c r="R28" s="40">
        <v>46126</v>
      </c>
      <c r="S28" s="38"/>
    </row>
    <row r="29" spans="1:19" ht="18" customHeight="1" x14ac:dyDescent="0.2">
      <c r="A29" s="129" t="s">
        <v>78</v>
      </c>
      <c r="B29" s="248" t="s">
        <v>385</v>
      </c>
      <c r="C29" s="142">
        <v>3</v>
      </c>
      <c r="D29" s="115">
        <f t="shared" si="1"/>
        <v>18</v>
      </c>
      <c r="E29" s="34" t="s">
        <v>27</v>
      </c>
      <c r="F29" s="34" t="s">
        <v>27</v>
      </c>
      <c r="G29" s="163" t="s">
        <v>322</v>
      </c>
      <c r="H29" s="186">
        <v>8</v>
      </c>
      <c r="I29" s="179">
        <v>47</v>
      </c>
      <c r="J29" s="179">
        <f t="shared" si="0"/>
        <v>376</v>
      </c>
      <c r="K29" s="57">
        <v>4</v>
      </c>
      <c r="L29" s="65" t="s">
        <v>323</v>
      </c>
      <c r="M29" s="91"/>
      <c r="N29" s="282" t="s">
        <v>404</v>
      </c>
      <c r="O29" s="40">
        <v>46106</v>
      </c>
      <c r="P29" s="30"/>
      <c r="Q29" s="40">
        <v>46125</v>
      </c>
      <c r="R29" s="40">
        <v>46126</v>
      </c>
      <c r="S29" s="38"/>
    </row>
    <row r="30" spans="1:19" ht="18" customHeight="1" x14ac:dyDescent="0.2">
      <c r="A30" s="129" t="s">
        <v>78</v>
      </c>
      <c r="B30" s="248" t="s">
        <v>385</v>
      </c>
      <c r="C30" s="142">
        <v>3</v>
      </c>
      <c r="D30" s="115">
        <f t="shared" si="1"/>
        <v>19</v>
      </c>
      <c r="E30" s="34" t="s">
        <v>27</v>
      </c>
      <c r="F30" s="34" t="s">
        <v>27</v>
      </c>
      <c r="G30" s="163" t="s">
        <v>324</v>
      </c>
      <c r="H30" s="186">
        <v>6</v>
      </c>
      <c r="I30" s="179">
        <v>112</v>
      </c>
      <c r="J30" s="179">
        <f t="shared" si="0"/>
        <v>672</v>
      </c>
      <c r="K30" s="57">
        <v>3</v>
      </c>
      <c r="L30" s="187" t="s">
        <v>325</v>
      </c>
      <c r="M30" s="91"/>
      <c r="N30" s="282" t="s">
        <v>404</v>
      </c>
      <c r="O30" s="40">
        <v>46106</v>
      </c>
      <c r="P30" s="30"/>
      <c r="Q30" s="40">
        <v>46125</v>
      </c>
      <c r="R30" s="40">
        <v>46126</v>
      </c>
      <c r="S30" s="38"/>
    </row>
    <row r="31" spans="1:19" ht="18" customHeight="1" x14ac:dyDescent="0.2">
      <c r="A31" s="129" t="s">
        <v>78</v>
      </c>
      <c r="B31" s="248" t="s">
        <v>385</v>
      </c>
      <c r="C31" s="142">
        <v>3</v>
      </c>
      <c r="D31" s="115">
        <f t="shared" si="1"/>
        <v>20</v>
      </c>
      <c r="E31" s="34" t="s">
        <v>27</v>
      </c>
      <c r="F31" s="34" t="s">
        <v>27</v>
      </c>
      <c r="G31" s="163" t="s">
        <v>100</v>
      </c>
      <c r="H31" s="186">
        <v>14</v>
      </c>
      <c r="I31" s="179">
        <v>15</v>
      </c>
      <c r="J31" s="179">
        <f t="shared" si="0"/>
        <v>210</v>
      </c>
      <c r="K31" s="57">
        <v>7</v>
      </c>
      <c r="L31" s="187" t="s">
        <v>384</v>
      </c>
      <c r="M31" s="91"/>
      <c r="N31" s="282" t="s">
        <v>404</v>
      </c>
      <c r="O31" s="40">
        <v>46106</v>
      </c>
      <c r="P31" s="30"/>
      <c r="Q31" s="40">
        <v>46125</v>
      </c>
      <c r="R31" s="40">
        <v>46126</v>
      </c>
      <c r="S31" s="38"/>
    </row>
    <row r="32" spans="1:19" ht="18" customHeight="1" x14ac:dyDescent="0.2">
      <c r="A32" s="129" t="s">
        <v>78</v>
      </c>
      <c r="B32" s="248" t="s">
        <v>385</v>
      </c>
      <c r="C32" s="142">
        <v>3</v>
      </c>
      <c r="D32" s="115">
        <f t="shared" si="1"/>
        <v>21</v>
      </c>
      <c r="E32" s="34" t="s">
        <v>27</v>
      </c>
      <c r="F32" s="34" t="s">
        <v>27</v>
      </c>
      <c r="G32" s="163" t="s">
        <v>326</v>
      </c>
      <c r="H32" s="186">
        <v>6</v>
      </c>
      <c r="I32" s="186">
        <v>188</v>
      </c>
      <c r="J32" s="179">
        <f t="shared" si="0"/>
        <v>1128</v>
      </c>
      <c r="K32" s="57">
        <v>3</v>
      </c>
      <c r="L32" s="65" t="s">
        <v>327</v>
      </c>
      <c r="M32" s="91"/>
      <c r="N32" s="282" t="s">
        <v>404</v>
      </c>
      <c r="O32" s="40">
        <v>46106</v>
      </c>
      <c r="P32" s="30"/>
      <c r="Q32" s="40">
        <v>46125</v>
      </c>
      <c r="R32" s="40">
        <v>46126</v>
      </c>
      <c r="S32" s="38"/>
    </row>
    <row r="33" spans="1:19" ht="18" customHeight="1" x14ac:dyDescent="0.2">
      <c r="A33" s="132" t="s">
        <v>115</v>
      </c>
      <c r="B33" s="248" t="s">
        <v>385</v>
      </c>
      <c r="C33" s="142">
        <v>3</v>
      </c>
      <c r="D33" s="115">
        <f>D32+1</f>
        <v>22</v>
      </c>
      <c r="E33" s="106" t="s">
        <v>71</v>
      </c>
      <c r="F33" s="34" t="s">
        <v>27</v>
      </c>
      <c r="G33" s="188" t="s">
        <v>114</v>
      </c>
      <c r="H33" s="179">
        <v>2</v>
      </c>
      <c r="I33" s="179">
        <v>5755</v>
      </c>
      <c r="J33" s="179">
        <f t="shared" si="0"/>
        <v>11510</v>
      </c>
      <c r="K33" s="57">
        <v>1</v>
      </c>
      <c r="L33" s="65" t="s">
        <v>86</v>
      </c>
      <c r="M33" s="91"/>
      <c r="N33" s="282" t="s">
        <v>404</v>
      </c>
      <c r="O33" s="40">
        <v>46106</v>
      </c>
      <c r="P33" s="30"/>
      <c r="Q33" s="40">
        <v>46125</v>
      </c>
      <c r="R33" s="40">
        <v>46126</v>
      </c>
      <c r="S33" s="38"/>
    </row>
    <row r="34" spans="1:19" ht="18" customHeight="1" x14ac:dyDescent="0.2">
      <c r="A34" s="129" t="s">
        <v>78</v>
      </c>
      <c r="B34" s="248" t="s">
        <v>385</v>
      </c>
      <c r="C34" s="142">
        <v>3</v>
      </c>
      <c r="D34" s="115">
        <f t="shared" si="1"/>
        <v>23</v>
      </c>
      <c r="E34" s="34" t="s">
        <v>27</v>
      </c>
      <c r="F34" s="34" t="s">
        <v>27</v>
      </c>
      <c r="G34" s="188" t="s">
        <v>87</v>
      </c>
      <c r="H34" s="179">
        <v>4</v>
      </c>
      <c r="I34" s="179">
        <v>49</v>
      </c>
      <c r="J34" s="179">
        <f t="shared" si="0"/>
        <v>196</v>
      </c>
      <c r="K34" s="57">
        <v>2</v>
      </c>
      <c r="L34" s="65" t="s">
        <v>229</v>
      </c>
      <c r="M34" s="91"/>
      <c r="N34" s="282" t="s">
        <v>404</v>
      </c>
      <c r="O34" s="40">
        <v>46106</v>
      </c>
      <c r="P34" s="30"/>
      <c r="Q34" s="40">
        <v>46125</v>
      </c>
      <c r="R34" s="40">
        <v>46126</v>
      </c>
      <c r="S34" s="38"/>
    </row>
    <row r="35" spans="1:19" ht="18" customHeight="1" x14ac:dyDescent="0.2">
      <c r="A35" s="129" t="s">
        <v>78</v>
      </c>
      <c r="B35" s="248" t="s">
        <v>385</v>
      </c>
      <c r="C35" s="142">
        <v>3</v>
      </c>
      <c r="D35" s="115">
        <f>D34+1</f>
        <v>24</v>
      </c>
      <c r="E35" s="34" t="s">
        <v>27</v>
      </c>
      <c r="F35" s="34" t="s">
        <v>27</v>
      </c>
      <c r="G35" s="163" t="s">
        <v>88</v>
      </c>
      <c r="H35" s="186">
        <v>4</v>
      </c>
      <c r="I35" s="190">
        <v>113</v>
      </c>
      <c r="J35" s="179">
        <f t="shared" si="0"/>
        <v>452</v>
      </c>
      <c r="K35" s="57">
        <v>2</v>
      </c>
      <c r="L35" s="65" t="s">
        <v>400</v>
      </c>
      <c r="M35" s="91"/>
      <c r="N35" s="282" t="s">
        <v>404</v>
      </c>
      <c r="O35" s="40">
        <v>46106</v>
      </c>
      <c r="P35" s="30"/>
      <c r="Q35" s="40">
        <v>46125</v>
      </c>
      <c r="R35" s="40">
        <v>46126</v>
      </c>
      <c r="S35" s="38"/>
    </row>
    <row r="36" spans="1:19" ht="18" customHeight="1" x14ac:dyDescent="0.2">
      <c r="A36" s="132" t="s">
        <v>115</v>
      </c>
      <c r="B36" s="248" t="s">
        <v>385</v>
      </c>
      <c r="C36" s="142">
        <v>3</v>
      </c>
      <c r="D36" s="115">
        <f t="shared" si="1"/>
        <v>25</v>
      </c>
      <c r="E36" s="106" t="s">
        <v>71</v>
      </c>
      <c r="F36" s="34" t="s">
        <v>27</v>
      </c>
      <c r="G36" s="188" t="s">
        <v>117</v>
      </c>
      <c r="H36" s="179">
        <v>2</v>
      </c>
      <c r="I36" s="179">
        <v>5766</v>
      </c>
      <c r="J36" s="179">
        <f t="shared" si="0"/>
        <v>11532</v>
      </c>
      <c r="K36" s="57">
        <v>1</v>
      </c>
      <c r="L36" s="65" t="s">
        <v>89</v>
      </c>
      <c r="M36" s="91"/>
      <c r="N36" s="282" t="s">
        <v>404</v>
      </c>
      <c r="O36" s="40">
        <v>46106</v>
      </c>
      <c r="P36" s="30"/>
      <c r="Q36" s="40">
        <v>46125</v>
      </c>
      <c r="R36" s="40">
        <v>46126</v>
      </c>
      <c r="S36" s="38"/>
    </row>
    <row r="37" spans="1:19" ht="18" customHeight="1" x14ac:dyDescent="0.2">
      <c r="A37" s="129" t="s">
        <v>78</v>
      </c>
      <c r="B37" s="248" t="s">
        <v>385</v>
      </c>
      <c r="C37" s="142">
        <v>3</v>
      </c>
      <c r="D37" s="115">
        <f>D36+1</f>
        <v>26</v>
      </c>
      <c r="E37" s="34" t="s">
        <v>27</v>
      </c>
      <c r="F37" s="34" t="s">
        <v>27</v>
      </c>
      <c r="G37" s="163" t="s">
        <v>90</v>
      </c>
      <c r="H37" s="186">
        <v>2</v>
      </c>
      <c r="I37" s="186">
        <v>187</v>
      </c>
      <c r="J37" s="179">
        <f t="shared" si="0"/>
        <v>374</v>
      </c>
      <c r="K37" s="57">
        <v>1</v>
      </c>
      <c r="L37" s="65" t="s">
        <v>317</v>
      </c>
      <c r="M37" s="91"/>
      <c r="N37" s="282" t="s">
        <v>404</v>
      </c>
      <c r="O37" s="40">
        <v>46106</v>
      </c>
      <c r="P37" s="30"/>
      <c r="Q37" s="40">
        <v>46125</v>
      </c>
      <c r="R37" s="40">
        <v>46126</v>
      </c>
      <c r="S37" s="38"/>
    </row>
    <row r="38" spans="1:19" ht="18" customHeight="1" x14ac:dyDescent="0.2">
      <c r="A38" s="132" t="s">
        <v>77</v>
      </c>
      <c r="B38" s="248" t="s">
        <v>385</v>
      </c>
      <c r="C38" s="142">
        <v>3</v>
      </c>
      <c r="D38" s="115">
        <f>D37+1</f>
        <v>27</v>
      </c>
      <c r="E38" s="34" t="s">
        <v>27</v>
      </c>
      <c r="F38" s="34" t="s">
        <v>27</v>
      </c>
      <c r="G38" s="188" t="s">
        <v>91</v>
      </c>
      <c r="H38" s="179">
        <v>2</v>
      </c>
      <c r="I38" s="179">
        <v>1350</v>
      </c>
      <c r="J38" s="179">
        <f t="shared" si="0"/>
        <v>2700</v>
      </c>
      <c r="K38" s="57">
        <v>1</v>
      </c>
      <c r="L38" s="65" t="s">
        <v>128</v>
      </c>
      <c r="M38" s="91"/>
      <c r="N38" s="282" t="s">
        <v>404</v>
      </c>
      <c r="O38" s="40">
        <v>46106</v>
      </c>
      <c r="P38" s="30"/>
      <c r="Q38" s="40">
        <v>46125</v>
      </c>
      <c r="R38" s="40">
        <v>46126</v>
      </c>
      <c r="S38" s="38"/>
    </row>
    <row r="39" spans="1:19" ht="18" customHeight="1" x14ac:dyDescent="0.2">
      <c r="A39" s="132" t="s">
        <v>115</v>
      </c>
      <c r="B39" s="248" t="s">
        <v>385</v>
      </c>
      <c r="C39" s="142">
        <v>3</v>
      </c>
      <c r="D39" s="115">
        <f t="shared" si="1"/>
        <v>28</v>
      </c>
      <c r="E39" s="106" t="s">
        <v>71</v>
      </c>
      <c r="F39" s="34" t="s">
        <v>27</v>
      </c>
      <c r="G39" s="188" t="s">
        <v>118</v>
      </c>
      <c r="H39" s="179">
        <v>2</v>
      </c>
      <c r="I39" s="179">
        <v>5203</v>
      </c>
      <c r="J39" s="179">
        <f t="shared" si="0"/>
        <v>10406</v>
      </c>
      <c r="K39" s="57">
        <v>1</v>
      </c>
      <c r="L39" s="65" t="s">
        <v>93</v>
      </c>
      <c r="M39" s="91"/>
      <c r="N39" s="282" t="s">
        <v>404</v>
      </c>
      <c r="O39" s="40">
        <v>46106</v>
      </c>
      <c r="P39" s="30"/>
      <c r="Q39" s="40">
        <v>46125</v>
      </c>
      <c r="R39" s="40">
        <v>46126</v>
      </c>
      <c r="S39" s="38"/>
    </row>
    <row r="40" spans="1:19" ht="18" customHeight="1" x14ac:dyDescent="0.2">
      <c r="A40" s="129" t="s">
        <v>78</v>
      </c>
      <c r="B40" s="248" t="s">
        <v>385</v>
      </c>
      <c r="C40" s="142">
        <v>3</v>
      </c>
      <c r="D40" s="115">
        <f t="shared" si="1"/>
        <v>29</v>
      </c>
      <c r="E40" s="34" t="s">
        <v>27</v>
      </c>
      <c r="F40" s="34" t="s">
        <v>27</v>
      </c>
      <c r="G40" s="188" t="s">
        <v>94</v>
      </c>
      <c r="H40" s="179">
        <v>2</v>
      </c>
      <c r="I40" s="190">
        <v>82</v>
      </c>
      <c r="J40" s="179">
        <f t="shared" si="0"/>
        <v>164</v>
      </c>
      <c r="K40" s="57">
        <v>1</v>
      </c>
      <c r="L40" s="107" t="s">
        <v>113</v>
      </c>
      <c r="M40" s="91"/>
      <c r="N40" s="282" t="s">
        <v>404</v>
      </c>
      <c r="O40" s="40">
        <v>46106</v>
      </c>
      <c r="P40" s="30"/>
      <c r="Q40" s="40">
        <v>46125</v>
      </c>
      <c r="R40" s="40">
        <v>46126</v>
      </c>
      <c r="S40" s="38"/>
    </row>
    <row r="41" spans="1:19" ht="18" customHeight="1" x14ac:dyDescent="0.2">
      <c r="A41" s="129" t="s">
        <v>78</v>
      </c>
      <c r="B41" s="248" t="s">
        <v>385</v>
      </c>
      <c r="C41" s="142">
        <v>3</v>
      </c>
      <c r="D41" s="115">
        <f>D40+1</f>
        <v>30</v>
      </c>
      <c r="E41" s="34" t="s">
        <v>27</v>
      </c>
      <c r="F41" s="34" t="s">
        <v>27</v>
      </c>
      <c r="G41" s="188" t="s">
        <v>230</v>
      </c>
      <c r="H41" s="179">
        <v>2</v>
      </c>
      <c r="I41" s="179">
        <v>536</v>
      </c>
      <c r="J41" s="179">
        <f t="shared" si="0"/>
        <v>1072</v>
      </c>
      <c r="K41" s="57">
        <v>1</v>
      </c>
      <c r="L41" s="65" t="s">
        <v>30</v>
      </c>
      <c r="M41" s="91"/>
      <c r="N41" s="282" t="s">
        <v>404</v>
      </c>
      <c r="O41" s="40">
        <v>46106</v>
      </c>
      <c r="P41" s="30"/>
      <c r="Q41" s="40">
        <v>46125</v>
      </c>
      <c r="R41" s="40">
        <v>46126</v>
      </c>
      <c r="S41" s="38"/>
    </row>
    <row r="42" spans="1:19" ht="18" customHeight="1" x14ac:dyDescent="0.2">
      <c r="A42" s="132" t="s">
        <v>115</v>
      </c>
      <c r="B42" s="248" t="s">
        <v>385</v>
      </c>
      <c r="C42" s="142">
        <v>3</v>
      </c>
      <c r="D42" s="115">
        <f t="shared" si="1"/>
        <v>31</v>
      </c>
      <c r="E42" s="106" t="s">
        <v>71</v>
      </c>
      <c r="F42" s="34" t="s">
        <v>27</v>
      </c>
      <c r="G42" s="188" t="s">
        <v>120</v>
      </c>
      <c r="H42" s="179">
        <v>2</v>
      </c>
      <c r="I42" s="179">
        <v>5663</v>
      </c>
      <c r="J42" s="179">
        <f t="shared" si="0"/>
        <v>11326</v>
      </c>
      <c r="K42" s="57">
        <v>1</v>
      </c>
      <c r="L42" s="65" t="s">
        <v>95</v>
      </c>
      <c r="M42" s="91"/>
      <c r="N42" s="282" t="s">
        <v>404</v>
      </c>
      <c r="O42" s="40">
        <v>46106</v>
      </c>
      <c r="P42" s="30"/>
      <c r="Q42" s="40">
        <v>46125</v>
      </c>
      <c r="R42" s="40">
        <v>46126</v>
      </c>
      <c r="S42" s="38"/>
    </row>
    <row r="43" spans="1:19" ht="18" customHeight="1" x14ac:dyDescent="0.2">
      <c r="A43" s="132" t="s">
        <v>115</v>
      </c>
      <c r="B43" s="248" t="s">
        <v>385</v>
      </c>
      <c r="C43" s="142">
        <v>3</v>
      </c>
      <c r="D43" s="115">
        <f t="shared" si="1"/>
        <v>32</v>
      </c>
      <c r="E43" s="106" t="s">
        <v>71</v>
      </c>
      <c r="F43" s="34" t="s">
        <v>27</v>
      </c>
      <c r="G43" s="195" t="s">
        <v>116</v>
      </c>
      <c r="H43" s="190">
        <v>2</v>
      </c>
      <c r="I43" s="179">
        <v>4473</v>
      </c>
      <c r="J43" s="179">
        <f t="shared" si="0"/>
        <v>8946</v>
      </c>
      <c r="K43" s="57">
        <v>1</v>
      </c>
      <c r="L43" s="65" t="s">
        <v>96</v>
      </c>
      <c r="M43" s="91"/>
      <c r="N43" s="282" t="s">
        <v>404</v>
      </c>
      <c r="O43" s="40">
        <v>46106</v>
      </c>
      <c r="P43" s="30"/>
      <c r="Q43" s="40">
        <v>46125</v>
      </c>
      <c r="R43" s="40">
        <v>46126</v>
      </c>
      <c r="S43" s="38"/>
    </row>
    <row r="44" spans="1:19" ht="18" customHeight="1" x14ac:dyDescent="0.2">
      <c r="A44" s="129" t="s">
        <v>78</v>
      </c>
      <c r="B44" s="248" t="s">
        <v>385</v>
      </c>
      <c r="C44" s="142">
        <v>3</v>
      </c>
      <c r="D44" s="115">
        <f t="shared" si="1"/>
        <v>33</v>
      </c>
      <c r="E44" s="34" t="s">
        <v>27</v>
      </c>
      <c r="F44" s="34" t="s">
        <v>27</v>
      </c>
      <c r="G44" s="188" t="s">
        <v>97</v>
      </c>
      <c r="H44" s="190">
        <v>100</v>
      </c>
      <c r="I44" s="179">
        <v>15</v>
      </c>
      <c r="J44" s="179">
        <f t="shared" si="0"/>
        <v>1500</v>
      </c>
      <c r="K44" s="57">
        <v>50</v>
      </c>
      <c r="L44" s="65" t="s">
        <v>140</v>
      </c>
      <c r="M44" s="91"/>
      <c r="N44" s="282" t="s">
        <v>404</v>
      </c>
      <c r="O44" s="40">
        <v>46106</v>
      </c>
      <c r="P44" s="30"/>
      <c r="Q44" s="40">
        <v>46125</v>
      </c>
      <c r="R44" s="40">
        <v>46126</v>
      </c>
      <c r="S44" s="38"/>
    </row>
    <row r="45" spans="1:19" ht="18" customHeight="1" x14ac:dyDescent="0.2">
      <c r="A45" s="129" t="s">
        <v>78</v>
      </c>
      <c r="B45" s="248" t="s">
        <v>385</v>
      </c>
      <c r="C45" s="142">
        <v>3</v>
      </c>
      <c r="D45" s="115">
        <f t="shared" si="1"/>
        <v>34</v>
      </c>
      <c r="E45" s="34" t="s">
        <v>27</v>
      </c>
      <c r="F45" s="34" t="s">
        <v>27</v>
      </c>
      <c r="G45" s="163" t="s">
        <v>99</v>
      </c>
      <c r="H45" s="186">
        <v>20</v>
      </c>
      <c r="I45" s="179">
        <v>14</v>
      </c>
      <c r="J45" s="179">
        <f t="shared" si="0"/>
        <v>280</v>
      </c>
      <c r="K45" s="57">
        <v>10</v>
      </c>
      <c r="L45" s="65" t="s">
        <v>401</v>
      </c>
      <c r="M45" s="91"/>
      <c r="N45" s="282" t="s">
        <v>404</v>
      </c>
      <c r="O45" s="40">
        <v>46106</v>
      </c>
      <c r="P45" s="30"/>
      <c r="Q45" s="40">
        <v>46125</v>
      </c>
      <c r="R45" s="40">
        <v>46126</v>
      </c>
      <c r="S45" s="38"/>
    </row>
    <row r="46" spans="1:19" ht="18" customHeight="1" x14ac:dyDescent="0.2">
      <c r="A46" s="132" t="s">
        <v>57</v>
      </c>
      <c r="B46" s="248" t="s">
        <v>385</v>
      </c>
      <c r="C46" s="142">
        <v>3</v>
      </c>
      <c r="D46" s="115">
        <f t="shared" si="1"/>
        <v>35</v>
      </c>
      <c r="E46" s="106" t="s">
        <v>71</v>
      </c>
      <c r="F46" s="34" t="s">
        <v>27</v>
      </c>
      <c r="G46" s="188" t="s">
        <v>111</v>
      </c>
      <c r="H46" s="179">
        <v>4</v>
      </c>
      <c r="I46" s="179">
        <v>6993</v>
      </c>
      <c r="J46" s="272">
        <f t="shared" si="0"/>
        <v>27972</v>
      </c>
      <c r="K46" s="52">
        <v>2</v>
      </c>
      <c r="L46" s="36" t="s">
        <v>112</v>
      </c>
      <c r="M46" s="91"/>
      <c r="N46" s="282" t="s">
        <v>404</v>
      </c>
      <c r="O46" s="40">
        <v>46106</v>
      </c>
      <c r="P46" s="30"/>
      <c r="Q46" s="40">
        <v>46125</v>
      </c>
      <c r="R46" s="40">
        <v>46126</v>
      </c>
      <c r="S46" s="38"/>
    </row>
    <row r="47" spans="1:19" ht="18" customHeight="1" x14ac:dyDescent="0.2">
      <c r="A47" s="129" t="s">
        <v>78</v>
      </c>
      <c r="B47" s="248" t="s">
        <v>385</v>
      </c>
      <c r="C47" s="142">
        <v>3</v>
      </c>
      <c r="D47" s="115">
        <f t="shared" si="1"/>
        <v>36</v>
      </c>
      <c r="E47" s="34" t="s">
        <v>27</v>
      </c>
      <c r="F47" s="34" t="s">
        <v>27</v>
      </c>
      <c r="G47" s="188" t="s">
        <v>315</v>
      </c>
      <c r="H47" s="179">
        <v>4</v>
      </c>
      <c r="I47" s="179">
        <v>1168</v>
      </c>
      <c r="J47" s="272">
        <f t="shared" si="0"/>
        <v>4672</v>
      </c>
      <c r="K47" s="52">
        <v>2</v>
      </c>
      <c r="L47" s="36" t="s">
        <v>316</v>
      </c>
      <c r="M47" s="91"/>
      <c r="N47" s="282" t="s">
        <v>404</v>
      </c>
      <c r="O47" s="40">
        <v>46106</v>
      </c>
      <c r="P47" s="30"/>
      <c r="Q47" s="40">
        <v>46125</v>
      </c>
      <c r="R47" s="40">
        <v>46126</v>
      </c>
      <c r="S47" s="38"/>
    </row>
    <row r="48" spans="1:19" ht="18" customHeight="1" x14ac:dyDescent="0.2">
      <c r="A48" s="129" t="s">
        <v>78</v>
      </c>
      <c r="B48" s="248" t="s">
        <v>385</v>
      </c>
      <c r="C48" s="142">
        <v>3</v>
      </c>
      <c r="D48" s="115">
        <f t="shared" si="1"/>
        <v>37</v>
      </c>
      <c r="E48" s="34" t="s">
        <v>27</v>
      </c>
      <c r="F48" s="34" t="s">
        <v>27</v>
      </c>
      <c r="G48" s="188" t="s">
        <v>311</v>
      </c>
      <c r="H48" s="179">
        <v>4</v>
      </c>
      <c r="I48" s="179">
        <v>1584</v>
      </c>
      <c r="J48" s="272">
        <f t="shared" si="0"/>
        <v>6336</v>
      </c>
      <c r="K48" s="52">
        <v>2</v>
      </c>
      <c r="L48" s="36" t="s">
        <v>314</v>
      </c>
      <c r="M48" s="91"/>
      <c r="N48" s="282" t="s">
        <v>404</v>
      </c>
      <c r="O48" s="40">
        <v>46106</v>
      </c>
      <c r="P48" s="30"/>
      <c r="Q48" s="40">
        <v>46125</v>
      </c>
      <c r="R48" s="40">
        <v>46126</v>
      </c>
      <c r="S48" s="38"/>
    </row>
    <row r="49" spans="1:19" ht="18" customHeight="1" x14ac:dyDescent="0.2">
      <c r="A49" s="129" t="s">
        <v>78</v>
      </c>
      <c r="B49" s="248" t="s">
        <v>385</v>
      </c>
      <c r="C49" s="142">
        <v>3</v>
      </c>
      <c r="D49" s="115">
        <f t="shared" si="1"/>
        <v>38</v>
      </c>
      <c r="E49" s="34" t="s">
        <v>27</v>
      </c>
      <c r="F49" s="34" t="s">
        <v>27</v>
      </c>
      <c r="G49" s="188" t="s">
        <v>312</v>
      </c>
      <c r="H49" s="179">
        <v>4</v>
      </c>
      <c r="I49" s="179">
        <v>930</v>
      </c>
      <c r="J49" s="272">
        <f t="shared" si="0"/>
        <v>3720</v>
      </c>
      <c r="K49" s="52">
        <v>2</v>
      </c>
      <c r="L49" s="36" t="s">
        <v>313</v>
      </c>
      <c r="M49" s="91"/>
      <c r="N49" s="282" t="s">
        <v>404</v>
      </c>
      <c r="O49" s="40">
        <v>46106</v>
      </c>
      <c r="P49" s="30"/>
      <c r="Q49" s="40">
        <v>46125</v>
      </c>
      <c r="R49" s="40">
        <v>46126</v>
      </c>
      <c r="S49" s="38"/>
    </row>
    <row r="50" spans="1:19" ht="18" customHeight="1" x14ac:dyDescent="0.2">
      <c r="A50" s="129" t="s">
        <v>78</v>
      </c>
      <c r="B50" s="248" t="s">
        <v>385</v>
      </c>
      <c r="C50" s="142">
        <v>3</v>
      </c>
      <c r="D50" s="115">
        <f t="shared" si="1"/>
        <v>39</v>
      </c>
      <c r="E50" s="34" t="s">
        <v>27</v>
      </c>
      <c r="F50" s="34" t="s">
        <v>27</v>
      </c>
      <c r="G50" s="163" t="s">
        <v>100</v>
      </c>
      <c r="H50" s="186">
        <v>4</v>
      </c>
      <c r="I50" s="179">
        <v>120</v>
      </c>
      <c r="J50" s="272">
        <f t="shared" si="0"/>
        <v>480</v>
      </c>
      <c r="K50" s="52">
        <v>2</v>
      </c>
      <c r="L50" s="65" t="s">
        <v>402</v>
      </c>
      <c r="M50" s="91"/>
      <c r="N50" s="282" t="s">
        <v>404</v>
      </c>
      <c r="O50" s="40">
        <v>46106</v>
      </c>
      <c r="P50" s="30"/>
      <c r="Q50" s="40">
        <v>46125</v>
      </c>
      <c r="R50" s="40">
        <v>46126</v>
      </c>
      <c r="S50" s="38"/>
    </row>
    <row r="51" spans="1:19" ht="18" customHeight="1" x14ac:dyDescent="0.2">
      <c r="A51" s="129" t="s">
        <v>78</v>
      </c>
      <c r="B51" s="248" t="s">
        <v>385</v>
      </c>
      <c r="C51" s="142">
        <v>3</v>
      </c>
      <c r="D51" s="115">
        <f t="shared" si="1"/>
        <v>40</v>
      </c>
      <c r="E51" s="34" t="s">
        <v>27</v>
      </c>
      <c r="F51" s="34" t="s">
        <v>27</v>
      </c>
      <c r="G51" s="163" t="s">
        <v>101</v>
      </c>
      <c r="H51" s="186">
        <v>4</v>
      </c>
      <c r="I51" s="190">
        <v>113</v>
      </c>
      <c r="J51" s="272">
        <f t="shared" si="0"/>
        <v>452</v>
      </c>
      <c r="K51" s="52">
        <v>2</v>
      </c>
      <c r="L51" s="65" t="s">
        <v>84</v>
      </c>
      <c r="M51" s="91"/>
      <c r="N51" s="282" t="s">
        <v>404</v>
      </c>
      <c r="O51" s="40">
        <v>46106</v>
      </c>
      <c r="P51" s="30"/>
      <c r="Q51" s="40">
        <v>46125</v>
      </c>
      <c r="R51" s="40">
        <v>46126</v>
      </c>
      <c r="S51" s="38"/>
    </row>
    <row r="52" spans="1:19" ht="18" customHeight="1" x14ac:dyDescent="0.2">
      <c r="A52" s="129" t="s">
        <v>78</v>
      </c>
      <c r="B52" s="248" t="s">
        <v>385</v>
      </c>
      <c r="C52" s="142">
        <v>3</v>
      </c>
      <c r="D52" s="115">
        <f t="shared" si="1"/>
        <v>41</v>
      </c>
      <c r="E52" s="34" t="s">
        <v>27</v>
      </c>
      <c r="F52" s="34" t="s">
        <v>27</v>
      </c>
      <c r="G52" s="163" t="s">
        <v>102</v>
      </c>
      <c r="H52" s="186">
        <v>16</v>
      </c>
      <c r="I52" s="179">
        <v>41</v>
      </c>
      <c r="J52" s="272">
        <f t="shared" si="0"/>
        <v>656</v>
      </c>
      <c r="K52" s="52">
        <v>8</v>
      </c>
      <c r="L52" s="65" t="s">
        <v>98</v>
      </c>
      <c r="M52" s="91"/>
      <c r="N52" s="282" t="s">
        <v>404</v>
      </c>
      <c r="O52" s="40">
        <v>46106</v>
      </c>
      <c r="P52" s="30"/>
      <c r="Q52" s="40">
        <v>46125</v>
      </c>
      <c r="R52" s="40">
        <v>46126</v>
      </c>
      <c r="S52" s="38"/>
    </row>
    <row r="53" spans="1:19" ht="18" customHeight="1" x14ac:dyDescent="0.2">
      <c r="A53" s="132" t="s">
        <v>115</v>
      </c>
      <c r="B53" s="248" t="s">
        <v>385</v>
      </c>
      <c r="C53" s="142">
        <v>3</v>
      </c>
      <c r="D53" s="115">
        <f t="shared" si="1"/>
        <v>42</v>
      </c>
      <c r="E53" s="106" t="s">
        <v>71</v>
      </c>
      <c r="F53" s="34" t="s">
        <v>27</v>
      </c>
      <c r="G53" s="188" t="s">
        <v>119</v>
      </c>
      <c r="H53" s="190">
        <v>4</v>
      </c>
      <c r="I53" s="179">
        <v>4624</v>
      </c>
      <c r="J53" s="272">
        <f t="shared" si="0"/>
        <v>18496</v>
      </c>
      <c r="K53" s="52">
        <v>2</v>
      </c>
      <c r="L53" s="65" t="s">
        <v>103</v>
      </c>
      <c r="M53" s="91"/>
      <c r="N53" s="282" t="s">
        <v>404</v>
      </c>
      <c r="O53" s="40">
        <v>46106</v>
      </c>
      <c r="P53" s="30"/>
      <c r="Q53" s="40">
        <v>46125</v>
      </c>
      <c r="R53" s="40">
        <v>46126</v>
      </c>
      <c r="S53" s="38"/>
    </row>
    <row r="54" spans="1:19" ht="18" customHeight="1" x14ac:dyDescent="0.2">
      <c r="A54" s="129" t="s">
        <v>78</v>
      </c>
      <c r="B54" s="248" t="s">
        <v>385</v>
      </c>
      <c r="C54" s="142">
        <v>3</v>
      </c>
      <c r="D54" s="115">
        <f t="shared" si="1"/>
        <v>43</v>
      </c>
      <c r="E54" s="34" t="s">
        <v>27</v>
      </c>
      <c r="F54" s="34" t="s">
        <v>27</v>
      </c>
      <c r="G54" s="188" t="s">
        <v>104</v>
      </c>
      <c r="H54" s="190">
        <v>4</v>
      </c>
      <c r="I54" s="179">
        <v>870</v>
      </c>
      <c r="J54" s="272">
        <f t="shared" si="0"/>
        <v>3480</v>
      </c>
      <c r="K54" s="52">
        <v>2</v>
      </c>
      <c r="L54" s="65" t="s">
        <v>125</v>
      </c>
      <c r="M54" s="91"/>
      <c r="N54" s="282" t="s">
        <v>404</v>
      </c>
      <c r="O54" s="40">
        <v>46106</v>
      </c>
      <c r="P54" s="30"/>
      <c r="Q54" s="40">
        <v>46125</v>
      </c>
      <c r="R54" s="40">
        <v>46126</v>
      </c>
      <c r="S54" s="38"/>
    </row>
    <row r="55" spans="1:19" ht="18" customHeight="1" x14ac:dyDescent="0.2">
      <c r="A55" s="132" t="s">
        <v>124</v>
      </c>
      <c r="B55" s="248" t="s">
        <v>385</v>
      </c>
      <c r="C55" s="142">
        <v>3</v>
      </c>
      <c r="D55" s="115">
        <f t="shared" si="1"/>
        <v>44</v>
      </c>
      <c r="E55" s="34" t="s">
        <v>27</v>
      </c>
      <c r="F55" s="34" t="s">
        <v>27</v>
      </c>
      <c r="G55" s="188" t="s">
        <v>105</v>
      </c>
      <c r="H55" s="179">
        <v>4</v>
      </c>
      <c r="I55" s="179">
        <v>3752</v>
      </c>
      <c r="J55" s="272">
        <f t="shared" si="0"/>
        <v>15008</v>
      </c>
      <c r="K55" s="52">
        <v>2</v>
      </c>
      <c r="L55" s="65" t="s">
        <v>126</v>
      </c>
      <c r="M55" s="91"/>
      <c r="N55" s="282" t="s">
        <v>404</v>
      </c>
      <c r="O55" s="40">
        <v>46106</v>
      </c>
      <c r="P55" s="30"/>
      <c r="Q55" s="40">
        <v>46125</v>
      </c>
      <c r="R55" s="40">
        <v>46126</v>
      </c>
      <c r="S55" s="38"/>
    </row>
    <row r="56" spans="1:19" ht="18" customHeight="1" x14ac:dyDescent="0.2">
      <c r="A56" s="129" t="s">
        <v>78</v>
      </c>
      <c r="B56" s="248" t="s">
        <v>385</v>
      </c>
      <c r="C56" s="142">
        <v>3</v>
      </c>
      <c r="D56" s="115">
        <f t="shared" si="1"/>
        <v>45</v>
      </c>
      <c r="E56" s="34" t="s">
        <v>27</v>
      </c>
      <c r="F56" s="34" t="s">
        <v>27</v>
      </c>
      <c r="G56" s="188" t="s">
        <v>106</v>
      </c>
      <c r="H56" s="179">
        <v>8</v>
      </c>
      <c r="I56" s="179">
        <v>18</v>
      </c>
      <c r="J56" s="272">
        <f t="shared" si="0"/>
        <v>144</v>
      </c>
      <c r="K56" s="52">
        <v>4</v>
      </c>
      <c r="L56" s="65" t="s">
        <v>127</v>
      </c>
      <c r="M56" s="91"/>
      <c r="N56" s="282" t="s">
        <v>404</v>
      </c>
      <c r="O56" s="40">
        <v>46106</v>
      </c>
      <c r="P56" s="30"/>
      <c r="Q56" s="40">
        <v>46125</v>
      </c>
      <c r="R56" s="40">
        <v>46126</v>
      </c>
      <c r="S56" s="38"/>
    </row>
    <row r="57" spans="1:19" ht="18" customHeight="1" x14ac:dyDescent="0.2">
      <c r="A57" s="132" t="s">
        <v>222</v>
      </c>
      <c r="B57" s="248" t="s">
        <v>385</v>
      </c>
      <c r="C57" s="142">
        <v>3</v>
      </c>
      <c r="D57" s="115">
        <f>D56+1</f>
        <v>46</v>
      </c>
      <c r="E57" s="106" t="s">
        <v>71</v>
      </c>
      <c r="F57" s="34" t="s">
        <v>27</v>
      </c>
      <c r="G57" s="195" t="s">
        <v>221</v>
      </c>
      <c r="H57" s="179">
        <v>8</v>
      </c>
      <c r="I57" s="179">
        <v>4446</v>
      </c>
      <c r="J57" s="272">
        <f t="shared" si="0"/>
        <v>35568</v>
      </c>
      <c r="K57" s="52">
        <v>4</v>
      </c>
      <c r="L57" s="72" t="s">
        <v>217</v>
      </c>
      <c r="M57" s="91"/>
      <c r="N57" s="282" t="s">
        <v>404</v>
      </c>
      <c r="O57" s="40">
        <v>46106</v>
      </c>
      <c r="P57" s="30"/>
      <c r="Q57" s="40">
        <v>46125</v>
      </c>
      <c r="R57" s="40">
        <v>46126</v>
      </c>
      <c r="S57" s="38"/>
    </row>
    <row r="58" spans="1:19" ht="18" customHeight="1" x14ac:dyDescent="0.2">
      <c r="A58" s="132" t="s">
        <v>77</v>
      </c>
      <c r="B58" s="248" t="s">
        <v>385</v>
      </c>
      <c r="C58" s="142">
        <v>3</v>
      </c>
      <c r="D58" s="115">
        <f t="shared" si="1"/>
        <v>47</v>
      </c>
      <c r="E58" s="106" t="s">
        <v>71</v>
      </c>
      <c r="F58" s="34" t="s">
        <v>27</v>
      </c>
      <c r="G58" s="188" t="s">
        <v>224</v>
      </c>
      <c r="H58" s="179">
        <v>2</v>
      </c>
      <c r="I58" s="179">
        <v>4580</v>
      </c>
      <c r="J58" s="179">
        <f t="shared" si="0"/>
        <v>9160</v>
      </c>
      <c r="K58" s="52">
        <v>1</v>
      </c>
      <c r="L58" s="72" t="s">
        <v>218</v>
      </c>
      <c r="M58" s="91"/>
      <c r="N58" s="282" t="s">
        <v>404</v>
      </c>
      <c r="O58" s="40">
        <v>46106</v>
      </c>
      <c r="P58" s="30"/>
      <c r="Q58" s="40">
        <v>46125</v>
      </c>
      <c r="R58" s="40">
        <v>46126</v>
      </c>
      <c r="S58" s="38"/>
    </row>
    <row r="59" spans="1:19" ht="18" customHeight="1" x14ac:dyDescent="0.2">
      <c r="A59" s="132" t="s">
        <v>77</v>
      </c>
      <c r="B59" s="248" t="s">
        <v>385</v>
      </c>
      <c r="C59" s="142">
        <v>3</v>
      </c>
      <c r="D59" s="115">
        <f t="shared" si="1"/>
        <v>48</v>
      </c>
      <c r="E59" s="106" t="s">
        <v>71</v>
      </c>
      <c r="F59" s="34" t="s">
        <v>27</v>
      </c>
      <c r="G59" s="188" t="s">
        <v>225</v>
      </c>
      <c r="H59" s="179">
        <v>2</v>
      </c>
      <c r="I59" s="179">
        <v>4580</v>
      </c>
      <c r="J59" s="179">
        <f t="shared" si="0"/>
        <v>9160</v>
      </c>
      <c r="K59" s="52">
        <v>1</v>
      </c>
      <c r="L59" s="65" t="s">
        <v>219</v>
      </c>
      <c r="M59" s="91"/>
      <c r="N59" s="282" t="s">
        <v>404</v>
      </c>
      <c r="O59" s="40">
        <v>46106</v>
      </c>
      <c r="P59" s="30"/>
      <c r="Q59" s="40">
        <v>46125</v>
      </c>
      <c r="R59" s="40">
        <v>46126</v>
      </c>
      <c r="S59" s="38"/>
    </row>
    <row r="60" spans="1:19" ht="18" customHeight="1" x14ac:dyDescent="0.2">
      <c r="A60" s="129" t="s">
        <v>78</v>
      </c>
      <c r="B60" s="248" t="s">
        <v>385</v>
      </c>
      <c r="C60" s="142">
        <v>3</v>
      </c>
      <c r="D60" s="115">
        <f t="shared" si="1"/>
        <v>49</v>
      </c>
      <c r="E60" s="109" t="s">
        <v>121</v>
      </c>
      <c r="F60" s="34" t="s">
        <v>27</v>
      </c>
      <c r="G60" s="188" t="s">
        <v>107</v>
      </c>
      <c r="H60" s="190">
        <v>12</v>
      </c>
      <c r="I60" s="179">
        <v>50</v>
      </c>
      <c r="J60" s="179">
        <f t="shared" si="0"/>
        <v>600</v>
      </c>
      <c r="K60" s="52">
        <v>6</v>
      </c>
      <c r="L60" s="65" t="s">
        <v>141</v>
      </c>
      <c r="M60" s="91"/>
      <c r="N60" s="282" t="s">
        <v>404</v>
      </c>
      <c r="O60" s="40">
        <v>46106</v>
      </c>
      <c r="P60" s="30"/>
      <c r="Q60" s="40">
        <v>46125</v>
      </c>
      <c r="R60" s="40">
        <v>46126</v>
      </c>
      <c r="S60" s="38"/>
    </row>
    <row r="61" spans="1:19" ht="18" customHeight="1" x14ac:dyDescent="0.2">
      <c r="A61" s="129" t="s">
        <v>78</v>
      </c>
      <c r="B61" s="248" t="s">
        <v>385</v>
      </c>
      <c r="C61" s="142">
        <v>3</v>
      </c>
      <c r="D61" s="115">
        <f>D60+1</f>
        <v>50</v>
      </c>
      <c r="E61" s="34" t="s">
        <v>27</v>
      </c>
      <c r="F61" s="34" t="s">
        <v>27</v>
      </c>
      <c r="G61" s="188" t="s">
        <v>108</v>
      </c>
      <c r="H61" s="190">
        <v>36</v>
      </c>
      <c r="I61" s="179">
        <v>26</v>
      </c>
      <c r="J61" s="179">
        <f t="shared" si="0"/>
        <v>936</v>
      </c>
      <c r="K61" s="52">
        <v>18</v>
      </c>
      <c r="L61" s="65" t="s">
        <v>142</v>
      </c>
      <c r="M61" s="91"/>
      <c r="N61" s="282" t="s">
        <v>404</v>
      </c>
      <c r="O61" s="40">
        <v>46106</v>
      </c>
      <c r="P61" s="30"/>
      <c r="Q61" s="40">
        <v>46125</v>
      </c>
      <c r="R61" s="40">
        <v>46126</v>
      </c>
      <c r="S61" s="38"/>
    </row>
    <row r="62" spans="1:19" ht="18" customHeight="1" x14ac:dyDescent="0.2">
      <c r="A62" s="129" t="s">
        <v>78</v>
      </c>
      <c r="B62" s="248" t="s">
        <v>385</v>
      </c>
      <c r="C62" s="142">
        <v>3</v>
      </c>
      <c r="D62" s="115">
        <f t="shared" si="1"/>
        <v>51</v>
      </c>
      <c r="E62" s="34" t="s">
        <v>27</v>
      </c>
      <c r="F62" s="34" t="s">
        <v>27</v>
      </c>
      <c r="G62" s="163" t="s">
        <v>31</v>
      </c>
      <c r="H62" s="186">
        <v>4</v>
      </c>
      <c r="I62" s="179">
        <v>120</v>
      </c>
      <c r="J62" s="179">
        <f t="shared" si="0"/>
        <v>480</v>
      </c>
      <c r="K62" s="52">
        <v>2</v>
      </c>
      <c r="L62" s="65" t="s">
        <v>403</v>
      </c>
      <c r="M62" s="91"/>
      <c r="N62" s="282" t="s">
        <v>404</v>
      </c>
      <c r="O62" s="40">
        <v>46106</v>
      </c>
      <c r="P62" s="30"/>
      <c r="Q62" s="40">
        <v>46125</v>
      </c>
      <c r="R62" s="40">
        <v>46126</v>
      </c>
      <c r="S62" s="38"/>
    </row>
    <row r="63" spans="1:19" ht="18" customHeight="1" x14ac:dyDescent="0.2">
      <c r="A63" s="132" t="s">
        <v>77</v>
      </c>
      <c r="B63" s="248" t="s">
        <v>385</v>
      </c>
      <c r="C63" s="142">
        <v>3</v>
      </c>
      <c r="D63" s="115">
        <f t="shared" si="1"/>
        <v>52</v>
      </c>
      <c r="E63" s="106" t="s">
        <v>71</v>
      </c>
      <c r="F63" s="34" t="s">
        <v>27</v>
      </c>
      <c r="G63" s="188" t="s">
        <v>223</v>
      </c>
      <c r="H63" s="179">
        <v>2</v>
      </c>
      <c r="I63" s="179">
        <v>2340</v>
      </c>
      <c r="J63" s="179">
        <f t="shared" si="0"/>
        <v>4680</v>
      </c>
      <c r="K63" s="52">
        <v>1</v>
      </c>
      <c r="L63" s="72" t="s">
        <v>220</v>
      </c>
      <c r="M63" s="91"/>
      <c r="N63" s="282" t="s">
        <v>404</v>
      </c>
      <c r="O63" s="40">
        <v>46106</v>
      </c>
      <c r="P63" s="30"/>
      <c r="Q63" s="40">
        <v>46125</v>
      </c>
      <c r="R63" s="40">
        <v>46126</v>
      </c>
      <c r="S63" s="38"/>
    </row>
    <row r="64" spans="1:19" ht="18" customHeight="1" x14ac:dyDescent="0.2">
      <c r="A64" s="129" t="s">
        <v>78</v>
      </c>
      <c r="B64" s="248" t="s">
        <v>385</v>
      </c>
      <c r="C64" s="142">
        <v>3</v>
      </c>
      <c r="D64" s="115">
        <f t="shared" si="1"/>
        <v>53</v>
      </c>
      <c r="E64" s="34" t="s">
        <v>27</v>
      </c>
      <c r="F64" s="34" t="s">
        <v>27</v>
      </c>
      <c r="G64" s="188" t="s">
        <v>307</v>
      </c>
      <c r="H64" s="190">
        <v>8</v>
      </c>
      <c r="I64" s="179">
        <v>87</v>
      </c>
      <c r="J64" s="179">
        <f t="shared" si="0"/>
        <v>696</v>
      </c>
      <c r="K64" s="52">
        <v>4</v>
      </c>
      <c r="L64" s="65" t="s">
        <v>306</v>
      </c>
      <c r="M64" s="91"/>
      <c r="N64" s="282" t="s">
        <v>404</v>
      </c>
      <c r="O64" s="40">
        <v>46106</v>
      </c>
      <c r="P64" s="30"/>
      <c r="Q64" s="40">
        <v>46125</v>
      </c>
      <c r="R64" s="40">
        <v>46126</v>
      </c>
      <c r="S64" s="38"/>
    </row>
    <row r="65" spans="1:19" ht="18" customHeight="1" x14ac:dyDescent="0.2">
      <c r="A65" s="132" t="s">
        <v>222</v>
      </c>
      <c r="B65" s="248" t="s">
        <v>385</v>
      </c>
      <c r="C65" s="142">
        <v>3</v>
      </c>
      <c r="D65" s="115">
        <f t="shared" si="1"/>
        <v>54</v>
      </c>
      <c r="E65" s="34" t="s">
        <v>27</v>
      </c>
      <c r="F65" s="34" t="s">
        <v>27</v>
      </c>
      <c r="G65" s="188" t="s">
        <v>80</v>
      </c>
      <c r="H65" s="179">
        <v>4</v>
      </c>
      <c r="I65" s="179">
        <v>1742</v>
      </c>
      <c r="J65" s="179">
        <f t="shared" si="0"/>
        <v>6968</v>
      </c>
      <c r="K65" s="52">
        <v>2</v>
      </c>
      <c r="L65" s="53" t="s">
        <v>60</v>
      </c>
      <c r="M65" s="91"/>
      <c r="N65" s="282" t="s">
        <v>404</v>
      </c>
      <c r="O65" s="40">
        <v>46106</v>
      </c>
      <c r="P65" s="30"/>
      <c r="Q65" s="40">
        <v>46125</v>
      </c>
      <c r="R65" s="40">
        <v>46126</v>
      </c>
      <c r="S65" s="38"/>
    </row>
    <row r="66" spans="1:19" ht="18" customHeight="1" x14ac:dyDescent="0.2">
      <c r="A66" s="132" t="s">
        <v>77</v>
      </c>
      <c r="B66" s="248" t="s">
        <v>385</v>
      </c>
      <c r="C66" s="142">
        <v>3</v>
      </c>
      <c r="D66" s="115">
        <f t="shared" si="1"/>
        <v>55</v>
      </c>
      <c r="E66" s="34" t="s">
        <v>27</v>
      </c>
      <c r="F66" s="34" t="s">
        <v>27</v>
      </c>
      <c r="G66" s="188" t="s">
        <v>110</v>
      </c>
      <c r="H66" s="179">
        <v>2</v>
      </c>
      <c r="I66" s="179">
        <v>2664</v>
      </c>
      <c r="J66" s="179">
        <f t="shared" si="0"/>
        <v>5328</v>
      </c>
      <c r="K66" s="52">
        <v>1</v>
      </c>
      <c r="L66" s="65" t="s">
        <v>122</v>
      </c>
      <c r="M66" s="91"/>
      <c r="N66" s="282" t="s">
        <v>404</v>
      </c>
      <c r="O66" s="40">
        <v>46106</v>
      </c>
      <c r="P66" s="30"/>
      <c r="Q66" s="40">
        <v>46125</v>
      </c>
      <c r="R66" s="40">
        <v>46126</v>
      </c>
      <c r="S66" s="38"/>
    </row>
    <row r="67" spans="1:19" ht="18" customHeight="1" x14ac:dyDescent="0.2">
      <c r="A67" s="132" t="s">
        <v>77</v>
      </c>
      <c r="B67" s="248" t="s">
        <v>385</v>
      </c>
      <c r="C67" s="142">
        <v>3</v>
      </c>
      <c r="D67" s="115">
        <f t="shared" ref="D67:D74" si="2">D66+1</f>
        <v>56</v>
      </c>
      <c r="E67" s="106" t="s">
        <v>71</v>
      </c>
      <c r="F67" s="34" t="s">
        <v>27</v>
      </c>
      <c r="G67" s="188" t="s">
        <v>334</v>
      </c>
      <c r="H67" s="179">
        <v>2</v>
      </c>
      <c r="I67" s="186">
        <v>4794</v>
      </c>
      <c r="J67" s="179">
        <f>H67*I67</f>
        <v>9588</v>
      </c>
      <c r="K67" s="52">
        <v>1</v>
      </c>
      <c r="L67" s="65" t="s">
        <v>250</v>
      </c>
      <c r="M67" s="91"/>
      <c r="N67" s="282" t="s">
        <v>404</v>
      </c>
      <c r="O67" s="40">
        <v>46106</v>
      </c>
      <c r="P67" s="30"/>
      <c r="Q67" s="40">
        <v>46125</v>
      </c>
      <c r="R67" s="40">
        <v>46126</v>
      </c>
      <c r="S67" s="38"/>
    </row>
    <row r="68" spans="1:19" ht="18" customHeight="1" x14ac:dyDescent="0.2">
      <c r="A68" s="129" t="s">
        <v>78</v>
      </c>
      <c r="B68" s="248" t="s">
        <v>385</v>
      </c>
      <c r="C68" s="142">
        <v>3</v>
      </c>
      <c r="D68" s="115">
        <f t="shared" si="2"/>
        <v>57</v>
      </c>
      <c r="E68" s="34" t="s">
        <v>27</v>
      </c>
      <c r="F68" s="34" t="s">
        <v>27</v>
      </c>
      <c r="G68" s="163" t="s">
        <v>131</v>
      </c>
      <c r="H68" s="186">
        <v>4</v>
      </c>
      <c r="I68" s="179">
        <v>127</v>
      </c>
      <c r="J68" s="179">
        <f t="shared" ref="J68:J70" si="3">H68*I68</f>
        <v>508</v>
      </c>
      <c r="K68" s="52">
        <v>2</v>
      </c>
      <c r="L68" s="187" t="s">
        <v>305</v>
      </c>
      <c r="M68" s="91"/>
      <c r="N68" s="282" t="s">
        <v>404</v>
      </c>
      <c r="O68" s="40">
        <v>46106</v>
      </c>
      <c r="P68" s="30"/>
      <c r="Q68" s="40">
        <v>46125</v>
      </c>
      <c r="R68" s="40">
        <v>46126</v>
      </c>
      <c r="S68" s="38"/>
    </row>
    <row r="69" spans="1:19" ht="18" customHeight="1" x14ac:dyDescent="0.2">
      <c r="A69" s="129" t="s">
        <v>78</v>
      </c>
      <c r="B69" s="248" t="s">
        <v>385</v>
      </c>
      <c r="C69" s="142">
        <v>3</v>
      </c>
      <c r="D69" s="115">
        <f t="shared" si="2"/>
        <v>58</v>
      </c>
      <c r="E69" s="34" t="s">
        <v>27</v>
      </c>
      <c r="F69" s="34" t="s">
        <v>27</v>
      </c>
      <c r="G69" s="188" t="s">
        <v>132</v>
      </c>
      <c r="H69" s="179">
        <v>12</v>
      </c>
      <c r="I69" s="186">
        <v>20</v>
      </c>
      <c r="J69" s="179">
        <f t="shared" si="3"/>
        <v>240</v>
      </c>
      <c r="K69" s="52">
        <v>6</v>
      </c>
      <c r="L69" s="65" t="s">
        <v>133</v>
      </c>
      <c r="M69" s="91"/>
      <c r="N69" s="282" t="s">
        <v>404</v>
      </c>
      <c r="O69" s="40">
        <v>46106</v>
      </c>
      <c r="P69" s="30"/>
      <c r="Q69" s="40">
        <v>46125</v>
      </c>
      <c r="R69" s="40">
        <v>46126</v>
      </c>
      <c r="S69" s="38"/>
    </row>
    <row r="70" spans="1:19" ht="18" customHeight="1" x14ac:dyDescent="0.2">
      <c r="A70" s="129" t="s">
        <v>78</v>
      </c>
      <c r="B70" s="248" t="s">
        <v>385</v>
      </c>
      <c r="C70" s="142">
        <v>3</v>
      </c>
      <c r="D70" s="115">
        <f t="shared" si="2"/>
        <v>59</v>
      </c>
      <c r="E70" s="109" t="s">
        <v>134</v>
      </c>
      <c r="F70" s="34" t="s">
        <v>27</v>
      </c>
      <c r="G70" s="188" t="s">
        <v>135</v>
      </c>
      <c r="H70" s="179">
        <v>8</v>
      </c>
      <c r="I70" s="186">
        <v>378</v>
      </c>
      <c r="J70" s="179">
        <f t="shared" si="3"/>
        <v>3024</v>
      </c>
      <c r="K70" s="52">
        <v>4</v>
      </c>
      <c r="L70" s="65" t="s">
        <v>136</v>
      </c>
      <c r="M70" s="91"/>
      <c r="N70" s="282" t="s">
        <v>404</v>
      </c>
      <c r="O70" s="40">
        <v>46106</v>
      </c>
      <c r="P70" s="30"/>
      <c r="Q70" s="40">
        <v>46125</v>
      </c>
      <c r="R70" s="40">
        <v>46126</v>
      </c>
      <c r="S70" s="38"/>
    </row>
    <row r="71" spans="1:19" ht="18" customHeight="1" x14ac:dyDescent="0.2">
      <c r="A71" s="129" t="s">
        <v>78</v>
      </c>
      <c r="B71" s="248" t="s">
        <v>385</v>
      </c>
      <c r="C71" s="142">
        <v>3</v>
      </c>
      <c r="D71" s="115">
        <f>D70+1</f>
        <v>60</v>
      </c>
      <c r="E71" s="34" t="s">
        <v>27</v>
      </c>
      <c r="F71" s="34" t="s">
        <v>27</v>
      </c>
      <c r="G71" s="188" t="s">
        <v>33</v>
      </c>
      <c r="H71" s="166">
        <v>8</v>
      </c>
      <c r="I71" s="175">
        <v>346</v>
      </c>
      <c r="J71" s="175">
        <f t="shared" si="0"/>
        <v>2768</v>
      </c>
      <c r="K71" s="52">
        <v>4</v>
      </c>
      <c r="L71" s="65" t="s">
        <v>49</v>
      </c>
      <c r="M71" s="91"/>
      <c r="N71" s="282" t="s">
        <v>404</v>
      </c>
      <c r="O71" s="40">
        <v>46106</v>
      </c>
      <c r="P71" s="30"/>
      <c r="Q71" s="40">
        <v>46125</v>
      </c>
      <c r="R71" s="40">
        <v>46126</v>
      </c>
      <c r="S71" s="38"/>
    </row>
    <row r="72" spans="1:19" ht="18" customHeight="1" x14ac:dyDescent="0.2">
      <c r="A72" s="129" t="s">
        <v>78</v>
      </c>
      <c r="B72" s="248" t="s">
        <v>385</v>
      </c>
      <c r="C72" s="142">
        <v>3</v>
      </c>
      <c r="D72" s="115">
        <f t="shared" si="2"/>
        <v>61</v>
      </c>
      <c r="E72" s="34" t="s">
        <v>27</v>
      </c>
      <c r="F72" s="34" t="s">
        <v>27</v>
      </c>
      <c r="G72" s="188" t="s">
        <v>32</v>
      </c>
      <c r="H72" s="166">
        <v>8</v>
      </c>
      <c r="I72" s="175">
        <v>346</v>
      </c>
      <c r="J72" s="175">
        <f t="shared" si="0"/>
        <v>2768</v>
      </c>
      <c r="K72" s="52">
        <v>4</v>
      </c>
      <c r="L72" s="65" t="s">
        <v>49</v>
      </c>
      <c r="M72" s="91"/>
      <c r="N72" s="282" t="s">
        <v>404</v>
      </c>
      <c r="O72" s="40">
        <v>46106</v>
      </c>
      <c r="P72" s="30"/>
      <c r="Q72" s="40">
        <v>46125</v>
      </c>
      <c r="R72" s="40">
        <v>46126</v>
      </c>
      <c r="S72" s="38"/>
    </row>
    <row r="73" spans="1:19" ht="18" customHeight="1" x14ac:dyDescent="0.2">
      <c r="A73" s="129" t="s">
        <v>78</v>
      </c>
      <c r="B73" s="248" t="s">
        <v>385</v>
      </c>
      <c r="C73" s="142">
        <v>3</v>
      </c>
      <c r="D73" s="115">
        <f>D72+1</f>
        <v>62</v>
      </c>
      <c r="E73" s="48" t="s">
        <v>27</v>
      </c>
      <c r="F73" s="48" t="s">
        <v>27</v>
      </c>
      <c r="G73" s="191" t="s">
        <v>241</v>
      </c>
      <c r="H73" s="192">
        <v>8</v>
      </c>
      <c r="I73" s="255">
        <v>47</v>
      </c>
      <c r="J73" s="175">
        <f t="shared" ref="J73:J74" si="4">H73*I73</f>
        <v>376</v>
      </c>
      <c r="K73" s="103">
        <v>4</v>
      </c>
      <c r="L73" s="146" t="s">
        <v>249</v>
      </c>
      <c r="M73" s="21"/>
      <c r="N73" s="282" t="s">
        <v>404</v>
      </c>
      <c r="O73" s="40">
        <v>46106</v>
      </c>
      <c r="P73" s="30"/>
      <c r="Q73" s="40">
        <v>46125</v>
      </c>
      <c r="R73" s="40">
        <v>46126</v>
      </c>
      <c r="S73" s="11"/>
    </row>
    <row r="74" spans="1:19" ht="18" customHeight="1" x14ac:dyDescent="0.2">
      <c r="A74" s="129" t="s">
        <v>78</v>
      </c>
      <c r="B74" s="248" t="s">
        <v>385</v>
      </c>
      <c r="C74" s="142">
        <v>3</v>
      </c>
      <c r="D74" s="115">
        <f t="shared" si="2"/>
        <v>63</v>
      </c>
      <c r="E74" s="34" t="s">
        <v>27</v>
      </c>
      <c r="F74" s="34" t="s">
        <v>27</v>
      </c>
      <c r="G74" s="193" t="s">
        <v>242</v>
      </c>
      <c r="H74" s="194">
        <v>6</v>
      </c>
      <c r="I74" s="186">
        <v>120</v>
      </c>
      <c r="J74" s="175">
        <f t="shared" si="4"/>
        <v>720</v>
      </c>
      <c r="K74" s="103">
        <v>3</v>
      </c>
      <c r="L74" s="65" t="s">
        <v>382</v>
      </c>
      <c r="M74" s="21"/>
      <c r="N74" s="282" t="s">
        <v>404</v>
      </c>
      <c r="O74" s="40">
        <v>46106</v>
      </c>
      <c r="P74" s="30"/>
      <c r="Q74" s="40">
        <v>46125</v>
      </c>
      <c r="R74" s="40">
        <v>46126</v>
      </c>
      <c r="S74" s="11"/>
    </row>
    <row r="75" spans="1:19" ht="18" customHeight="1" x14ac:dyDescent="0.2">
      <c r="D75" s="29"/>
      <c r="E75" s="212"/>
      <c r="F75" s="212"/>
      <c r="G75" s="213"/>
      <c r="H75" s="214"/>
      <c r="I75" s="215"/>
      <c r="J75" s="216"/>
      <c r="K75" s="103"/>
      <c r="L75" s="16"/>
      <c r="M75" s="21"/>
      <c r="N75" s="3"/>
      <c r="O75" s="22"/>
      <c r="P75" s="6"/>
      <c r="Q75" s="6"/>
      <c r="R75" s="22"/>
      <c r="S75" s="11"/>
    </row>
    <row r="76" spans="1:19" ht="18" customHeight="1" x14ac:dyDescent="0.2">
      <c r="D76" s="28"/>
      <c r="E76" s="2"/>
      <c r="F76" s="2"/>
      <c r="G76" s="102"/>
      <c r="H76" s="39"/>
      <c r="I76" s="104"/>
      <c r="J76" s="44"/>
      <c r="K76" s="103"/>
      <c r="L76" s="16"/>
      <c r="M76" s="21"/>
      <c r="N76" s="3"/>
      <c r="O76" s="22"/>
      <c r="P76" s="6"/>
      <c r="Q76" s="6"/>
      <c r="R76" s="22"/>
      <c r="S76" s="11"/>
    </row>
    <row r="77" spans="1:19" ht="18" customHeight="1" x14ac:dyDescent="0.2">
      <c r="D77" s="15"/>
      <c r="E77" s="2"/>
      <c r="F77" s="4"/>
      <c r="G77" s="305">
        <f>SUM(J12:J76)</f>
        <v>368692</v>
      </c>
      <c r="H77" s="306"/>
      <c r="I77" s="306"/>
      <c r="J77" s="307"/>
      <c r="K77" s="17"/>
      <c r="L77" s="16"/>
      <c r="M77" s="21"/>
      <c r="N77" s="3"/>
      <c r="O77" s="22"/>
      <c r="P77" s="6"/>
      <c r="Q77" s="6"/>
      <c r="R77" s="22"/>
      <c r="S77" s="11"/>
    </row>
    <row r="78" spans="1:19" ht="18" customHeight="1" x14ac:dyDescent="0.2">
      <c r="D78" s="15"/>
      <c r="E78" s="81"/>
      <c r="F78" s="82"/>
      <c r="G78" s="96"/>
      <c r="H78" s="96"/>
      <c r="I78" s="96"/>
      <c r="J78" s="96"/>
      <c r="K78" s="97"/>
      <c r="L78" s="98"/>
      <c r="M78" s="21"/>
      <c r="N78" s="3"/>
      <c r="O78" s="22"/>
      <c r="P78" s="6"/>
      <c r="Q78" s="6"/>
      <c r="R78" s="22"/>
      <c r="S78" s="11"/>
    </row>
    <row r="79" spans="1:19" ht="18" customHeight="1" x14ac:dyDescent="0.2">
      <c r="D79" s="15"/>
      <c r="E79" s="94"/>
      <c r="F79" s="45"/>
      <c r="G79" s="84"/>
      <c r="H79" s="84"/>
      <c r="I79" s="84"/>
      <c r="J79" s="84"/>
      <c r="K79" s="52"/>
      <c r="L79" s="35"/>
      <c r="M79" s="95"/>
      <c r="N79" s="3"/>
      <c r="O79" s="22"/>
      <c r="P79" s="6"/>
      <c r="Q79" s="6"/>
      <c r="R79" s="22"/>
      <c r="S79" s="11"/>
    </row>
    <row r="80" spans="1:19" s="5" customFormat="1" ht="19.5" customHeight="1" x14ac:dyDescent="0.2">
      <c r="D80" s="2"/>
      <c r="E80" s="92"/>
      <c r="F80" s="92"/>
      <c r="G80" s="83"/>
      <c r="H80" s="78"/>
      <c r="I80" s="78"/>
      <c r="J80" s="78"/>
      <c r="K80" s="14"/>
      <c r="L80" s="93"/>
      <c r="M80" s="20"/>
      <c r="N80" s="20"/>
      <c r="O80" s="22"/>
      <c r="P80" s="2"/>
      <c r="Q80" s="20"/>
      <c r="R80" s="22"/>
      <c r="S80" s="6"/>
    </row>
    <row r="81" spans="1:19" ht="18" customHeight="1" x14ac:dyDescent="0.2">
      <c r="D81" s="231"/>
      <c r="E81" s="308" t="s">
        <v>48</v>
      </c>
      <c r="F81" s="308"/>
      <c r="G81" s="308"/>
      <c r="H81" s="37"/>
      <c r="I81" s="18"/>
      <c r="J81" s="18"/>
      <c r="K81" s="4"/>
      <c r="L81" s="16"/>
      <c r="M81" s="21"/>
      <c r="N81" s="3"/>
      <c r="O81" s="22"/>
      <c r="P81" s="6"/>
      <c r="Q81" s="6"/>
      <c r="R81" s="22"/>
      <c r="S81" s="11"/>
    </row>
    <row r="82" spans="1:19" ht="18" customHeight="1" x14ac:dyDescent="0.2">
      <c r="A82" s="129" t="s">
        <v>77</v>
      </c>
      <c r="B82" s="249" t="s">
        <v>386</v>
      </c>
      <c r="C82" s="114">
        <v>10</v>
      </c>
      <c r="D82" s="245">
        <f>D74+1</f>
        <v>64</v>
      </c>
      <c r="E82" s="106" t="s">
        <v>71</v>
      </c>
      <c r="F82" s="34" t="s">
        <v>27</v>
      </c>
      <c r="G82" s="163" t="s">
        <v>282</v>
      </c>
      <c r="H82" s="164">
        <v>2</v>
      </c>
      <c r="I82" s="256">
        <v>2235</v>
      </c>
      <c r="J82" s="256">
        <f t="shared" ref="J82:J86" si="5">H82*I82</f>
        <v>4470</v>
      </c>
      <c r="K82" s="100">
        <v>1</v>
      </c>
      <c r="L82" s="43" t="s">
        <v>283</v>
      </c>
      <c r="M82" s="56"/>
      <c r="N82" s="282" t="s">
        <v>404</v>
      </c>
      <c r="O82" s="40">
        <v>46106</v>
      </c>
      <c r="P82" s="30"/>
      <c r="Q82" s="40">
        <v>46125</v>
      </c>
      <c r="R82" s="40">
        <v>46126</v>
      </c>
      <c r="S82" s="38"/>
    </row>
    <row r="83" spans="1:19" ht="18" customHeight="1" x14ac:dyDescent="0.2">
      <c r="A83" s="129" t="s">
        <v>77</v>
      </c>
      <c r="B83" s="249" t="s">
        <v>386</v>
      </c>
      <c r="C83" s="114">
        <v>10</v>
      </c>
      <c r="D83" s="115">
        <f t="shared" ref="D83:D90" si="6">+D82+1</f>
        <v>65</v>
      </c>
      <c r="E83" s="106" t="s">
        <v>71</v>
      </c>
      <c r="F83" s="34" t="s">
        <v>27</v>
      </c>
      <c r="G83" s="163" t="s">
        <v>284</v>
      </c>
      <c r="H83" s="164">
        <v>2</v>
      </c>
      <c r="I83" s="256">
        <v>2322</v>
      </c>
      <c r="J83" s="256">
        <f t="shared" si="5"/>
        <v>4644</v>
      </c>
      <c r="K83" s="100">
        <v>1</v>
      </c>
      <c r="L83" s="43" t="s">
        <v>285</v>
      </c>
      <c r="M83" s="56"/>
      <c r="N83" s="282" t="s">
        <v>404</v>
      </c>
      <c r="O83" s="40">
        <v>46106</v>
      </c>
      <c r="P83" s="30"/>
      <c r="Q83" s="40">
        <v>46125</v>
      </c>
      <c r="R83" s="40">
        <v>46126</v>
      </c>
      <c r="S83" s="38"/>
    </row>
    <row r="84" spans="1:19" ht="18" customHeight="1" x14ac:dyDescent="0.2">
      <c r="A84" s="129" t="s">
        <v>77</v>
      </c>
      <c r="B84" s="249" t="s">
        <v>386</v>
      </c>
      <c r="C84" s="114">
        <v>10</v>
      </c>
      <c r="D84" s="115">
        <f t="shared" si="6"/>
        <v>66</v>
      </c>
      <c r="E84" s="106" t="s">
        <v>71</v>
      </c>
      <c r="F84" s="34" t="s">
        <v>27</v>
      </c>
      <c r="G84" s="163" t="s">
        <v>286</v>
      </c>
      <c r="H84" s="164">
        <v>2</v>
      </c>
      <c r="I84" s="256">
        <v>4838</v>
      </c>
      <c r="J84" s="256">
        <f t="shared" si="5"/>
        <v>9676</v>
      </c>
      <c r="K84" s="100">
        <v>1</v>
      </c>
      <c r="L84" s="43" t="s">
        <v>287</v>
      </c>
      <c r="M84" s="56"/>
      <c r="N84" s="282" t="s">
        <v>404</v>
      </c>
      <c r="O84" s="40">
        <v>46106</v>
      </c>
      <c r="P84" s="30"/>
      <c r="Q84" s="40">
        <v>46125</v>
      </c>
      <c r="R84" s="40">
        <v>46126</v>
      </c>
      <c r="S84" s="38"/>
    </row>
    <row r="85" spans="1:19" ht="18" customHeight="1" x14ac:dyDescent="0.2">
      <c r="A85" s="129"/>
      <c r="B85" s="249" t="s">
        <v>386</v>
      </c>
      <c r="C85" s="114"/>
      <c r="D85" s="115">
        <f t="shared" si="6"/>
        <v>67</v>
      </c>
      <c r="E85" s="34" t="s">
        <v>27</v>
      </c>
      <c r="F85" s="34" t="s">
        <v>27</v>
      </c>
      <c r="G85" s="163" t="s">
        <v>288</v>
      </c>
      <c r="H85" s="164">
        <v>4</v>
      </c>
      <c r="I85" s="256">
        <v>244</v>
      </c>
      <c r="J85" s="256">
        <f t="shared" si="5"/>
        <v>976</v>
      </c>
      <c r="K85" s="100">
        <v>2</v>
      </c>
      <c r="L85" s="43" t="s">
        <v>289</v>
      </c>
      <c r="M85" s="56"/>
      <c r="N85" s="282" t="s">
        <v>404</v>
      </c>
      <c r="O85" s="40">
        <v>46106</v>
      </c>
      <c r="P85" s="30"/>
      <c r="Q85" s="40">
        <v>46125</v>
      </c>
      <c r="R85" s="40">
        <v>46126</v>
      </c>
      <c r="S85" s="38"/>
    </row>
    <row r="86" spans="1:19" ht="18" customHeight="1" x14ac:dyDescent="0.2">
      <c r="A86" s="129"/>
      <c r="B86" s="249" t="s">
        <v>386</v>
      </c>
      <c r="C86" s="114"/>
      <c r="D86" s="115">
        <f t="shared" si="6"/>
        <v>68</v>
      </c>
      <c r="E86" s="34" t="s">
        <v>27</v>
      </c>
      <c r="F86" s="34" t="s">
        <v>27</v>
      </c>
      <c r="G86" s="163" t="s">
        <v>290</v>
      </c>
      <c r="H86" s="164">
        <v>14</v>
      </c>
      <c r="I86" s="256">
        <v>41</v>
      </c>
      <c r="J86" s="256">
        <f t="shared" si="5"/>
        <v>574</v>
      </c>
      <c r="K86" s="100">
        <v>7</v>
      </c>
      <c r="L86" s="43" t="s">
        <v>291</v>
      </c>
      <c r="M86" s="56"/>
      <c r="N86" s="282" t="s">
        <v>404</v>
      </c>
      <c r="O86" s="40">
        <v>46106</v>
      </c>
      <c r="P86" s="30"/>
      <c r="Q86" s="40">
        <v>46125</v>
      </c>
      <c r="R86" s="40">
        <v>46126</v>
      </c>
      <c r="S86" s="38"/>
    </row>
    <row r="87" spans="1:19" ht="18" customHeight="1" x14ac:dyDescent="0.2">
      <c r="A87" s="129" t="s">
        <v>77</v>
      </c>
      <c r="B87" s="249" t="s">
        <v>386</v>
      </c>
      <c r="C87" s="114">
        <v>10</v>
      </c>
      <c r="D87" s="115">
        <f t="shared" si="6"/>
        <v>69</v>
      </c>
      <c r="E87" s="34" t="s">
        <v>27</v>
      </c>
      <c r="F87" s="34" t="s">
        <v>27</v>
      </c>
      <c r="G87" s="165" t="s">
        <v>72</v>
      </c>
      <c r="H87" s="166">
        <v>2</v>
      </c>
      <c r="I87" s="175">
        <v>975</v>
      </c>
      <c r="J87" s="175">
        <f>H87*I87</f>
        <v>1950</v>
      </c>
      <c r="K87" s="33">
        <v>1</v>
      </c>
      <c r="L87" s="30" t="s">
        <v>50</v>
      </c>
      <c r="M87" s="56"/>
      <c r="N87" s="282" t="s">
        <v>404</v>
      </c>
      <c r="O87" s="40">
        <v>46106</v>
      </c>
      <c r="P87" s="30"/>
      <c r="Q87" s="40">
        <v>46125</v>
      </c>
      <c r="R87" s="40">
        <v>46126</v>
      </c>
      <c r="S87" s="38"/>
    </row>
    <row r="88" spans="1:19" ht="18" customHeight="1" x14ac:dyDescent="0.2">
      <c r="A88" s="129" t="s">
        <v>78</v>
      </c>
      <c r="B88" s="249" t="s">
        <v>386</v>
      </c>
      <c r="C88" s="114">
        <v>10</v>
      </c>
      <c r="D88" s="115">
        <f t="shared" si="6"/>
        <v>70</v>
      </c>
      <c r="E88" s="34" t="s">
        <v>27</v>
      </c>
      <c r="F88" s="34" t="s">
        <v>27</v>
      </c>
      <c r="G88" s="165" t="s">
        <v>51</v>
      </c>
      <c r="H88" s="166">
        <v>2</v>
      </c>
      <c r="I88" s="175">
        <v>821</v>
      </c>
      <c r="J88" s="175">
        <f>H88*I88</f>
        <v>1642</v>
      </c>
      <c r="K88" s="33">
        <v>1</v>
      </c>
      <c r="L88" s="30" t="s">
        <v>73</v>
      </c>
      <c r="M88" s="56"/>
      <c r="N88" s="282" t="s">
        <v>404</v>
      </c>
      <c r="O88" s="40">
        <v>46106</v>
      </c>
      <c r="P88" s="30"/>
      <c r="Q88" s="40">
        <v>46125</v>
      </c>
      <c r="R88" s="40">
        <v>46126</v>
      </c>
      <c r="S88" s="38"/>
    </row>
    <row r="89" spans="1:19" ht="18" customHeight="1" x14ac:dyDescent="0.2">
      <c r="A89" s="129" t="s">
        <v>78</v>
      </c>
      <c r="B89" s="249" t="s">
        <v>386</v>
      </c>
      <c r="C89" s="114">
        <v>10</v>
      </c>
      <c r="D89" s="115">
        <f t="shared" si="6"/>
        <v>71</v>
      </c>
      <c r="E89" s="48" t="s">
        <v>27</v>
      </c>
      <c r="F89" s="48" t="s">
        <v>27</v>
      </c>
      <c r="G89" s="167" t="s">
        <v>52</v>
      </c>
      <c r="H89" s="168">
        <v>12</v>
      </c>
      <c r="I89" s="256">
        <v>17</v>
      </c>
      <c r="J89" s="256">
        <f>H89*I89</f>
        <v>204</v>
      </c>
      <c r="K89" s="100">
        <v>6</v>
      </c>
      <c r="L89" s="43" t="s">
        <v>74</v>
      </c>
      <c r="M89" s="134"/>
      <c r="N89" s="282" t="s">
        <v>404</v>
      </c>
      <c r="O89" s="40">
        <v>46106</v>
      </c>
      <c r="P89" s="30"/>
      <c r="Q89" s="40">
        <v>46125</v>
      </c>
      <c r="R89" s="40">
        <v>46126</v>
      </c>
      <c r="S89" s="38"/>
    </row>
    <row r="90" spans="1:19" ht="18" customHeight="1" x14ac:dyDescent="0.2">
      <c r="A90" s="129" t="s">
        <v>78</v>
      </c>
      <c r="B90" s="249" t="s">
        <v>386</v>
      </c>
      <c r="C90" s="114">
        <v>10</v>
      </c>
      <c r="D90" s="115">
        <f t="shared" si="6"/>
        <v>72</v>
      </c>
      <c r="E90" s="48" t="s">
        <v>27</v>
      </c>
      <c r="F90" s="48" t="s">
        <v>27</v>
      </c>
      <c r="G90" s="167" t="s">
        <v>75</v>
      </c>
      <c r="H90" s="168">
        <v>8</v>
      </c>
      <c r="I90" s="256">
        <v>93</v>
      </c>
      <c r="J90" s="275">
        <f>H90*I90</f>
        <v>744</v>
      </c>
      <c r="K90" s="100">
        <v>4</v>
      </c>
      <c r="L90" s="43" t="s">
        <v>76</v>
      </c>
      <c r="M90" s="90"/>
      <c r="N90" s="282" t="s">
        <v>404</v>
      </c>
      <c r="O90" s="40">
        <v>46106</v>
      </c>
      <c r="P90" s="30"/>
      <c r="Q90" s="40">
        <v>46125</v>
      </c>
      <c r="R90" s="40">
        <v>46126</v>
      </c>
      <c r="S90" s="38"/>
    </row>
    <row r="91" spans="1:19" ht="18" customHeight="1" x14ac:dyDescent="0.2">
      <c r="C91" s="27"/>
      <c r="D91" s="29"/>
      <c r="E91" s="2"/>
      <c r="F91" s="2"/>
      <c r="G91" s="70"/>
      <c r="H91" s="71"/>
      <c r="I91" s="71"/>
      <c r="J91" s="77"/>
      <c r="K91" s="17"/>
      <c r="L91" s="19"/>
      <c r="M91" s="21"/>
      <c r="N91" s="3"/>
      <c r="O91" s="42"/>
      <c r="P91" s="6"/>
      <c r="Q91" s="6"/>
      <c r="R91" s="40"/>
      <c r="S91" s="38"/>
    </row>
    <row r="92" spans="1:19" ht="18" customHeight="1" x14ac:dyDescent="0.2">
      <c r="D92" s="20"/>
      <c r="E92" s="2"/>
      <c r="F92" s="2"/>
      <c r="G92" s="309">
        <f>SUM(J82:J91)</f>
        <v>24880</v>
      </c>
      <c r="H92" s="310"/>
      <c r="I92" s="310"/>
      <c r="J92" s="311"/>
      <c r="K92" s="4"/>
      <c r="L92" s="16"/>
      <c r="M92" s="21"/>
      <c r="N92" s="3"/>
      <c r="O92" s="22"/>
      <c r="P92" s="6"/>
      <c r="Q92" s="6"/>
      <c r="R92" s="40"/>
      <c r="S92" s="38"/>
    </row>
    <row r="93" spans="1:19" ht="18" customHeight="1" x14ac:dyDescent="0.2">
      <c r="D93" s="20"/>
      <c r="E93" s="2"/>
      <c r="F93" s="2"/>
      <c r="G93" s="66"/>
      <c r="H93" s="67"/>
      <c r="I93" s="67"/>
      <c r="J93" s="68"/>
      <c r="K93" s="69"/>
      <c r="L93" s="16"/>
      <c r="M93" s="21"/>
      <c r="N93" s="3"/>
      <c r="O93" s="22"/>
      <c r="P93" s="6"/>
      <c r="Q93" s="6"/>
      <c r="R93" s="40"/>
      <c r="S93" s="38"/>
    </row>
    <row r="94" spans="1:19" ht="18" customHeight="1" x14ac:dyDescent="0.2">
      <c r="D94" s="20"/>
      <c r="E94" s="2"/>
      <c r="F94" s="2"/>
      <c r="G94" s="66"/>
      <c r="H94" s="67"/>
      <c r="I94" s="67"/>
      <c r="J94" s="68"/>
      <c r="K94" s="69"/>
      <c r="L94" s="16"/>
      <c r="M94" s="21"/>
      <c r="N94" s="3"/>
      <c r="O94" s="22"/>
      <c r="P94" s="6"/>
      <c r="Q94" s="6"/>
      <c r="R94" s="40"/>
      <c r="S94" s="38"/>
    </row>
    <row r="95" spans="1:19" ht="18" customHeight="1" x14ac:dyDescent="0.2">
      <c r="D95" s="20"/>
      <c r="E95" s="2"/>
      <c r="F95" s="2"/>
      <c r="G95" s="66"/>
      <c r="H95" s="67"/>
      <c r="I95" s="67"/>
      <c r="J95" s="68"/>
      <c r="K95" s="69"/>
      <c r="L95" s="16"/>
      <c r="M95" s="21"/>
      <c r="N95" s="3"/>
      <c r="O95" s="22"/>
      <c r="P95" s="6"/>
      <c r="Q95" s="6"/>
      <c r="R95" s="40"/>
      <c r="S95" s="38"/>
    </row>
    <row r="96" spans="1:19" ht="18" customHeight="1" x14ac:dyDescent="0.2">
      <c r="D96" s="20"/>
      <c r="E96" s="2"/>
      <c r="F96" s="2"/>
      <c r="G96" s="25"/>
      <c r="H96" s="18"/>
      <c r="I96" s="18"/>
      <c r="J96" s="18"/>
      <c r="K96" s="17"/>
      <c r="L96" s="19"/>
      <c r="M96" s="21"/>
      <c r="N96" s="3"/>
      <c r="O96" s="22"/>
      <c r="P96" s="6"/>
      <c r="Q96" s="6"/>
      <c r="R96" s="40"/>
      <c r="S96" s="38"/>
    </row>
    <row r="97" spans="1:19" ht="18" customHeight="1" x14ac:dyDescent="0.2">
      <c r="D97" s="240"/>
      <c r="E97" s="326" t="s">
        <v>41</v>
      </c>
      <c r="F97" s="327"/>
      <c r="G97" s="328"/>
      <c r="H97" s="32"/>
      <c r="I97" s="32"/>
      <c r="J97" s="33"/>
      <c r="K97" s="33"/>
      <c r="L97" s="32"/>
      <c r="M97" s="21"/>
      <c r="N97" s="3"/>
      <c r="O97" s="22"/>
      <c r="P97" s="6"/>
      <c r="Q97" s="6"/>
      <c r="R97" s="40"/>
      <c r="S97" s="38"/>
    </row>
    <row r="98" spans="1:19" ht="18" customHeight="1" x14ac:dyDescent="0.2">
      <c r="A98" s="129" t="s">
        <v>78</v>
      </c>
      <c r="B98" s="250" t="s">
        <v>387</v>
      </c>
      <c r="C98" s="118">
        <v>11</v>
      </c>
      <c r="D98" s="115">
        <f>+D90+1</f>
        <v>73</v>
      </c>
      <c r="E98" s="34" t="s">
        <v>27</v>
      </c>
      <c r="F98" s="34" t="s">
        <v>27</v>
      </c>
      <c r="G98" s="188" t="s">
        <v>43</v>
      </c>
      <c r="H98" s="166">
        <v>4</v>
      </c>
      <c r="I98" s="257">
        <v>83</v>
      </c>
      <c r="J98" s="175">
        <f t="shared" ref="J98:J109" si="7">H98*I98</f>
        <v>332</v>
      </c>
      <c r="K98" s="33">
        <v>2</v>
      </c>
      <c r="L98" s="30" t="s">
        <v>44</v>
      </c>
      <c r="M98" s="90"/>
      <c r="N98" s="282" t="s">
        <v>404</v>
      </c>
      <c r="O98" s="40">
        <v>46106</v>
      </c>
      <c r="P98" s="30"/>
      <c r="Q98" s="40">
        <v>46125</v>
      </c>
      <c r="R98" s="40">
        <v>46126</v>
      </c>
      <c r="S98" s="38"/>
    </row>
    <row r="99" spans="1:19" ht="18" customHeight="1" x14ac:dyDescent="0.2">
      <c r="A99" s="129" t="s">
        <v>78</v>
      </c>
      <c r="B99" s="250" t="s">
        <v>387</v>
      </c>
      <c r="C99" s="118">
        <v>11</v>
      </c>
      <c r="D99" s="115">
        <f t="shared" ref="D99:D110" si="8">+D98+1</f>
        <v>74</v>
      </c>
      <c r="E99" s="32" t="s">
        <v>27</v>
      </c>
      <c r="F99" s="32" t="s">
        <v>27</v>
      </c>
      <c r="G99" s="196" t="s">
        <v>42</v>
      </c>
      <c r="H99" s="217">
        <v>2</v>
      </c>
      <c r="I99" s="258">
        <v>83</v>
      </c>
      <c r="J99" s="273">
        <f t="shared" si="7"/>
        <v>166</v>
      </c>
      <c r="K99" s="33">
        <v>1</v>
      </c>
      <c r="L99" s="55" t="s">
        <v>352</v>
      </c>
      <c r="M99" s="90"/>
      <c r="N99" s="282" t="s">
        <v>404</v>
      </c>
      <c r="O99" s="40">
        <v>46106</v>
      </c>
      <c r="P99" s="30"/>
      <c r="Q99" s="40">
        <v>46125</v>
      </c>
      <c r="R99" s="40">
        <v>46126</v>
      </c>
      <c r="S99" s="38"/>
    </row>
    <row r="100" spans="1:19" ht="18" customHeight="1" x14ac:dyDescent="0.2">
      <c r="A100" s="129" t="s">
        <v>78</v>
      </c>
      <c r="B100" s="250" t="s">
        <v>387</v>
      </c>
      <c r="C100" s="118">
        <v>11</v>
      </c>
      <c r="D100" s="115">
        <f t="shared" si="8"/>
        <v>75</v>
      </c>
      <c r="E100" s="34" t="s">
        <v>143</v>
      </c>
      <c r="F100" s="34" t="s">
        <v>144</v>
      </c>
      <c r="G100" s="197" t="s">
        <v>145</v>
      </c>
      <c r="H100" s="198">
        <v>8</v>
      </c>
      <c r="I100" s="259">
        <v>219</v>
      </c>
      <c r="J100" s="274">
        <f t="shared" si="7"/>
        <v>1752</v>
      </c>
      <c r="K100" s="119">
        <v>4</v>
      </c>
      <c r="L100" s="59" t="s">
        <v>146</v>
      </c>
      <c r="M100" s="120" t="s">
        <v>147</v>
      </c>
      <c r="N100" s="282" t="s">
        <v>404</v>
      </c>
      <c r="O100" s="40">
        <v>46106</v>
      </c>
      <c r="P100" s="30"/>
      <c r="Q100" s="40">
        <v>46125</v>
      </c>
      <c r="R100" s="40">
        <v>46126</v>
      </c>
      <c r="S100" s="38"/>
    </row>
    <row r="101" spans="1:19" ht="18" customHeight="1" x14ac:dyDescent="0.2">
      <c r="A101" s="129" t="s">
        <v>78</v>
      </c>
      <c r="B101" s="250" t="s">
        <v>387</v>
      </c>
      <c r="C101" s="118">
        <v>11</v>
      </c>
      <c r="D101" s="115">
        <f t="shared" si="8"/>
        <v>76</v>
      </c>
      <c r="E101" s="34" t="s">
        <v>148</v>
      </c>
      <c r="F101" s="34" t="s">
        <v>144</v>
      </c>
      <c r="G101" s="197" t="s">
        <v>163</v>
      </c>
      <c r="H101" s="198">
        <v>8</v>
      </c>
      <c r="I101" s="259">
        <v>47</v>
      </c>
      <c r="J101" s="274">
        <f t="shared" si="7"/>
        <v>376</v>
      </c>
      <c r="K101" s="119">
        <v>4</v>
      </c>
      <c r="L101" s="59" t="s">
        <v>149</v>
      </c>
      <c r="M101" s="120" t="s">
        <v>150</v>
      </c>
      <c r="N101" s="282" t="s">
        <v>404</v>
      </c>
      <c r="O101" s="40">
        <v>46106</v>
      </c>
      <c r="P101" s="30"/>
      <c r="Q101" s="40">
        <v>46125</v>
      </c>
      <c r="R101" s="40">
        <v>46126</v>
      </c>
      <c r="S101" s="38"/>
    </row>
    <row r="102" spans="1:19" ht="18" customHeight="1" x14ac:dyDescent="0.2">
      <c r="A102" s="129" t="s">
        <v>78</v>
      </c>
      <c r="B102" s="250" t="s">
        <v>387</v>
      </c>
      <c r="C102" s="118">
        <v>11</v>
      </c>
      <c r="D102" s="115">
        <f t="shared" si="8"/>
        <v>77</v>
      </c>
      <c r="E102" s="34" t="s">
        <v>144</v>
      </c>
      <c r="F102" s="34" t="s">
        <v>144</v>
      </c>
      <c r="G102" s="197" t="s">
        <v>151</v>
      </c>
      <c r="H102" s="198">
        <v>8</v>
      </c>
      <c r="I102" s="259">
        <v>48</v>
      </c>
      <c r="J102" s="274">
        <f t="shared" si="7"/>
        <v>384</v>
      </c>
      <c r="K102" s="119">
        <v>4</v>
      </c>
      <c r="L102" s="59" t="s">
        <v>152</v>
      </c>
      <c r="M102" s="120" t="s">
        <v>147</v>
      </c>
      <c r="N102" s="282" t="s">
        <v>404</v>
      </c>
      <c r="O102" s="40">
        <v>46106</v>
      </c>
      <c r="P102" s="30"/>
      <c r="Q102" s="40">
        <v>46125</v>
      </c>
      <c r="R102" s="40">
        <v>46126</v>
      </c>
      <c r="S102" s="38"/>
    </row>
    <row r="103" spans="1:19" ht="18" customHeight="1" x14ac:dyDescent="0.2">
      <c r="A103" s="129" t="s">
        <v>78</v>
      </c>
      <c r="B103" s="250" t="s">
        <v>387</v>
      </c>
      <c r="C103" s="118">
        <v>11</v>
      </c>
      <c r="D103" s="115">
        <f t="shared" si="8"/>
        <v>78</v>
      </c>
      <c r="E103" s="34" t="s">
        <v>144</v>
      </c>
      <c r="F103" s="34" t="s">
        <v>144</v>
      </c>
      <c r="G103" s="197" t="s">
        <v>153</v>
      </c>
      <c r="H103" s="198">
        <v>2</v>
      </c>
      <c r="I103" s="259">
        <v>6050</v>
      </c>
      <c r="J103" s="274">
        <f t="shared" si="7"/>
        <v>12100</v>
      </c>
      <c r="K103" s="119">
        <v>1</v>
      </c>
      <c r="L103" s="59" t="s">
        <v>154</v>
      </c>
      <c r="M103" s="120" t="s">
        <v>150</v>
      </c>
      <c r="N103" s="282" t="s">
        <v>404</v>
      </c>
      <c r="O103" s="40">
        <v>46106</v>
      </c>
      <c r="P103" s="30"/>
      <c r="Q103" s="40">
        <v>46125</v>
      </c>
      <c r="R103" s="40">
        <v>46126</v>
      </c>
      <c r="S103" s="38"/>
    </row>
    <row r="104" spans="1:19" ht="18" customHeight="1" x14ac:dyDescent="0.2">
      <c r="A104" s="129" t="s">
        <v>78</v>
      </c>
      <c r="B104" s="250" t="s">
        <v>387</v>
      </c>
      <c r="C104" s="118">
        <v>11</v>
      </c>
      <c r="D104" s="115">
        <f t="shared" si="8"/>
        <v>79</v>
      </c>
      <c r="E104" s="34" t="s">
        <v>27</v>
      </c>
      <c r="F104" s="34" t="s">
        <v>27</v>
      </c>
      <c r="G104" s="188" t="s">
        <v>90</v>
      </c>
      <c r="H104" s="179">
        <v>4</v>
      </c>
      <c r="I104" s="179">
        <v>77</v>
      </c>
      <c r="J104" s="179">
        <f t="shared" si="7"/>
        <v>308</v>
      </c>
      <c r="K104" s="57">
        <v>2</v>
      </c>
      <c r="L104" s="65" t="s">
        <v>237</v>
      </c>
      <c r="M104" s="90"/>
      <c r="N104" s="282" t="s">
        <v>404</v>
      </c>
      <c r="O104" s="40">
        <v>46106</v>
      </c>
      <c r="P104" s="30"/>
      <c r="Q104" s="40">
        <v>46125</v>
      </c>
      <c r="R104" s="40">
        <v>46126</v>
      </c>
      <c r="S104" s="38"/>
    </row>
    <row r="105" spans="1:19" ht="18" customHeight="1" x14ac:dyDescent="0.2">
      <c r="A105" s="129" t="s">
        <v>78</v>
      </c>
      <c r="B105" s="250" t="s">
        <v>387</v>
      </c>
      <c r="C105" s="118">
        <v>11</v>
      </c>
      <c r="D105" s="115">
        <f t="shared" si="8"/>
        <v>80</v>
      </c>
      <c r="E105" s="34" t="s">
        <v>27</v>
      </c>
      <c r="F105" s="34" t="s">
        <v>27</v>
      </c>
      <c r="G105" s="188" t="s">
        <v>45</v>
      </c>
      <c r="H105" s="166">
        <v>4</v>
      </c>
      <c r="I105" s="257">
        <v>32</v>
      </c>
      <c r="J105" s="175">
        <f t="shared" si="7"/>
        <v>128</v>
      </c>
      <c r="K105" s="33">
        <v>2</v>
      </c>
      <c r="L105" s="30" t="s">
        <v>46</v>
      </c>
      <c r="M105" s="90"/>
      <c r="N105" s="282" t="s">
        <v>404</v>
      </c>
      <c r="O105" s="40">
        <v>46106</v>
      </c>
      <c r="P105" s="30"/>
      <c r="Q105" s="40">
        <v>46125</v>
      </c>
      <c r="R105" s="40">
        <v>46126</v>
      </c>
      <c r="S105" s="38"/>
    </row>
    <row r="106" spans="1:19" ht="18" customHeight="1" x14ac:dyDescent="0.2">
      <c r="A106" s="132" t="s">
        <v>56</v>
      </c>
      <c r="B106" s="250" t="s">
        <v>387</v>
      </c>
      <c r="C106" s="118">
        <v>11</v>
      </c>
      <c r="D106" s="115">
        <f>+D105+1</f>
        <v>81</v>
      </c>
      <c r="E106" s="106" t="s">
        <v>71</v>
      </c>
      <c r="F106" s="34" t="s">
        <v>27</v>
      </c>
      <c r="G106" s="199" t="s">
        <v>155</v>
      </c>
      <c r="H106" s="166">
        <v>2</v>
      </c>
      <c r="I106" s="166">
        <v>2330</v>
      </c>
      <c r="J106" s="179">
        <f t="shared" si="7"/>
        <v>4660</v>
      </c>
      <c r="K106" s="33">
        <v>1</v>
      </c>
      <c r="L106" s="105" t="s">
        <v>156</v>
      </c>
      <c r="M106" s="21"/>
      <c r="N106" s="282" t="s">
        <v>404</v>
      </c>
      <c r="O106" s="40">
        <v>46106</v>
      </c>
      <c r="P106" s="30"/>
      <c r="Q106" s="40">
        <v>46125</v>
      </c>
      <c r="R106" s="40">
        <v>46126</v>
      </c>
      <c r="S106" s="38"/>
    </row>
    <row r="107" spans="1:19" ht="18" customHeight="1" x14ac:dyDescent="0.2">
      <c r="A107" s="132" t="s">
        <v>56</v>
      </c>
      <c r="B107" s="250" t="s">
        <v>387</v>
      </c>
      <c r="C107" s="118">
        <v>11</v>
      </c>
      <c r="D107" s="115">
        <f t="shared" si="8"/>
        <v>82</v>
      </c>
      <c r="E107" s="106" t="s">
        <v>71</v>
      </c>
      <c r="F107" s="34" t="s">
        <v>27</v>
      </c>
      <c r="G107" s="199" t="s">
        <v>162</v>
      </c>
      <c r="H107" s="166">
        <v>2</v>
      </c>
      <c r="I107" s="166">
        <v>2820</v>
      </c>
      <c r="J107" s="179">
        <f t="shared" si="7"/>
        <v>5640</v>
      </c>
      <c r="K107" s="33">
        <v>1</v>
      </c>
      <c r="L107" s="105" t="s">
        <v>159</v>
      </c>
      <c r="M107" s="21"/>
      <c r="N107" s="282" t="s">
        <v>404</v>
      </c>
      <c r="O107" s="40">
        <v>46106</v>
      </c>
      <c r="P107" s="30"/>
      <c r="Q107" s="40">
        <v>46125</v>
      </c>
      <c r="R107" s="40">
        <v>46126</v>
      </c>
      <c r="S107" s="11"/>
    </row>
    <row r="108" spans="1:19" ht="18" customHeight="1" x14ac:dyDescent="0.2">
      <c r="A108" s="132" t="s">
        <v>56</v>
      </c>
      <c r="B108" s="250" t="s">
        <v>387</v>
      </c>
      <c r="C108" s="118">
        <v>11</v>
      </c>
      <c r="D108" s="115">
        <f t="shared" si="8"/>
        <v>83</v>
      </c>
      <c r="E108" s="106" t="s">
        <v>71</v>
      </c>
      <c r="F108" s="34" t="s">
        <v>27</v>
      </c>
      <c r="G108" s="199" t="s">
        <v>161</v>
      </c>
      <c r="H108" s="166">
        <v>2</v>
      </c>
      <c r="I108" s="166">
        <v>3530</v>
      </c>
      <c r="J108" s="179">
        <f t="shared" si="7"/>
        <v>7060</v>
      </c>
      <c r="K108" s="33">
        <v>1</v>
      </c>
      <c r="L108" s="105" t="s">
        <v>160</v>
      </c>
      <c r="M108" s="141"/>
      <c r="N108" s="282" t="s">
        <v>404</v>
      </c>
      <c r="O108" s="40">
        <v>46106</v>
      </c>
      <c r="P108" s="30"/>
      <c r="Q108" s="40">
        <v>46125</v>
      </c>
      <c r="R108" s="40">
        <v>46126</v>
      </c>
      <c r="S108" s="11"/>
    </row>
    <row r="109" spans="1:19" ht="18" customHeight="1" x14ac:dyDescent="0.2">
      <c r="A109" s="132" t="s">
        <v>56</v>
      </c>
      <c r="B109" s="250" t="s">
        <v>387</v>
      </c>
      <c r="C109" s="118">
        <v>11</v>
      </c>
      <c r="D109" s="115">
        <f t="shared" si="8"/>
        <v>84</v>
      </c>
      <c r="E109" s="106" t="s">
        <v>71</v>
      </c>
      <c r="F109" s="34" t="s">
        <v>27</v>
      </c>
      <c r="G109" s="199" t="s">
        <v>336</v>
      </c>
      <c r="H109" s="166">
        <v>2</v>
      </c>
      <c r="I109" s="166">
        <v>3080</v>
      </c>
      <c r="J109" s="179">
        <f t="shared" si="7"/>
        <v>6160</v>
      </c>
      <c r="K109" s="33">
        <v>1</v>
      </c>
      <c r="L109" s="105" t="s">
        <v>310</v>
      </c>
      <c r="M109" s="121"/>
      <c r="N109" s="282" t="s">
        <v>404</v>
      </c>
      <c r="O109" s="40">
        <v>46106</v>
      </c>
      <c r="P109" s="30"/>
      <c r="Q109" s="40">
        <v>46125</v>
      </c>
      <c r="R109" s="40">
        <v>46126</v>
      </c>
      <c r="S109" s="11"/>
    </row>
    <row r="110" spans="1:19" ht="18" customHeight="1" x14ac:dyDescent="0.2">
      <c r="A110" s="132" t="s">
        <v>56</v>
      </c>
      <c r="B110" s="250" t="s">
        <v>387</v>
      </c>
      <c r="C110" s="118">
        <v>11</v>
      </c>
      <c r="D110" s="115">
        <f t="shared" si="8"/>
        <v>85</v>
      </c>
      <c r="E110" s="106" t="s">
        <v>71</v>
      </c>
      <c r="F110" s="34" t="s">
        <v>27</v>
      </c>
      <c r="G110" s="163" t="s">
        <v>157</v>
      </c>
      <c r="H110" s="200">
        <v>2</v>
      </c>
      <c r="I110" s="256">
        <v>2810</v>
      </c>
      <c r="J110" s="274">
        <f>H110*I110</f>
        <v>5620</v>
      </c>
      <c r="K110" s="119">
        <v>1</v>
      </c>
      <c r="L110" s="73" t="s">
        <v>158</v>
      </c>
      <c r="M110" s="120" t="s">
        <v>150</v>
      </c>
      <c r="N110" s="282" t="s">
        <v>404</v>
      </c>
      <c r="O110" s="40">
        <v>46106</v>
      </c>
      <c r="P110" s="30"/>
      <c r="Q110" s="40">
        <v>46125</v>
      </c>
      <c r="R110" s="40">
        <v>46126</v>
      </c>
      <c r="S110" s="11"/>
    </row>
    <row r="111" spans="1:19" ht="18" customHeight="1" x14ac:dyDescent="0.2">
      <c r="A111" s="132" t="s">
        <v>78</v>
      </c>
      <c r="B111" s="250" t="s">
        <v>387</v>
      </c>
      <c r="C111" s="118">
        <v>11</v>
      </c>
      <c r="D111" s="115">
        <f>+D110+1</f>
        <v>86</v>
      </c>
      <c r="E111" s="54" t="s">
        <v>27</v>
      </c>
      <c r="F111" s="54" t="s">
        <v>27</v>
      </c>
      <c r="G111" s="201" t="s">
        <v>47</v>
      </c>
      <c r="H111" s="202">
        <v>2</v>
      </c>
      <c r="I111" s="260">
        <v>900</v>
      </c>
      <c r="J111" s="260">
        <f>H111*I111</f>
        <v>1800</v>
      </c>
      <c r="K111" s="133">
        <v>1</v>
      </c>
      <c r="L111" s="117" t="s">
        <v>228</v>
      </c>
      <c r="M111" s="134"/>
      <c r="N111" s="282" t="s">
        <v>404</v>
      </c>
      <c r="O111" s="40">
        <v>46106</v>
      </c>
      <c r="P111" s="30"/>
      <c r="Q111" s="40">
        <v>46125</v>
      </c>
      <c r="R111" s="40">
        <v>46126</v>
      </c>
      <c r="S111" s="11"/>
    </row>
    <row r="112" spans="1:19" ht="18" customHeight="1" x14ac:dyDescent="0.2">
      <c r="A112" s="132" t="s">
        <v>78</v>
      </c>
      <c r="B112" s="250" t="s">
        <v>387</v>
      </c>
      <c r="C112" s="118">
        <v>11</v>
      </c>
      <c r="D112" s="115">
        <f t="shared" ref="D112" si="9">+D111+1</f>
        <v>87</v>
      </c>
      <c r="E112" s="54" t="s">
        <v>27</v>
      </c>
      <c r="F112" s="54" t="s">
        <v>27</v>
      </c>
      <c r="G112" s="201" t="s">
        <v>28</v>
      </c>
      <c r="H112" s="202">
        <v>2</v>
      </c>
      <c r="I112" s="260">
        <v>1475</v>
      </c>
      <c r="J112" s="260">
        <f>H112*I112</f>
        <v>2950</v>
      </c>
      <c r="K112" s="133">
        <v>1</v>
      </c>
      <c r="L112" s="117" t="s">
        <v>228</v>
      </c>
      <c r="M112" s="134"/>
      <c r="N112" s="282" t="s">
        <v>404</v>
      </c>
      <c r="O112" s="40">
        <v>46106</v>
      </c>
      <c r="P112" s="30"/>
      <c r="Q112" s="40">
        <v>46125</v>
      </c>
      <c r="R112" s="40">
        <v>46126</v>
      </c>
      <c r="S112" s="11"/>
    </row>
    <row r="113" spans="1:19" ht="18" customHeight="1" x14ac:dyDescent="0.2">
      <c r="A113" s="5"/>
      <c r="B113" s="5"/>
      <c r="C113" s="116"/>
      <c r="D113" s="29"/>
      <c r="E113" s="108"/>
      <c r="F113" s="58"/>
      <c r="G113" s="127"/>
      <c r="H113" s="63"/>
      <c r="I113" s="80"/>
      <c r="J113" s="44"/>
      <c r="K113" s="64"/>
      <c r="L113" s="117"/>
      <c r="M113" s="90"/>
      <c r="N113" s="3"/>
      <c r="O113" s="22"/>
      <c r="P113" s="6"/>
      <c r="Q113" s="6"/>
      <c r="R113" s="22"/>
      <c r="S113" s="11"/>
    </row>
    <row r="114" spans="1:19" ht="18" customHeight="1" x14ac:dyDescent="0.2">
      <c r="D114" s="32"/>
      <c r="E114" s="54"/>
      <c r="F114" s="54"/>
      <c r="G114" s="35"/>
      <c r="H114" s="32"/>
      <c r="I114" s="44"/>
      <c r="J114" s="44"/>
      <c r="K114" s="33"/>
      <c r="L114" s="59"/>
      <c r="M114" s="21"/>
      <c r="N114" s="3"/>
      <c r="O114" s="22"/>
      <c r="P114" s="6"/>
      <c r="Q114" s="6"/>
      <c r="R114" s="22"/>
      <c r="S114" s="11"/>
    </row>
    <row r="115" spans="1:19" ht="18" customHeight="1" x14ac:dyDescent="0.2">
      <c r="D115" s="32"/>
      <c r="E115" s="60"/>
      <c r="F115" s="60"/>
      <c r="G115" s="329">
        <f>SUM(J98:J114)</f>
        <v>49436</v>
      </c>
      <c r="H115" s="330"/>
      <c r="I115" s="330"/>
      <c r="J115" s="331"/>
      <c r="K115" s="49"/>
      <c r="L115" s="50"/>
      <c r="M115" s="21"/>
      <c r="N115" s="3"/>
      <c r="O115" s="22"/>
      <c r="P115" s="6"/>
      <c r="Q115" s="6"/>
      <c r="R115" s="22"/>
      <c r="S115" s="11"/>
    </row>
    <row r="116" spans="1:19" ht="18" customHeight="1" x14ac:dyDescent="0.2">
      <c r="D116" s="32"/>
      <c r="E116" s="85"/>
      <c r="F116" s="85"/>
      <c r="G116" s="86"/>
      <c r="H116" s="87"/>
      <c r="I116" s="88"/>
      <c r="J116" s="44"/>
      <c r="K116" s="32"/>
      <c r="L116" s="43"/>
      <c r="M116" s="95"/>
      <c r="N116" s="3"/>
      <c r="O116" s="22"/>
      <c r="P116" s="6"/>
      <c r="Q116" s="6"/>
      <c r="R116" s="22"/>
      <c r="S116" s="11"/>
    </row>
    <row r="117" spans="1:19" ht="18" customHeight="1" x14ac:dyDescent="0.2">
      <c r="D117" s="32"/>
      <c r="E117" s="85"/>
      <c r="F117" s="85"/>
      <c r="G117" s="86"/>
      <c r="H117" s="87"/>
      <c r="I117" s="88"/>
      <c r="J117" s="44"/>
      <c r="K117" s="32"/>
      <c r="L117" s="43"/>
      <c r="M117" s="95"/>
      <c r="N117" s="3"/>
      <c r="O117" s="22"/>
      <c r="P117" s="6"/>
      <c r="Q117" s="6"/>
      <c r="R117" s="22"/>
      <c r="S117" s="11"/>
    </row>
    <row r="118" spans="1:19" ht="18" customHeight="1" x14ac:dyDescent="0.2">
      <c r="D118" s="32"/>
      <c r="E118" s="85"/>
      <c r="F118" s="85"/>
      <c r="G118" s="86"/>
      <c r="H118" s="87"/>
      <c r="I118" s="88"/>
      <c r="J118" s="44"/>
      <c r="K118" s="32"/>
      <c r="L118" s="43"/>
      <c r="M118" s="95"/>
      <c r="N118" s="3"/>
      <c r="O118" s="22"/>
      <c r="P118" s="6"/>
      <c r="Q118" s="6"/>
      <c r="R118" s="22"/>
      <c r="S118" s="11"/>
    </row>
    <row r="119" spans="1:19" ht="18" customHeight="1" x14ac:dyDescent="0.2">
      <c r="D119" s="32"/>
      <c r="E119" s="85"/>
      <c r="F119" s="85"/>
      <c r="G119" s="86"/>
      <c r="H119" s="87"/>
      <c r="I119" s="88"/>
      <c r="J119" s="44"/>
      <c r="K119" s="32"/>
      <c r="L119" s="43"/>
      <c r="M119" s="95"/>
      <c r="N119" s="3"/>
      <c r="O119" s="22"/>
      <c r="P119" s="6"/>
      <c r="Q119" s="6"/>
      <c r="R119" s="22"/>
      <c r="S119" s="11"/>
    </row>
    <row r="120" spans="1:19" ht="18" customHeight="1" x14ac:dyDescent="0.2">
      <c r="A120" s="5"/>
      <c r="B120" s="5"/>
      <c r="C120" s="5"/>
      <c r="D120" s="230"/>
      <c r="E120" s="320" t="s">
        <v>164</v>
      </c>
      <c r="F120" s="321"/>
      <c r="G120" s="322"/>
      <c r="H120" s="30"/>
      <c r="I120" s="32"/>
      <c r="J120" s="33"/>
      <c r="K120" s="122"/>
      <c r="L120" s="32"/>
      <c r="M120" s="32"/>
      <c r="N120" s="3"/>
      <c r="O120" s="22"/>
      <c r="P120" s="6"/>
      <c r="Q120" s="6"/>
      <c r="R120" s="22"/>
      <c r="S120" s="11"/>
    </row>
    <row r="121" spans="1:19" ht="18" customHeight="1" x14ac:dyDescent="0.2">
      <c r="A121" s="129" t="s">
        <v>165</v>
      </c>
      <c r="B121" s="251" t="s">
        <v>388</v>
      </c>
      <c r="C121" s="118">
        <v>11</v>
      </c>
      <c r="D121" s="246">
        <f>+D112+1</f>
        <v>88</v>
      </c>
      <c r="E121" s="126" t="s">
        <v>22</v>
      </c>
      <c r="F121" s="126" t="s">
        <v>22</v>
      </c>
      <c r="G121" s="218" t="s">
        <v>61</v>
      </c>
      <c r="H121" s="219">
        <v>8</v>
      </c>
      <c r="I121" s="239">
        <v>3023</v>
      </c>
      <c r="J121" s="276">
        <f t="shared" ref="J121:J168" si="10">H121*I121</f>
        <v>24184</v>
      </c>
      <c r="K121" s="33">
        <v>4</v>
      </c>
      <c r="L121" s="99" t="s">
        <v>62</v>
      </c>
      <c r="M121" s="32"/>
      <c r="N121" s="282" t="s">
        <v>404</v>
      </c>
      <c r="O121" s="40">
        <v>46106</v>
      </c>
      <c r="P121" s="30"/>
      <c r="Q121" s="40">
        <v>46125</v>
      </c>
      <c r="R121" s="40">
        <v>46126</v>
      </c>
      <c r="S121" s="11"/>
    </row>
    <row r="122" spans="1:19" ht="18" customHeight="1" x14ac:dyDescent="0.2">
      <c r="A122" s="129" t="s">
        <v>78</v>
      </c>
      <c r="B122" s="251" t="s">
        <v>388</v>
      </c>
      <c r="C122" s="118">
        <v>11</v>
      </c>
      <c r="D122" s="246">
        <f>+D121+1</f>
        <v>89</v>
      </c>
      <c r="E122" s="54" t="s">
        <v>22</v>
      </c>
      <c r="F122" s="54" t="s">
        <v>22</v>
      </c>
      <c r="G122" s="220" t="s">
        <v>167</v>
      </c>
      <c r="H122" s="221">
        <v>8</v>
      </c>
      <c r="I122" s="166">
        <v>674</v>
      </c>
      <c r="J122" s="179">
        <f t="shared" si="10"/>
        <v>5392</v>
      </c>
      <c r="K122" s="33">
        <v>4</v>
      </c>
      <c r="L122" s="35" t="s">
        <v>166</v>
      </c>
      <c r="M122" s="32"/>
      <c r="N122" s="282" t="s">
        <v>404</v>
      </c>
      <c r="O122" s="40">
        <v>46106</v>
      </c>
      <c r="P122" s="30"/>
      <c r="Q122" s="40">
        <v>46125</v>
      </c>
      <c r="R122" s="40">
        <v>46126</v>
      </c>
      <c r="S122" s="11"/>
    </row>
    <row r="123" spans="1:19" ht="18" customHeight="1" x14ac:dyDescent="0.2">
      <c r="A123" s="129" t="s">
        <v>78</v>
      </c>
      <c r="B123" s="251" t="s">
        <v>388</v>
      </c>
      <c r="C123" s="118">
        <v>11</v>
      </c>
      <c r="D123" s="246">
        <f t="shared" ref="D123:D165" si="11">+D122+1</f>
        <v>90</v>
      </c>
      <c r="E123" s="54" t="s">
        <v>168</v>
      </c>
      <c r="F123" s="54" t="s">
        <v>22</v>
      </c>
      <c r="G123" s="220" t="s">
        <v>169</v>
      </c>
      <c r="H123" s="221">
        <v>12</v>
      </c>
      <c r="I123" s="166">
        <v>128</v>
      </c>
      <c r="J123" s="179">
        <f t="shared" si="10"/>
        <v>1536</v>
      </c>
      <c r="K123" s="33">
        <v>6</v>
      </c>
      <c r="L123" s="35" t="s">
        <v>170</v>
      </c>
      <c r="M123" s="32"/>
      <c r="N123" s="282" t="s">
        <v>404</v>
      </c>
      <c r="O123" s="40">
        <v>46106</v>
      </c>
      <c r="P123" s="30"/>
      <c r="Q123" s="40">
        <v>46125</v>
      </c>
      <c r="R123" s="40">
        <v>46126</v>
      </c>
      <c r="S123" s="11"/>
    </row>
    <row r="124" spans="1:19" ht="18" customHeight="1" x14ac:dyDescent="0.2">
      <c r="A124" s="129" t="s">
        <v>78</v>
      </c>
      <c r="B124" s="251" t="s">
        <v>388</v>
      </c>
      <c r="C124" s="118">
        <v>11</v>
      </c>
      <c r="D124" s="246">
        <f>+D123+1</f>
        <v>91</v>
      </c>
      <c r="E124" s="54" t="s">
        <v>22</v>
      </c>
      <c r="F124" s="54" t="s">
        <v>22</v>
      </c>
      <c r="G124" s="220" t="s">
        <v>172</v>
      </c>
      <c r="H124" s="221">
        <v>8</v>
      </c>
      <c r="I124" s="166">
        <v>161</v>
      </c>
      <c r="J124" s="179">
        <f t="shared" si="10"/>
        <v>1288</v>
      </c>
      <c r="K124" s="33">
        <v>4</v>
      </c>
      <c r="L124" s="35" t="s">
        <v>173</v>
      </c>
      <c r="M124" s="32"/>
      <c r="N124" s="282" t="s">
        <v>404</v>
      </c>
      <c r="O124" s="40">
        <v>46106</v>
      </c>
      <c r="P124" s="30"/>
      <c r="Q124" s="40">
        <v>46125</v>
      </c>
      <c r="R124" s="40">
        <v>46126</v>
      </c>
      <c r="S124" s="11"/>
    </row>
    <row r="125" spans="1:19" ht="18" customHeight="1" x14ac:dyDescent="0.2">
      <c r="A125" s="129" t="s">
        <v>78</v>
      </c>
      <c r="B125" s="251" t="s">
        <v>388</v>
      </c>
      <c r="C125" s="118">
        <v>11</v>
      </c>
      <c r="D125" s="246">
        <f>+D124+1</f>
        <v>92</v>
      </c>
      <c r="E125" s="54" t="s">
        <v>22</v>
      </c>
      <c r="F125" s="54" t="s">
        <v>22</v>
      </c>
      <c r="G125" s="220" t="s">
        <v>174</v>
      </c>
      <c r="H125" s="221">
        <v>8</v>
      </c>
      <c r="I125" s="166">
        <v>46</v>
      </c>
      <c r="J125" s="179">
        <f>H125*I125</f>
        <v>368</v>
      </c>
      <c r="K125" s="33">
        <v>4</v>
      </c>
      <c r="L125" s="99" t="s">
        <v>63</v>
      </c>
      <c r="M125" s="32"/>
      <c r="N125" s="282" t="s">
        <v>404</v>
      </c>
      <c r="O125" s="40">
        <v>46106</v>
      </c>
      <c r="P125" s="30"/>
      <c r="Q125" s="40">
        <v>46125</v>
      </c>
      <c r="R125" s="40">
        <v>46126</v>
      </c>
      <c r="S125" s="11"/>
    </row>
    <row r="126" spans="1:19" ht="18" customHeight="1" x14ac:dyDescent="0.2">
      <c r="A126" s="129" t="s">
        <v>78</v>
      </c>
      <c r="B126" s="251" t="s">
        <v>388</v>
      </c>
      <c r="C126" s="118">
        <v>11</v>
      </c>
      <c r="D126" s="246">
        <f t="shared" si="11"/>
        <v>93</v>
      </c>
      <c r="E126" s="54" t="s">
        <v>22</v>
      </c>
      <c r="F126" s="54" t="s">
        <v>22</v>
      </c>
      <c r="G126" s="220" t="s">
        <v>175</v>
      </c>
      <c r="H126" s="221">
        <v>16</v>
      </c>
      <c r="I126" s="166">
        <v>53</v>
      </c>
      <c r="J126" s="179">
        <f t="shared" si="10"/>
        <v>848</v>
      </c>
      <c r="K126" s="33">
        <v>8</v>
      </c>
      <c r="L126" s="99" t="s">
        <v>63</v>
      </c>
      <c r="M126" s="32"/>
      <c r="N126" s="282" t="s">
        <v>404</v>
      </c>
      <c r="O126" s="40">
        <v>46106</v>
      </c>
      <c r="P126" s="30"/>
      <c r="Q126" s="40">
        <v>46125</v>
      </c>
      <c r="R126" s="40">
        <v>46126</v>
      </c>
      <c r="S126" s="11"/>
    </row>
    <row r="127" spans="1:19" ht="18" customHeight="1" x14ac:dyDescent="0.2">
      <c r="A127" s="129" t="s">
        <v>171</v>
      </c>
      <c r="B127" s="251" t="s">
        <v>388</v>
      </c>
      <c r="C127" s="118">
        <v>11</v>
      </c>
      <c r="D127" s="246">
        <f t="shared" si="11"/>
        <v>94</v>
      </c>
      <c r="E127" s="54" t="s">
        <v>353</v>
      </c>
      <c r="F127" s="54" t="s">
        <v>22</v>
      </c>
      <c r="G127" s="220" t="s">
        <v>209</v>
      </c>
      <c r="H127" s="221">
        <v>8</v>
      </c>
      <c r="I127" s="166">
        <v>1205</v>
      </c>
      <c r="J127" s="179">
        <f t="shared" si="10"/>
        <v>9640</v>
      </c>
      <c r="K127" s="33">
        <v>4</v>
      </c>
      <c r="L127" s="99" t="s">
        <v>176</v>
      </c>
      <c r="M127" s="32"/>
      <c r="N127" s="282" t="s">
        <v>404</v>
      </c>
      <c r="O127" s="40">
        <v>46106</v>
      </c>
      <c r="P127" s="30"/>
      <c r="Q127" s="40">
        <v>46125</v>
      </c>
      <c r="R127" s="40">
        <v>46126</v>
      </c>
      <c r="S127" s="11"/>
    </row>
    <row r="128" spans="1:19" ht="18" customHeight="1" x14ac:dyDescent="0.2">
      <c r="A128" s="129" t="s">
        <v>78</v>
      </c>
      <c r="B128" s="251" t="s">
        <v>388</v>
      </c>
      <c r="C128" s="118">
        <v>11</v>
      </c>
      <c r="D128" s="246">
        <f t="shared" si="11"/>
        <v>95</v>
      </c>
      <c r="E128" s="54" t="s">
        <v>22</v>
      </c>
      <c r="F128" s="54" t="s">
        <v>22</v>
      </c>
      <c r="G128" s="220" t="s">
        <v>177</v>
      </c>
      <c r="H128" s="221">
        <v>12</v>
      </c>
      <c r="I128" s="166">
        <v>19</v>
      </c>
      <c r="J128" s="179">
        <f t="shared" si="10"/>
        <v>228</v>
      </c>
      <c r="K128" s="33">
        <v>6</v>
      </c>
      <c r="L128" s="35" t="s">
        <v>178</v>
      </c>
      <c r="M128" s="32"/>
      <c r="N128" s="282" t="s">
        <v>404</v>
      </c>
      <c r="O128" s="40">
        <v>46106</v>
      </c>
      <c r="P128" s="30"/>
      <c r="Q128" s="40">
        <v>46125</v>
      </c>
      <c r="R128" s="40">
        <v>46126</v>
      </c>
      <c r="S128" s="11"/>
    </row>
    <row r="129" spans="1:19" ht="18" customHeight="1" x14ac:dyDescent="0.2">
      <c r="A129" s="129" t="s">
        <v>78</v>
      </c>
      <c r="B129" s="251" t="s">
        <v>388</v>
      </c>
      <c r="C129" s="118">
        <v>11</v>
      </c>
      <c r="D129" s="246">
        <f t="shared" si="11"/>
        <v>96</v>
      </c>
      <c r="E129" s="54" t="s">
        <v>22</v>
      </c>
      <c r="F129" s="54" t="s">
        <v>22</v>
      </c>
      <c r="G129" s="220" t="s">
        <v>179</v>
      </c>
      <c r="H129" s="221">
        <v>16</v>
      </c>
      <c r="I129" s="166">
        <v>19</v>
      </c>
      <c r="J129" s="179">
        <f t="shared" si="10"/>
        <v>304</v>
      </c>
      <c r="K129" s="33">
        <v>8</v>
      </c>
      <c r="L129" s="35" t="s">
        <v>180</v>
      </c>
      <c r="M129" s="32"/>
      <c r="N129" s="282" t="s">
        <v>404</v>
      </c>
      <c r="O129" s="40">
        <v>46106</v>
      </c>
      <c r="P129" s="30"/>
      <c r="Q129" s="40">
        <v>46125</v>
      </c>
      <c r="R129" s="40">
        <v>46126</v>
      </c>
      <c r="S129" s="11"/>
    </row>
    <row r="130" spans="1:19" ht="18" customHeight="1" x14ac:dyDescent="0.2">
      <c r="A130" s="129" t="s">
        <v>171</v>
      </c>
      <c r="B130" s="251" t="s">
        <v>388</v>
      </c>
      <c r="C130" s="118">
        <v>11</v>
      </c>
      <c r="D130" s="246">
        <f t="shared" si="11"/>
        <v>97</v>
      </c>
      <c r="E130" s="54" t="s">
        <v>22</v>
      </c>
      <c r="F130" s="54" t="s">
        <v>22</v>
      </c>
      <c r="G130" s="181" t="s">
        <v>210</v>
      </c>
      <c r="H130" s="221">
        <v>4</v>
      </c>
      <c r="I130" s="166">
        <v>1048</v>
      </c>
      <c r="J130" s="179">
        <f t="shared" si="10"/>
        <v>4192</v>
      </c>
      <c r="K130" s="33">
        <v>2</v>
      </c>
      <c r="L130" s="99" t="s">
        <v>176</v>
      </c>
      <c r="M130" s="32"/>
      <c r="N130" s="282" t="s">
        <v>404</v>
      </c>
      <c r="O130" s="40">
        <v>46106</v>
      </c>
      <c r="P130" s="30"/>
      <c r="Q130" s="40">
        <v>46125</v>
      </c>
      <c r="R130" s="40">
        <v>46126</v>
      </c>
      <c r="S130" s="11"/>
    </row>
    <row r="131" spans="1:19" ht="18" customHeight="1" x14ac:dyDescent="0.2">
      <c r="A131" s="129" t="s">
        <v>171</v>
      </c>
      <c r="B131" s="251" t="s">
        <v>388</v>
      </c>
      <c r="C131" s="118">
        <v>11</v>
      </c>
      <c r="D131" s="246">
        <f t="shared" si="11"/>
        <v>98</v>
      </c>
      <c r="E131" s="54" t="s">
        <v>22</v>
      </c>
      <c r="F131" s="54" t="s">
        <v>22</v>
      </c>
      <c r="G131" s="220" t="s">
        <v>211</v>
      </c>
      <c r="H131" s="221">
        <v>4</v>
      </c>
      <c r="I131" s="166">
        <v>1317</v>
      </c>
      <c r="J131" s="179">
        <f t="shared" si="10"/>
        <v>5268</v>
      </c>
      <c r="K131" s="33">
        <v>2</v>
      </c>
      <c r="L131" s="99" t="s">
        <v>176</v>
      </c>
      <c r="M131" s="32"/>
      <c r="N131" s="282" t="s">
        <v>404</v>
      </c>
      <c r="O131" s="40">
        <v>46106</v>
      </c>
      <c r="P131" s="30"/>
      <c r="Q131" s="40">
        <v>46125</v>
      </c>
      <c r="R131" s="40">
        <v>46126</v>
      </c>
      <c r="S131" s="11"/>
    </row>
    <row r="132" spans="1:19" ht="18" customHeight="1" x14ac:dyDescent="0.2">
      <c r="A132" s="129" t="s">
        <v>181</v>
      </c>
      <c r="B132" s="251" t="s">
        <v>388</v>
      </c>
      <c r="C132" s="118">
        <v>11</v>
      </c>
      <c r="D132" s="246">
        <f t="shared" si="11"/>
        <v>99</v>
      </c>
      <c r="E132" s="54" t="s">
        <v>22</v>
      </c>
      <c r="F132" s="54" t="s">
        <v>22</v>
      </c>
      <c r="G132" s="220" t="s">
        <v>182</v>
      </c>
      <c r="H132" s="221">
        <v>12</v>
      </c>
      <c r="I132" s="166">
        <v>748</v>
      </c>
      <c r="J132" s="179">
        <f t="shared" si="10"/>
        <v>8976</v>
      </c>
      <c r="K132" s="33">
        <v>6</v>
      </c>
      <c r="L132" s="35" t="s">
        <v>183</v>
      </c>
      <c r="M132" s="32"/>
      <c r="N132" s="282" t="s">
        <v>404</v>
      </c>
      <c r="O132" s="40">
        <v>46106</v>
      </c>
      <c r="P132" s="30"/>
      <c r="Q132" s="40">
        <v>46125</v>
      </c>
      <c r="R132" s="40">
        <v>46126</v>
      </c>
      <c r="S132" s="11"/>
    </row>
    <row r="133" spans="1:19" ht="18" customHeight="1" x14ac:dyDescent="0.2">
      <c r="A133" s="129" t="s">
        <v>78</v>
      </c>
      <c r="B133" s="251" t="s">
        <v>388</v>
      </c>
      <c r="C133" s="118">
        <v>11</v>
      </c>
      <c r="D133" s="246">
        <f t="shared" si="11"/>
        <v>100</v>
      </c>
      <c r="E133" s="54" t="s">
        <v>22</v>
      </c>
      <c r="F133" s="54" t="s">
        <v>22</v>
      </c>
      <c r="G133" s="220" t="s">
        <v>67</v>
      </c>
      <c r="H133" s="221">
        <v>12</v>
      </c>
      <c r="I133" s="166">
        <v>14</v>
      </c>
      <c r="J133" s="179">
        <f t="shared" si="10"/>
        <v>168</v>
      </c>
      <c r="K133" s="33">
        <v>6</v>
      </c>
      <c r="L133" s="99" t="s">
        <v>81</v>
      </c>
      <c r="M133" s="32"/>
      <c r="N133" s="282" t="s">
        <v>404</v>
      </c>
      <c r="O133" s="40">
        <v>46106</v>
      </c>
      <c r="P133" s="30"/>
      <c r="Q133" s="40">
        <v>46125</v>
      </c>
      <c r="R133" s="40">
        <v>46126</v>
      </c>
      <c r="S133" s="11"/>
    </row>
    <row r="134" spans="1:19" ht="18" customHeight="1" x14ac:dyDescent="0.2">
      <c r="A134" s="129" t="s">
        <v>78</v>
      </c>
      <c r="B134" s="251" t="s">
        <v>388</v>
      </c>
      <c r="C134" s="118">
        <v>11</v>
      </c>
      <c r="D134" s="246">
        <f>+D133+1</f>
        <v>101</v>
      </c>
      <c r="E134" s="54" t="s">
        <v>22</v>
      </c>
      <c r="F134" s="54" t="s">
        <v>22</v>
      </c>
      <c r="G134" s="181" t="s">
        <v>184</v>
      </c>
      <c r="H134" s="222">
        <v>44</v>
      </c>
      <c r="I134" s="164">
        <v>15</v>
      </c>
      <c r="J134" s="186">
        <f t="shared" si="10"/>
        <v>660</v>
      </c>
      <c r="K134" s="100">
        <v>22</v>
      </c>
      <c r="L134" s="73" t="s">
        <v>185</v>
      </c>
      <c r="M134" s="32"/>
      <c r="N134" s="282" t="s">
        <v>404</v>
      </c>
      <c r="O134" s="40">
        <v>46106</v>
      </c>
      <c r="P134" s="30"/>
      <c r="Q134" s="40">
        <v>46125</v>
      </c>
      <c r="R134" s="40">
        <v>46126</v>
      </c>
      <c r="S134" s="11"/>
    </row>
    <row r="135" spans="1:19" ht="18" customHeight="1" x14ac:dyDescent="0.2">
      <c r="A135" s="129" t="s">
        <v>171</v>
      </c>
      <c r="B135" s="251" t="s">
        <v>388</v>
      </c>
      <c r="C135" s="118">
        <v>11</v>
      </c>
      <c r="D135" s="246">
        <f t="shared" si="11"/>
        <v>102</v>
      </c>
      <c r="E135" s="54" t="s">
        <v>22</v>
      </c>
      <c r="F135" s="54" t="s">
        <v>22</v>
      </c>
      <c r="G135" s="204" t="s">
        <v>186</v>
      </c>
      <c r="H135" s="221">
        <v>8</v>
      </c>
      <c r="I135" s="166">
        <v>3061</v>
      </c>
      <c r="J135" s="179">
        <f t="shared" si="10"/>
        <v>24488</v>
      </c>
      <c r="K135" s="33">
        <v>4</v>
      </c>
      <c r="L135" s="35" t="s">
        <v>187</v>
      </c>
      <c r="M135" s="32"/>
      <c r="N135" s="282" t="s">
        <v>404</v>
      </c>
      <c r="O135" s="40">
        <v>46106</v>
      </c>
      <c r="P135" s="30"/>
      <c r="Q135" s="40">
        <v>46125</v>
      </c>
      <c r="R135" s="40">
        <v>46126</v>
      </c>
      <c r="S135" s="11"/>
    </row>
    <row r="136" spans="1:19" ht="18" customHeight="1" x14ac:dyDescent="0.2">
      <c r="A136" s="129" t="s">
        <v>171</v>
      </c>
      <c r="B136" s="251" t="s">
        <v>388</v>
      </c>
      <c r="C136" s="118">
        <v>11</v>
      </c>
      <c r="D136" s="246">
        <f t="shared" si="11"/>
        <v>103</v>
      </c>
      <c r="E136" s="54" t="s">
        <v>22</v>
      </c>
      <c r="F136" s="54" t="s">
        <v>22</v>
      </c>
      <c r="G136" s="204" t="s">
        <v>188</v>
      </c>
      <c r="H136" s="221">
        <v>4</v>
      </c>
      <c r="I136" s="166">
        <v>2606</v>
      </c>
      <c r="J136" s="179">
        <f t="shared" si="10"/>
        <v>10424</v>
      </c>
      <c r="K136" s="33">
        <v>2</v>
      </c>
      <c r="L136" s="35" t="s">
        <v>189</v>
      </c>
      <c r="M136" s="32"/>
      <c r="N136" s="282" t="s">
        <v>404</v>
      </c>
      <c r="O136" s="40">
        <v>46106</v>
      </c>
      <c r="P136" s="30"/>
      <c r="Q136" s="40">
        <v>46125</v>
      </c>
      <c r="R136" s="40">
        <v>46126</v>
      </c>
      <c r="S136" s="11"/>
    </row>
    <row r="137" spans="1:19" ht="18" customHeight="1" x14ac:dyDescent="0.2">
      <c r="A137" s="129" t="s">
        <v>190</v>
      </c>
      <c r="B137" s="251" t="s">
        <v>388</v>
      </c>
      <c r="C137" s="118">
        <v>11</v>
      </c>
      <c r="D137" s="246">
        <f t="shared" si="11"/>
        <v>104</v>
      </c>
      <c r="E137" s="106" t="s">
        <v>71</v>
      </c>
      <c r="F137" s="34" t="s">
        <v>27</v>
      </c>
      <c r="G137" s="204" t="s">
        <v>191</v>
      </c>
      <c r="H137" s="221">
        <v>4</v>
      </c>
      <c r="I137" s="166">
        <v>6984</v>
      </c>
      <c r="J137" s="179">
        <f t="shared" si="10"/>
        <v>27936</v>
      </c>
      <c r="K137" s="32">
        <v>2</v>
      </c>
      <c r="L137" s="123" t="s">
        <v>192</v>
      </c>
      <c r="M137" s="32"/>
      <c r="N137" s="282" t="s">
        <v>404</v>
      </c>
      <c r="O137" s="40">
        <v>46106</v>
      </c>
      <c r="P137" s="30"/>
      <c r="Q137" s="40">
        <v>46125</v>
      </c>
      <c r="R137" s="40">
        <v>46126</v>
      </c>
      <c r="S137" s="11"/>
    </row>
    <row r="138" spans="1:19" ht="18" customHeight="1" x14ac:dyDescent="0.2">
      <c r="A138" s="129" t="s">
        <v>193</v>
      </c>
      <c r="B138" s="251" t="s">
        <v>388</v>
      </c>
      <c r="C138" s="118">
        <v>11</v>
      </c>
      <c r="D138" s="246">
        <f t="shared" si="11"/>
        <v>105</v>
      </c>
      <c r="E138" s="106" t="s">
        <v>71</v>
      </c>
      <c r="F138" s="34" t="s">
        <v>27</v>
      </c>
      <c r="G138" s="220" t="s">
        <v>367</v>
      </c>
      <c r="H138" s="221">
        <v>2</v>
      </c>
      <c r="I138" s="166">
        <v>56088</v>
      </c>
      <c r="J138" s="179">
        <f t="shared" si="10"/>
        <v>112176</v>
      </c>
      <c r="K138" s="32">
        <v>1</v>
      </c>
      <c r="L138" s="105" t="s">
        <v>350</v>
      </c>
      <c r="M138" s="32"/>
      <c r="N138" s="282" t="s">
        <v>404</v>
      </c>
      <c r="O138" s="40">
        <v>46106</v>
      </c>
      <c r="P138" s="30"/>
      <c r="Q138" s="40">
        <v>46125</v>
      </c>
      <c r="R138" s="40">
        <v>46126</v>
      </c>
      <c r="S138" s="11"/>
    </row>
    <row r="139" spans="1:19" ht="18" customHeight="1" x14ac:dyDescent="0.2">
      <c r="A139" s="128" t="s">
        <v>78</v>
      </c>
      <c r="B139" s="251" t="s">
        <v>388</v>
      </c>
      <c r="C139" s="118">
        <v>11</v>
      </c>
      <c r="D139" s="246">
        <f t="shared" si="11"/>
        <v>106</v>
      </c>
      <c r="E139" s="32" t="s">
        <v>194</v>
      </c>
      <c r="F139" s="54" t="s">
        <v>22</v>
      </c>
      <c r="G139" s="171">
        <v>620705016</v>
      </c>
      <c r="H139" s="223">
        <v>12</v>
      </c>
      <c r="I139" s="258">
        <v>40</v>
      </c>
      <c r="J139" s="273">
        <f t="shared" si="10"/>
        <v>480</v>
      </c>
      <c r="K139" s="33">
        <v>6</v>
      </c>
      <c r="L139" s="124" t="s">
        <v>195</v>
      </c>
      <c r="M139" s="32"/>
      <c r="N139" s="282" t="s">
        <v>404</v>
      </c>
      <c r="O139" s="40">
        <v>46106</v>
      </c>
      <c r="P139" s="30"/>
      <c r="Q139" s="40">
        <v>46125</v>
      </c>
      <c r="R139" s="40">
        <v>46126</v>
      </c>
      <c r="S139" s="11"/>
    </row>
    <row r="140" spans="1:19" ht="18" customHeight="1" x14ac:dyDescent="0.2">
      <c r="A140" s="132" t="s">
        <v>171</v>
      </c>
      <c r="B140" s="251" t="s">
        <v>388</v>
      </c>
      <c r="C140" s="118">
        <v>11</v>
      </c>
      <c r="D140" s="246">
        <f t="shared" si="11"/>
        <v>107</v>
      </c>
      <c r="E140" s="106" t="s">
        <v>71</v>
      </c>
      <c r="F140" s="34" t="s">
        <v>27</v>
      </c>
      <c r="G140" s="171" t="s">
        <v>366</v>
      </c>
      <c r="H140" s="223">
        <v>2</v>
      </c>
      <c r="I140" s="258">
        <v>1915</v>
      </c>
      <c r="J140" s="277">
        <f t="shared" si="10"/>
        <v>3830</v>
      </c>
      <c r="K140" s="33">
        <v>1</v>
      </c>
      <c r="L140" s="124" t="s">
        <v>354</v>
      </c>
      <c r="M140" s="32"/>
      <c r="N140" s="282" t="s">
        <v>404</v>
      </c>
      <c r="O140" s="40">
        <v>46106</v>
      </c>
      <c r="P140" s="30"/>
      <c r="Q140" s="40">
        <v>46125</v>
      </c>
      <c r="R140" s="40">
        <v>46126</v>
      </c>
      <c r="S140" s="11"/>
    </row>
    <row r="141" spans="1:19" ht="18" customHeight="1" x14ac:dyDescent="0.2">
      <c r="A141" s="129" t="s">
        <v>171</v>
      </c>
      <c r="B141" s="251" t="s">
        <v>388</v>
      </c>
      <c r="C141" s="118">
        <v>11</v>
      </c>
      <c r="D141" s="246">
        <f>+D140+1</f>
        <v>108</v>
      </c>
      <c r="E141" s="54" t="s">
        <v>22</v>
      </c>
      <c r="F141" s="54" t="s">
        <v>22</v>
      </c>
      <c r="G141" s="201" t="s">
        <v>196</v>
      </c>
      <c r="H141" s="221">
        <v>4</v>
      </c>
      <c r="I141" s="166">
        <v>6019</v>
      </c>
      <c r="J141" s="278">
        <f t="shared" si="10"/>
        <v>24076</v>
      </c>
      <c r="K141" s="122">
        <v>2</v>
      </c>
      <c r="L141" s="31" t="s">
        <v>197</v>
      </c>
      <c r="M141" s="32"/>
      <c r="N141" s="282" t="s">
        <v>404</v>
      </c>
      <c r="O141" s="40">
        <v>46106</v>
      </c>
      <c r="P141" s="30"/>
      <c r="Q141" s="40">
        <v>46125</v>
      </c>
      <c r="R141" s="40">
        <v>46126</v>
      </c>
      <c r="S141" s="11"/>
    </row>
    <row r="142" spans="1:19" ht="18" customHeight="1" x14ac:dyDescent="0.2">
      <c r="A142" s="132" t="s">
        <v>165</v>
      </c>
      <c r="B142" s="251" t="s">
        <v>388</v>
      </c>
      <c r="C142" s="118">
        <v>11</v>
      </c>
      <c r="D142" s="246">
        <f t="shared" si="11"/>
        <v>109</v>
      </c>
      <c r="E142" s="54" t="s">
        <v>22</v>
      </c>
      <c r="F142" s="54" t="s">
        <v>22</v>
      </c>
      <c r="G142" s="201" t="s">
        <v>212</v>
      </c>
      <c r="H142" s="221">
        <v>12</v>
      </c>
      <c r="I142" s="166">
        <v>359</v>
      </c>
      <c r="J142" s="278">
        <f t="shared" si="10"/>
        <v>4308</v>
      </c>
      <c r="K142" s="122">
        <v>6</v>
      </c>
      <c r="L142" s="31" t="s">
        <v>213</v>
      </c>
      <c r="M142" s="32"/>
      <c r="N142" s="282" t="s">
        <v>404</v>
      </c>
      <c r="O142" s="40">
        <v>46106</v>
      </c>
      <c r="P142" s="30"/>
      <c r="Q142" s="40">
        <v>46125</v>
      </c>
      <c r="R142" s="40">
        <v>46126</v>
      </c>
      <c r="S142" s="11"/>
    </row>
    <row r="143" spans="1:19" ht="18" customHeight="1" x14ac:dyDescent="0.2">
      <c r="A143" s="129" t="s">
        <v>78</v>
      </c>
      <c r="B143" s="251" t="s">
        <v>388</v>
      </c>
      <c r="C143" s="118">
        <v>11</v>
      </c>
      <c r="D143" s="246">
        <f t="shared" si="11"/>
        <v>110</v>
      </c>
      <c r="E143" s="89" t="s">
        <v>22</v>
      </c>
      <c r="F143" s="89" t="s">
        <v>22</v>
      </c>
      <c r="G143" s="224" t="s">
        <v>70</v>
      </c>
      <c r="H143" s="224">
        <v>36</v>
      </c>
      <c r="I143" s="192">
        <v>22</v>
      </c>
      <c r="J143" s="179">
        <f t="shared" si="10"/>
        <v>792</v>
      </c>
      <c r="K143" s="52">
        <v>18</v>
      </c>
      <c r="L143" s="125" t="s">
        <v>26</v>
      </c>
      <c r="M143" s="32"/>
      <c r="N143" s="282" t="s">
        <v>404</v>
      </c>
      <c r="O143" s="40">
        <v>46106</v>
      </c>
      <c r="P143" s="30"/>
      <c r="Q143" s="40">
        <v>46125</v>
      </c>
      <c r="R143" s="40">
        <v>46126</v>
      </c>
      <c r="S143" s="11"/>
    </row>
    <row r="144" spans="1:19" ht="18" customHeight="1" x14ac:dyDescent="0.2">
      <c r="A144" s="129" t="s">
        <v>78</v>
      </c>
      <c r="B144" s="251" t="s">
        <v>388</v>
      </c>
      <c r="C144" s="118">
        <v>11</v>
      </c>
      <c r="D144" s="246">
        <f t="shared" si="11"/>
        <v>111</v>
      </c>
      <c r="E144" s="89" t="s">
        <v>22</v>
      </c>
      <c r="F144" s="89" t="s">
        <v>22</v>
      </c>
      <c r="G144" s="224" t="s">
        <v>214</v>
      </c>
      <c r="H144" s="224">
        <v>8</v>
      </c>
      <c r="I144" s="192">
        <v>47</v>
      </c>
      <c r="J144" s="179">
        <f t="shared" si="10"/>
        <v>376</v>
      </c>
      <c r="K144" s="52">
        <v>4</v>
      </c>
      <c r="L144" s="125" t="s">
        <v>215</v>
      </c>
      <c r="M144" s="32"/>
      <c r="N144" s="282" t="s">
        <v>404</v>
      </c>
      <c r="O144" s="40">
        <v>46106</v>
      </c>
      <c r="P144" s="30"/>
      <c r="Q144" s="40">
        <v>46125</v>
      </c>
      <c r="R144" s="40">
        <v>46126</v>
      </c>
      <c r="S144" s="11"/>
    </row>
    <row r="145" spans="1:19" ht="18" customHeight="1" x14ac:dyDescent="0.2">
      <c r="A145" s="129" t="s">
        <v>78</v>
      </c>
      <c r="B145" s="251" t="s">
        <v>388</v>
      </c>
      <c r="C145" s="118">
        <v>11</v>
      </c>
      <c r="D145" s="246">
        <f t="shared" si="11"/>
        <v>112</v>
      </c>
      <c r="E145" s="89" t="s">
        <v>22</v>
      </c>
      <c r="F145" s="89" t="s">
        <v>22</v>
      </c>
      <c r="G145" s="224" t="s">
        <v>198</v>
      </c>
      <c r="H145" s="224">
        <v>8</v>
      </c>
      <c r="I145" s="192">
        <v>47</v>
      </c>
      <c r="J145" s="179">
        <f t="shared" si="10"/>
        <v>376</v>
      </c>
      <c r="K145" s="52">
        <v>4</v>
      </c>
      <c r="L145" s="125" t="s">
        <v>199</v>
      </c>
      <c r="M145" s="32"/>
      <c r="N145" s="282" t="s">
        <v>404</v>
      </c>
      <c r="O145" s="40">
        <v>46106</v>
      </c>
      <c r="P145" s="30"/>
      <c r="Q145" s="40">
        <v>46125</v>
      </c>
      <c r="R145" s="40">
        <v>46126</v>
      </c>
      <c r="S145" s="11"/>
    </row>
    <row r="146" spans="1:19" ht="18" customHeight="1" x14ac:dyDescent="0.2">
      <c r="A146" s="129" t="s">
        <v>78</v>
      </c>
      <c r="B146" s="251" t="s">
        <v>388</v>
      </c>
      <c r="C146" s="118">
        <v>11</v>
      </c>
      <c r="D146" s="246">
        <f t="shared" si="11"/>
        <v>113</v>
      </c>
      <c r="E146" s="89" t="s">
        <v>22</v>
      </c>
      <c r="F146" s="89" t="s">
        <v>22</v>
      </c>
      <c r="G146" s="225" t="s">
        <v>226</v>
      </c>
      <c r="H146" s="225">
        <v>2</v>
      </c>
      <c r="I146" s="261">
        <v>960</v>
      </c>
      <c r="J146" s="179">
        <f t="shared" si="10"/>
        <v>1920</v>
      </c>
      <c r="K146" s="130">
        <v>1</v>
      </c>
      <c r="L146" s="131" t="s">
        <v>227</v>
      </c>
      <c r="M146" s="32"/>
      <c r="N146" s="282" t="s">
        <v>404</v>
      </c>
      <c r="O146" s="40">
        <v>46106</v>
      </c>
      <c r="P146" s="30"/>
      <c r="Q146" s="40">
        <v>46125</v>
      </c>
      <c r="R146" s="40">
        <v>46126</v>
      </c>
      <c r="S146" s="11"/>
    </row>
    <row r="147" spans="1:19" ht="18" customHeight="1" x14ac:dyDescent="0.2">
      <c r="A147" s="128" t="s">
        <v>78</v>
      </c>
      <c r="B147" s="251" t="s">
        <v>388</v>
      </c>
      <c r="C147" s="118">
        <v>11</v>
      </c>
      <c r="D147" s="246">
        <f t="shared" si="11"/>
        <v>114</v>
      </c>
      <c r="E147" s="209" t="s">
        <v>22</v>
      </c>
      <c r="F147" s="209" t="s">
        <v>22</v>
      </c>
      <c r="G147" s="226" t="s">
        <v>65</v>
      </c>
      <c r="H147" s="227">
        <v>20</v>
      </c>
      <c r="I147" s="262">
        <v>14</v>
      </c>
      <c r="J147" s="179">
        <f t="shared" si="10"/>
        <v>280</v>
      </c>
      <c r="K147" s="211">
        <v>10</v>
      </c>
      <c r="L147" s="210" t="s">
        <v>364</v>
      </c>
      <c r="M147" s="32"/>
      <c r="N147" s="282" t="s">
        <v>404</v>
      </c>
      <c r="O147" s="40">
        <v>46106</v>
      </c>
      <c r="P147" s="30"/>
      <c r="Q147" s="40">
        <v>46125</v>
      </c>
      <c r="R147" s="40">
        <v>46126</v>
      </c>
      <c r="S147" s="11"/>
    </row>
    <row r="148" spans="1:19" ht="18" customHeight="1" x14ac:dyDescent="0.2">
      <c r="A148" s="128"/>
      <c r="B148" s="251" t="s">
        <v>388</v>
      </c>
      <c r="C148" s="118"/>
      <c r="D148" s="246">
        <f t="shared" si="11"/>
        <v>115</v>
      </c>
      <c r="E148" s="209" t="s">
        <v>22</v>
      </c>
      <c r="F148" s="209" t="s">
        <v>22</v>
      </c>
      <c r="G148" s="226" t="s">
        <v>363</v>
      </c>
      <c r="H148" s="227">
        <v>8</v>
      </c>
      <c r="I148" s="262">
        <v>22</v>
      </c>
      <c r="J148" s="179">
        <f t="shared" si="10"/>
        <v>176</v>
      </c>
      <c r="K148" s="211">
        <v>4</v>
      </c>
      <c r="L148" s="210" t="s">
        <v>355</v>
      </c>
      <c r="M148" s="32"/>
      <c r="N148" s="282" t="s">
        <v>404</v>
      </c>
      <c r="O148" s="40">
        <v>46106</v>
      </c>
      <c r="P148" s="30"/>
      <c r="Q148" s="40">
        <v>46125</v>
      </c>
      <c r="R148" s="40">
        <v>46126</v>
      </c>
      <c r="S148" s="11"/>
    </row>
    <row r="149" spans="1:19" ht="18" customHeight="1" x14ac:dyDescent="0.2">
      <c r="A149" s="132" t="s">
        <v>56</v>
      </c>
      <c r="B149" s="251" t="s">
        <v>388</v>
      </c>
      <c r="C149" s="118">
        <v>11</v>
      </c>
      <c r="D149" s="246">
        <f t="shared" si="11"/>
        <v>116</v>
      </c>
      <c r="E149" s="106" t="s">
        <v>71</v>
      </c>
      <c r="F149" s="34" t="s">
        <v>27</v>
      </c>
      <c r="G149" s="226" t="s">
        <v>418</v>
      </c>
      <c r="H149" s="227">
        <v>2</v>
      </c>
      <c r="I149" s="262">
        <v>2787</v>
      </c>
      <c r="J149" s="179">
        <f t="shared" si="10"/>
        <v>5574</v>
      </c>
      <c r="K149" s="211">
        <v>1</v>
      </c>
      <c r="L149" s="210" t="s">
        <v>351</v>
      </c>
      <c r="M149" s="32"/>
      <c r="N149" s="282" t="s">
        <v>404</v>
      </c>
      <c r="O149" s="40">
        <v>46106</v>
      </c>
      <c r="P149" s="30"/>
      <c r="Q149" s="40">
        <v>46125</v>
      </c>
      <c r="R149" s="40">
        <v>46126</v>
      </c>
      <c r="S149" s="11"/>
    </row>
    <row r="150" spans="1:19" ht="18" customHeight="1" x14ac:dyDescent="0.2">
      <c r="A150" s="132" t="s">
        <v>56</v>
      </c>
      <c r="B150" s="251" t="s">
        <v>388</v>
      </c>
      <c r="C150" s="118">
        <v>11</v>
      </c>
      <c r="D150" s="246">
        <f t="shared" si="11"/>
        <v>117</v>
      </c>
      <c r="E150" s="106" t="s">
        <v>71</v>
      </c>
      <c r="F150" s="34" t="s">
        <v>27</v>
      </c>
      <c r="G150" s="296" t="s">
        <v>419</v>
      </c>
      <c r="H150" s="297">
        <v>2</v>
      </c>
      <c r="I150" s="262">
        <v>2970</v>
      </c>
      <c r="J150" s="276">
        <f t="shared" si="10"/>
        <v>5940</v>
      </c>
      <c r="K150" s="211">
        <v>1</v>
      </c>
      <c r="L150" s="210" t="s">
        <v>420</v>
      </c>
      <c r="M150" s="32"/>
      <c r="N150" s="298" t="s">
        <v>421</v>
      </c>
      <c r="O150" s="40">
        <v>46153</v>
      </c>
      <c r="P150" s="30"/>
      <c r="Q150" s="40">
        <v>46156</v>
      </c>
      <c r="R150" s="40">
        <v>46157</v>
      </c>
      <c r="S150" s="11"/>
    </row>
    <row r="151" spans="1:19" ht="18" customHeight="1" x14ac:dyDescent="0.2">
      <c r="A151" s="132" t="s">
        <v>56</v>
      </c>
      <c r="B151" s="251" t="s">
        <v>388</v>
      </c>
      <c r="C151" s="118">
        <v>11</v>
      </c>
      <c r="D151" s="246">
        <f t="shared" si="11"/>
        <v>118</v>
      </c>
      <c r="E151" s="106" t="s">
        <v>71</v>
      </c>
      <c r="F151" s="34" t="s">
        <v>27</v>
      </c>
      <c r="G151" s="188" t="s">
        <v>335</v>
      </c>
      <c r="H151" s="164">
        <v>2</v>
      </c>
      <c r="I151" s="263">
        <v>3960</v>
      </c>
      <c r="J151" s="179">
        <f t="shared" si="10"/>
        <v>7920</v>
      </c>
      <c r="K151" s="100">
        <v>1</v>
      </c>
      <c r="L151" s="72" t="s">
        <v>239</v>
      </c>
      <c r="M151" s="32"/>
      <c r="N151" s="282" t="s">
        <v>404</v>
      </c>
      <c r="O151" s="40">
        <v>46106</v>
      </c>
      <c r="P151" s="30"/>
      <c r="Q151" s="40">
        <v>46125</v>
      </c>
      <c r="R151" s="40">
        <v>46126</v>
      </c>
      <c r="S151" s="11"/>
    </row>
    <row r="152" spans="1:19" ht="18" customHeight="1" x14ac:dyDescent="0.2">
      <c r="A152" s="129" t="s">
        <v>78</v>
      </c>
      <c r="B152" s="251" t="s">
        <v>388</v>
      </c>
      <c r="C152" s="118">
        <v>11</v>
      </c>
      <c r="D152" s="246">
        <f t="shared" si="11"/>
        <v>119</v>
      </c>
      <c r="E152" s="32" t="s">
        <v>27</v>
      </c>
      <c r="F152" s="32" t="s">
        <v>27</v>
      </c>
      <c r="G152" s="196" t="s">
        <v>42</v>
      </c>
      <c r="H152" s="217">
        <v>8</v>
      </c>
      <c r="I152" s="258">
        <v>83</v>
      </c>
      <c r="J152" s="179">
        <f t="shared" si="10"/>
        <v>664</v>
      </c>
      <c r="K152" s="33">
        <v>4</v>
      </c>
      <c r="L152" s="55" t="s">
        <v>356</v>
      </c>
      <c r="M152" s="90"/>
      <c r="N152" s="282" t="s">
        <v>404</v>
      </c>
      <c r="O152" s="40">
        <v>46106</v>
      </c>
      <c r="P152" s="30"/>
      <c r="Q152" s="40">
        <v>46125</v>
      </c>
      <c r="R152" s="40">
        <v>46126</v>
      </c>
      <c r="S152" s="38"/>
    </row>
    <row r="153" spans="1:19" ht="18" customHeight="1" x14ac:dyDescent="0.2">
      <c r="A153" s="132" t="s">
        <v>56</v>
      </c>
      <c r="B153" s="251" t="s">
        <v>388</v>
      </c>
      <c r="C153" s="118">
        <v>11</v>
      </c>
      <c r="D153" s="246">
        <f t="shared" si="11"/>
        <v>120</v>
      </c>
      <c r="E153" s="106" t="s">
        <v>71</v>
      </c>
      <c r="F153" s="34" t="s">
        <v>27</v>
      </c>
      <c r="G153" s="226" t="s">
        <v>365</v>
      </c>
      <c r="H153" s="227">
        <v>2</v>
      </c>
      <c r="I153" s="262">
        <v>3108</v>
      </c>
      <c r="J153" s="179">
        <f t="shared" si="10"/>
        <v>6216</v>
      </c>
      <c r="K153" s="211">
        <v>1</v>
      </c>
      <c r="L153" s="210" t="s">
        <v>357</v>
      </c>
      <c r="M153" s="32"/>
      <c r="N153" s="282" t="s">
        <v>404</v>
      </c>
      <c r="O153" s="40">
        <v>46106</v>
      </c>
      <c r="P153" s="30"/>
      <c r="Q153" s="40">
        <v>46125</v>
      </c>
      <c r="R153" s="40">
        <v>46126</v>
      </c>
      <c r="S153" s="11"/>
    </row>
    <row r="154" spans="1:19" ht="18" customHeight="1" x14ac:dyDescent="0.2">
      <c r="A154" s="128" t="s">
        <v>78</v>
      </c>
      <c r="B154" s="251" t="s">
        <v>388</v>
      </c>
      <c r="C154" s="118">
        <v>11</v>
      </c>
      <c r="D154" s="246">
        <f t="shared" si="11"/>
        <v>121</v>
      </c>
      <c r="E154" s="209" t="s">
        <v>22</v>
      </c>
      <c r="F154" s="209" t="s">
        <v>22</v>
      </c>
      <c r="G154" s="226" t="s">
        <v>358</v>
      </c>
      <c r="H154" s="227">
        <v>2</v>
      </c>
      <c r="I154" s="262">
        <v>1841</v>
      </c>
      <c r="J154" s="179">
        <f t="shared" si="10"/>
        <v>3682</v>
      </c>
      <c r="K154" s="211">
        <v>1</v>
      </c>
      <c r="L154" s="210" t="s">
        <v>397</v>
      </c>
      <c r="M154" s="32"/>
      <c r="N154" s="282" t="s">
        <v>404</v>
      </c>
      <c r="O154" s="40">
        <v>46106</v>
      </c>
      <c r="P154" s="30"/>
      <c r="Q154" s="40">
        <v>46125</v>
      </c>
      <c r="R154" s="40">
        <v>46126</v>
      </c>
      <c r="S154" s="11"/>
    </row>
    <row r="155" spans="1:19" ht="18" customHeight="1" x14ac:dyDescent="0.2">
      <c r="A155" s="128" t="s">
        <v>78</v>
      </c>
      <c r="B155" s="251" t="s">
        <v>388</v>
      </c>
      <c r="C155" s="118">
        <v>11</v>
      </c>
      <c r="D155" s="246">
        <f t="shared" si="11"/>
        <v>122</v>
      </c>
      <c r="E155" s="209" t="s">
        <v>22</v>
      </c>
      <c r="F155" s="209" t="s">
        <v>22</v>
      </c>
      <c r="G155" s="226" t="s">
        <v>52</v>
      </c>
      <c r="H155" s="227">
        <v>20</v>
      </c>
      <c r="I155" s="262">
        <v>17</v>
      </c>
      <c r="J155" s="179">
        <f t="shared" si="10"/>
        <v>340</v>
      </c>
      <c r="K155" s="211">
        <v>10</v>
      </c>
      <c r="L155" s="210" t="s">
        <v>359</v>
      </c>
      <c r="M155" s="32"/>
      <c r="N155" s="282" t="s">
        <v>404</v>
      </c>
      <c r="O155" s="40">
        <v>46106</v>
      </c>
      <c r="P155" s="30"/>
      <c r="Q155" s="40">
        <v>46125</v>
      </c>
      <c r="R155" s="40">
        <v>46126</v>
      </c>
      <c r="S155" s="11"/>
    </row>
    <row r="156" spans="1:19" ht="18" customHeight="1" x14ac:dyDescent="0.2">
      <c r="A156" s="128" t="s">
        <v>78</v>
      </c>
      <c r="B156" s="251" t="s">
        <v>388</v>
      </c>
      <c r="C156" s="118">
        <v>11</v>
      </c>
      <c r="D156" s="246">
        <f t="shared" si="11"/>
        <v>123</v>
      </c>
      <c r="E156" s="209" t="s">
        <v>22</v>
      </c>
      <c r="F156" s="209" t="s">
        <v>22</v>
      </c>
      <c r="G156" s="226" t="s">
        <v>360</v>
      </c>
      <c r="H156" s="227">
        <v>20</v>
      </c>
      <c r="I156" s="262">
        <v>14</v>
      </c>
      <c r="J156" s="279">
        <f t="shared" ref="J156:J157" si="12">H156*I156</f>
        <v>280</v>
      </c>
      <c r="K156" s="211">
        <v>10</v>
      </c>
      <c r="L156" s="210" t="s">
        <v>359</v>
      </c>
      <c r="M156" s="32"/>
      <c r="N156" s="282" t="s">
        <v>404</v>
      </c>
      <c r="O156" s="40">
        <v>46106</v>
      </c>
      <c r="P156" s="30"/>
      <c r="Q156" s="40">
        <v>46125</v>
      </c>
      <c r="R156" s="40">
        <v>46126</v>
      </c>
      <c r="S156" s="11"/>
    </row>
    <row r="157" spans="1:19" ht="18" customHeight="1" x14ac:dyDescent="0.2">
      <c r="A157" s="128" t="s">
        <v>78</v>
      </c>
      <c r="B157" s="251" t="s">
        <v>388</v>
      </c>
      <c r="C157" s="118">
        <v>11</v>
      </c>
      <c r="D157" s="246">
        <f t="shared" si="11"/>
        <v>124</v>
      </c>
      <c r="E157" s="209" t="s">
        <v>22</v>
      </c>
      <c r="F157" s="209" t="s">
        <v>22</v>
      </c>
      <c r="G157" s="226" t="s">
        <v>361</v>
      </c>
      <c r="H157" s="227">
        <v>4</v>
      </c>
      <c r="I157" s="262">
        <v>113</v>
      </c>
      <c r="J157" s="279">
        <f t="shared" si="12"/>
        <v>452</v>
      </c>
      <c r="K157" s="211">
        <v>2</v>
      </c>
      <c r="L157" s="210" t="s">
        <v>359</v>
      </c>
      <c r="M157" s="32"/>
      <c r="N157" s="282" t="s">
        <v>404</v>
      </c>
      <c r="O157" s="40">
        <v>46106</v>
      </c>
      <c r="P157" s="30"/>
      <c r="Q157" s="40">
        <v>46125</v>
      </c>
      <c r="R157" s="40">
        <v>46126</v>
      </c>
      <c r="S157" s="11"/>
    </row>
    <row r="158" spans="1:19" ht="18" customHeight="1" x14ac:dyDescent="0.2">
      <c r="A158" s="129" t="s">
        <v>78</v>
      </c>
      <c r="B158" s="251" t="s">
        <v>388</v>
      </c>
      <c r="C158" s="118">
        <v>11</v>
      </c>
      <c r="D158" s="246">
        <f>+D157+1</f>
        <v>125</v>
      </c>
      <c r="E158" s="54" t="s">
        <v>22</v>
      </c>
      <c r="F158" s="54" t="s">
        <v>22</v>
      </c>
      <c r="G158" s="220" t="s">
        <v>66</v>
      </c>
      <c r="H158" s="221">
        <v>28</v>
      </c>
      <c r="I158" s="166">
        <v>50</v>
      </c>
      <c r="J158" s="179">
        <f t="shared" si="10"/>
        <v>1400</v>
      </c>
      <c r="K158" s="33">
        <v>14</v>
      </c>
      <c r="L158" s="35" t="s">
        <v>201</v>
      </c>
      <c r="M158" s="32"/>
      <c r="N158" s="282" t="s">
        <v>404</v>
      </c>
      <c r="O158" s="40">
        <v>46106</v>
      </c>
      <c r="P158" s="30"/>
      <c r="Q158" s="40">
        <v>46125</v>
      </c>
      <c r="R158" s="40">
        <v>46126</v>
      </c>
      <c r="S158" s="11"/>
    </row>
    <row r="159" spans="1:19" ht="18" customHeight="1" x14ac:dyDescent="0.2">
      <c r="A159" s="132" t="s">
        <v>124</v>
      </c>
      <c r="B159" s="251" t="s">
        <v>388</v>
      </c>
      <c r="C159" s="118">
        <v>11</v>
      </c>
      <c r="D159" s="246">
        <f t="shared" si="11"/>
        <v>126</v>
      </c>
      <c r="E159" s="54" t="s">
        <v>22</v>
      </c>
      <c r="F159" s="54" t="s">
        <v>22</v>
      </c>
      <c r="G159" s="220" t="s">
        <v>202</v>
      </c>
      <c r="H159" s="221">
        <v>12</v>
      </c>
      <c r="I159" s="166">
        <v>545</v>
      </c>
      <c r="J159" s="179">
        <f t="shared" si="10"/>
        <v>6540</v>
      </c>
      <c r="K159" s="33">
        <v>6</v>
      </c>
      <c r="L159" s="122" t="s">
        <v>203</v>
      </c>
      <c r="M159" s="32"/>
      <c r="N159" s="282" t="s">
        <v>404</v>
      </c>
      <c r="O159" s="40">
        <v>46106</v>
      </c>
      <c r="P159" s="30"/>
      <c r="Q159" s="40">
        <v>46125</v>
      </c>
      <c r="R159" s="40">
        <v>46126</v>
      </c>
      <c r="S159" s="11"/>
    </row>
    <row r="160" spans="1:19" ht="18" customHeight="1" x14ac:dyDescent="0.2">
      <c r="A160" s="129" t="s">
        <v>200</v>
      </c>
      <c r="B160" s="251" t="s">
        <v>388</v>
      </c>
      <c r="C160" s="118">
        <v>11</v>
      </c>
      <c r="D160" s="246">
        <f t="shared" si="11"/>
        <v>127</v>
      </c>
      <c r="E160" s="54" t="s">
        <v>22</v>
      </c>
      <c r="F160" s="54" t="s">
        <v>22</v>
      </c>
      <c r="G160" s="220" t="s">
        <v>204</v>
      </c>
      <c r="H160" s="221">
        <v>12</v>
      </c>
      <c r="I160" s="166">
        <v>313</v>
      </c>
      <c r="J160" s="179">
        <f t="shared" si="10"/>
        <v>3756</v>
      </c>
      <c r="K160" s="33">
        <v>6</v>
      </c>
      <c r="L160" s="122" t="s">
        <v>203</v>
      </c>
      <c r="M160" s="32"/>
      <c r="N160" s="282" t="s">
        <v>404</v>
      </c>
      <c r="O160" s="40">
        <v>46106</v>
      </c>
      <c r="P160" s="30"/>
      <c r="Q160" s="40">
        <v>46125</v>
      </c>
      <c r="R160" s="40">
        <v>46126</v>
      </c>
      <c r="S160" s="11"/>
    </row>
    <row r="161" spans="1:19" ht="18" customHeight="1" x14ac:dyDescent="0.2">
      <c r="A161" s="129" t="s">
        <v>78</v>
      </c>
      <c r="B161" s="251" t="s">
        <v>388</v>
      </c>
      <c r="C161" s="118">
        <v>11</v>
      </c>
      <c r="D161" s="246">
        <f>+D160+1</f>
        <v>128</v>
      </c>
      <c r="E161" s="54" t="s">
        <v>22</v>
      </c>
      <c r="F161" s="54" t="s">
        <v>22</v>
      </c>
      <c r="G161" s="220" t="s">
        <v>64</v>
      </c>
      <c r="H161" s="221">
        <v>16</v>
      </c>
      <c r="I161" s="166">
        <v>56</v>
      </c>
      <c r="J161" s="179">
        <f t="shared" si="10"/>
        <v>896</v>
      </c>
      <c r="K161" s="33">
        <v>8</v>
      </c>
      <c r="L161" s="105" t="s">
        <v>362</v>
      </c>
      <c r="M161" s="32"/>
      <c r="N161" s="282" t="s">
        <v>404</v>
      </c>
      <c r="O161" s="40">
        <v>46106</v>
      </c>
      <c r="P161" s="30"/>
      <c r="Q161" s="40">
        <v>46125</v>
      </c>
      <c r="R161" s="40">
        <v>46126</v>
      </c>
      <c r="S161" s="11"/>
    </row>
    <row r="162" spans="1:19" ht="18" customHeight="1" x14ac:dyDescent="0.2">
      <c r="A162" s="129" t="s">
        <v>78</v>
      </c>
      <c r="B162" s="251" t="s">
        <v>388</v>
      </c>
      <c r="C162" s="118">
        <v>11</v>
      </c>
      <c r="D162" s="246">
        <f t="shared" si="11"/>
        <v>129</v>
      </c>
      <c r="E162" s="54" t="s">
        <v>22</v>
      </c>
      <c r="F162" s="54" t="s">
        <v>22</v>
      </c>
      <c r="G162" s="220" t="s">
        <v>75</v>
      </c>
      <c r="H162" s="221">
        <v>24</v>
      </c>
      <c r="I162" s="166">
        <v>93</v>
      </c>
      <c r="J162" s="179">
        <f t="shared" si="10"/>
        <v>2232</v>
      </c>
      <c r="K162" s="33">
        <v>12</v>
      </c>
      <c r="L162" s="35" t="s">
        <v>206</v>
      </c>
      <c r="M162" s="32"/>
      <c r="N162" s="282" t="s">
        <v>404</v>
      </c>
      <c r="O162" s="40">
        <v>46106</v>
      </c>
      <c r="P162" s="30"/>
      <c r="Q162" s="40">
        <v>46125</v>
      </c>
      <c r="R162" s="40">
        <v>46126</v>
      </c>
      <c r="S162" s="11"/>
    </row>
    <row r="163" spans="1:19" ht="18" customHeight="1" x14ac:dyDescent="0.2">
      <c r="A163" s="129" t="s">
        <v>78</v>
      </c>
      <c r="B163" s="251" t="s">
        <v>388</v>
      </c>
      <c r="C163" s="118">
        <v>11</v>
      </c>
      <c r="D163" s="246">
        <f t="shared" si="11"/>
        <v>130</v>
      </c>
      <c r="E163" s="54" t="s">
        <v>22</v>
      </c>
      <c r="F163" s="54" t="s">
        <v>22</v>
      </c>
      <c r="G163" s="181" t="s">
        <v>207</v>
      </c>
      <c r="H163" s="167">
        <v>8</v>
      </c>
      <c r="I163" s="186">
        <v>93</v>
      </c>
      <c r="J163" s="186">
        <f t="shared" si="10"/>
        <v>744</v>
      </c>
      <c r="K163" s="100">
        <v>4</v>
      </c>
      <c r="L163" s="101" t="s">
        <v>137</v>
      </c>
      <c r="M163" s="32"/>
      <c r="N163" s="282" t="s">
        <v>404</v>
      </c>
      <c r="O163" s="40">
        <v>46106</v>
      </c>
      <c r="P163" s="30"/>
      <c r="Q163" s="40">
        <v>46125</v>
      </c>
      <c r="R163" s="40">
        <v>46126</v>
      </c>
      <c r="S163" s="11"/>
    </row>
    <row r="164" spans="1:19" ht="18" customHeight="1" x14ac:dyDescent="0.2">
      <c r="A164" s="129" t="s">
        <v>78</v>
      </c>
      <c r="B164" s="251" t="s">
        <v>388</v>
      </c>
      <c r="C164" s="118">
        <v>11</v>
      </c>
      <c r="D164" s="246">
        <f t="shared" si="11"/>
        <v>131</v>
      </c>
      <c r="E164" s="54" t="s">
        <v>22</v>
      </c>
      <c r="F164" s="54" t="s">
        <v>22</v>
      </c>
      <c r="G164" s="220" t="s">
        <v>68</v>
      </c>
      <c r="H164" s="221">
        <v>8</v>
      </c>
      <c r="I164" s="166">
        <v>56</v>
      </c>
      <c r="J164" s="179">
        <f t="shared" si="10"/>
        <v>448</v>
      </c>
      <c r="K164" s="33">
        <v>4</v>
      </c>
      <c r="L164" s="35" t="s">
        <v>69</v>
      </c>
      <c r="M164" s="32"/>
      <c r="N164" s="282" t="s">
        <v>404</v>
      </c>
      <c r="O164" s="40">
        <v>46106</v>
      </c>
      <c r="P164" s="30"/>
      <c r="Q164" s="40">
        <v>46125</v>
      </c>
      <c r="R164" s="40">
        <v>46126</v>
      </c>
      <c r="S164" s="11"/>
    </row>
    <row r="165" spans="1:19" ht="18" customHeight="1" x14ac:dyDescent="0.2">
      <c r="A165" s="129" t="s">
        <v>78</v>
      </c>
      <c r="B165" s="251" t="s">
        <v>388</v>
      </c>
      <c r="C165" s="118">
        <v>11</v>
      </c>
      <c r="D165" s="246">
        <f t="shared" si="11"/>
        <v>132</v>
      </c>
      <c r="E165" s="54" t="s">
        <v>22</v>
      </c>
      <c r="F165" s="54" t="s">
        <v>22</v>
      </c>
      <c r="G165" s="220" t="s">
        <v>208</v>
      </c>
      <c r="H165" s="221">
        <v>8</v>
      </c>
      <c r="I165" s="166">
        <v>56</v>
      </c>
      <c r="J165" s="179">
        <f t="shared" si="10"/>
        <v>448</v>
      </c>
      <c r="K165" s="33">
        <v>4</v>
      </c>
      <c r="L165" s="122" t="s">
        <v>205</v>
      </c>
      <c r="M165" s="32"/>
      <c r="N165" s="282" t="s">
        <v>404</v>
      </c>
      <c r="O165" s="40">
        <v>46106</v>
      </c>
      <c r="P165" s="30"/>
      <c r="Q165" s="40">
        <v>46125</v>
      </c>
      <c r="R165" s="40">
        <v>46126</v>
      </c>
      <c r="S165" s="11"/>
    </row>
    <row r="166" spans="1:19" ht="18" customHeight="1" x14ac:dyDescent="0.2">
      <c r="A166" s="129" t="s">
        <v>78</v>
      </c>
      <c r="B166" s="251" t="s">
        <v>388</v>
      </c>
      <c r="C166" s="118">
        <v>11</v>
      </c>
      <c r="D166" s="246">
        <f>+D165+1</f>
        <v>133</v>
      </c>
      <c r="E166" s="54" t="s">
        <v>22</v>
      </c>
      <c r="F166" s="54" t="s">
        <v>22</v>
      </c>
      <c r="G166" s="220" t="s">
        <v>368</v>
      </c>
      <c r="H166" s="221">
        <v>2</v>
      </c>
      <c r="I166" s="166">
        <v>1148</v>
      </c>
      <c r="J166" s="278">
        <f t="shared" si="10"/>
        <v>2296</v>
      </c>
      <c r="K166" s="33">
        <v>1</v>
      </c>
      <c r="L166" s="148" t="s">
        <v>251</v>
      </c>
      <c r="M166" s="32"/>
      <c r="N166" s="282" t="s">
        <v>404</v>
      </c>
      <c r="O166" s="40">
        <v>46106</v>
      </c>
      <c r="P166" s="30"/>
      <c r="Q166" s="40">
        <v>46125</v>
      </c>
      <c r="R166" s="40">
        <v>46126</v>
      </c>
      <c r="S166" s="11"/>
    </row>
    <row r="167" spans="1:19" ht="18" customHeight="1" x14ac:dyDescent="0.2">
      <c r="A167" s="129" t="s">
        <v>78</v>
      </c>
      <c r="B167" s="251" t="s">
        <v>388</v>
      </c>
      <c r="C167" s="118">
        <v>11</v>
      </c>
      <c r="D167" s="246">
        <f t="shared" ref="D167:D168" si="13">+D166+1</f>
        <v>134</v>
      </c>
      <c r="E167" s="54" t="s">
        <v>22</v>
      </c>
      <c r="F167" s="54" t="s">
        <v>22</v>
      </c>
      <c r="G167" s="299" t="s">
        <v>422</v>
      </c>
      <c r="H167" s="300">
        <v>8</v>
      </c>
      <c r="I167" s="166">
        <v>690</v>
      </c>
      <c r="J167" s="278">
        <f t="shared" si="10"/>
        <v>5520</v>
      </c>
      <c r="K167" s="33">
        <v>4</v>
      </c>
      <c r="L167" s="148" t="s">
        <v>423</v>
      </c>
      <c r="M167" s="32"/>
      <c r="N167" s="298" t="s">
        <v>424</v>
      </c>
      <c r="O167" s="40">
        <v>46153</v>
      </c>
      <c r="P167" s="30"/>
      <c r="Q167" s="40">
        <v>46155</v>
      </c>
      <c r="R167" s="40">
        <v>46156</v>
      </c>
      <c r="S167" s="301"/>
    </row>
    <row r="168" spans="1:19" ht="18" customHeight="1" x14ac:dyDescent="0.2">
      <c r="A168" s="129" t="s">
        <v>78</v>
      </c>
      <c r="B168" s="251" t="s">
        <v>388</v>
      </c>
      <c r="C168" s="118">
        <v>11</v>
      </c>
      <c r="D168" s="246">
        <f t="shared" si="13"/>
        <v>135</v>
      </c>
      <c r="E168" s="54" t="s">
        <v>22</v>
      </c>
      <c r="F168" s="54" t="s">
        <v>22</v>
      </c>
      <c r="G168" s="299" t="s">
        <v>425</v>
      </c>
      <c r="H168" s="300">
        <v>8</v>
      </c>
      <c r="I168" s="166">
        <v>240</v>
      </c>
      <c r="J168" s="278">
        <f t="shared" si="10"/>
        <v>1920</v>
      </c>
      <c r="K168" s="33">
        <v>4</v>
      </c>
      <c r="L168" s="148" t="s">
        <v>426</v>
      </c>
      <c r="M168" s="32"/>
      <c r="N168" s="298" t="s">
        <v>424</v>
      </c>
      <c r="O168" s="40">
        <v>46153</v>
      </c>
      <c r="P168" s="30"/>
      <c r="Q168" s="40">
        <v>46155</v>
      </c>
      <c r="R168" s="40">
        <v>46156</v>
      </c>
      <c r="S168" s="11"/>
    </row>
    <row r="169" spans="1:19" ht="18" customHeight="1" x14ac:dyDescent="0.2">
      <c r="A169" s="5"/>
      <c r="B169" s="5"/>
      <c r="C169" s="5"/>
      <c r="D169" s="34"/>
      <c r="E169" s="34"/>
      <c r="F169" s="34"/>
      <c r="G169" s="32"/>
      <c r="H169" s="30"/>
      <c r="I169" s="32"/>
      <c r="J169" s="33"/>
      <c r="K169" s="122"/>
      <c r="L169" s="32"/>
      <c r="M169" s="32"/>
      <c r="N169" s="3"/>
      <c r="O169" s="22"/>
      <c r="P169" s="6"/>
      <c r="Q169" s="6"/>
      <c r="R169" s="22"/>
      <c r="S169" s="11"/>
    </row>
    <row r="170" spans="1:19" ht="18" customHeight="1" x14ac:dyDescent="0.2">
      <c r="A170" s="5"/>
      <c r="B170" s="5"/>
      <c r="C170" s="5"/>
      <c r="D170" s="34"/>
      <c r="E170" s="34"/>
      <c r="F170" s="34"/>
      <c r="G170" s="329">
        <f>SUM(J121:J169)</f>
        <v>331958</v>
      </c>
      <c r="H170" s="330"/>
      <c r="I170" s="330"/>
      <c r="J170" s="331"/>
      <c r="K170" s="122"/>
      <c r="L170" s="32"/>
      <c r="M170" s="32"/>
      <c r="N170" s="3"/>
      <c r="O170" s="22"/>
      <c r="P170" s="6"/>
      <c r="Q170" s="6"/>
      <c r="R170" s="22"/>
      <c r="S170" s="11"/>
    </row>
    <row r="171" spans="1:19" ht="18" customHeight="1" x14ac:dyDescent="0.2">
      <c r="D171" s="32"/>
      <c r="E171" s="85"/>
      <c r="F171" s="85"/>
      <c r="G171" s="86"/>
      <c r="H171" s="87"/>
      <c r="I171" s="88"/>
      <c r="J171" s="44"/>
      <c r="K171" s="32"/>
      <c r="L171" s="43"/>
      <c r="M171" s="95"/>
      <c r="N171" s="3"/>
      <c r="O171" s="22"/>
      <c r="P171" s="6"/>
      <c r="Q171" s="6"/>
      <c r="R171" s="22"/>
      <c r="S171" s="11"/>
    </row>
    <row r="172" spans="1:19" ht="18" customHeight="1" x14ac:dyDescent="0.2">
      <c r="D172" s="32"/>
      <c r="E172" s="85"/>
      <c r="F172" s="85"/>
      <c r="G172" s="86"/>
      <c r="H172" s="87"/>
      <c r="I172" s="88"/>
      <c r="J172" s="44"/>
      <c r="K172" s="32"/>
      <c r="L172" s="43"/>
      <c r="M172" s="95"/>
      <c r="N172" s="3"/>
      <c r="O172" s="22"/>
      <c r="P172" s="6"/>
      <c r="Q172" s="6"/>
      <c r="R172" s="22"/>
      <c r="S172" s="11"/>
    </row>
    <row r="173" spans="1:19" ht="18" customHeight="1" x14ac:dyDescent="0.2">
      <c r="D173" s="32"/>
      <c r="E173" s="34"/>
      <c r="F173" s="34"/>
      <c r="G173" s="62"/>
      <c r="H173" s="44"/>
      <c r="I173" s="44"/>
      <c r="J173" s="44"/>
      <c r="K173" s="52"/>
      <c r="L173" s="53"/>
      <c r="M173" s="95"/>
      <c r="N173" s="3"/>
      <c r="O173" s="22"/>
      <c r="P173" s="6"/>
      <c r="Q173" s="6"/>
      <c r="R173" s="22"/>
      <c r="S173" s="11"/>
    </row>
    <row r="174" spans="1:19" ht="18" customHeight="1" x14ac:dyDescent="0.2">
      <c r="D174" s="89"/>
      <c r="E174" s="332" t="s">
        <v>29</v>
      </c>
      <c r="F174" s="333"/>
      <c r="G174" s="333"/>
      <c r="H174" s="61"/>
      <c r="I174" s="78"/>
      <c r="J174" s="78"/>
      <c r="K174" s="13"/>
      <c r="L174" s="24"/>
      <c r="M174" s="21"/>
      <c r="N174" s="3"/>
      <c r="O174" s="22"/>
      <c r="P174" s="6"/>
      <c r="Q174" s="6"/>
      <c r="R174" s="22"/>
      <c r="S174" s="11"/>
    </row>
    <row r="175" spans="1:19" ht="18" customHeight="1" x14ac:dyDescent="0.2">
      <c r="A175" s="132" t="s">
        <v>56</v>
      </c>
      <c r="B175" s="252" t="s">
        <v>389</v>
      </c>
      <c r="C175" s="143">
        <v>2</v>
      </c>
      <c r="D175" s="244">
        <f>+D166+1</f>
        <v>134</v>
      </c>
      <c r="E175" s="106" t="s">
        <v>27</v>
      </c>
      <c r="F175" s="106" t="s">
        <v>27</v>
      </c>
      <c r="G175" s="233" t="s">
        <v>416</v>
      </c>
      <c r="H175" s="234">
        <v>2</v>
      </c>
      <c r="I175" s="264">
        <v>14290</v>
      </c>
      <c r="J175" s="175">
        <f t="shared" ref="J175" si="14">H175*I175</f>
        <v>28580</v>
      </c>
      <c r="K175" s="33">
        <v>1</v>
      </c>
      <c r="L175" s="43" t="s">
        <v>417</v>
      </c>
      <c r="M175" s="21"/>
      <c r="N175" s="282" t="s">
        <v>404</v>
      </c>
      <c r="O175" s="40">
        <v>46106</v>
      </c>
      <c r="P175" s="30"/>
      <c r="Q175" s="40">
        <v>46125</v>
      </c>
      <c r="R175" s="40">
        <v>46126</v>
      </c>
      <c r="S175" s="38"/>
    </row>
    <row r="176" spans="1:19" ht="18" customHeight="1" x14ac:dyDescent="0.2">
      <c r="A176" s="132" t="s">
        <v>58</v>
      </c>
      <c r="B176" s="252" t="s">
        <v>389</v>
      </c>
      <c r="C176" s="143">
        <v>2</v>
      </c>
      <c r="D176" s="247">
        <f t="shared" ref="D176:D195" si="15">+D175+1</f>
        <v>135</v>
      </c>
      <c r="E176" s="34" t="s">
        <v>27</v>
      </c>
      <c r="F176" s="34" t="s">
        <v>27</v>
      </c>
      <c r="G176" s="181" t="s">
        <v>337</v>
      </c>
      <c r="H176" s="164">
        <v>4</v>
      </c>
      <c r="I176" s="265">
        <v>2196</v>
      </c>
      <c r="J176" s="179">
        <f t="shared" ref="J176:J196" si="16">H176*I176</f>
        <v>8784</v>
      </c>
      <c r="K176" s="45">
        <v>2</v>
      </c>
      <c r="L176" s="91" t="s">
        <v>231</v>
      </c>
      <c r="M176" s="21"/>
      <c r="N176" s="282" t="s">
        <v>404</v>
      </c>
      <c r="O176" s="40">
        <v>46106</v>
      </c>
      <c r="P176" s="30"/>
      <c r="Q176" s="40">
        <v>46125</v>
      </c>
      <c r="R176" s="40">
        <v>46126</v>
      </c>
      <c r="S176" s="38"/>
    </row>
    <row r="177" spans="1:19" ht="18" customHeight="1" x14ac:dyDescent="0.2">
      <c r="A177" s="132" t="s">
        <v>58</v>
      </c>
      <c r="B177" s="252" t="s">
        <v>389</v>
      </c>
      <c r="C177" s="143">
        <v>2</v>
      </c>
      <c r="D177" s="247">
        <f t="shared" si="15"/>
        <v>136</v>
      </c>
      <c r="E177" s="34" t="s">
        <v>27</v>
      </c>
      <c r="F177" s="34" t="s">
        <v>27</v>
      </c>
      <c r="G177" s="181" t="s">
        <v>338</v>
      </c>
      <c r="H177" s="164">
        <v>2</v>
      </c>
      <c r="I177" s="265">
        <v>6159</v>
      </c>
      <c r="J177" s="179">
        <f t="shared" si="16"/>
        <v>12318</v>
      </c>
      <c r="K177" s="45">
        <v>1</v>
      </c>
      <c r="L177" s="36" t="s">
        <v>232</v>
      </c>
      <c r="M177" s="36"/>
      <c r="N177" s="282" t="s">
        <v>404</v>
      </c>
      <c r="O177" s="40">
        <v>46106</v>
      </c>
      <c r="P177" s="30"/>
      <c r="Q177" s="40">
        <v>46125</v>
      </c>
      <c r="R177" s="40">
        <v>46126</v>
      </c>
      <c r="S177" s="38"/>
    </row>
    <row r="178" spans="1:19" ht="18" customHeight="1" x14ac:dyDescent="0.2">
      <c r="A178" s="132" t="s">
        <v>55</v>
      </c>
      <c r="B178" s="252" t="s">
        <v>389</v>
      </c>
      <c r="C178" s="143">
        <v>2</v>
      </c>
      <c r="D178" s="247">
        <f t="shared" si="15"/>
        <v>137</v>
      </c>
      <c r="E178" s="34" t="s">
        <v>27</v>
      </c>
      <c r="F178" s="34" t="s">
        <v>27</v>
      </c>
      <c r="G178" s="181" t="s">
        <v>34</v>
      </c>
      <c r="H178" s="164">
        <v>2</v>
      </c>
      <c r="I178" s="265">
        <v>5105</v>
      </c>
      <c r="J178" s="179">
        <f t="shared" si="16"/>
        <v>10210</v>
      </c>
      <c r="K178" s="45">
        <v>1</v>
      </c>
      <c r="L178" s="30" t="s">
        <v>35</v>
      </c>
      <c r="M178" s="36"/>
      <c r="N178" s="282" t="s">
        <v>404</v>
      </c>
      <c r="O178" s="40">
        <v>46106</v>
      </c>
      <c r="P178" s="30"/>
      <c r="Q178" s="40">
        <v>46125</v>
      </c>
      <c r="R178" s="40">
        <v>46126</v>
      </c>
      <c r="S178" s="38"/>
    </row>
    <row r="179" spans="1:19" ht="18" customHeight="1" x14ac:dyDescent="0.2">
      <c r="A179" s="132" t="s">
        <v>55</v>
      </c>
      <c r="B179" s="252" t="s">
        <v>389</v>
      </c>
      <c r="C179" s="143">
        <v>2</v>
      </c>
      <c r="D179" s="247">
        <f t="shared" si="15"/>
        <v>138</v>
      </c>
      <c r="E179" s="34" t="s">
        <v>27</v>
      </c>
      <c r="F179" s="34" t="s">
        <v>27</v>
      </c>
      <c r="G179" s="181" t="s">
        <v>233</v>
      </c>
      <c r="H179" s="164">
        <v>2</v>
      </c>
      <c r="I179" s="265">
        <v>1638</v>
      </c>
      <c r="J179" s="179">
        <f t="shared" si="16"/>
        <v>3276</v>
      </c>
      <c r="K179" s="46">
        <v>1</v>
      </c>
      <c r="L179" s="30" t="s">
        <v>36</v>
      </c>
      <c r="M179" s="105"/>
      <c r="N179" s="282" t="s">
        <v>404</v>
      </c>
      <c r="O179" s="40">
        <v>46106</v>
      </c>
      <c r="P179" s="30"/>
      <c r="Q179" s="40">
        <v>46125</v>
      </c>
      <c r="R179" s="40">
        <v>46126</v>
      </c>
      <c r="S179" s="38"/>
    </row>
    <row r="180" spans="1:19" ht="18" customHeight="1" x14ac:dyDescent="0.2">
      <c r="A180" s="132" t="s">
        <v>56</v>
      </c>
      <c r="B180" s="252" t="s">
        <v>389</v>
      </c>
      <c r="C180" s="143">
        <v>2</v>
      </c>
      <c r="D180" s="247">
        <f t="shared" si="15"/>
        <v>139</v>
      </c>
      <c r="E180" s="34" t="s">
        <v>27</v>
      </c>
      <c r="F180" s="34" t="s">
        <v>27</v>
      </c>
      <c r="G180" s="181" t="s">
        <v>339</v>
      </c>
      <c r="H180" s="164">
        <v>2</v>
      </c>
      <c r="I180" s="265">
        <v>1258</v>
      </c>
      <c r="J180" s="179">
        <f t="shared" si="16"/>
        <v>2516</v>
      </c>
      <c r="K180" s="47">
        <v>1</v>
      </c>
      <c r="L180" s="30" t="s">
        <v>37</v>
      </c>
      <c r="M180" s="36"/>
      <c r="N180" s="282" t="s">
        <v>404</v>
      </c>
      <c r="O180" s="40">
        <v>46106</v>
      </c>
      <c r="P180" s="30"/>
      <c r="Q180" s="40">
        <v>46125</v>
      </c>
      <c r="R180" s="40">
        <v>46126</v>
      </c>
      <c r="S180" s="38"/>
    </row>
    <row r="181" spans="1:19" ht="18" customHeight="1" x14ac:dyDescent="0.2">
      <c r="A181" s="132" t="s">
        <v>56</v>
      </c>
      <c r="B181" s="252" t="s">
        <v>389</v>
      </c>
      <c r="C181" s="143">
        <v>2</v>
      </c>
      <c r="D181" s="247">
        <f t="shared" si="15"/>
        <v>140</v>
      </c>
      <c r="E181" s="34" t="s">
        <v>27</v>
      </c>
      <c r="F181" s="34" t="s">
        <v>27</v>
      </c>
      <c r="G181" s="181" t="s">
        <v>340</v>
      </c>
      <c r="H181" s="164">
        <v>4</v>
      </c>
      <c r="I181" s="265">
        <v>1319</v>
      </c>
      <c r="J181" s="179">
        <f t="shared" si="16"/>
        <v>5276</v>
      </c>
      <c r="K181" s="47">
        <v>2</v>
      </c>
      <c r="L181" s="30" t="s">
        <v>37</v>
      </c>
      <c r="M181" s="75"/>
      <c r="N181" s="282" t="s">
        <v>404</v>
      </c>
      <c r="O181" s="40">
        <v>46106</v>
      </c>
      <c r="P181" s="30"/>
      <c r="Q181" s="40">
        <v>46125</v>
      </c>
      <c r="R181" s="40">
        <v>46126</v>
      </c>
      <c r="S181" s="38"/>
    </row>
    <row r="182" spans="1:19" ht="18" customHeight="1" x14ac:dyDescent="0.2">
      <c r="A182" s="132" t="s">
        <v>56</v>
      </c>
      <c r="B182" s="252" t="s">
        <v>389</v>
      </c>
      <c r="C182" s="143">
        <v>2</v>
      </c>
      <c r="D182" s="247">
        <f t="shared" si="15"/>
        <v>141</v>
      </c>
      <c r="E182" s="34" t="s">
        <v>22</v>
      </c>
      <c r="F182" s="34" t="s">
        <v>22</v>
      </c>
      <c r="G182" s="220" t="s">
        <v>341</v>
      </c>
      <c r="H182" s="200">
        <v>2</v>
      </c>
      <c r="I182" s="166">
        <v>3400</v>
      </c>
      <c r="J182" s="175">
        <f>H182*I182</f>
        <v>6800</v>
      </c>
      <c r="K182" s="122">
        <v>1</v>
      </c>
      <c r="L182" s="43" t="s">
        <v>342</v>
      </c>
      <c r="M182" s="21"/>
      <c r="N182" s="282" t="s">
        <v>404</v>
      </c>
      <c r="O182" s="40">
        <v>46106</v>
      </c>
      <c r="P182" s="30"/>
      <c r="Q182" s="40">
        <v>46125</v>
      </c>
      <c r="R182" s="40">
        <v>46126</v>
      </c>
      <c r="S182" s="38"/>
    </row>
    <row r="183" spans="1:19" ht="18" customHeight="1" x14ac:dyDescent="0.2">
      <c r="A183" s="132" t="s">
        <v>55</v>
      </c>
      <c r="B183" s="252" t="s">
        <v>389</v>
      </c>
      <c r="C183" s="143">
        <v>2</v>
      </c>
      <c r="D183" s="247">
        <f t="shared" si="15"/>
        <v>142</v>
      </c>
      <c r="E183" s="48" t="s">
        <v>27</v>
      </c>
      <c r="F183" s="48" t="s">
        <v>27</v>
      </c>
      <c r="G183" s="181" t="s">
        <v>343</v>
      </c>
      <c r="H183" s="164">
        <v>8</v>
      </c>
      <c r="I183" s="265">
        <v>332</v>
      </c>
      <c r="J183" s="186">
        <f t="shared" si="16"/>
        <v>2656</v>
      </c>
      <c r="K183" s="183">
        <v>4</v>
      </c>
      <c r="L183" s="43" t="s">
        <v>372</v>
      </c>
      <c r="M183" s="134"/>
      <c r="N183" s="282" t="s">
        <v>404</v>
      </c>
      <c r="O183" s="40">
        <v>46106</v>
      </c>
      <c r="P183" s="30"/>
      <c r="Q183" s="40">
        <v>46125</v>
      </c>
      <c r="R183" s="40">
        <v>46126</v>
      </c>
      <c r="S183" s="38"/>
    </row>
    <row r="184" spans="1:19" ht="18" customHeight="1" x14ac:dyDescent="0.2">
      <c r="A184" s="132" t="s">
        <v>55</v>
      </c>
      <c r="B184" s="252" t="s">
        <v>389</v>
      </c>
      <c r="C184" s="143">
        <v>2</v>
      </c>
      <c r="D184" s="247">
        <f t="shared" si="15"/>
        <v>143</v>
      </c>
      <c r="E184" s="48" t="s">
        <v>27</v>
      </c>
      <c r="F184" s="48" t="s">
        <v>27</v>
      </c>
      <c r="G184" s="167" t="s">
        <v>344</v>
      </c>
      <c r="H184" s="168">
        <v>8</v>
      </c>
      <c r="I184" s="256">
        <v>112</v>
      </c>
      <c r="J184" s="256">
        <f>H184*I184</f>
        <v>896</v>
      </c>
      <c r="K184" s="100">
        <v>4</v>
      </c>
      <c r="L184" s="43" t="s">
        <v>345</v>
      </c>
      <c r="M184" s="134"/>
      <c r="N184" s="282" t="s">
        <v>404</v>
      </c>
      <c r="O184" s="40">
        <v>46106</v>
      </c>
      <c r="P184" s="30"/>
      <c r="Q184" s="40">
        <v>46125</v>
      </c>
      <c r="R184" s="40">
        <v>46126</v>
      </c>
      <c r="S184" s="11"/>
    </row>
    <row r="185" spans="1:19" ht="18" customHeight="1" x14ac:dyDescent="0.2">
      <c r="A185" s="132" t="s">
        <v>58</v>
      </c>
      <c r="B185" s="252" t="s">
        <v>389</v>
      </c>
      <c r="C185" s="143">
        <v>3</v>
      </c>
      <c r="D185" s="247">
        <f t="shared" si="15"/>
        <v>144</v>
      </c>
      <c r="E185" s="48" t="s">
        <v>27</v>
      </c>
      <c r="F185" s="48" t="s">
        <v>27</v>
      </c>
      <c r="G185" s="181" t="s">
        <v>347</v>
      </c>
      <c r="H185" s="200">
        <v>8</v>
      </c>
      <c r="I185" s="164">
        <v>93</v>
      </c>
      <c r="J185" s="186">
        <f t="shared" si="16"/>
        <v>744</v>
      </c>
      <c r="K185" s="182">
        <v>4</v>
      </c>
      <c r="L185" s="43" t="s">
        <v>348</v>
      </c>
      <c r="M185" s="134"/>
      <c r="N185" s="282" t="s">
        <v>404</v>
      </c>
      <c r="O185" s="40">
        <v>46106</v>
      </c>
      <c r="P185" s="30"/>
      <c r="Q185" s="40">
        <v>46125</v>
      </c>
      <c r="R185" s="40">
        <v>46126</v>
      </c>
      <c r="S185" s="11"/>
    </row>
    <row r="186" spans="1:19" ht="18" customHeight="1" x14ac:dyDescent="0.2">
      <c r="A186" s="132" t="s">
        <v>55</v>
      </c>
      <c r="B186" s="252" t="s">
        <v>389</v>
      </c>
      <c r="C186" s="143">
        <v>2</v>
      </c>
      <c r="D186" s="247">
        <f t="shared" si="15"/>
        <v>145</v>
      </c>
      <c r="E186" s="48" t="s">
        <v>27</v>
      </c>
      <c r="F186" s="48" t="s">
        <v>27</v>
      </c>
      <c r="G186" s="237" t="s">
        <v>38</v>
      </c>
      <c r="H186" s="164">
        <v>8</v>
      </c>
      <c r="I186" s="186">
        <v>81</v>
      </c>
      <c r="J186" s="186">
        <f>H186*I186</f>
        <v>648</v>
      </c>
      <c r="K186" s="74">
        <v>4</v>
      </c>
      <c r="L186" s="43" t="s">
        <v>349</v>
      </c>
      <c r="M186" s="90"/>
      <c r="N186" s="282" t="s">
        <v>404</v>
      </c>
      <c r="O186" s="40">
        <v>46106</v>
      </c>
      <c r="P186" s="30"/>
      <c r="Q186" s="40">
        <v>46125</v>
      </c>
      <c r="R186" s="40">
        <v>46126</v>
      </c>
      <c r="S186" s="11"/>
    </row>
    <row r="187" spans="1:19" ht="18" customHeight="1" x14ac:dyDescent="0.2">
      <c r="A187" s="132" t="s">
        <v>55</v>
      </c>
      <c r="B187" s="252" t="s">
        <v>389</v>
      </c>
      <c r="C187" s="143">
        <v>2</v>
      </c>
      <c r="D187" s="247">
        <f t="shared" si="15"/>
        <v>146</v>
      </c>
      <c r="E187" s="51" t="s">
        <v>27</v>
      </c>
      <c r="F187" s="51" t="s">
        <v>27</v>
      </c>
      <c r="G187" s="169" t="s">
        <v>292</v>
      </c>
      <c r="H187" s="170">
        <v>2</v>
      </c>
      <c r="I187" s="179">
        <v>5451</v>
      </c>
      <c r="J187" s="280">
        <f t="shared" ref="J187:J188" si="17">H187*I187</f>
        <v>10902</v>
      </c>
      <c r="K187" s="52">
        <v>1</v>
      </c>
      <c r="L187" s="53" t="s">
        <v>293</v>
      </c>
      <c r="M187" s="111" t="s">
        <v>234</v>
      </c>
      <c r="N187" s="282" t="s">
        <v>404</v>
      </c>
      <c r="O187" s="40">
        <v>46106</v>
      </c>
      <c r="P187" s="30"/>
      <c r="Q187" s="40">
        <v>46125</v>
      </c>
      <c r="R187" s="40">
        <v>46126</v>
      </c>
      <c r="S187" s="11"/>
    </row>
    <row r="188" spans="1:19" ht="18" customHeight="1" x14ac:dyDescent="0.2">
      <c r="A188" s="132" t="s">
        <v>55</v>
      </c>
      <c r="B188" s="252" t="s">
        <v>389</v>
      </c>
      <c r="C188" s="143">
        <v>2</v>
      </c>
      <c r="D188" s="247">
        <f t="shared" si="15"/>
        <v>147</v>
      </c>
      <c r="E188" s="109" t="s">
        <v>27</v>
      </c>
      <c r="F188" s="109" t="s">
        <v>27</v>
      </c>
      <c r="G188" s="171" t="s">
        <v>371</v>
      </c>
      <c r="H188" s="164">
        <v>2</v>
      </c>
      <c r="I188" s="190">
        <v>6542</v>
      </c>
      <c r="J188" s="190">
        <f t="shared" si="17"/>
        <v>13084</v>
      </c>
      <c r="K188" s="135">
        <v>1</v>
      </c>
      <c r="L188" s="105" t="s">
        <v>39</v>
      </c>
      <c r="M188" s="136"/>
      <c r="N188" s="282" t="s">
        <v>404</v>
      </c>
      <c r="O188" s="40">
        <v>46106</v>
      </c>
      <c r="P188" s="30"/>
      <c r="Q188" s="40">
        <v>46125</v>
      </c>
      <c r="R188" s="40">
        <v>46126</v>
      </c>
      <c r="S188" s="38"/>
    </row>
    <row r="189" spans="1:19" ht="18" customHeight="1" x14ac:dyDescent="0.2">
      <c r="A189" s="132" t="s">
        <v>55</v>
      </c>
      <c r="B189" s="252" t="s">
        <v>389</v>
      </c>
      <c r="C189" s="143">
        <v>2</v>
      </c>
      <c r="D189" s="247">
        <f t="shared" si="15"/>
        <v>148</v>
      </c>
      <c r="E189" s="48" t="s">
        <v>27</v>
      </c>
      <c r="F189" s="48" t="s">
        <v>27</v>
      </c>
      <c r="G189" s="172" t="s">
        <v>40</v>
      </c>
      <c r="H189" s="164">
        <v>2</v>
      </c>
      <c r="I189" s="256">
        <v>208</v>
      </c>
      <c r="J189" s="256">
        <f>H189*I189</f>
        <v>416</v>
      </c>
      <c r="K189" s="100">
        <v>1</v>
      </c>
      <c r="L189" s="43" t="s">
        <v>130</v>
      </c>
      <c r="M189" s="136"/>
      <c r="N189" s="282" t="s">
        <v>404</v>
      </c>
      <c r="O189" s="40">
        <v>46106</v>
      </c>
      <c r="P189" s="30"/>
      <c r="Q189" s="40">
        <v>46125</v>
      </c>
      <c r="R189" s="40">
        <v>46126</v>
      </c>
      <c r="S189" s="38"/>
    </row>
    <row r="190" spans="1:19" ht="18" customHeight="1" x14ac:dyDescent="0.2">
      <c r="A190" s="132" t="s">
        <v>55</v>
      </c>
      <c r="B190" s="252" t="s">
        <v>389</v>
      </c>
      <c r="C190" s="143">
        <v>2</v>
      </c>
      <c r="D190" s="247">
        <f t="shared" si="15"/>
        <v>149</v>
      </c>
      <c r="E190" s="109" t="s">
        <v>27</v>
      </c>
      <c r="F190" s="109" t="s">
        <v>27</v>
      </c>
      <c r="G190" s="180" t="s">
        <v>301</v>
      </c>
      <c r="H190" s="164">
        <v>2</v>
      </c>
      <c r="I190" s="190">
        <v>4880</v>
      </c>
      <c r="J190" s="190">
        <f t="shared" ref="J190" si="18">H190*I190</f>
        <v>9760</v>
      </c>
      <c r="K190" s="135">
        <v>1</v>
      </c>
      <c r="L190" s="36" t="s">
        <v>302</v>
      </c>
      <c r="M190" s="136"/>
      <c r="N190" s="282" t="s">
        <v>404</v>
      </c>
      <c r="O190" s="40">
        <v>46106</v>
      </c>
      <c r="P190" s="30"/>
      <c r="Q190" s="40">
        <v>46125</v>
      </c>
      <c r="R190" s="40">
        <v>46126</v>
      </c>
      <c r="S190" s="11"/>
    </row>
    <row r="191" spans="1:19" ht="18" customHeight="1" x14ac:dyDescent="0.2">
      <c r="A191" s="132" t="s">
        <v>55</v>
      </c>
      <c r="B191" s="252" t="s">
        <v>389</v>
      </c>
      <c r="C191" s="143">
        <v>2</v>
      </c>
      <c r="D191" s="247">
        <f t="shared" si="15"/>
        <v>150</v>
      </c>
      <c r="E191" s="58" t="s">
        <v>294</v>
      </c>
      <c r="F191" s="34" t="s">
        <v>22</v>
      </c>
      <c r="G191" s="173" t="s">
        <v>295</v>
      </c>
      <c r="H191" s="174">
        <v>4</v>
      </c>
      <c r="I191" s="266">
        <v>1450</v>
      </c>
      <c r="J191" s="175">
        <f t="shared" si="16"/>
        <v>5800</v>
      </c>
      <c r="K191" s="176">
        <v>2</v>
      </c>
      <c r="L191" s="177" t="s">
        <v>296</v>
      </c>
      <c r="M191" s="136"/>
      <c r="N191" s="282" t="s">
        <v>404</v>
      </c>
      <c r="O191" s="40">
        <v>46106</v>
      </c>
      <c r="P191" s="30"/>
      <c r="Q191" s="40">
        <v>46125</v>
      </c>
      <c r="R191" s="40">
        <v>46126</v>
      </c>
      <c r="S191" s="11"/>
    </row>
    <row r="192" spans="1:19" ht="18" customHeight="1" x14ac:dyDescent="0.2">
      <c r="A192" s="132" t="s">
        <v>55</v>
      </c>
      <c r="B192" s="252" t="s">
        <v>389</v>
      </c>
      <c r="C192" s="143">
        <v>2</v>
      </c>
      <c r="D192" s="247">
        <f t="shared" si="15"/>
        <v>151</v>
      </c>
      <c r="E192" s="58" t="s">
        <v>294</v>
      </c>
      <c r="F192" s="34" t="s">
        <v>22</v>
      </c>
      <c r="G192" s="173" t="s">
        <v>297</v>
      </c>
      <c r="H192" s="174">
        <v>4</v>
      </c>
      <c r="I192" s="266">
        <v>409</v>
      </c>
      <c r="J192" s="178">
        <f t="shared" si="16"/>
        <v>1636</v>
      </c>
      <c r="K192" s="176">
        <v>2</v>
      </c>
      <c r="L192" s="177" t="s">
        <v>298</v>
      </c>
      <c r="M192" s="136"/>
      <c r="N192" s="282" t="s">
        <v>404</v>
      </c>
      <c r="O192" s="40">
        <v>46106</v>
      </c>
      <c r="P192" s="30"/>
      <c r="Q192" s="40">
        <v>46125</v>
      </c>
      <c r="R192" s="40">
        <v>46126</v>
      </c>
      <c r="S192" s="11"/>
    </row>
    <row r="193" spans="1:19" ht="18" customHeight="1" x14ac:dyDescent="0.2">
      <c r="A193" s="132" t="s">
        <v>55</v>
      </c>
      <c r="B193" s="252" t="s">
        <v>389</v>
      </c>
      <c r="C193" s="143">
        <v>2</v>
      </c>
      <c r="D193" s="247">
        <f t="shared" si="15"/>
        <v>152</v>
      </c>
      <c r="E193" s="58" t="s">
        <v>294</v>
      </c>
      <c r="F193" s="34" t="s">
        <v>22</v>
      </c>
      <c r="G193" s="173" t="s">
        <v>299</v>
      </c>
      <c r="H193" s="174">
        <v>4</v>
      </c>
      <c r="I193" s="266">
        <v>45</v>
      </c>
      <c r="J193" s="178">
        <f t="shared" si="16"/>
        <v>180</v>
      </c>
      <c r="K193" s="176">
        <v>2</v>
      </c>
      <c r="L193" s="177" t="s">
        <v>300</v>
      </c>
      <c r="M193" s="136"/>
      <c r="N193" s="282" t="s">
        <v>404</v>
      </c>
      <c r="O193" s="40">
        <v>46106</v>
      </c>
      <c r="P193" s="30"/>
      <c r="Q193" s="40">
        <v>46125</v>
      </c>
      <c r="R193" s="40">
        <v>46126</v>
      </c>
      <c r="S193" s="11"/>
    </row>
    <row r="194" spans="1:19" ht="18" customHeight="1" x14ac:dyDescent="0.2">
      <c r="A194" s="132" t="s">
        <v>55</v>
      </c>
      <c r="B194" s="252" t="s">
        <v>389</v>
      </c>
      <c r="C194" s="143">
        <v>2</v>
      </c>
      <c r="D194" s="247">
        <f>+D193+1</f>
        <v>153</v>
      </c>
      <c r="E194" s="48" t="s">
        <v>27</v>
      </c>
      <c r="F194" s="48" t="s">
        <v>27</v>
      </c>
      <c r="G194" s="172" t="s">
        <v>392</v>
      </c>
      <c r="H194" s="164">
        <v>1</v>
      </c>
      <c r="I194" s="186">
        <v>10321</v>
      </c>
      <c r="J194" s="186">
        <f t="shared" si="16"/>
        <v>10321</v>
      </c>
      <c r="K194" s="100">
        <v>1</v>
      </c>
      <c r="L194" s="73" t="s">
        <v>393</v>
      </c>
      <c r="M194" s="254" t="s">
        <v>396</v>
      </c>
      <c r="N194" s="282" t="s">
        <v>404</v>
      </c>
      <c r="O194" s="40">
        <v>46106</v>
      </c>
      <c r="P194" s="30"/>
      <c r="Q194" s="40">
        <v>46125</v>
      </c>
      <c r="R194" s="40">
        <v>46126</v>
      </c>
      <c r="S194" s="11"/>
    </row>
    <row r="195" spans="1:19" ht="18" customHeight="1" x14ac:dyDescent="0.2">
      <c r="A195" s="129" t="s">
        <v>58</v>
      </c>
      <c r="B195" s="252" t="s">
        <v>389</v>
      </c>
      <c r="C195" s="143">
        <v>2</v>
      </c>
      <c r="D195" s="247">
        <f t="shared" si="15"/>
        <v>154</v>
      </c>
      <c r="E195" s="48" t="s">
        <v>27</v>
      </c>
      <c r="F195" s="48" t="s">
        <v>27</v>
      </c>
      <c r="G195" s="235" t="s">
        <v>394</v>
      </c>
      <c r="H195" s="166">
        <v>1</v>
      </c>
      <c r="I195" s="179">
        <v>17190</v>
      </c>
      <c r="J195" s="179">
        <f t="shared" si="16"/>
        <v>17190</v>
      </c>
      <c r="K195" s="122">
        <v>1</v>
      </c>
      <c r="L195" s="105" t="s">
        <v>391</v>
      </c>
      <c r="M195" s="254" t="s">
        <v>395</v>
      </c>
      <c r="N195" s="282" t="s">
        <v>404</v>
      </c>
      <c r="O195" s="40">
        <v>46106</v>
      </c>
      <c r="P195" s="30"/>
      <c r="Q195" s="40">
        <v>46125</v>
      </c>
      <c r="R195" s="40">
        <v>46126</v>
      </c>
      <c r="S195" s="11"/>
    </row>
    <row r="196" spans="1:19" ht="18" customHeight="1" x14ac:dyDescent="0.2">
      <c r="A196" s="132" t="s">
        <v>55</v>
      </c>
      <c r="B196" s="252" t="s">
        <v>389</v>
      </c>
      <c r="C196" s="143">
        <v>2</v>
      </c>
      <c r="D196" s="247">
        <f>+D195+1</f>
        <v>155</v>
      </c>
      <c r="E196" s="54" t="s">
        <v>27</v>
      </c>
      <c r="F196" s="137" t="s">
        <v>27</v>
      </c>
      <c r="G196" s="163" t="s">
        <v>54</v>
      </c>
      <c r="H196" s="194">
        <v>16</v>
      </c>
      <c r="I196" s="260">
        <v>91</v>
      </c>
      <c r="J196" s="281">
        <f t="shared" si="16"/>
        <v>1456</v>
      </c>
      <c r="K196" s="138">
        <v>8</v>
      </c>
      <c r="L196" s="43" t="s">
        <v>129</v>
      </c>
      <c r="M196" s="90"/>
      <c r="N196" s="282" t="s">
        <v>404</v>
      </c>
      <c r="O196" s="40">
        <v>46106</v>
      </c>
      <c r="P196" s="30"/>
      <c r="Q196" s="40">
        <v>46125</v>
      </c>
      <c r="R196" s="40">
        <v>46126</v>
      </c>
      <c r="S196" s="11"/>
    </row>
    <row r="197" spans="1:19" ht="18" customHeight="1" x14ac:dyDescent="0.2">
      <c r="A197" s="129" t="s">
        <v>235</v>
      </c>
      <c r="B197" s="252" t="s">
        <v>389</v>
      </c>
      <c r="C197" s="143">
        <v>2</v>
      </c>
      <c r="D197" s="247">
        <f>+D196+1</f>
        <v>156</v>
      </c>
      <c r="E197" s="48" t="s">
        <v>370</v>
      </c>
      <c r="F197" s="48" t="s">
        <v>27</v>
      </c>
      <c r="G197" s="167" t="s">
        <v>369</v>
      </c>
      <c r="H197" s="164">
        <v>2</v>
      </c>
      <c r="I197" s="164">
        <v>1611</v>
      </c>
      <c r="J197" s="186">
        <f>H197*I197</f>
        <v>3222</v>
      </c>
      <c r="K197" s="241">
        <v>1</v>
      </c>
      <c r="L197" s="43" t="s">
        <v>236</v>
      </c>
      <c r="M197" s="90"/>
      <c r="N197" s="282" t="s">
        <v>404</v>
      </c>
      <c r="O197" s="40">
        <v>46106</v>
      </c>
      <c r="P197" s="30"/>
      <c r="Q197" s="40">
        <v>46125</v>
      </c>
      <c r="R197" s="40">
        <v>46126</v>
      </c>
      <c r="S197" s="11"/>
    </row>
    <row r="198" spans="1:19" ht="18" customHeight="1" x14ac:dyDescent="0.2">
      <c r="A198" s="129" t="s">
        <v>235</v>
      </c>
      <c r="B198" s="252" t="s">
        <v>389</v>
      </c>
      <c r="C198" s="143"/>
      <c r="D198" s="247">
        <f t="shared" ref="D198:D202" si="19">+D197+1</f>
        <v>157</v>
      </c>
      <c r="E198" s="34" t="s">
        <v>303</v>
      </c>
      <c r="F198" s="34" t="s">
        <v>27</v>
      </c>
      <c r="G198" s="181">
        <v>620704006</v>
      </c>
      <c r="H198" s="164">
        <v>40</v>
      </c>
      <c r="I198" s="265">
        <v>36</v>
      </c>
      <c r="J198" s="179">
        <f t="shared" ref="J198:J202" si="20">H198*I198</f>
        <v>1440</v>
      </c>
      <c r="K198" s="47">
        <v>20</v>
      </c>
      <c r="L198" s="30" t="s">
        <v>304</v>
      </c>
      <c r="M198" s="238"/>
      <c r="N198" s="282" t="s">
        <v>404</v>
      </c>
      <c r="O198" s="40">
        <v>46106</v>
      </c>
      <c r="P198" s="30"/>
      <c r="Q198" s="40">
        <v>46125</v>
      </c>
      <c r="R198" s="40">
        <v>46126</v>
      </c>
      <c r="S198" s="11"/>
    </row>
    <row r="199" spans="1:19" ht="18" customHeight="1" x14ac:dyDescent="0.2">
      <c r="A199" s="132" t="s">
        <v>55</v>
      </c>
      <c r="B199" s="252" t="s">
        <v>389</v>
      </c>
      <c r="C199" s="143">
        <v>2</v>
      </c>
      <c r="D199" s="247">
        <f t="shared" si="19"/>
        <v>158</v>
      </c>
      <c r="E199" s="54" t="s">
        <v>27</v>
      </c>
      <c r="F199" s="137" t="s">
        <v>27</v>
      </c>
      <c r="G199" s="167" t="s">
        <v>374</v>
      </c>
      <c r="H199" s="164">
        <v>2</v>
      </c>
      <c r="I199" s="256">
        <v>1196</v>
      </c>
      <c r="J199" s="179">
        <f t="shared" si="20"/>
        <v>2392</v>
      </c>
      <c r="K199" s="33">
        <v>1</v>
      </c>
      <c r="L199" s="140" t="s">
        <v>376</v>
      </c>
      <c r="M199" s="21"/>
      <c r="N199" s="282" t="s">
        <v>404</v>
      </c>
      <c r="O199" s="40">
        <v>46106</v>
      </c>
      <c r="P199" s="30"/>
      <c r="Q199" s="40">
        <v>46125</v>
      </c>
      <c r="R199" s="40">
        <v>46126</v>
      </c>
      <c r="S199" s="38"/>
    </row>
    <row r="200" spans="1:19" ht="18" customHeight="1" x14ac:dyDescent="0.2">
      <c r="A200" s="132" t="s">
        <v>55</v>
      </c>
      <c r="B200" s="252" t="s">
        <v>389</v>
      </c>
      <c r="C200" s="143">
        <v>2</v>
      </c>
      <c r="D200" s="247">
        <f t="shared" si="19"/>
        <v>159</v>
      </c>
      <c r="E200" s="54" t="s">
        <v>27</v>
      </c>
      <c r="F200" s="137" t="s">
        <v>27</v>
      </c>
      <c r="G200" s="167" t="s">
        <v>373</v>
      </c>
      <c r="H200" s="164">
        <v>2</v>
      </c>
      <c r="I200" s="256">
        <v>1079</v>
      </c>
      <c r="J200" s="179">
        <f t="shared" si="20"/>
        <v>2158</v>
      </c>
      <c r="K200" s="33">
        <v>1</v>
      </c>
      <c r="L200" s="140" t="s">
        <v>375</v>
      </c>
      <c r="M200" s="21"/>
      <c r="N200" s="282" t="s">
        <v>404</v>
      </c>
      <c r="O200" s="40">
        <v>46106</v>
      </c>
      <c r="P200" s="30"/>
      <c r="Q200" s="40">
        <v>46125</v>
      </c>
      <c r="R200" s="40">
        <v>46126</v>
      </c>
      <c r="S200" s="38"/>
    </row>
    <row r="201" spans="1:19" ht="18" customHeight="1" x14ac:dyDescent="0.2">
      <c r="A201" s="132" t="s">
        <v>58</v>
      </c>
      <c r="B201" s="252" t="s">
        <v>389</v>
      </c>
      <c r="C201" s="143">
        <v>3</v>
      </c>
      <c r="D201" s="247">
        <f t="shared" si="19"/>
        <v>160</v>
      </c>
      <c r="E201" s="54" t="s">
        <v>27</v>
      </c>
      <c r="F201" s="137" t="s">
        <v>27</v>
      </c>
      <c r="G201" s="167" t="s">
        <v>377</v>
      </c>
      <c r="H201" s="164">
        <v>2</v>
      </c>
      <c r="I201" s="256">
        <v>1196</v>
      </c>
      <c r="J201" s="179">
        <f t="shared" si="20"/>
        <v>2392</v>
      </c>
      <c r="K201" s="33">
        <v>1</v>
      </c>
      <c r="L201" s="140" t="s">
        <v>378</v>
      </c>
      <c r="M201" s="21"/>
      <c r="N201" s="282" t="s">
        <v>404</v>
      </c>
      <c r="O201" s="40">
        <v>46106</v>
      </c>
      <c r="P201" s="30"/>
      <c r="Q201" s="40">
        <v>46125</v>
      </c>
      <c r="R201" s="40">
        <v>46126</v>
      </c>
      <c r="S201" s="38"/>
    </row>
    <row r="202" spans="1:19" ht="18" customHeight="1" x14ac:dyDescent="0.2">
      <c r="A202" s="132" t="s">
        <v>56</v>
      </c>
      <c r="B202" s="252" t="s">
        <v>389</v>
      </c>
      <c r="C202" s="143">
        <v>4</v>
      </c>
      <c r="D202" s="247">
        <f t="shared" si="19"/>
        <v>161</v>
      </c>
      <c r="E202" s="54" t="s">
        <v>27</v>
      </c>
      <c r="F202" s="137" t="s">
        <v>27</v>
      </c>
      <c r="G202" s="167" t="s">
        <v>380</v>
      </c>
      <c r="H202" s="164">
        <v>2</v>
      </c>
      <c r="I202" s="256">
        <v>1079</v>
      </c>
      <c r="J202" s="179">
        <f t="shared" si="20"/>
        <v>2158</v>
      </c>
      <c r="K202" s="33">
        <v>1</v>
      </c>
      <c r="L202" s="140" t="s">
        <v>379</v>
      </c>
      <c r="M202" s="21"/>
      <c r="N202" s="282" t="s">
        <v>404</v>
      </c>
      <c r="O202" s="40">
        <v>46106</v>
      </c>
      <c r="P202" s="30"/>
      <c r="Q202" s="40">
        <v>46125</v>
      </c>
      <c r="R202" s="40">
        <v>46126</v>
      </c>
      <c r="S202" s="38"/>
    </row>
    <row r="203" spans="1:19" ht="18" customHeight="1" x14ac:dyDescent="0.2">
      <c r="A203" s="108"/>
      <c r="B203" s="108"/>
      <c r="C203" s="113"/>
      <c r="D203" s="39"/>
      <c r="E203" s="34"/>
      <c r="F203" s="34"/>
      <c r="G203" s="43"/>
      <c r="H203" s="58"/>
      <c r="I203" s="79"/>
      <c r="J203" s="76"/>
      <c r="K203" s="33"/>
      <c r="L203" s="30"/>
      <c r="M203" s="21"/>
      <c r="N203" s="3"/>
      <c r="O203" s="40"/>
      <c r="P203" s="6"/>
      <c r="Q203" s="40"/>
      <c r="R203" s="22"/>
      <c r="S203" s="38"/>
    </row>
    <row r="204" spans="1:19" ht="18" customHeight="1" x14ac:dyDescent="0.2">
      <c r="A204" s="108"/>
      <c r="B204" s="108"/>
      <c r="C204" s="113"/>
      <c r="D204" s="39"/>
      <c r="E204" s="34"/>
      <c r="F204" s="34"/>
      <c r="G204" s="43"/>
      <c r="H204" s="58"/>
      <c r="I204" s="79"/>
      <c r="J204" s="76"/>
      <c r="K204" s="33"/>
      <c r="L204" s="30"/>
      <c r="M204" s="21"/>
      <c r="N204" s="3"/>
      <c r="O204" s="40"/>
      <c r="P204" s="6"/>
      <c r="Q204" s="40"/>
      <c r="R204" s="22"/>
      <c r="S204" s="38"/>
    </row>
    <row r="205" spans="1:19" ht="18" customHeight="1" x14ac:dyDescent="0.2">
      <c r="A205" s="108"/>
      <c r="B205" s="108"/>
      <c r="C205" s="113"/>
      <c r="D205" s="20"/>
      <c r="E205" s="2"/>
      <c r="F205" s="2"/>
      <c r="G205" s="309">
        <f>SUM(J175:J204)</f>
        <v>167211</v>
      </c>
      <c r="H205" s="310"/>
      <c r="I205" s="310"/>
      <c r="J205" s="311"/>
      <c r="K205" s="4"/>
      <c r="L205" s="16"/>
      <c r="M205" s="21"/>
      <c r="N205" s="3"/>
      <c r="O205" s="22"/>
      <c r="P205" s="6"/>
      <c r="Q205" s="6"/>
      <c r="R205" s="22"/>
      <c r="S205" s="11"/>
    </row>
    <row r="206" spans="1:19" ht="18" customHeight="1" x14ac:dyDescent="0.2">
      <c r="A206" s="108"/>
      <c r="B206" s="108"/>
      <c r="C206" s="113"/>
      <c r="D206" s="20"/>
      <c r="E206" s="2"/>
      <c r="F206" s="2"/>
      <c r="G206" s="12"/>
      <c r="H206" s="28"/>
      <c r="I206" s="28"/>
      <c r="J206" s="18"/>
      <c r="K206" s="1"/>
      <c r="L206" s="12"/>
      <c r="M206" s="21"/>
      <c r="N206" s="3"/>
      <c r="O206" s="22"/>
      <c r="P206" s="6"/>
      <c r="Q206" s="6"/>
      <c r="R206" s="22"/>
      <c r="S206" s="11"/>
    </row>
    <row r="207" spans="1:19" ht="18" customHeight="1" x14ac:dyDescent="0.2">
      <c r="A207" s="108"/>
      <c r="B207" s="108"/>
      <c r="C207" s="113"/>
      <c r="D207" s="20"/>
      <c r="E207" s="2"/>
      <c r="F207" s="2"/>
      <c r="G207" s="12"/>
      <c r="H207" s="28"/>
      <c r="I207" s="28"/>
      <c r="J207" s="18"/>
      <c r="K207" s="1"/>
      <c r="L207" s="12"/>
      <c r="M207" s="21"/>
      <c r="N207" s="3"/>
      <c r="O207" s="22"/>
      <c r="P207" s="6"/>
      <c r="Q207" s="6"/>
      <c r="R207" s="22"/>
      <c r="S207" s="11"/>
    </row>
    <row r="208" spans="1:19" ht="18" customHeight="1" x14ac:dyDescent="0.2">
      <c r="A208" s="108"/>
      <c r="B208" s="108"/>
      <c r="C208" s="113"/>
      <c r="D208" s="20"/>
      <c r="E208" s="2"/>
      <c r="F208" s="2"/>
      <c r="G208" s="12"/>
      <c r="H208" s="28"/>
      <c r="I208" s="28"/>
      <c r="J208" s="18"/>
      <c r="K208" s="1"/>
      <c r="L208" s="12"/>
      <c r="M208" s="21"/>
      <c r="N208" s="3"/>
      <c r="O208" s="22"/>
      <c r="P208" s="6"/>
      <c r="Q208" s="6"/>
      <c r="R208" s="22"/>
      <c r="S208" s="11"/>
    </row>
    <row r="209" spans="1:19" ht="18" customHeight="1" x14ac:dyDescent="0.2">
      <c r="A209" s="108"/>
      <c r="B209" s="108"/>
      <c r="C209" s="113"/>
      <c r="D209" s="20"/>
      <c r="E209" s="2"/>
      <c r="F209" s="2"/>
      <c r="G209" s="12"/>
      <c r="H209" s="28"/>
      <c r="I209" s="28"/>
      <c r="J209" s="18"/>
      <c r="K209" s="1"/>
      <c r="L209" s="12"/>
      <c r="M209" s="21"/>
      <c r="N209" s="3"/>
      <c r="O209" s="22"/>
      <c r="P209" s="6"/>
      <c r="Q209" s="6"/>
      <c r="R209" s="22"/>
      <c r="S209" s="11"/>
    </row>
    <row r="210" spans="1:19" s="153" customFormat="1" ht="19.649999999999999" customHeight="1" x14ac:dyDescent="0.2">
      <c r="A210" s="5"/>
      <c r="B210" s="5"/>
      <c r="C210" s="5"/>
      <c r="D210" s="230"/>
      <c r="E210" s="320" t="s">
        <v>268</v>
      </c>
      <c r="F210" s="321"/>
      <c r="G210" s="322"/>
      <c r="H210" s="159"/>
      <c r="I210" s="149"/>
      <c r="J210" s="45"/>
      <c r="K210" s="49"/>
      <c r="L210" s="50"/>
      <c r="M210" s="99"/>
      <c r="N210" s="99"/>
      <c r="O210" s="150"/>
      <c r="P210" s="151"/>
      <c r="Q210" s="56"/>
      <c r="R210" s="150"/>
      <c r="S210" s="152"/>
    </row>
    <row r="211" spans="1:19" s="5" customFormat="1" ht="19.649999999999999" customHeight="1" x14ac:dyDescent="0.2">
      <c r="A211" s="154" t="s">
        <v>78</v>
      </c>
      <c r="B211" s="253" t="s">
        <v>390</v>
      </c>
      <c r="C211" s="32">
        <v>0.05</v>
      </c>
      <c r="D211" s="246">
        <f>+D202+1</f>
        <v>162</v>
      </c>
      <c r="E211" s="48" t="s">
        <v>27</v>
      </c>
      <c r="F211" s="48" t="s">
        <v>27</v>
      </c>
      <c r="G211" s="243" t="s">
        <v>270</v>
      </c>
      <c r="H211" s="228">
        <v>6</v>
      </c>
      <c r="I211" s="267">
        <v>158</v>
      </c>
      <c r="J211" s="267">
        <f>H211*I211</f>
        <v>948</v>
      </c>
      <c r="K211" s="33">
        <v>3</v>
      </c>
      <c r="L211" s="122" t="s">
        <v>271</v>
      </c>
      <c r="M211" s="35" t="s">
        <v>269</v>
      </c>
      <c r="N211" s="282" t="s">
        <v>404</v>
      </c>
      <c r="O211" s="40">
        <v>46106</v>
      </c>
      <c r="P211" s="30"/>
      <c r="Q211" s="40">
        <v>46125</v>
      </c>
      <c r="R211" s="40">
        <v>46126</v>
      </c>
      <c r="S211" s="38"/>
    </row>
    <row r="212" spans="1:19" s="5" customFormat="1" ht="19.649999999999999" customHeight="1" x14ac:dyDescent="0.2">
      <c r="A212" s="154" t="s">
        <v>78</v>
      </c>
      <c r="B212" s="253" t="s">
        <v>390</v>
      </c>
      <c r="C212" s="32">
        <f>0.025*H212</f>
        <v>0.05</v>
      </c>
      <c r="D212" s="246">
        <f t="shared" ref="D212:D218" si="21">+D211+1</f>
        <v>163</v>
      </c>
      <c r="E212" s="48" t="s">
        <v>27</v>
      </c>
      <c r="F212" s="48" t="s">
        <v>27</v>
      </c>
      <c r="G212" s="201" t="s">
        <v>272</v>
      </c>
      <c r="H212" s="229">
        <v>2</v>
      </c>
      <c r="I212" s="268">
        <v>1019</v>
      </c>
      <c r="J212" s="268">
        <f t="shared" ref="J212:J218" si="22">H212*I212</f>
        <v>2038</v>
      </c>
      <c r="K212" s="47">
        <v>1</v>
      </c>
      <c r="L212" s="30" t="s">
        <v>273</v>
      </c>
      <c r="M212" s="35" t="s">
        <v>269</v>
      </c>
      <c r="N212" s="282" t="s">
        <v>404</v>
      </c>
      <c r="O212" s="40">
        <v>46106</v>
      </c>
      <c r="P212" s="30"/>
      <c r="Q212" s="40">
        <v>46125</v>
      </c>
      <c r="R212" s="40">
        <v>46126</v>
      </c>
      <c r="S212" s="38"/>
    </row>
    <row r="213" spans="1:19" s="5" customFormat="1" ht="19.649999999999999" customHeight="1" x14ac:dyDescent="0.2">
      <c r="A213" s="154" t="s">
        <v>77</v>
      </c>
      <c r="B213" s="253" t="s">
        <v>390</v>
      </c>
      <c r="C213" s="32">
        <f>0.185*H213</f>
        <v>0.37</v>
      </c>
      <c r="D213" s="246">
        <f t="shared" si="21"/>
        <v>164</v>
      </c>
      <c r="E213" s="156" t="s">
        <v>22</v>
      </c>
      <c r="F213" s="156" t="s">
        <v>22</v>
      </c>
      <c r="G213" s="207" t="s">
        <v>274</v>
      </c>
      <c r="H213" s="228">
        <v>2</v>
      </c>
      <c r="I213" s="207">
        <v>2762</v>
      </c>
      <c r="J213" s="268">
        <f t="shared" si="22"/>
        <v>5524</v>
      </c>
      <c r="K213" s="33">
        <v>1</v>
      </c>
      <c r="L213" s="43" t="s">
        <v>275</v>
      </c>
      <c r="M213" s="35" t="s">
        <v>269</v>
      </c>
      <c r="N213" s="282" t="s">
        <v>404</v>
      </c>
      <c r="O213" s="40">
        <v>46106</v>
      </c>
      <c r="P213" s="30"/>
      <c r="Q213" s="40">
        <v>46125</v>
      </c>
      <c r="R213" s="40">
        <v>46126</v>
      </c>
      <c r="S213" s="38"/>
    </row>
    <row r="214" spans="1:19" s="5" customFormat="1" ht="19.649999999999999" customHeight="1" x14ac:dyDescent="0.2">
      <c r="A214" s="154" t="s">
        <v>78</v>
      </c>
      <c r="B214" s="253" t="s">
        <v>390</v>
      </c>
      <c r="C214" s="32">
        <v>0.04</v>
      </c>
      <c r="D214" s="246">
        <f>+D213+1</f>
        <v>165</v>
      </c>
      <c r="E214" s="161" t="s">
        <v>276</v>
      </c>
      <c r="F214" s="48" t="s">
        <v>27</v>
      </c>
      <c r="G214" s="243" t="s">
        <v>277</v>
      </c>
      <c r="H214" s="228">
        <v>2</v>
      </c>
      <c r="I214" s="267">
        <v>1039</v>
      </c>
      <c r="J214" s="267">
        <f t="shared" si="22"/>
        <v>2078</v>
      </c>
      <c r="K214" s="33">
        <v>1</v>
      </c>
      <c r="L214" s="122" t="s">
        <v>278</v>
      </c>
      <c r="M214" s="35" t="s">
        <v>269</v>
      </c>
      <c r="N214" s="282" t="s">
        <v>404</v>
      </c>
      <c r="O214" s="40">
        <v>46106</v>
      </c>
      <c r="P214" s="30"/>
      <c r="Q214" s="40">
        <v>46125</v>
      </c>
      <c r="R214" s="40">
        <v>46126</v>
      </c>
      <c r="S214" s="38"/>
    </row>
    <row r="215" spans="1:19" s="5" customFormat="1" ht="19.649999999999999" customHeight="1" x14ac:dyDescent="0.2">
      <c r="A215" s="154" t="s">
        <v>78</v>
      </c>
      <c r="B215" s="253" t="s">
        <v>390</v>
      </c>
      <c r="C215" s="32">
        <v>0.05</v>
      </c>
      <c r="D215" s="246">
        <f t="shared" si="21"/>
        <v>166</v>
      </c>
      <c r="E215" s="48" t="s">
        <v>27</v>
      </c>
      <c r="F215" s="48" t="s">
        <v>27</v>
      </c>
      <c r="G215" s="201" t="s">
        <v>381</v>
      </c>
      <c r="H215" s="229">
        <v>4</v>
      </c>
      <c r="I215" s="269">
        <v>112</v>
      </c>
      <c r="J215" s="269">
        <f t="shared" si="22"/>
        <v>448</v>
      </c>
      <c r="K215" s="147">
        <v>2</v>
      </c>
      <c r="L215" s="43" t="s">
        <v>279</v>
      </c>
      <c r="M215" s="35" t="s">
        <v>269</v>
      </c>
      <c r="N215" s="282" t="s">
        <v>404</v>
      </c>
      <c r="O215" s="40">
        <v>46106</v>
      </c>
      <c r="P215" s="30"/>
      <c r="Q215" s="40">
        <v>46125</v>
      </c>
      <c r="R215" s="40">
        <v>46126</v>
      </c>
      <c r="S215" s="38"/>
    </row>
    <row r="216" spans="1:19" s="5" customFormat="1" ht="19.649999999999999" customHeight="1" x14ac:dyDescent="0.2">
      <c r="A216" s="154" t="s">
        <v>78</v>
      </c>
      <c r="B216" s="253" t="s">
        <v>390</v>
      </c>
      <c r="C216" s="32">
        <f>0.01*H216</f>
        <v>0.04</v>
      </c>
      <c r="D216" s="246">
        <f t="shared" si="21"/>
        <v>167</v>
      </c>
      <c r="E216" s="48" t="s">
        <v>27</v>
      </c>
      <c r="F216" s="48" t="s">
        <v>27</v>
      </c>
      <c r="G216" s="201" t="s">
        <v>267</v>
      </c>
      <c r="H216" s="229">
        <v>4</v>
      </c>
      <c r="I216" s="268">
        <v>113</v>
      </c>
      <c r="J216" s="268">
        <f t="shared" si="22"/>
        <v>452</v>
      </c>
      <c r="K216" s="45">
        <v>2</v>
      </c>
      <c r="L216" s="30" t="s">
        <v>280</v>
      </c>
      <c r="M216" s="35" t="s">
        <v>269</v>
      </c>
      <c r="N216" s="282" t="s">
        <v>404</v>
      </c>
      <c r="O216" s="40">
        <v>46106</v>
      </c>
      <c r="P216" s="30"/>
      <c r="Q216" s="40">
        <v>46125</v>
      </c>
      <c r="R216" s="40">
        <v>46126</v>
      </c>
      <c r="S216" s="38"/>
    </row>
    <row r="217" spans="1:19" s="5" customFormat="1" ht="19.649999999999999" customHeight="1" x14ac:dyDescent="0.2">
      <c r="A217" s="154" t="s">
        <v>78</v>
      </c>
      <c r="B217" s="253" t="s">
        <v>390</v>
      </c>
      <c r="C217" s="32">
        <f>0.01*H217</f>
        <v>0.04</v>
      </c>
      <c r="D217" s="246">
        <f t="shared" si="21"/>
        <v>168</v>
      </c>
      <c r="E217" s="48" t="s">
        <v>27</v>
      </c>
      <c r="F217" s="48" t="s">
        <v>27</v>
      </c>
      <c r="G217" s="204" t="s">
        <v>255</v>
      </c>
      <c r="H217" s="203">
        <v>4</v>
      </c>
      <c r="I217" s="228">
        <v>47</v>
      </c>
      <c r="J217" s="268">
        <f t="shared" si="22"/>
        <v>188</v>
      </c>
      <c r="K217" s="49">
        <v>2</v>
      </c>
      <c r="L217" s="43" t="s">
        <v>256</v>
      </c>
      <c r="M217" s="35" t="s">
        <v>269</v>
      </c>
      <c r="N217" s="282" t="s">
        <v>404</v>
      </c>
      <c r="O217" s="40">
        <v>46106</v>
      </c>
      <c r="P217" s="30"/>
      <c r="Q217" s="40">
        <v>46125</v>
      </c>
      <c r="R217" s="40">
        <v>46126</v>
      </c>
      <c r="S217" s="38"/>
    </row>
    <row r="218" spans="1:19" s="5" customFormat="1" ht="19.649999999999999" customHeight="1" x14ac:dyDescent="0.2">
      <c r="A218" s="154" t="s">
        <v>78</v>
      </c>
      <c r="B218" s="253" t="s">
        <v>390</v>
      </c>
      <c r="C218" s="32">
        <f>0.005*H218</f>
        <v>0.02</v>
      </c>
      <c r="D218" s="246">
        <f t="shared" si="21"/>
        <v>169</v>
      </c>
      <c r="E218" s="156" t="s">
        <v>22</v>
      </c>
      <c r="F218" s="156" t="s">
        <v>22</v>
      </c>
      <c r="G218" s="207" t="s">
        <v>281</v>
      </c>
      <c r="H218" s="228">
        <v>4</v>
      </c>
      <c r="I218" s="207">
        <v>81</v>
      </c>
      <c r="J218" s="268">
        <f t="shared" si="22"/>
        <v>324</v>
      </c>
      <c r="K218" s="33">
        <v>2</v>
      </c>
      <c r="L218" s="43" t="s">
        <v>258</v>
      </c>
      <c r="M218" s="35" t="s">
        <v>269</v>
      </c>
      <c r="N218" s="282" t="s">
        <v>404</v>
      </c>
      <c r="O218" s="40">
        <v>46106</v>
      </c>
      <c r="P218" s="30"/>
      <c r="Q218" s="40">
        <v>46125</v>
      </c>
      <c r="R218" s="40">
        <v>46126</v>
      </c>
      <c r="S218" s="38"/>
    </row>
    <row r="219" spans="1:19" s="153" customFormat="1" ht="19.649999999999999" customHeight="1" x14ac:dyDescent="0.2">
      <c r="A219" s="154" t="s">
        <v>171</v>
      </c>
      <c r="B219" s="253" t="s">
        <v>390</v>
      </c>
      <c r="C219" s="155">
        <v>0.2</v>
      </c>
      <c r="D219" s="246">
        <f>+D218+1</f>
        <v>170</v>
      </c>
      <c r="E219" s="106" t="s">
        <v>71</v>
      </c>
      <c r="F219" s="156" t="s">
        <v>22</v>
      </c>
      <c r="G219" s="204" t="s">
        <v>259</v>
      </c>
      <c r="H219" s="203">
        <v>2</v>
      </c>
      <c r="I219" s="228">
        <v>2830</v>
      </c>
      <c r="J219" s="268">
        <f t="shared" ref="J219:J225" si="23">H219*I219</f>
        <v>5660</v>
      </c>
      <c r="K219" s="49">
        <v>1</v>
      </c>
      <c r="L219" s="43" t="s">
        <v>260</v>
      </c>
      <c r="M219" s="99" t="s">
        <v>261</v>
      </c>
      <c r="N219" s="282" t="s">
        <v>404</v>
      </c>
      <c r="O219" s="40">
        <v>46106</v>
      </c>
      <c r="P219" s="30"/>
      <c r="Q219" s="40">
        <v>46125</v>
      </c>
      <c r="R219" s="40">
        <v>46126</v>
      </c>
      <c r="S219" s="152"/>
    </row>
    <row r="220" spans="1:19" s="153" customFormat="1" ht="19.649999999999999" customHeight="1" x14ac:dyDescent="0.2">
      <c r="A220" s="154" t="s">
        <v>257</v>
      </c>
      <c r="B220" s="253" t="s">
        <v>390</v>
      </c>
      <c r="C220" s="155">
        <f>0.004*H220</f>
        <v>3.2000000000000001E-2</v>
      </c>
      <c r="D220" s="246">
        <f>+D219+1</f>
        <v>171</v>
      </c>
      <c r="E220" s="156" t="s">
        <v>22</v>
      </c>
      <c r="F220" s="156" t="s">
        <v>22</v>
      </c>
      <c r="G220" s="181" t="s">
        <v>262</v>
      </c>
      <c r="H220" s="203">
        <v>8</v>
      </c>
      <c r="I220" s="270">
        <v>112</v>
      </c>
      <c r="J220" s="269">
        <f t="shared" si="23"/>
        <v>896</v>
      </c>
      <c r="K220" s="100">
        <v>4</v>
      </c>
      <c r="L220" s="43" t="s">
        <v>263</v>
      </c>
      <c r="M220" s="99" t="s">
        <v>261</v>
      </c>
      <c r="N220" s="282" t="s">
        <v>404</v>
      </c>
      <c r="O220" s="40">
        <v>46106</v>
      </c>
      <c r="P220" s="30"/>
      <c r="Q220" s="40">
        <v>46125</v>
      </c>
      <c r="R220" s="40">
        <v>46126</v>
      </c>
      <c r="S220" s="152"/>
    </row>
    <row r="221" spans="1:19" s="153" customFormat="1" ht="19.649999999999999" customHeight="1" x14ac:dyDescent="0.2">
      <c r="A221" s="154" t="s">
        <v>257</v>
      </c>
      <c r="B221" s="253" t="s">
        <v>390</v>
      </c>
      <c r="C221" s="155">
        <f>0.004*H221</f>
        <v>1.6E-2</v>
      </c>
      <c r="D221" s="246">
        <f>+D220+1</f>
        <v>172</v>
      </c>
      <c r="E221" s="156" t="s">
        <v>22</v>
      </c>
      <c r="F221" s="156" t="s">
        <v>22</v>
      </c>
      <c r="G221" s="181" t="s">
        <v>264</v>
      </c>
      <c r="H221" s="203">
        <v>4</v>
      </c>
      <c r="I221" s="270">
        <v>113</v>
      </c>
      <c r="J221" s="269">
        <f t="shared" si="23"/>
        <v>452</v>
      </c>
      <c r="K221" s="100">
        <v>2</v>
      </c>
      <c r="L221" s="43" t="s">
        <v>265</v>
      </c>
      <c r="M221" s="99" t="s">
        <v>261</v>
      </c>
      <c r="N221" s="282" t="s">
        <v>404</v>
      </c>
      <c r="O221" s="40">
        <v>46106</v>
      </c>
      <c r="P221" s="30"/>
      <c r="Q221" s="40">
        <v>46125</v>
      </c>
      <c r="R221" s="40">
        <v>46126</v>
      </c>
      <c r="S221" s="152"/>
    </row>
    <row r="222" spans="1:19" s="153" customFormat="1" ht="19.649999999999999" customHeight="1" x14ac:dyDescent="0.2">
      <c r="A222" s="154" t="s">
        <v>78</v>
      </c>
      <c r="B222" s="253" t="s">
        <v>390</v>
      </c>
      <c r="C222" s="32">
        <f>0.01*H222</f>
        <v>0.04</v>
      </c>
      <c r="D222" s="246">
        <f>+D221+1</f>
        <v>173</v>
      </c>
      <c r="E222" s="48" t="s">
        <v>27</v>
      </c>
      <c r="F222" s="48" t="s">
        <v>27</v>
      </c>
      <c r="G222" s="205" t="s">
        <v>266</v>
      </c>
      <c r="H222" s="206">
        <v>4</v>
      </c>
      <c r="I222" s="271">
        <v>52</v>
      </c>
      <c r="J222" s="268">
        <f t="shared" si="23"/>
        <v>208</v>
      </c>
      <c r="K222" s="33">
        <v>2</v>
      </c>
      <c r="L222" s="43" t="s">
        <v>256</v>
      </c>
      <c r="M222" s="99" t="s">
        <v>261</v>
      </c>
      <c r="N222" s="282" t="s">
        <v>404</v>
      </c>
      <c r="O222" s="40">
        <v>46106</v>
      </c>
      <c r="P222" s="30"/>
      <c r="Q222" s="40">
        <v>46125</v>
      </c>
      <c r="R222" s="40">
        <v>46126</v>
      </c>
      <c r="S222" s="152"/>
    </row>
    <row r="223" spans="1:19" s="153" customFormat="1" ht="19.649999999999999" customHeight="1" x14ac:dyDescent="0.2">
      <c r="A223" s="154" t="s">
        <v>78</v>
      </c>
      <c r="B223" s="253" t="s">
        <v>390</v>
      </c>
      <c r="C223" s="32"/>
      <c r="D223" s="246">
        <f t="shared" ref="D223:D226" si="24">+D222+1</f>
        <v>174</v>
      </c>
      <c r="E223" s="283" t="s">
        <v>27</v>
      </c>
      <c r="F223" s="283" t="s">
        <v>27</v>
      </c>
      <c r="G223" s="284" t="s">
        <v>406</v>
      </c>
      <c r="H223" s="285">
        <v>4</v>
      </c>
      <c r="I223" s="285">
        <v>346</v>
      </c>
      <c r="J223" s="286">
        <f t="shared" si="23"/>
        <v>1384</v>
      </c>
      <c r="K223" s="149"/>
      <c r="L223" s="287" t="s">
        <v>407</v>
      </c>
      <c r="M223" s="99"/>
      <c r="N223" s="288" t="s">
        <v>408</v>
      </c>
      <c r="O223" s="150">
        <v>46114</v>
      </c>
      <c r="P223" s="151"/>
      <c r="Q223" s="289">
        <v>46126</v>
      </c>
      <c r="R223" s="150">
        <v>46127</v>
      </c>
      <c r="S223" s="152"/>
    </row>
    <row r="224" spans="1:19" s="153" customFormat="1" ht="19.649999999999999" customHeight="1" x14ac:dyDescent="0.2">
      <c r="A224" s="154" t="s">
        <v>78</v>
      </c>
      <c r="B224" s="253" t="s">
        <v>390</v>
      </c>
      <c r="C224" s="32"/>
      <c r="D224" s="246">
        <f t="shared" si="24"/>
        <v>175</v>
      </c>
      <c r="E224" s="51" t="s">
        <v>27</v>
      </c>
      <c r="F224" s="51" t="s">
        <v>27</v>
      </c>
      <c r="G224" s="290" t="s">
        <v>409</v>
      </c>
      <c r="H224" s="291">
        <v>4</v>
      </c>
      <c r="I224" s="291">
        <v>316</v>
      </c>
      <c r="J224" s="268">
        <f t="shared" si="23"/>
        <v>1264</v>
      </c>
      <c r="K224" s="57"/>
      <c r="L224" s="292" t="s">
        <v>410</v>
      </c>
      <c r="M224" s="99"/>
      <c r="N224" s="288" t="s">
        <v>408</v>
      </c>
      <c r="O224" s="150">
        <v>46114</v>
      </c>
      <c r="P224" s="151"/>
      <c r="Q224" s="289">
        <v>46126</v>
      </c>
      <c r="R224" s="150">
        <v>46127</v>
      </c>
      <c r="S224" s="152"/>
    </row>
    <row r="225" spans="1:19" s="153" customFormat="1" ht="19.649999999999999" customHeight="1" x14ac:dyDescent="0.2">
      <c r="A225" s="154" t="s">
        <v>78</v>
      </c>
      <c r="B225" s="253" t="s">
        <v>390</v>
      </c>
      <c r="C225" s="32"/>
      <c r="D225" s="246">
        <f t="shared" si="24"/>
        <v>176</v>
      </c>
      <c r="E225" s="51" t="s">
        <v>27</v>
      </c>
      <c r="F225" s="51" t="s">
        <v>27</v>
      </c>
      <c r="G225" s="290" t="s">
        <v>411</v>
      </c>
      <c r="H225" s="291">
        <v>4</v>
      </c>
      <c r="I225" s="291">
        <v>217</v>
      </c>
      <c r="J225" s="268">
        <f t="shared" si="23"/>
        <v>868</v>
      </c>
      <c r="K225" s="57"/>
      <c r="L225" s="292" t="s">
        <v>412</v>
      </c>
      <c r="M225" s="99"/>
      <c r="N225" s="288" t="s">
        <v>408</v>
      </c>
      <c r="O225" s="150">
        <v>46114</v>
      </c>
      <c r="P225" s="151"/>
      <c r="Q225" s="289">
        <v>46126</v>
      </c>
      <c r="R225" s="150">
        <v>46127</v>
      </c>
      <c r="S225" s="152"/>
    </row>
    <row r="226" spans="1:19" s="153" customFormat="1" ht="19.649999999999999" customHeight="1" x14ac:dyDescent="0.2">
      <c r="A226" s="154" t="s">
        <v>78</v>
      </c>
      <c r="B226" s="253" t="s">
        <v>390</v>
      </c>
      <c r="C226" s="32"/>
      <c r="D226" s="246">
        <f t="shared" si="24"/>
        <v>177</v>
      </c>
      <c r="E226" s="48" t="s">
        <v>413</v>
      </c>
      <c r="F226" s="51" t="s">
        <v>27</v>
      </c>
      <c r="G226" s="293" t="s">
        <v>414</v>
      </c>
      <c r="H226" s="294">
        <v>10</v>
      </c>
      <c r="I226" s="295">
        <v>393</v>
      </c>
      <c r="J226" s="179">
        <f t="shared" ref="J226" si="25">H226*I226</f>
        <v>3930</v>
      </c>
      <c r="K226" s="182"/>
      <c r="L226" s="105" t="s">
        <v>415</v>
      </c>
      <c r="M226" s="99"/>
      <c r="N226" s="288" t="s">
        <v>408</v>
      </c>
      <c r="O226" s="150">
        <v>46114</v>
      </c>
      <c r="P226" s="151"/>
      <c r="Q226" s="289">
        <v>46126</v>
      </c>
      <c r="R226" s="150">
        <v>46127</v>
      </c>
      <c r="S226" s="152"/>
    </row>
    <row r="227" spans="1:19" s="153" customFormat="1" ht="19.649999999999999" customHeight="1" x14ac:dyDescent="0.2">
      <c r="A227" s="32"/>
      <c r="B227" s="32"/>
      <c r="C227" s="32"/>
      <c r="D227" s="34"/>
      <c r="E227" s="34"/>
      <c r="F227" s="34"/>
      <c r="G227" s="162"/>
      <c r="H227" s="158"/>
      <c r="I227" s="110"/>
      <c r="J227" s="45"/>
      <c r="K227" s="49"/>
      <c r="L227" s="53"/>
      <c r="M227" s="99"/>
      <c r="N227" s="99"/>
      <c r="O227" s="150"/>
      <c r="P227" s="151"/>
      <c r="Q227" s="56"/>
      <c r="R227" s="150"/>
      <c r="S227" s="152"/>
    </row>
    <row r="228" spans="1:19" s="5" customFormat="1" ht="19.649999999999999" customHeight="1" x14ac:dyDescent="0.2">
      <c r="A228" s="32"/>
      <c r="B228" s="32"/>
      <c r="C228" s="32"/>
      <c r="D228" s="34"/>
      <c r="E228" s="48"/>
      <c r="F228" s="48"/>
      <c r="G228" s="160">
        <f>SUM(J211:J223)</f>
        <v>20600</v>
      </c>
      <c r="H228" s="158"/>
      <c r="I228" s="110"/>
      <c r="J228" s="45"/>
      <c r="K228" s="33"/>
      <c r="L228" s="43"/>
      <c r="M228" s="35"/>
      <c r="N228" s="35"/>
      <c r="O228" s="157"/>
      <c r="P228" s="34"/>
      <c r="Q228" s="32"/>
      <c r="R228" s="157"/>
      <c r="S228" s="38"/>
    </row>
    <row r="229" spans="1:19" s="5" customFormat="1" ht="19.649999999999999" customHeight="1" x14ac:dyDescent="0.2">
      <c r="A229" s="32"/>
      <c r="B229" s="32"/>
      <c r="C229" s="32"/>
      <c r="D229" s="34"/>
      <c r="E229" s="48"/>
      <c r="F229" s="48"/>
      <c r="G229" s="35"/>
      <c r="H229" s="158"/>
      <c r="I229" s="110"/>
      <c r="J229" s="45"/>
      <c r="K229" s="33"/>
      <c r="L229" s="43"/>
      <c r="M229" s="35"/>
      <c r="N229" s="35"/>
      <c r="O229" s="157"/>
      <c r="P229" s="34"/>
      <c r="Q229" s="32"/>
      <c r="R229" s="157"/>
      <c r="S229" s="38"/>
    </row>
    <row r="230" spans="1:19" ht="18" customHeight="1" x14ac:dyDescent="0.2">
      <c r="A230" s="108"/>
      <c r="B230" s="108"/>
      <c r="C230" s="113"/>
      <c r="D230" s="20"/>
      <c r="E230" s="2"/>
      <c r="F230" s="2"/>
      <c r="G230" s="12"/>
      <c r="H230" s="28"/>
      <c r="I230" s="28"/>
      <c r="J230" s="18"/>
      <c r="K230" s="1"/>
      <c r="L230" s="12"/>
      <c r="M230" s="21"/>
      <c r="N230" s="3"/>
      <c r="O230" s="22"/>
      <c r="P230" s="6"/>
      <c r="Q230" s="6"/>
      <c r="R230" s="22"/>
      <c r="S230" s="11"/>
    </row>
    <row r="231" spans="1:19" ht="18" customHeight="1" x14ac:dyDescent="0.2">
      <c r="A231" s="108"/>
      <c r="B231" s="108"/>
      <c r="C231" s="113"/>
      <c r="D231" s="20"/>
      <c r="E231" s="2"/>
      <c r="F231" s="2"/>
      <c r="G231" s="12"/>
      <c r="H231" s="28"/>
      <c r="I231" s="28"/>
      <c r="J231" s="18"/>
      <c r="K231" s="1"/>
      <c r="L231" s="12"/>
      <c r="M231" s="21"/>
      <c r="N231" s="3"/>
      <c r="O231" s="22"/>
      <c r="P231" s="6"/>
      <c r="Q231" s="6"/>
      <c r="R231" s="22"/>
      <c r="S231" s="11"/>
    </row>
    <row r="232" spans="1:19" ht="18" customHeight="1" x14ac:dyDescent="0.2">
      <c r="D232" s="20"/>
      <c r="E232" s="2"/>
      <c r="F232" s="2"/>
      <c r="G232" s="12"/>
      <c r="H232" s="28"/>
      <c r="I232" s="28"/>
      <c r="J232" s="18"/>
      <c r="K232" s="1"/>
      <c r="L232" s="12"/>
      <c r="M232" s="21"/>
      <c r="N232" s="3"/>
      <c r="O232" s="22"/>
      <c r="P232" s="6"/>
      <c r="Q232" s="6"/>
      <c r="R232" s="22"/>
      <c r="S232" s="11"/>
    </row>
    <row r="233" spans="1:19" ht="18" customHeight="1" x14ac:dyDescent="0.2">
      <c r="D233" s="20"/>
      <c r="E233" s="20"/>
      <c r="F233" s="20"/>
      <c r="G233" s="21" t="s">
        <v>23</v>
      </c>
      <c r="H233" s="18"/>
      <c r="I233" s="18"/>
      <c r="J233" s="18">
        <f>H233*I233</f>
        <v>0</v>
      </c>
      <c r="K233" s="10"/>
      <c r="L233" s="12" t="s">
        <v>24</v>
      </c>
      <c r="M233" s="23"/>
      <c r="N233" s="20"/>
      <c r="O233" s="22"/>
      <c r="P233" s="23"/>
      <c r="Q233" s="20"/>
      <c r="R233" s="22"/>
      <c r="S233" s="11"/>
    </row>
    <row r="234" spans="1:19" ht="18" customHeight="1" x14ac:dyDescent="0.2">
      <c r="C234" s="114">
        <v>4</v>
      </c>
      <c r="D234" s="144"/>
      <c r="E234" s="2"/>
      <c r="F234" s="2"/>
      <c r="G234" s="21" t="s">
        <v>24</v>
      </c>
      <c r="H234" s="18"/>
      <c r="I234" s="18">
        <v>5000</v>
      </c>
      <c r="J234" s="18">
        <f>H234*I234</f>
        <v>0</v>
      </c>
      <c r="K234" s="10"/>
      <c r="L234" s="12" t="s">
        <v>25</v>
      </c>
      <c r="M234" s="23"/>
      <c r="N234" s="20"/>
      <c r="O234" s="22"/>
      <c r="P234" s="23"/>
      <c r="Q234" s="20"/>
      <c r="R234" s="22"/>
      <c r="S234" s="6"/>
    </row>
    <row r="235" spans="1:19" ht="18" customHeight="1" x14ac:dyDescent="0.2">
      <c r="D235" s="20"/>
      <c r="E235" s="2"/>
      <c r="F235" s="2"/>
      <c r="G235" s="21" t="s">
        <v>25</v>
      </c>
      <c r="H235" s="18"/>
      <c r="I235" s="18"/>
      <c r="J235" s="18">
        <f>H235*I235</f>
        <v>0</v>
      </c>
      <c r="K235" s="10"/>
      <c r="L235" s="3"/>
      <c r="M235" s="23"/>
      <c r="N235" s="20"/>
      <c r="O235" s="20"/>
      <c r="P235" s="23"/>
      <c r="Q235" s="20"/>
      <c r="R235" s="6"/>
      <c r="S235" s="6"/>
    </row>
    <row r="236" spans="1:19" ht="18" customHeight="1" x14ac:dyDescent="0.2">
      <c r="D236" s="20"/>
      <c r="E236" s="2"/>
      <c r="F236" s="2"/>
      <c r="G236" s="323"/>
      <c r="H236" s="324"/>
      <c r="I236" s="324"/>
      <c r="J236" s="325"/>
      <c r="K236" s="4"/>
      <c r="L236" s="16"/>
    </row>
    <row r="237" spans="1:19" ht="18" customHeight="1" x14ac:dyDescent="0.2"/>
    <row r="238" spans="1:19" ht="18" customHeight="1" x14ac:dyDescent="0.2"/>
    <row r="239" spans="1:19" ht="18" customHeight="1" x14ac:dyDescent="0.2"/>
  </sheetData>
  <autoFilter ref="D8:Q239" xr:uid="{00000000-0009-0000-0000-000003000000}"/>
  <mergeCells count="21">
    <mergeCell ref="E210:G210"/>
    <mergeCell ref="G236:J236"/>
    <mergeCell ref="E97:G97"/>
    <mergeCell ref="G115:J115"/>
    <mergeCell ref="E120:G120"/>
    <mergeCell ref="G170:J170"/>
    <mergeCell ref="E174:G174"/>
    <mergeCell ref="G205:J205"/>
    <mergeCell ref="D11:G11"/>
    <mergeCell ref="G77:J77"/>
    <mergeCell ref="E81:G81"/>
    <mergeCell ref="G92:J92"/>
    <mergeCell ref="D2:F2"/>
    <mergeCell ref="I2:K2"/>
    <mergeCell ref="D3:F3"/>
    <mergeCell ref="D4:F4"/>
    <mergeCell ref="I4:L5"/>
    <mergeCell ref="D5:F5"/>
    <mergeCell ref="H5:H6"/>
    <mergeCell ref="D6:F6"/>
    <mergeCell ref="I6:L6"/>
  </mergeCells>
  <phoneticPr fontId="11"/>
  <dataValidations count="2">
    <dataValidation imeMode="hiragana" allowBlank="1" showInputMessage="1" showErrorMessage="1" sqref="L99 L139:L140 L152 L226" xr:uid="{368FDB72-3769-4BEE-813D-913A193BAA5B}"/>
    <dataValidation allowBlank="1" showInputMessage="1" showErrorMessage="1" sqref="L75:L79 L73" xr:uid="{DEF99904-BC22-4495-AEF7-8EB2AE941A8B}"/>
  </dataValidations>
  <hyperlinks>
    <hyperlink ref="M187" r:id="rId1" xr:uid="{12285570-D0C6-406F-9F75-1D7AEC103B17}"/>
  </hyperlinks>
  <printOptions gridLines="1"/>
  <pageMargins left="0.2" right="0.2" top="0.75" bottom="0.75" header="0.3" footer="0.3"/>
  <pageSetup orientation="landscape" r:id="rId2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2" sqref="F22"/>
    </sheetView>
  </sheetViews>
  <sheetFormatPr defaultColWidth="11.77734375" defaultRowHeight="13.5" customHeight="1" x14ac:dyDescent="0.2"/>
  <sheetData/>
  <phoneticPr fontId="11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7734375" defaultRowHeight="13.5" customHeight="1" x14ac:dyDescent="0.2"/>
  <sheetData/>
  <phoneticPr fontId="11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SETB0316-A01③ 2set (20260325)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dcterms:created xsi:type="dcterms:W3CDTF">2016-05-16T08:05:24Z</dcterms:created>
  <dcterms:modified xsi:type="dcterms:W3CDTF">2026-05-12T00:02:38Z</dcterms:modified>
</cp:coreProperties>
</file>