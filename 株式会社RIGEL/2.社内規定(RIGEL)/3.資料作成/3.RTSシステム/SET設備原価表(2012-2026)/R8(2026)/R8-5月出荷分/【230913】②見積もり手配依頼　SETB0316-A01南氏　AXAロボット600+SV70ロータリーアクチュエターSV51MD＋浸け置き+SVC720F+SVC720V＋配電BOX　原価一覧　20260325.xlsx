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0CB37998-0D83-4E95-AA1A-25875BA584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B0316-A01② 2set (20260325)" sheetId="16" r:id="rId1"/>
    <sheet name="Sheet2" sheetId="2" r:id="rId2"/>
    <sheet name="Sheet3" sheetId="3" r:id="rId3"/>
  </sheets>
  <definedNames>
    <definedName name="_xlnm._FilterDatabase" localSheetId="0" hidden="1">'SETB0316-A01② 2set (20260325)'!$D$8:$Q$48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6" l="1"/>
  <c r="J44" i="16"/>
  <c r="J43" i="16"/>
  <c r="J42" i="16"/>
  <c r="J35" i="16"/>
  <c r="C35" i="16"/>
  <c r="J34" i="16"/>
  <c r="J33" i="16"/>
  <c r="J32" i="16"/>
  <c r="J31" i="16"/>
  <c r="J24" i="16"/>
  <c r="J23" i="16"/>
  <c r="J16" i="16"/>
  <c r="J15" i="16"/>
  <c r="J14" i="16"/>
  <c r="J13" i="16"/>
  <c r="J12" i="16"/>
  <c r="J11" i="16"/>
  <c r="D12" i="16"/>
  <c r="D13" i="16" s="1"/>
  <c r="D14" i="16" s="1"/>
  <c r="D15" i="16" s="1"/>
  <c r="G26" i="16" l="1"/>
  <c r="L2" i="16"/>
  <c r="G37" i="16"/>
  <c r="D16" i="16"/>
  <c r="D23" i="16" l="1"/>
  <c r="D24" i="16" s="1"/>
  <c r="D31" i="16" l="1"/>
  <c r="D32" i="16" s="1"/>
  <c r="D33" i="16"/>
  <c r="D34" i="16" s="1"/>
  <c r="D35" i="16" s="1"/>
</calcChain>
</file>

<file path=xl/sharedStrings.xml><?xml version="1.0" encoding="utf-8"?>
<sst xmlns="http://schemas.openxmlformats.org/spreadsheetml/2006/main" count="127" uniqueCount="78">
  <si>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</si>
  <si>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</si>
  <si>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</si>
  <si>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</si>
  <si>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</si>
  <si>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</si>
  <si>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</si>
  <si>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</si>
  <si>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</si>
  <si>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</si>
  <si>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</si>
  <si>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</si>
  <si>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</si>
  <si>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</si>
  <si>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</si>
  <si>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</si>
  <si>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</si>
  <si>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</si>
  <si>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</si>
  <si>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</si>
  <si>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</si>
  <si>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</si>
  <si>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運送費</t>
  </si>
  <si>
    <t>設計費</t>
  </si>
  <si>
    <t>組立調整費</t>
  </si>
  <si>
    <t>浸け置きﾕﾆｯﾄ</t>
    <rPh sb="0" eb="1">
      <t>ツ</t>
    </rPh>
    <rPh sb="2" eb="3">
      <t>オ</t>
    </rPh>
    <phoneticPr fontId="13"/>
  </si>
  <si>
    <t>アズワン</t>
    <phoneticPr fontId="13"/>
  </si>
  <si>
    <t>ＳＭＣ</t>
    <phoneticPr fontId="13"/>
  </si>
  <si>
    <t>ロータリシリンダ</t>
    <phoneticPr fontId="13"/>
  </si>
  <si>
    <t>AW10-M5BG-A</t>
    <phoneticPr fontId="13"/>
  </si>
  <si>
    <t>レギュレータ</t>
    <phoneticPr fontId="13"/>
  </si>
  <si>
    <t>電磁弁</t>
    <rPh sb="0" eb="3">
      <t>デンジベン</t>
    </rPh>
    <phoneticPr fontId="13"/>
  </si>
  <si>
    <t>リード線</t>
    <rPh sb="3" eb="4">
      <t>セン</t>
    </rPh>
    <phoneticPr fontId="13"/>
  </si>
  <si>
    <t>AS1201F-M5-04A</t>
    <phoneticPr fontId="13"/>
  </si>
  <si>
    <t>スピコン</t>
    <phoneticPr fontId="13"/>
  </si>
  <si>
    <t>モノタロウなら3日間</t>
    <rPh sb="8" eb="9">
      <t>ヒ</t>
    </rPh>
    <rPh sb="9" eb="10">
      <t>カン</t>
    </rPh>
    <phoneticPr fontId="11"/>
  </si>
  <si>
    <t>モノタロウなら8日間</t>
    <rPh sb="8" eb="9">
      <t>ヒ</t>
    </rPh>
    <rPh sb="9" eb="10">
      <t>カン</t>
    </rPh>
    <phoneticPr fontId="11"/>
  </si>
  <si>
    <t>1日目</t>
    <rPh sb="1" eb="2">
      <t>ヒ</t>
    </rPh>
    <rPh sb="2" eb="3">
      <t>メ</t>
    </rPh>
    <phoneticPr fontId="13"/>
  </si>
  <si>
    <t>2日目</t>
    <rPh sb="1" eb="2">
      <t>ヒ</t>
    </rPh>
    <rPh sb="2" eb="3">
      <t>メ</t>
    </rPh>
    <phoneticPr fontId="13"/>
  </si>
  <si>
    <t>5日目</t>
    <rPh sb="1" eb="2">
      <t>ヒ</t>
    </rPh>
    <rPh sb="2" eb="3">
      <t>メ</t>
    </rPh>
    <phoneticPr fontId="13"/>
  </si>
  <si>
    <t xml:space="preserve">SYJ3240-5MOZE-M5  </t>
    <phoneticPr fontId="13"/>
  </si>
  <si>
    <t>SY100-30-4A</t>
    <phoneticPr fontId="13"/>
  </si>
  <si>
    <t>MSQB10R-M9N</t>
    <phoneticPr fontId="13"/>
  </si>
  <si>
    <t>出荷依頼項目NO.</t>
    <rPh sb="0" eb="4">
      <t>シュッカイライ</t>
    </rPh>
    <rPh sb="4" eb="6">
      <t>コウモク</t>
    </rPh>
    <phoneticPr fontId="11"/>
  </si>
  <si>
    <t>浸け置きカップ</t>
    <rPh sb="0" eb="1">
      <t>ツ</t>
    </rPh>
    <rPh sb="2" eb="3">
      <t>オ</t>
    </rPh>
    <phoneticPr fontId="13"/>
  </si>
  <si>
    <t>MXQ12A-100ZA-M9NWL</t>
    <phoneticPr fontId="11"/>
  </si>
  <si>
    <t>エアスライドテーブル 両側配管タイプ MXQ□Aシリーズ</t>
    <phoneticPr fontId="11"/>
  </si>
  <si>
    <t>SMC</t>
  </si>
  <si>
    <t>SETB0316-A01　AXAロボット600+SV70ﾛｰﾀﾘｰｱｸﾁｭｴﾀｰSV51MD＋浸け置き+SVC720F＋配電BOX　原価一覧　20230111</t>
    <phoneticPr fontId="11"/>
  </si>
  <si>
    <t>図面NO.　SETB-0316-A01</t>
    <rPh sb="0" eb="2">
      <t>ズメン</t>
    </rPh>
    <phoneticPr fontId="11"/>
  </si>
  <si>
    <t>南</t>
    <rPh sb="0" eb="1">
      <t>ミナミ</t>
    </rPh>
    <phoneticPr fontId="11"/>
  </si>
  <si>
    <t>架台ﾕﾆｯﾄ</t>
    <rPh sb="0" eb="2">
      <t>カダイ</t>
    </rPh>
    <phoneticPr fontId="13"/>
  </si>
  <si>
    <t>１／４　レギュレーター　（逆流機能付）</t>
  </si>
  <si>
    <t>ＫＱ２Ｌ０６－０２Ａ</t>
    <phoneticPr fontId="13"/>
  </si>
  <si>
    <t>１／４　Ø６　継ぎ手</t>
  </si>
  <si>
    <t>１／４　三方弁</t>
  </si>
  <si>
    <t>１／４　エアコンビネーション　</t>
  </si>
  <si>
    <t>ＡＷ２０Ｋ－０２Ｅ－D</t>
    <phoneticPr fontId="13"/>
  </si>
  <si>
    <t>ＶＨＳ２０－０２-D</t>
    <phoneticPr fontId="13"/>
  </si>
  <si>
    <t>Ｙ２００Ｔ－D</t>
    <phoneticPr fontId="13"/>
  </si>
  <si>
    <t>Ｎo.【230913】</t>
    <phoneticPr fontId="11"/>
  </si>
  <si>
    <t>エア・ブラウン株式会社(株式会社住本製作所)</t>
    <phoneticPr fontId="11"/>
  </si>
  <si>
    <t>ACS株式会社</t>
    <phoneticPr fontId="13"/>
  </si>
  <si>
    <t>品名 / 型式</t>
    <phoneticPr fontId="11"/>
  </si>
  <si>
    <t>石鍋</t>
    <rPh sb="0" eb="2">
      <t>イシナベ</t>
    </rPh>
    <phoneticPr fontId="13"/>
  </si>
  <si>
    <t xml:space="preserve">5-079-04　  </t>
    <phoneticPr fontId="13"/>
  </si>
  <si>
    <t>ﾐﾆｶｯﾌﾟ（30cc）　NO.30</t>
    <phoneticPr fontId="13"/>
  </si>
  <si>
    <t>見積もりNo.362911-1</t>
    <phoneticPr fontId="11"/>
  </si>
  <si>
    <t>送料</t>
    <rPh sb="0" eb="2">
      <t>ソウリョウ</t>
    </rPh>
    <phoneticPr fontId="11"/>
  </si>
  <si>
    <t>NO.230913-1 H-SAITOU</t>
  </si>
  <si>
    <t>NO.230913-3 H-SAITOU</t>
    <phoneticPr fontId="11"/>
  </si>
  <si>
    <t>NO.230913-6 H-SAITOU</t>
    <phoneticPr fontId="11"/>
  </si>
  <si>
    <t>SMC</t>
    <phoneticPr fontId="13"/>
  </si>
  <si>
    <t>ACS株式会社</t>
  </si>
  <si>
    <t>AN10-01</t>
    <phoneticPr fontId="13"/>
  </si>
  <si>
    <t>ｻｲﾚﾝｻ</t>
    <phoneticPr fontId="13"/>
  </si>
  <si>
    <t>②</t>
    <phoneticPr fontId="11"/>
  </si>
  <si>
    <t>見積もりNO.22-26-00383A</t>
    <rPh sb="0" eb="2">
      <t>ミツ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</si>
</sst>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 ;[Red]\-0\ "/>
  </numFmts>
  <fonts count="22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theme="9" tint="-0.249977111117893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</cellStyleXfs>
  <cellXfs count="162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78" fontId="0" fillId="0" borderId="8" xfId="0" applyNumberForma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56" fontId="0" fillId="0" borderId="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6" fillId="0" borderId="8" xfId="0" applyFont="1" applyBorder="1">
      <alignment vertical="center"/>
    </xf>
    <xf numFmtId="176" fontId="0" fillId="0" borderId="8" xfId="0" applyNumberForma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3" fontId="16" fillId="0" borderId="8" xfId="0" applyNumberFormat="1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6" fillId="4" borderId="8" xfId="0" applyFont="1" applyFill="1" applyBorder="1">
      <alignment vertical="center"/>
    </xf>
    <xf numFmtId="176" fontId="0" fillId="0" borderId="8" xfId="0" applyNumberFormat="1" applyBorder="1" applyAlignment="1"/>
    <xf numFmtId="0" fontId="0" fillId="0" borderId="8" xfId="0" applyBorder="1" applyAlignment="1">
      <alignment horizontal="left" vertical="center" shrinkToFit="1"/>
    </xf>
    <xf numFmtId="3" fontId="15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3" fontId="0" fillId="4" borderId="14" xfId="0" applyNumberFormat="1" applyFill="1" applyBorder="1" applyAlignment="1">
      <alignment horizontal="center" vertical="center"/>
    </xf>
    <xf numFmtId="0" fontId="10" fillId="0" borderId="0" xfId="0" applyFont="1">
      <alignment vertical="center"/>
    </xf>
    <xf numFmtId="38" fontId="0" fillId="0" borderId="8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6" fontId="0" fillId="0" borderId="7" xfId="0" applyNumberFormat="1" applyBorder="1">
      <alignment vertical="center"/>
    </xf>
    <xf numFmtId="176" fontId="7" fillId="0" borderId="8" xfId="0" applyNumberFormat="1" applyFon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176" fontId="18" fillId="0" borderId="14" xfId="0" applyNumberFormat="1" applyFont="1" applyBorder="1" applyAlignment="1">
      <alignment horizontal="center" vertical="center"/>
    </xf>
    <xf numFmtId="180" fontId="16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56" fontId="10" fillId="0" borderId="8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0" borderId="6" xfId="0" applyBorder="1" applyAlignment="1">
      <alignment vertical="center" shrinkToFit="1"/>
    </xf>
    <xf numFmtId="176" fontId="7" fillId="0" borderId="14" xfId="0" applyNumberFormat="1" applyFont="1" applyBorder="1" applyAlignment="1">
      <alignment horizontal="center" vertical="center"/>
    </xf>
    <xf numFmtId="176" fontId="0" fillId="0" borderId="15" xfId="0" applyNumberFormat="1" applyBorder="1" applyAlignment="1"/>
    <xf numFmtId="0" fontId="0" fillId="0" borderId="9" xfId="0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5" fillId="0" borderId="7" xfId="0" applyFont="1" applyBorder="1">
      <alignment vertical="center"/>
    </xf>
    <xf numFmtId="176" fontId="0" fillId="0" borderId="5" xfId="0" applyNumberFormat="1" applyBorder="1">
      <alignment vertical="center"/>
    </xf>
    <xf numFmtId="176" fontId="8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177" fontId="0" fillId="0" borderId="4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8" borderId="8" xfId="0" applyFill="1" applyBorder="1" applyAlignment="1">
      <alignment horizontal="center" vertical="center"/>
    </xf>
    <xf numFmtId="0" fontId="10" fillId="8" borderId="8" xfId="0" applyFont="1" applyFill="1" applyBorder="1">
      <alignment vertical="center"/>
    </xf>
    <xf numFmtId="3" fontId="0" fillId="0" borderId="2" xfId="0" applyNumberFormat="1" applyBorder="1" applyAlignment="1">
      <alignment horizontal="center" vertical="center"/>
    </xf>
    <xf numFmtId="3" fontId="10" fillId="0" borderId="8" xfId="3" applyNumberFormat="1" applyBorder="1" applyAlignment="1">
      <alignment horizontal="center" vertical="center"/>
    </xf>
    <xf numFmtId="0" fontId="10" fillId="0" borderId="10" xfId="3" applyBorder="1" applyAlignment="1">
      <alignment horizontal="center" vertical="center"/>
    </xf>
    <xf numFmtId="0" fontId="10" fillId="0" borderId="8" xfId="3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0" fillId="12" borderId="8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0" fillId="4" borderId="8" xfId="0" applyFill="1" applyBorder="1" applyAlignment="1">
      <alignment horizontal="right" vertical="center"/>
    </xf>
    <xf numFmtId="179" fontId="0" fillId="4" borderId="8" xfId="0" applyNumberFormat="1" applyFill="1" applyBorder="1" applyAlignment="1">
      <alignment horizontal="center" vertical="center"/>
    </xf>
    <xf numFmtId="3" fontId="0" fillId="4" borderId="8" xfId="0" applyNumberFormat="1" applyFill="1" applyBorder="1" applyAlignment="1">
      <alignment horizontal="center" vertical="center"/>
    </xf>
    <xf numFmtId="178" fontId="0" fillId="4" borderId="8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179" fontId="0" fillId="0" borderId="8" xfId="0" applyNumberFormat="1" applyBorder="1" applyAlignment="1">
      <alignment horizontal="center" vertical="center"/>
    </xf>
    <xf numFmtId="180" fontId="16" fillId="0" borderId="8" xfId="0" applyNumberFormat="1" applyFont="1" applyBorder="1" applyAlignment="1">
      <alignment horizontal="right" vertical="center"/>
    </xf>
    <xf numFmtId="180" fontId="16" fillId="4" borderId="8" xfId="0" applyNumberFormat="1" applyFont="1" applyFill="1" applyBorder="1" applyAlignment="1">
      <alignment horizontal="right" vertical="center"/>
    </xf>
    <xf numFmtId="176" fontId="18" fillId="13" borderId="8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left" vertical="center"/>
    </xf>
    <xf numFmtId="176" fontId="0" fillId="7" borderId="8" xfId="0" applyNumberFormat="1" applyFill="1" applyBorder="1" applyAlignment="1">
      <alignment horizontal="center" vertical="center"/>
    </xf>
    <xf numFmtId="38" fontId="0" fillId="7" borderId="8" xfId="0" applyNumberFormat="1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176" fontId="0" fillId="14" borderId="8" xfId="0" applyNumberForma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5" fillId="12" borderId="10" xfId="0" applyFont="1" applyFill="1" applyBorder="1">
      <alignment vertical="center"/>
    </xf>
    <xf numFmtId="38" fontId="0" fillId="7" borderId="8" xfId="0" applyNumberFormat="1" applyFill="1" applyBorder="1">
      <alignment vertical="center"/>
    </xf>
    <xf numFmtId="38" fontId="0" fillId="12" borderId="8" xfId="0" applyNumberFormat="1" applyFill="1" applyBorder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49" fontId="14" fillId="12" borderId="8" xfId="0" applyNumberFormat="1" applyFont="1" applyFill="1" applyBorder="1" applyAlignment="1">
      <alignment horizontal="left" vertical="center"/>
    </xf>
    <xf numFmtId="0" fontId="5" fillId="12" borderId="7" xfId="0" applyFont="1" applyFill="1" applyBorder="1">
      <alignment vertical="center"/>
    </xf>
    <xf numFmtId="0" fontId="0" fillId="14" borderId="8" xfId="0" applyFill="1" applyBorder="1" applyAlignment="1">
      <alignment horizontal="right" vertical="center"/>
    </xf>
    <xf numFmtId="3" fontId="0" fillId="14" borderId="8" xfId="0" applyNumberFormat="1" applyFill="1" applyBorder="1" applyAlignment="1">
      <alignment horizontal="center" vertical="center"/>
    </xf>
    <xf numFmtId="0" fontId="0" fillId="14" borderId="0" xfId="0" applyFill="1">
      <alignment vertical="center"/>
    </xf>
    <xf numFmtId="0" fontId="10" fillId="0" borderId="1" xfId="0" applyFont="1" applyBorder="1" applyAlignment="1">
      <alignment horizontal="center" vertical="center"/>
    </xf>
    <xf numFmtId="176" fontId="18" fillId="13" borderId="10" xfId="0" applyNumberFormat="1" applyFont="1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3" fontId="16" fillId="15" borderId="8" xfId="3" applyNumberFormat="1" applyFont="1" applyFill="1" applyBorder="1" applyAlignment="1">
      <alignment horizontal="center" vertical="center"/>
    </xf>
    <xf numFmtId="49" fontId="16" fillId="16" borderId="8" xfId="3" applyNumberFormat="1" applyFont="1" applyFill="1" applyBorder="1" applyAlignment="1">
      <alignment horizontal="left" vertical="center"/>
    </xf>
    <xf numFmtId="0" fontId="16" fillId="0" borderId="8" xfId="3" applyFont="1" applyBorder="1" applyAlignment="1">
      <alignment horizontal="center" vertical="center"/>
    </xf>
    <xf numFmtId="181" fontId="16" fillId="0" borderId="8" xfId="3" applyNumberFormat="1" applyFont="1" applyBorder="1" applyAlignment="1">
      <alignment horizontal="center" vertical="center"/>
    </xf>
    <xf numFmtId="38" fontId="16" fillId="0" borderId="8" xfId="3" applyNumberFormat="1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/>
    </xf>
    <xf numFmtId="49" fontId="16" fillId="9" borderId="8" xfId="3" applyNumberFormat="1" applyFont="1" applyFill="1" applyBorder="1" applyAlignment="1">
      <alignment horizontal="left" vertical="center"/>
    </xf>
    <xf numFmtId="0" fontId="16" fillId="0" borderId="1" xfId="3" applyFont="1" applyBorder="1" applyAlignment="1">
      <alignment vertical="center" shrinkToFit="1"/>
    </xf>
    <xf numFmtId="0" fontId="16" fillId="0" borderId="10" xfId="3" applyFont="1" applyBorder="1" applyAlignment="1">
      <alignment horizontal="left" vertical="center"/>
    </xf>
    <xf numFmtId="0" fontId="20" fillId="0" borderId="1" xfId="3" applyFont="1" applyBorder="1" applyAlignment="1">
      <alignment horizontal="center" vertical="center"/>
    </xf>
    <xf numFmtId="180" fontId="16" fillId="0" borderId="8" xfId="3" applyNumberFormat="1" applyFont="1" applyBorder="1" applyAlignment="1">
      <alignment horizontal="center" vertical="center"/>
    </xf>
    <xf numFmtId="3" fontId="0" fillId="6" borderId="8" xfId="0" applyNumberFormat="1" applyFill="1" applyBorder="1" applyAlignment="1">
      <alignment horizontal="center" vertical="center"/>
    </xf>
    <xf numFmtId="0" fontId="21" fillId="14" borderId="8" xfId="0" applyFont="1" applyFill="1" applyBorder="1" applyAlignment="1">
      <alignment horizontal="center" vertical="center"/>
    </xf>
    <xf numFmtId="0" fontId="21" fillId="17" borderId="8" xfId="0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center" vertical="center"/>
    </xf>
    <xf numFmtId="3" fontId="16" fillId="12" borderId="8" xfId="0" applyNumberFormat="1" applyFont="1" applyFill="1" applyBorder="1" applyAlignment="1">
      <alignment horizontal="center" vertical="center"/>
    </xf>
    <xf numFmtId="49" fontId="10" fillId="12" borderId="8" xfId="3" applyNumberFormat="1" applyFill="1" applyBorder="1" applyAlignment="1">
      <alignment horizontal="left" vertical="center"/>
    </xf>
    <xf numFmtId="0" fontId="10" fillId="14" borderId="8" xfId="3" applyFill="1" applyBorder="1" applyAlignment="1">
      <alignment horizontal="right" vertical="center"/>
    </xf>
    <xf numFmtId="38" fontId="10" fillId="7" borderId="8" xfId="3" applyNumberFormat="1" applyFill="1" applyBorder="1" applyAlignment="1">
      <alignment horizontal="right" vertical="center"/>
    </xf>
    <xf numFmtId="0" fontId="10" fillId="0" borderId="8" xfId="3" applyBorder="1" applyAlignment="1">
      <alignment horizontal="left" vertical="center" shrinkToFit="1"/>
    </xf>
    <xf numFmtId="49" fontId="5" fillId="0" borderId="3" xfId="0" applyNumberFormat="1" applyFont="1" applyBorder="1" applyAlignment="1">
      <alignment vertical="center" shrinkToFit="1"/>
    </xf>
    <xf numFmtId="176" fontId="18" fillId="13" borderId="7" xfId="0" applyNumberFormat="1" applyFont="1" applyFill="1" applyBorder="1" applyAlignment="1">
      <alignment horizontal="center" vertical="center"/>
    </xf>
    <xf numFmtId="176" fontId="0" fillId="0" borderId="5" xfId="0" applyNumberFormat="1" applyBorder="1" applyAlignment="1"/>
    <xf numFmtId="176" fontId="7" fillId="0" borderId="8" xfId="0" applyNumberFormat="1" applyFont="1" applyBorder="1">
      <alignment vertical="center"/>
    </xf>
    <xf numFmtId="176" fontId="18" fillId="0" borderId="8" xfId="0" applyNumberFormat="1" applyFont="1" applyBorder="1">
      <alignment vertical="center"/>
    </xf>
    <xf numFmtId="0" fontId="16" fillId="0" borderId="8" xfId="2" applyFont="1" applyBorder="1">
      <alignment vertical="center"/>
    </xf>
    <xf numFmtId="176" fontId="8" fillId="7" borderId="8" xfId="0" applyNumberFormat="1" applyFont="1" applyFill="1" applyBorder="1" applyAlignment="1">
      <alignment horizontal="center" vertical="center"/>
    </xf>
    <xf numFmtId="176" fontId="0" fillId="12" borderId="8" xfId="0" applyNumberFormat="1" applyFill="1" applyBorder="1" applyAlignment="1">
      <alignment horizontal="right" vertical="center"/>
    </xf>
    <xf numFmtId="3" fontId="17" fillId="5" borderId="10" xfId="0" applyNumberFormat="1" applyFont="1" applyFill="1" applyBorder="1" applyAlignment="1">
      <alignment horizontal="center" vertical="center"/>
    </xf>
    <xf numFmtId="3" fontId="17" fillId="5" borderId="13" xfId="0" applyNumberFormat="1" applyFont="1" applyFill="1" applyBorder="1" applyAlignment="1">
      <alignment horizontal="center" vertical="center"/>
    </xf>
    <xf numFmtId="3" fontId="17" fillId="5" borderId="12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3" fontId="17" fillId="6" borderId="10" xfId="0" applyNumberFormat="1" applyFont="1" applyFill="1" applyBorder="1" applyAlignment="1">
      <alignment horizontal="center" vertical="center"/>
    </xf>
    <xf numFmtId="3" fontId="17" fillId="6" borderId="13" xfId="0" applyNumberFormat="1" applyFont="1" applyFill="1" applyBorder="1" applyAlignment="1">
      <alignment horizontal="center" vertical="center"/>
    </xf>
    <xf numFmtId="3" fontId="17" fillId="6" borderId="1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7" fillId="12" borderId="14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69AB-1D46-41E5-AC37-9569CCA23BBB}">
  <sheetPr>
    <tabColor rgb="FFFFFF00"/>
  </sheetPr>
  <dimension ref="A2:S48"/>
  <sheetViews>
    <sheetView tabSelected="1" zoomScale="70" zoomScaleNormal="70" workbookViewId="0">
      <pane xSplit="12" ySplit="8" topLeftCell="O9" activePane="bottomRight" state="frozen"/>
      <selection activeCell="D26" sqref="D26"/>
      <selection pane="topRight" activeCell="D26" sqref="D26"/>
      <selection pane="bottomLeft" activeCell="D26" sqref="D26"/>
      <selection pane="bottomRight" activeCell="S11" sqref="S11:S16"/>
    </sheetView>
  </sheetViews>
  <sheetFormatPr defaultColWidth="11.875" defaultRowHeight="13.5" customHeight="1" x14ac:dyDescent="0.15"/>
  <cols>
    <col min="1" max="1" width="7.125" customWidth="1"/>
    <col min="2" max="2" width="19.875" customWidth="1"/>
    <col min="3" max="3" width="14.875" customWidth="1"/>
    <col min="4" max="4" width="6.125" style="5" customWidth="1"/>
    <col min="5" max="5" width="15.125" customWidth="1"/>
    <col min="6" max="6" width="15.5" customWidth="1"/>
    <col min="7" max="7" width="73.125" customWidth="1"/>
    <col min="8" max="8" width="10.875" style="5" customWidth="1"/>
    <col min="9" max="10" width="12.125" style="5" customWidth="1"/>
    <col min="11" max="11" width="7.125" style="9" customWidth="1"/>
    <col min="12" max="12" width="50.5" customWidth="1"/>
    <col min="13" max="13" width="27" customWidth="1"/>
    <col min="14" max="14" width="15.875" style="5" customWidth="1"/>
    <col min="15" max="15" width="17" style="5" customWidth="1"/>
    <col min="16" max="16" width="7.875" customWidth="1"/>
    <col min="17" max="17" width="16.375" style="5" customWidth="1"/>
    <col min="18" max="18" width="17.875" style="32" customWidth="1"/>
    <col min="19" max="19" width="19.375" style="32" customWidth="1"/>
  </cols>
  <sheetData>
    <row r="2" spans="1:19" ht="20.100000000000001" customHeight="1" x14ac:dyDescent="0.15">
      <c r="D2" s="154" t="s">
        <v>0</v>
      </c>
      <c r="E2" s="154"/>
      <c r="F2" s="154"/>
      <c r="G2" s="22" t="s">
        <v>61</v>
      </c>
      <c r="I2" s="155" t="s">
        <v>1</v>
      </c>
      <c r="J2" s="156"/>
      <c r="K2" s="157"/>
      <c r="L2" s="8">
        <f>SUM(J:J)</f>
        <v>215680</v>
      </c>
    </row>
    <row r="3" spans="1:19" ht="20.100000000000001" customHeight="1" x14ac:dyDescent="0.15">
      <c r="D3" s="154" t="s">
        <v>2</v>
      </c>
      <c r="E3" s="154"/>
      <c r="F3" s="154"/>
      <c r="G3" s="7" t="s">
        <v>50</v>
      </c>
    </row>
    <row r="4" spans="1:19" ht="20.100000000000001" customHeight="1" x14ac:dyDescent="0.15">
      <c r="D4" s="154" t="s">
        <v>3</v>
      </c>
      <c r="E4" s="154"/>
      <c r="F4" s="154"/>
      <c r="G4" s="7" t="s">
        <v>60</v>
      </c>
      <c r="I4" s="158" t="s">
        <v>48</v>
      </c>
      <c r="J4" s="158"/>
      <c r="K4" s="158"/>
      <c r="L4" s="158"/>
      <c r="M4" s="44"/>
    </row>
    <row r="5" spans="1:19" ht="20.100000000000001" customHeight="1" x14ac:dyDescent="0.15">
      <c r="D5" s="154" t="s">
        <v>4</v>
      </c>
      <c r="E5" s="154"/>
      <c r="F5" s="154"/>
      <c r="G5" s="105">
        <v>46125</v>
      </c>
      <c r="H5" s="159" t="s">
        <v>76</v>
      </c>
      <c r="I5" s="158"/>
      <c r="J5" s="158"/>
      <c r="K5" s="158"/>
      <c r="L5" s="158"/>
    </row>
    <row r="6" spans="1:19" ht="20.100000000000001" customHeight="1" x14ac:dyDescent="0.15">
      <c r="D6" s="154" t="s">
        <v>5</v>
      </c>
      <c r="E6" s="154"/>
      <c r="F6" s="154"/>
      <c r="G6" s="105">
        <v>46126</v>
      </c>
      <c r="H6" s="160"/>
      <c r="I6" s="161" t="s">
        <v>49</v>
      </c>
      <c r="J6" s="161"/>
      <c r="K6" s="161"/>
      <c r="L6" s="161"/>
    </row>
    <row r="8" spans="1:19" s="5" customFormat="1" ht="19.5" customHeight="1" x14ac:dyDescent="0.15">
      <c r="C8" s="68" t="s">
        <v>43</v>
      </c>
      <c r="D8" s="67" t="s">
        <v>6</v>
      </c>
      <c r="E8" s="2" t="s">
        <v>7</v>
      </c>
      <c r="F8" s="2" t="s">
        <v>8</v>
      </c>
      <c r="G8" s="111" t="s">
        <v>63</v>
      </c>
      <c r="H8" s="18" t="s">
        <v>9</v>
      </c>
      <c r="I8" s="18" t="s">
        <v>10</v>
      </c>
      <c r="J8" s="1" t="s">
        <v>11</v>
      </c>
      <c r="K8" s="1" t="s">
        <v>12</v>
      </c>
      <c r="L8" s="18" t="s">
        <v>13</v>
      </c>
      <c r="M8" s="18" t="s">
        <v>14</v>
      </c>
      <c r="N8" s="18" t="s">
        <v>15</v>
      </c>
      <c r="O8" s="20" t="s">
        <v>16</v>
      </c>
      <c r="P8" s="2" t="s">
        <v>17</v>
      </c>
      <c r="Q8" s="18" t="s">
        <v>18</v>
      </c>
      <c r="R8" s="20" t="s">
        <v>19</v>
      </c>
      <c r="S8" s="6" t="s">
        <v>20</v>
      </c>
    </row>
    <row r="9" spans="1:19" s="5" customFormat="1" ht="19.5" customHeight="1" x14ac:dyDescent="0.15">
      <c r="D9" s="103"/>
      <c r="E9" s="76"/>
      <c r="F9" s="76"/>
      <c r="G9" s="56"/>
      <c r="H9" s="16"/>
      <c r="I9" s="16"/>
      <c r="J9" s="16"/>
      <c r="K9" s="10"/>
      <c r="L9" s="17"/>
      <c r="M9" s="18"/>
      <c r="N9" s="18"/>
      <c r="O9" s="20"/>
      <c r="P9" s="2"/>
      <c r="Q9" s="20"/>
      <c r="R9" s="20"/>
      <c r="S9" s="6"/>
    </row>
    <row r="10" spans="1:19" ht="18" customHeight="1" x14ac:dyDescent="0.15">
      <c r="C10" s="110"/>
      <c r="D10" s="151" t="s">
        <v>21</v>
      </c>
      <c r="E10" s="152"/>
      <c r="F10" s="152"/>
      <c r="G10" s="153"/>
      <c r="H10" s="23"/>
      <c r="I10" s="23"/>
      <c r="J10" s="16"/>
      <c r="K10" s="10"/>
      <c r="L10" s="12"/>
      <c r="M10" s="19"/>
      <c r="N10" s="3"/>
      <c r="O10" s="20"/>
      <c r="P10" s="6"/>
      <c r="Q10" s="20"/>
      <c r="R10" s="20"/>
      <c r="S10" s="11"/>
    </row>
    <row r="11" spans="1:19" ht="18" customHeight="1" x14ac:dyDescent="0.15">
      <c r="A11" s="74" t="s">
        <v>35</v>
      </c>
      <c r="B11" s="126" t="s">
        <v>69</v>
      </c>
      <c r="C11" s="79">
        <v>3</v>
      </c>
      <c r="D11" s="70">
        <v>1</v>
      </c>
      <c r="E11" s="27" t="s">
        <v>27</v>
      </c>
      <c r="F11" s="99" t="s">
        <v>62</v>
      </c>
      <c r="G11" s="81" t="s">
        <v>42</v>
      </c>
      <c r="H11" s="97">
        <v>2</v>
      </c>
      <c r="I11" s="94">
        <v>35120</v>
      </c>
      <c r="J11" s="34">
        <f t="shared" ref="J11:J15" si="0">H11*I11</f>
        <v>70240</v>
      </c>
      <c r="K11" s="39">
        <v>1</v>
      </c>
      <c r="L11" s="40" t="s">
        <v>28</v>
      </c>
      <c r="M11" s="139" t="s">
        <v>77</v>
      </c>
      <c r="N11" s="25"/>
      <c r="O11" s="31">
        <v>46108</v>
      </c>
      <c r="P11" s="24"/>
      <c r="Q11" s="89">
        <v>46125</v>
      </c>
      <c r="R11" s="54"/>
      <c r="S11" s="29">
        <v>46121</v>
      </c>
    </row>
    <row r="12" spans="1:19" ht="18" customHeight="1" x14ac:dyDescent="0.15">
      <c r="A12" s="73" t="s">
        <v>37</v>
      </c>
      <c r="B12" s="126" t="s">
        <v>69</v>
      </c>
      <c r="C12" s="79">
        <v>3</v>
      </c>
      <c r="D12" s="70">
        <f t="shared" ref="D12:D15" si="1">D11+1</f>
        <v>2</v>
      </c>
      <c r="E12" s="27" t="s">
        <v>27</v>
      </c>
      <c r="F12" s="99" t="s">
        <v>62</v>
      </c>
      <c r="G12" s="106" t="s">
        <v>29</v>
      </c>
      <c r="H12" s="97">
        <v>2</v>
      </c>
      <c r="I12" s="94">
        <v>3350</v>
      </c>
      <c r="J12" s="34">
        <f t="shared" si="0"/>
        <v>6700</v>
      </c>
      <c r="K12" s="39">
        <v>1</v>
      </c>
      <c r="L12" s="40" t="s">
        <v>30</v>
      </c>
      <c r="M12" s="139" t="s">
        <v>77</v>
      </c>
      <c r="N12" s="55"/>
      <c r="O12" s="31">
        <v>46108</v>
      </c>
      <c r="P12" s="66"/>
      <c r="Q12" s="89">
        <v>46125</v>
      </c>
      <c r="R12" s="54"/>
      <c r="S12" s="29">
        <v>46121</v>
      </c>
    </row>
    <row r="13" spans="1:19" ht="18" customHeight="1" x14ac:dyDescent="0.15">
      <c r="A13" s="74" t="s">
        <v>36</v>
      </c>
      <c r="B13" s="126" t="s">
        <v>69</v>
      </c>
      <c r="C13" s="79">
        <v>3</v>
      </c>
      <c r="D13" s="70">
        <f t="shared" si="1"/>
        <v>3</v>
      </c>
      <c r="E13" s="27" t="s">
        <v>27</v>
      </c>
      <c r="F13" s="99" t="s">
        <v>62</v>
      </c>
      <c r="G13" s="81" t="s">
        <v>40</v>
      </c>
      <c r="H13" s="97">
        <v>4</v>
      </c>
      <c r="I13" s="94">
        <v>6710</v>
      </c>
      <c r="J13" s="34">
        <f t="shared" si="0"/>
        <v>26840</v>
      </c>
      <c r="K13" s="39">
        <v>2</v>
      </c>
      <c r="L13" s="40" t="s">
        <v>31</v>
      </c>
      <c r="M13" s="139" t="s">
        <v>77</v>
      </c>
      <c r="N13" s="55"/>
      <c r="O13" s="31">
        <v>46108</v>
      </c>
      <c r="P13" s="66"/>
      <c r="Q13" s="89">
        <v>46125</v>
      </c>
      <c r="R13" s="54"/>
      <c r="S13" s="29">
        <v>46121</v>
      </c>
    </row>
    <row r="14" spans="1:19" ht="18" customHeight="1" x14ac:dyDescent="0.15">
      <c r="A14" s="73" t="s">
        <v>37</v>
      </c>
      <c r="B14" s="126" t="s">
        <v>69</v>
      </c>
      <c r="C14" s="79">
        <v>3</v>
      </c>
      <c r="D14" s="70">
        <f t="shared" si="1"/>
        <v>4</v>
      </c>
      <c r="E14" s="27" t="s">
        <v>27</v>
      </c>
      <c r="F14" s="99" t="s">
        <v>62</v>
      </c>
      <c r="G14" s="81" t="s">
        <v>41</v>
      </c>
      <c r="H14" s="97">
        <v>8</v>
      </c>
      <c r="I14" s="94">
        <v>70</v>
      </c>
      <c r="J14" s="34">
        <f t="shared" si="0"/>
        <v>560</v>
      </c>
      <c r="K14" s="39">
        <v>4</v>
      </c>
      <c r="L14" s="40" t="s">
        <v>32</v>
      </c>
      <c r="M14" s="139" t="s">
        <v>77</v>
      </c>
      <c r="N14" s="55"/>
      <c r="O14" s="31">
        <v>46108</v>
      </c>
      <c r="P14" s="66"/>
      <c r="Q14" s="89">
        <v>46125</v>
      </c>
      <c r="R14" s="54"/>
      <c r="S14" s="29">
        <v>46121</v>
      </c>
    </row>
    <row r="15" spans="1:19" ht="18" customHeight="1" x14ac:dyDescent="0.15">
      <c r="A15" s="73" t="s">
        <v>37</v>
      </c>
      <c r="B15" s="126" t="s">
        <v>69</v>
      </c>
      <c r="C15" s="79">
        <v>3</v>
      </c>
      <c r="D15" s="70">
        <f t="shared" si="1"/>
        <v>5</v>
      </c>
      <c r="E15" s="27" t="s">
        <v>27</v>
      </c>
      <c r="F15" s="99" t="s">
        <v>62</v>
      </c>
      <c r="G15" s="81" t="s">
        <v>33</v>
      </c>
      <c r="H15" s="96">
        <v>8</v>
      </c>
      <c r="I15" s="95">
        <v>660</v>
      </c>
      <c r="J15" s="45">
        <f t="shared" si="0"/>
        <v>5280</v>
      </c>
      <c r="K15" s="26">
        <v>4</v>
      </c>
      <c r="L15" s="40" t="s">
        <v>34</v>
      </c>
      <c r="M15" s="139" t="s">
        <v>77</v>
      </c>
      <c r="N15" s="55"/>
      <c r="O15" s="31">
        <v>46108</v>
      </c>
      <c r="P15" s="66"/>
      <c r="Q15" s="89">
        <v>46125</v>
      </c>
      <c r="R15" s="54"/>
      <c r="S15" s="29">
        <v>46121</v>
      </c>
    </row>
    <row r="16" spans="1:19" ht="18" customHeight="1" x14ac:dyDescent="0.15">
      <c r="A16" s="74" t="s">
        <v>36</v>
      </c>
      <c r="B16" s="126" t="s">
        <v>69</v>
      </c>
      <c r="C16" s="79">
        <v>3</v>
      </c>
      <c r="D16" s="70">
        <f>D15+1</f>
        <v>6</v>
      </c>
      <c r="E16" s="27" t="s">
        <v>27</v>
      </c>
      <c r="F16" s="99" t="s">
        <v>62</v>
      </c>
      <c r="G16" s="107" t="s">
        <v>45</v>
      </c>
      <c r="H16" s="104">
        <v>2</v>
      </c>
      <c r="I16" s="140">
        <v>42820</v>
      </c>
      <c r="J16" s="45">
        <f t="shared" ref="J16" si="2">H16*I16</f>
        <v>85640</v>
      </c>
      <c r="K16" s="62">
        <v>1</v>
      </c>
      <c r="L16" s="82" t="s">
        <v>46</v>
      </c>
      <c r="M16" s="139" t="s">
        <v>77</v>
      </c>
      <c r="N16" s="3"/>
      <c r="O16" s="20">
        <v>46108</v>
      </c>
      <c r="P16" s="6"/>
      <c r="Q16" s="20">
        <v>46125</v>
      </c>
      <c r="R16" s="20"/>
      <c r="S16" s="29">
        <v>46121</v>
      </c>
    </row>
    <row r="17" spans="1:19" ht="18" customHeight="1" x14ac:dyDescent="0.15">
      <c r="D17" s="23"/>
      <c r="E17" s="2"/>
      <c r="F17" s="2"/>
      <c r="G17" s="61"/>
      <c r="H17" s="30"/>
      <c r="I17" s="63"/>
      <c r="J17" s="34"/>
      <c r="K17" s="62"/>
      <c r="L17" s="14"/>
      <c r="M17" s="19"/>
      <c r="N17" s="3"/>
      <c r="O17" s="20"/>
      <c r="P17" s="6"/>
      <c r="Q17" s="20"/>
      <c r="R17" s="20"/>
      <c r="S17" s="11"/>
    </row>
    <row r="18" spans="1:19" ht="18" customHeight="1" x14ac:dyDescent="0.15">
      <c r="D18" s="13"/>
      <c r="E18" s="2"/>
      <c r="F18" s="4"/>
      <c r="G18" s="135">
        <f>SUM(J11:J17)</f>
        <v>195260</v>
      </c>
      <c r="H18" s="137"/>
      <c r="I18" s="137"/>
      <c r="J18" s="137"/>
      <c r="K18" s="136"/>
      <c r="L18" s="14"/>
      <c r="M18" s="19"/>
      <c r="N18" s="3"/>
      <c r="O18" s="20"/>
      <c r="P18" s="6"/>
      <c r="Q18" s="20"/>
      <c r="R18" s="20"/>
      <c r="S18" s="11"/>
    </row>
    <row r="19" spans="1:19" ht="18" customHeight="1" x14ac:dyDescent="0.15">
      <c r="D19" s="13"/>
      <c r="E19" s="47"/>
      <c r="F19" s="48"/>
      <c r="G19" s="57"/>
      <c r="H19" s="57"/>
      <c r="I19" s="57"/>
      <c r="J19" s="57"/>
      <c r="K19" s="58"/>
      <c r="L19" s="59"/>
      <c r="M19" s="19"/>
      <c r="N19" s="3"/>
      <c r="O19" s="20"/>
      <c r="P19" s="6"/>
      <c r="Q19" s="20"/>
      <c r="R19" s="20"/>
      <c r="S19" s="11"/>
    </row>
    <row r="20" spans="1:19" ht="18" customHeight="1" x14ac:dyDescent="0.15">
      <c r="D20" s="18"/>
      <c r="E20" s="2"/>
      <c r="F20" s="75"/>
      <c r="G20" s="49"/>
      <c r="H20" s="49"/>
      <c r="I20" s="49"/>
      <c r="J20" s="49"/>
      <c r="K20" s="62"/>
      <c r="L20" s="14"/>
      <c r="M20" s="19"/>
      <c r="N20" s="3"/>
      <c r="O20" s="20"/>
      <c r="P20" s="6"/>
      <c r="Q20" s="20"/>
      <c r="R20" s="31"/>
      <c r="S20" s="29"/>
    </row>
    <row r="21" spans="1:19" ht="18" customHeight="1" x14ac:dyDescent="0.15">
      <c r="D21" s="18"/>
      <c r="E21" s="2"/>
      <c r="F21" s="2"/>
      <c r="G21" s="134"/>
      <c r="H21" s="46"/>
      <c r="I21" s="46"/>
      <c r="J21" s="46"/>
      <c r="K21" s="15"/>
      <c r="L21" s="17"/>
      <c r="M21" s="19"/>
      <c r="N21" s="3"/>
      <c r="O21" s="20"/>
      <c r="P21" s="6"/>
      <c r="Q21" s="20"/>
      <c r="R21" s="31"/>
      <c r="S21" s="29"/>
    </row>
    <row r="22" spans="1:19" ht="18" customHeight="1" x14ac:dyDescent="0.15">
      <c r="D22" s="113"/>
      <c r="E22" s="148" t="s">
        <v>25</v>
      </c>
      <c r="F22" s="149"/>
      <c r="G22" s="150"/>
      <c r="H22" s="25"/>
      <c r="I22" s="25"/>
      <c r="J22" s="26"/>
      <c r="K22" s="26"/>
      <c r="L22" s="25"/>
      <c r="M22" s="19"/>
      <c r="N22" s="3"/>
      <c r="O22" s="20"/>
      <c r="P22" s="6"/>
      <c r="Q22" s="20"/>
      <c r="R22" s="31"/>
      <c r="S22" s="29"/>
    </row>
    <row r="23" spans="1:19" ht="18" customHeight="1" x14ac:dyDescent="0.15">
      <c r="A23" s="73" t="s">
        <v>38</v>
      </c>
      <c r="B23" s="127" t="s">
        <v>70</v>
      </c>
      <c r="C23" s="71">
        <v>11</v>
      </c>
      <c r="D23" s="70">
        <f>+D16+1</f>
        <v>7</v>
      </c>
      <c r="E23" s="114" t="s">
        <v>26</v>
      </c>
      <c r="F23" s="114" t="s">
        <v>64</v>
      </c>
      <c r="G23" s="115" t="s">
        <v>65</v>
      </c>
      <c r="H23" s="116">
        <v>2</v>
      </c>
      <c r="I23" s="117">
        <v>2240</v>
      </c>
      <c r="J23" s="118">
        <f t="shared" ref="J23:J24" si="3">H23*I23</f>
        <v>4480</v>
      </c>
      <c r="K23" s="119">
        <v>1</v>
      </c>
      <c r="L23" s="120" t="s">
        <v>66</v>
      </c>
      <c r="M23" s="121" t="s">
        <v>44</v>
      </c>
      <c r="N23" s="78" t="s">
        <v>67</v>
      </c>
      <c r="O23" s="20">
        <v>46108</v>
      </c>
      <c r="P23" s="6"/>
      <c r="Q23" s="20">
        <v>46125</v>
      </c>
      <c r="R23" s="31">
        <v>46119</v>
      </c>
      <c r="S23" s="29">
        <v>46120</v>
      </c>
    </row>
    <row r="24" spans="1:19" ht="18" customHeight="1" x14ac:dyDescent="0.15">
      <c r="A24" s="73"/>
      <c r="B24" s="127" t="s">
        <v>70</v>
      </c>
      <c r="C24" s="71"/>
      <c r="D24" s="70">
        <f>+D23+1</f>
        <v>8</v>
      </c>
      <c r="E24" s="114" t="s">
        <v>26</v>
      </c>
      <c r="F24" s="114" t="s">
        <v>64</v>
      </c>
      <c r="G24" s="115" t="s">
        <v>68</v>
      </c>
      <c r="H24" s="124">
        <v>1</v>
      </c>
      <c r="I24" s="117">
        <v>0</v>
      </c>
      <c r="J24" s="118">
        <f t="shared" si="3"/>
        <v>0</v>
      </c>
      <c r="K24" s="122">
        <v>1</v>
      </c>
      <c r="L24" s="120"/>
      <c r="M24" s="116"/>
      <c r="N24" s="123"/>
      <c r="O24" s="20">
        <v>46108</v>
      </c>
      <c r="P24" s="6"/>
      <c r="Q24" s="20">
        <v>46125</v>
      </c>
      <c r="R24" s="31"/>
      <c r="S24" s="29"/>
    </row>
    <row r="25" spans="1:19" ht="18" customHeight="1" x14ac:dyDescent="0.15">
      <c r="D25" s="25"/>
      <c r="E25" s="41"/>
      <c r="F25" s="41"/>
      <c r="G25" s="28"/>
      <c r="H25" s="25"/>
      <c r="I25" s="34"/>
      <c r="J25" s="34"/>
      <c r="K25" s="26"/>
      <c r="L25" s="42"/>
      <c r="M25" s="19"/>
      <c r="N25" s="3"/>
      <c r="O25" s="20"/>
      <c r="P25" s="6"/>
      <c r="Q25" s="20"/>
      <c r="R25" s="20"/>
      <c r="S25" s="11"/>
    </row>
    <row r="26" spans="1:19" ht="18" customHeight="1" x14ac:dyDescent="0.15">
      <c r="D26" s="25"/>
      <c r="E26" s="43"/>
      <c r="F26" s="43"/>
      <c r="G26" s="112">
        <f>SUM(J23:J25)</f>
        <v>4480</v>
      </c>
      <c r="H26" s="138"/>
      <c r="I26" s="138"/>
      <c r="J26" s="138"/>
      <c r="K26" s="37"/>
      <c r="L26" s="38"/>
      <c r="M26" s="19"/>
      <c r="N26" s="3"/>
      <c r="O26" s="20"/>
      <c r="P26" s="6"/>
      <c r="Q26" s="20"/>
      <c r="R26" s="20"/>
      <c r="S26" s="11"/>
    </row>
    <row r="27" spans="1:19" ht="18" customHeight="1" x14ac:dyDescent="0.15">
      <c r="D27" s="25"/>
      <c r="E27" s="50"/>
      <c r="F27" s="50"/>
      <c r="G27" s="51"/>
      <c r="H27" s="52"/>
      <c r="I27" s="53"/>
      <c r="J27" s="34"/>
      <c r="K27" s="25"/>
      <c r="L27" s="33"/>
      <c r="M27" s="56"/>
      <c r="N27" s="3"/>
      <c r="O27" s="20"/>
      <c r="P27" s="6"/>
      <c r="Q27" s="20"/>
      <c r="R27" s="20"/>
      <c r="S27" s="11"/>
    </row>
    <row r="28" spans="1:19" ht="18" customHeight="1" x14ac:dyDescent="0.15">
      <c r="A28" s="64"/>
      <c r="B28" s="64"/>
      <c r="C28" s="68"/>
      <c r="D28" s="18"/>
      <c r="E28" s="2"/>
      <c r="F28" s="2"/>
      <c r="G28" s="12"/>
      <c r="H28" s="23"/>
      <c r="I28" s="23"/>
      <c r="J28" s="16"/>
      <c r="K28" s="1"/>
      <c r="L28" s="12"/>
      <c r="M28" s="19"/>
      <c r="N28" s="3"/>
      <c r="O28" s="20"/>
      <c r="P28" s="6"/>
      <c r="Q28" s="20"/>
      <c r="R28" s="20"/>
      <c r="S28" s="11"/>
    </row>
    <row r="29" spans="1:19" ht="18" customHeight="1" x14ac:dyDescent="0.15">
      <c r="A29" s="64"/>
      <c r="B29" s="64"/>
      <c r="C29" s="68"/>
      <c r="D29" s="18"/>
      <c r="E29" s="2"/>
      <c r="F29" s="2"/>
      <c r="G29" s="12"/>
      <c r="H29" s="23"/>
      <c r="I29" s="23"/>
      <c r="J29" s="16"/>
      <c r="K29" s="1"/>
      <c r="L29" s="12"/>
      <c r="M29" s="19"/>
      <c r="N29" s="3"/>
      <c r="O29" s="20"/>
      <c r="P29" s="6"/>
      <c r="Q29" s="20"/>
      <c r="R29" s="20"/>
      <c r="S29" s="11"/>
    </row>
    <row r="30" spans="1:19" s="87" customFormat="1" ht="19.7" customHeight="1" x14ac:dyDescent="0.15">
      <c r="A30" s="5"/>
      <c r="B30" s="5"/>
      <c r="C30" s="5"/>
      <c r="D30" s="109"/>
      <c r="E30" s="142" t="s">
        <v>51</v>
      </c>
      <c r="F30" s="143"/>
      <c r="G30" s="144"/>
      <c r="H30" s="91"/>
      <c r="I30" s="83"/>
      <c r="J30" s="35"/>
      <c r="K30" s="37"/>
      <c r="L30" s="38"/>
      <c r="M30" s="60"/>
      <c r="N30" s="60"/>
      <c r="O30" s="84"/>
      <c r="P30" s="85"/>
      <c r="Q30" s="84"/>
      <c r="R30" s="84"/>
      <c r="S30" s="86"/>
    </row>
    <row r="31" spans="1:19" s="5" customFormat="1" ht="19.7" customHeight="1" x14ac:dyDescent="0.15">
      <c r="A31" s="88" t="s">
        <v>39</v>
      </c>
      <c r="B31" s="128" t="s">
        <v>71</v>
      </c>
      <c r="C31" s="25"/>
      <c r="D31" s="125">
        <f>+D24+1</f>
        <v>9</v>
      </c>
      <c r="E31" s="98" t="s">
        <v>47</v>
      </c>
      <c r="F31" s="99" t="s">
        <v>62</v>
      </c>
      <c r="G31" s="100" t="s">
        <v>57</v>
      </c>
      <c r="H31" s="108">
        <v>2</v>
      </c>
      <c r="I31" s="101">
        <v>4090</v>
      </c>
      <c r="J31" s="102">
        <f t="shared" ref="J31" si="4">H31*I31</f>
        <v>8180</v>
      </c>
      <c r="K31" s="26">
        <v>1</v>
      </c>
      <c r="L31" s="72" t="s">
        <v>52</v>
      </c>
      <c r="M31" s="139" t="s">
        <v>77</v>
      </c>
      <c r="N31" s="28"/>
      <c r="O31" s="89">
        <v>46108</v>
      </c>
      <c r="P31" s="27"/>
      <c r="Q31" s="89">
        <v>46125</v>
      </c>
      <c r="R31" s="89"/>
      <c r="S31" s="29">
        <v>46121</v>
      </c>
    </row>
    <row r="32" spans="1:19" s="5" customFormat="1" ht="19.7" customHeight="1" x14ac:dyDescent="0.15">
      <c r="A32" s="88" t="s">
        <v>37</v>
      </c>
      <c r="B32" s="128" t="s">
        <v>71</v>
      </c>
      <c r="C32" s="25"/>
      <c r="D32" s="125">
        <f>+D31+1</f>
        <v>10</v>
      </c>
      <c r="E32" s="98" t="s">
        <v>47</v>
      </c>
      <c r="F32" s="99" t="s">
        <v>62</v>
      </c>
      <c r="G32" s="100" t="s">
        <v>53</v>
      </c>
      <c r="H32" s="108">
        <v>2</v>
      </c>
      <c r="I32" s="101">
        <v>190</v>
      </c>
      <c r="J32" s="102">
        <f t="shared" ref="J32:J34" si="5">H32*I32</f>
        <v>380</v>
      </c>
      <c r="K32" s="26">
        <v>1</v>
      </c>
      <c r="L32" s="72" t="s">
        <v>54</v>
      </c>
      <c r="M32" s="139" t="s">
        <v>77</v>
      </c>
      <c r="N32" s="28"/>
      <c r="O32" s="89">
        <v>46108</v>
      </c>
      <c r="P32" s="27"/>
      <c r="Q32" s="89">
        <v>46125</v>
      </c>
      <c r="R32" s="89"/>
      <c r="S32" s="29">
        <v>46121</v>
      </c>
    </row>
    <row r="33" spans="1:19" s="5" customFormat="1" ht="19.7" customHeight="1" x14ac:dyDescent="0.15">
      <c r="A33" s="88" t="s">
        <v>37</v>
      </c>
      <c r="B33" s="128" t="s">
        <v>71</v>
      </c>
      <c r="C33" s="25"/>
      <c r="D33" s="125">
        <f>+D32+1</f>
        <v>11</v>
      </c>
      <c r="E33" s="98" t="s">
        <v>47</v>
      </c>
      <c r="F33" s="99" t="s">
        <v>62</v>
      </c>
      <c r="G33" s="100" t="s">
        <v>58</v>
      </c>
      <c r="H33" s="108">
        <v>2</v>
      </c>
      <c r="I33" s="101">
        <v>2930</v>
      </c>
      <c r="J33" s="102">
        <f t="shared" si="5"/>
        <v>5860</v>
      </c>
      <c r="K33" s="26">
        <v>1</v>
      </c>
      <c r="L33" s="72" t="s">
        <v>55</v>
      </c>
      <c r="M33" s="139" t="s">
        <v>77</v>
      </c>
      <c r="N33" s="28"/>
      <c r="O33" s="89">
        <v>46108</v>
      </c>
      <c r="P33" s="27"/>
      <c r="Q33" s="89">
        <v>46125</v>
      </c>
      <c r="R33" s="89"/>
      <c r="S33" s="29">
        <v>46121</v>
      </c>
    </row>
    <row r="34" spans="1:19" s="5" customFormat="1" ht="19.7" customHeight="1" x14ac:dyDescent="0.15">
      <c r="A34" s="88" t="s">
        <v>37</v>
      </c>
      <c r="B34" s="128" t="s">
        <v>71</v>
      </c>
      <c r="C34" s="25"/>
      <c r="D34" s="125">
        <f>+D33+1</f>
        <v>12</v>
      </c>
      <c r="E34" s="98" t="s">
        <v>47</v>
      </c>
      <c r="F34" s="99" t="s">
        <v>62</v>
      </c>
      <c r="G34" s="100" t="s">
        <v>59</v>
      </c>
      <c r="H34" s="108">
        <v>2</v>
      </c>
      <c r="I34" s="101">
        <v>470</v>
      </c>
      <c r="J34" s="102">
        <f t="shared" si="5"/>
        <v>940</v>
      </c>
      <c r="K34" s="26">
        <v>1</v>
      </c>
      <c r="L34" s="72" t="s">
        <v>56</v>
      </c>
      <c r="M34" s="139" t="s">
        <v>77</v>
      </c>
      <c r="N34" s="28"/>
      <c r="O34" s="89">
        <v>46108</v>
      </c>
      <c r="P34" s="27"/>
      <c r="Q34" s="89">
        <v>46125</v>
      </c>
      <c r="R34" s="89"/>
      <c r="S34" s="29">
        <v>46121</v>
      </c>
    </row>
    <row r="35" spans="1:19" s="5" customFormat="1" ht="19.7" customHeight="1" x14ac:dyDescent="0.15">
      <c r="A35" s="88" t="s">
        <v>37</v>
      </c>
      <c r="B35" s="128" t="s">
        <v>71</v>
      </c>
      <c r="C35" s="25">
        <f>0.01*H35</f>
        <v>0.02</v>
      </c>
      <c r="D35" s="125">
        <f>+D34+1</f>
        <v>13</v>
      </c>
      <c r="E35" s="129" t="s">
        <v>72</v>
      </c>
      <c r="F35" s="99" t="s">
        <v>73</v>
      </c>
      <c r="G35" s="130" t="s">
        <v>74</v>
      </c>
      <c r="H35" s="131">
        <v>2</v>
      </c>
      <c r="I35" s="132">
        <v>290</v>
      </c>
      <c r="J35" s="141">
        <f>H35*I35</f>
        <v>580</v>
      </c>
      <c r="K35" s="77">
        <v>1</v>
      </c>
      <c r="L35" s="133" t="s">
        <v>75</v>
      </c>
      <c r="M35" s="139" t="s">
        <v>77</v>
      </c>
      <c r="N35" s="28"/>
      <c r="O35" s="89">
        <v>46108</v>
      </c>
      <c r="P35" s="27"/>
      <c r="Q35" s="89">
        <v>46125</v>
      </c>
      <c r="R35" s="89"/>
      <c r="S35" s="29">
        <v>46121</v>
      </c>
    </row>
    <row r="36" spans="1:19" s="87" customFormat="1" ht="19.7" customHeight="1" x14ac:dyDescent="0.15">
      <c r="A36" s="25"/>
      <c r="B36" s="25"/>
      <c r="C36" s="25"/>
      <c r="D36" s="27"/>
      <c r="E36" s="27"/>
      <c r="F36" s="27"/>
      <c r="G36" s="93"/>
      <c r="H36" s="90"/>
      <c r="I36" s="65"/>
      <c r="J36" s="35"/>
      <c r="K36" s="37"/>
      <c r="L36" s="40"/>
      <c r="M36" s="139" t="s">
        <v>77</v>
      </c>
      <c r="N36" s="60"/>
      <c r="O36" s="84"/>
      <c r="P36" s="85"/>
      <c r="Q36" s="84"/>
      <c r="R36" s="84"/>
      <c r="S36" s="86"/>
    </row>
    <row r="37" spans="1:19" s="5" customFormat="1" ht="19.7" customHeight="1" x14ac:dyDescent="0.15">
      <c r="A37" s="25"/>
      <c r="B37" s="25"/>
      <c r="C37" s="25"/>
      <c r="D37" s="27"/>
      <c r="E37" s="36"/>
      <c r="F37" s="36"/>
      <c r="G37" s="92">
        <f>SUM(J31:J36)</f>
        <v>15940</v>
      </c>
      <c r="H37" s="90"/>
      <c r="I37" s="65"/>
      <c r="J37" s="35"/>
      <c r="K37" s="26"/>
      <c r="L37" s="33"/>
      <c r="M37" s="28"/>
      <c r="N37" s="28"/>
      <c r="O37" s="89"/>
      <c r="P37" s="27"/>
      <c r="Q37" s="89"/>
      <c r="R37" s="89"/>
      <c r="S37" s="29"/>
    </row>
    <row r="38" spans="1:19" s="5" customFormat="1" ht="19.7" customHeight="1" x14ac:dyDescent="0.15">
      <c r="A38" s="25"/>
      <c r="B38" s="25"/>
      <c r="C38" s="25"/>
      <c r="D38" s="27"/>
      <c r="E38" s="36"/>
      <c r="F38" s="36"/>
      <c r="G38" s="28"/>
      <c r="H38" s="90"/>
      <c r="I38" s="65"/>
      <c r="J38" s="35"/>
      <c r="K38" s="26"/>
      <c r="L38" s="33"/>
      <c r="M38" s="28"/>
      <c r="N38" s="28"/>
      <c r="O38" s="89"/>
      <c r="P38" s="27"/>
      <c r="Q38" s="89"/>
      <c r="R38" s="89"/>
      <c r="S38" s="29"/>
    </row>
    <row r="39" spans="1:19" ht="18" customHeight="1" x14ac:dyDescent="0.15">
      <c r="A39" s="64"/>
      <c r="B39" s="64"/>
      <c r="C39" s="68"/>
      <c r="D39" s="18"/>
      <c r="E39" s="2"/>
      <c r="F39" s="2"/>
      <c r="G39" s="12"/>
      <c r="H39" s="23"/>
      <c r="I39" s="23"/>
      <c r="J39" s="16"/>
      <c r="K39" s="1"/>
      <c r="L39" s="12"/>
      <c r="M39" s="19"/>
      <c r="N39" s="3"/>
      <c r="O39" s="20"/>
      <c r="P39" s="6"/>
      <c r="Q39" s="20"/>
      <c r="R39" s="20"/>
      <c r="S39" s="11"/>
    </row>
    <row r="40" spans="1:19" ht="18" customHeight="1" x14ac:dyDescent="0.15">
      <c r="A40" s="64"/>
      <c r="B40" s="64"/>
      <c r="C40" s="68"/>
      <c r="D40" s="18"/>
      <c r="E40" s="2"/>
      <c r="F40" s="2"/>
      <c r="G40" s="12"/>
      <c r="H40" s="23"/>
      <c r="I40" s="23"/>
      <c r="J40" s="16"/>
      <c r="K40" s="1"/>
      <c r="L40" s="12"/>
      <c r="M40" s="19"/>
      <c r="N40" s="3"/>
      <c r="O40" s="20"/>
      <c r="P40" s="6"/>
      <c r="Q40" s="20"/>
      <c r="R40" s="20"/>
      <c r="S40" s="11"/>
    </row>
    <row r="41" spans="1:19" ht="18" customHeight="1" x14ac:dyDescent="0.15">
      <c r="D41" s="18"/>
      <c r="E41" s="2"/>
      <c r="F41" s="2"/>
      <c r="G41" s="12"/>
      <c r="H41" s="23"/>
      <c r="I41" s="23"/>
      <c r="J41" s="16"/>
      <c r="K41" s="1"/>
      <c r="L41" s="12"/>
      <c r="M41" s="19"/>
      <c r="N41" s="3"/>
      <c r="O41" s="20"/>
      <c r="P41" s="6"/>
      <c r="Q41" s="20"/>
      <c r="R41" s="20"/>
      <c r="S41" s="11"/>
    </row>
    <row r="42" spans="1:19" ht="18" customHeight="1" x14ac:dyDescent="0.15">
      <c r="D42" s="18"/>
      <c r="E42" s="18"/>
      <c r="F42" s="18"/>
      <c r="G42" s="19" t="s">
        <v>22</v>
      </c>
      <c r="H42" s="16"/>
      <c r="I42" s="16"/>
      <c r="J42" s="16">
        <f>H42*I42</f>
        <v>0</v>
      </c>
      <c r="K42" s="10"/>
      <c r="L42" s="12" t="s">
        <v>23</v>
      </c>
      <c r="M42" s="21"/>
      <c r="N42" s="18"/>
      <c r="O42" s="20"/>
      <c r="P42" s="21"/>
      <c r="Q42" s="20"/>
      <c r="R42" s="20"/>
      <c r="S42" s="11"/>
    </row>
    <row r="43" spans="1:19" ht="18" customHeight="1" x14ac:dyDescent="0.15">
      <c r="C43" s="69">
        <v>4</v>
      </c>
      <c r="D43" s="80"/>
      <c r="E43" s="2"/>
      <c r="F43" s="2"/>
      <c r="G43" s="19" t="s">
        <v>23</v>
      </c>
      <c r="H43" s="16"/>
      <c r="I43" s="16">
        <v>5000</v>
      </c>
      <c r="J43" s="16">
        <f>H43*I43</f>
        <v>0</v>
      </c>
      <c r="K43" s="10"/>
      <c r="L43" s="12" t="s">
        <v>24</v>
      </c>
      <c r="M43" s="21"/>
      <c r="N43" s="18"/>
      <c r="O43" s="20"/>
      <c r="P43" s="21"/>
      <c r="Q43" s="20"/>
      <c r="R43" s="20"/>
      <c r="S43" s="6"/>
    </row>
    <row r="44" spans="1:19" ht="18" customHeight="1" x14ac:dyDescent="0.15">
      <c r="D44" s="18"/>
      <c r="E44" s="2"/>
      <c r="F44" s="2"/>
      <c r="G44" s="19" t="s">
        <v>24</v>
      </c>
      <c r="H44" s="16"/>
      <c r="I44" s="16"/>
      <c r="J44" s="16">
        <f>H44*I44</f>
        <v>0</v>
      </c>
      <c r="K44" s="10"/>
      <c r="L44" s="3"/>
      <c r="M44" s="21"/>
      <c r="N44" s="18"/>
      <c r="O44" s="18"/>
      <c r="P44" s="21"/>
      <c r="Q44" s="20"/>
      <c r="R44" s="6"/>
      <c r="S44" s="6"/>
    </row>
    <row r="45" spans="1:19" ht="18" customHeight="1" x14ac:dyDescent="0.15">
      <c r="D45" s="18"/>
      <c r="E45" s="2"/>
      <c r="F45" s="2"/>
      <c r="G45" s="145"/>
      <c r="H45" s="146"/>
      <c r="I45" s="146"/>
      <c r="J45" s="147"/>
      <c r="K45" s="4"/>
      <c r="L45" s="14"/>
    </row>
    <row r="46" spans="1:19" ht="18" customHeight="1" x14ac:dyDescent="0.15"/>
    <row r="47" spans="1:19" ht="18" customHeight="1" x14ac:dyDescent="0.15"/>
    <row r="48" spans="1:19" ht="18" customHeight="1" x14ac:dyDescent="0.15"/>
  </sheetData>
  <autoFilter ref="D8:Q48" xr:uid="{00000000-0009-0000-0000-000003000000}"/>
  <mergeCells count="13">
    <mergeCell ref="E30:G30"/>
    <mergeCell ref="G45:J45"/>
    <mergeCell ref="E22:G22"/>
    <mergeCell ref="D10:G10"/>
    <mergeCell ref="D2:F2"/>
    <mergeCell ref="I2:K2"/>
    <mergeCell ref="D3:F3"/>
    <mergeCell ref="D4:F4"/>
    <mergeCell ref="I4:L5"/>
    <mergeCell ref="D5:F5"/>
    <mergeCell ref="H5:H6"/>
    <mergeCell ref="D6:F6"/>
    <mergeCell ref="I6:L6"/>
  </mergeCells>
  <phoneticPr fontId="11"/>
  <dataValidations count="1">
    <dataValidation allowBlank="1" showInputMessage="1" showErrorMessage="1" sqref="L16:L19" xr:uid="{134F01E7-0580-4339-958D-A10FB7288CD1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8" sqref="G28"/>
    </sheetView>
  </sheetViews>
  <sheetFormatPr defaultColWidth="11.875" defaultRowHeight="13.5" customHeight="1" x14ac:dyDescent="0.15"/>
  <sheetData/>
  <phoneticPr fontId="11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11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SETB0316-A01② 2set (20260325)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2026-04-09T05:50:26Z</dcterms:modified>
</cp:coreProperties>
</file>