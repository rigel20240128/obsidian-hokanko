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E2D16589-38EA-441D-966B-83B2E2E3FD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312-A01③JR4604 20260408" sheetId="19" r:id="rId1"/>
    <sheet name="Sheet1" sheetId="16" r:id="rId2"/>
  </sheets>
  <definedNames>
    <definedName name="_xlnm._FilterDatabase" localSheetId="0" hidden="1">'SETB0312-A01③JR4604 20260408'!$G$9:$T$309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8" i="19" l="1"/>
  <c r="M201" i="19"/>
  <c r="G201" i="19"/>
  <c r="M172" i="19"/>
  <c r="M171" i="19"/>
  <c r="D172" i="19"/>
  <c r="D120" i="19"/>
  <c r="D119" i="19"/>
  <c r="D118" i="19"/>
  <c r="D117" i="19"/>
  <c r="D116" i="19"/>
  <c r="D115" i="19"/>
  <c r="D114" i="19"/>
  <c r="D113" i="19"/>
  <c r="M120" i="19"/>
  <c r="M119" i="19"/>
  <c r="M118" i="19"/>
  <c r="M117" i="19"/>
  <c r="M116" i="19"/>
  <c r="M115" i="19"/>
  <c r="M114" i="19"/>
  <c r="M113" i="19"/>
  <c r="M138" i="19"/>
  <c r="D138" i="19"/>
  <c r="M215" i="19"/>
  <c r="D105" i="19"/>
  <c r="M307" i="19"/>
  <c r="D307" i="19"/>
  <c r="M306" i="19" l="1"/>
  <c r="D306" i="19"/>
  <c r="M305" i="19"/>
  <c r="M304" i="19"/>
  <c r="D304" i="19"/>
  <c r="M303" i="19"/>
  <c r="D303" i="19"/>
  <c r="M302" i="19"/>
  <c r="M301" i="19"/>
  <c r="D301" i="19"/>
  <c r="M300" i="19"/>
  <c r="M299" i="19"/>
  <c r="D299" i="19"/>
  <c r="M298" i="19"/>
  <c r="D298" i="19"/>
  <c r="M297" i="19"/>
  <c r="D297" i="19"/>
  <c r="M296" i="19"/>
  <c r="D296" i="19"/>
  <c r="M295" i="19"/>
  <c r="D295" i="19"/>
  <c r="M294" i="19"/>
  <c r="D294" i="19"/>
  <c r="M293" i="19"/>
  <c r="D293" i="19"/>
  <c r="M292" i="19"/>
  <c r="D292" i="19"/>
  <c r="M291" i="19"/>
  <c r="D291" i="19"/>
  <c r="M290" i="19"/>
  <c r="D290" i="19"/>
  <c r="M289" i="19"/>
  <c r="D289" i="19"/>
  <c r="M288" i="19"/>
  <c r="D288" i="19"/>
  <c r="M287" i="19"/>
  <c r="D287" i="19"/>
  <c r="M286" i="19"/>
  <c r="D286" i="19"/>
  <c r="M285" i="19"/>
  <c r="D285" i="19"/>
  <c r="M284" i="19"/>
  <c r="D284" i="19"/>
  <c r="M283" i="19"/>
  <c r="D283" i="19"/>
  <c r="M282" i="19"/>
  <c r="D282" i="19"/>
  <c r="M281" i="19"/>
  <c r="D281" i="19"/>
  <c r="M280" i="19"/>
  <c r="D280" i="19"/>
  <c r="M279" i="19"/>
  <c r="D279" i="19"/>
  <c r="M278" i="19"/>
  <c r="D278" i="19"/>
  <c r="M277" i="19"/>
  <c r="D277" i="19"/>
  <c r="M276" i="19"/>
  <c r="D276" i="19"/>
  <c r="M275" i="19"/>
  <c r="D275" i="19"/>
  <c r="M274" i="19"/>
  <c r="D274" i="19"/>
  <c r="M273" i="19"/>
  <c r="D273" i="19"/>
  <c r="M272" i="19"/>
  <c r="D272" i="19"/>
  <c r="M271" i="19"/>
  <c r="D271" i="19"/>
  <c r="M270" i="19"/>
  <c r="D270" i="19"/>
  <c r="M269" i="19"/>
  <c r="D269" i="19"/>
  <c r="M268" i="19"/>
  <c r="D268" i="19"/>
  <c r="M267" i="19"/>
  <c r="D267" i="19"/>
  <c r="M266" i="19"/>
  <c r="D266" i="19"/>
  <c r="M258" i="19"/>
  <c r="D258" i="19"/>
  <c r="M257" i="19"/>
  <c r="M256" i="19"/>
  <c r="M255" i="19"/>
  <c r="M254" i="19"/>
  <c r="M253" i="19"/>
  <c r="M252" i="19"/>
  <c r="M251" i="19"/>
  <c r="M250" i="19"/>
  <c r="D250" i="19"/>
  <c r="M249" i="19"/>
  <c r="D249" i="19"/>
  <c r="M248" i="19"/>
  <c r="M247" i="19"/>
  <c r="D247" i="19"/>
  <c r="M246" i="19"/>
  <c r="D246" i="19"/>
  <c r="M245" i="19"/>
  <c r="D245" i="19"/>
  <c r="M244" i="19"/>
  <c r="D244" i="19"/>
  <c r="M243" i="19"/>
  <c r="D243" i="19"/>
  <c r="M242" i="19"/>
  <c r="D242" i="19"/>
  <c r="M241" i="19"/>
  <c r="D241" i="19"/>
  <c r="M240" i="19"/>
  <c r="D240" i="19"/>
  <c r="M239" i="19"/>
  <c r="M238" i="19"/>
  <c r="D238" i="19"/>
  <c r="M237" i="19"/>
  <c r="D237" i="19"/>
  <c r="M236" i="19"/>
  <c r="D236" i="19"/>
  <c r="M235" i="19"/>
  <c r="M234" i="19"/>
  <c r="D234" i="19"/>
  <c r="M233" i="19"/>
  <c r="D233" i="19"/>
  <c r="M232" i="19"/>
  <c r="D232" i="19"/>
  <c r="M231" i="19"/>
  <c r="D231" i="19"/>
  <c r="M230" i="19"/>
  <c r="D230" i="19"/>
  <c r="M229" i="19"/>
  <c r="D229" i="19"/>
  <c r="M228" i="19"/>
  <c r="D228" i="19"/>
  <c r="M227" i="19"/>
  <c r="D227" i="19"/>
  <c r="M226" i="19"/>
  <c r="D226" i="19"/>
  <c r="M225" i="19"/>
  <c r="D225" i="19"/>
  <c r="M224" i="19"/>
  <c r="D224" i="19"/>
  <c r="M216" i="19"/>
  <c r="D216" i="19"/>
  <c r="D215" i="19"/>
  <c r="M214" i="19"/>
  <c r="D214" i="19"/>
  <c r="M213" i="19"/>
  <c r="D213" i="19"/>
  <c r="M212" i="19"/>
  <c r="D212" i="19"/>
  <c r="M211" i="19"/>
  <c r="D211" i="19"/>
  <c r="M210" i="19"/>
  <c r="D210" i="19"/>
  <c r="M209" i="19"/>
  <c r="D209" i="19"/>
  <c r="M208" i="19"/>
  <c r="D208" i="19"/>
  <c r="M200" i="19"/>
  <c r="D200" i="19"/>
  <c r="M199" i="19"/>
  <c r="D199" i="19"/>
  <c r="M198" i="19"/>
  <c r="D198" i="19"/>
  <c r="M197" i="19"/>
  <c r="D197" i="19"/>
  <c r="M196" i="19"/>
  <c r="D196" i="19"/>
  <c r="M195" i="19"/>
  <c r="D195" i="19"/>
  <c r="M194" i="19"/>
  <c r="D194" i="19"/>
  <c r="M193" i="19"/>
  <c r="D193" i="19"/>
  <c r="M192" i="19"/>
  <c r="D192" i="19"/>
  <c r="M191" i="19"/>
  <c r="D191" i="19"/>
  <c r="M190" i="19"/>
  <c r="D190" i="19"/>
  <c r="M189" i="19"/>
  <c r="D189" i="19"/>
  <c r="M188" i="19"/>
  <c r="D188" i="19"/>
  <c r="M187" i="19"/>
  <c r="D187" i="19"/>
  <c r="M186" i="19"/>
  <c r="D186" i="19"/>
  <c r="M185" i="19"/>
  <c r="D185" i="19"/>
  <c r="M184" i="19"/>
  <c r="D184" i="19"/>
  <c r="M183" i="19"/>
  <c r="D183" i="19"/>
  <c r="M182" i="19"/>
  <c r="D182" i="19"/>
  <c r="M181" i="19"/>
  <c r="D181" i="19"/>
  <c r="M180" i="19"/>
  <c r="D180" i="19"/>
  <c r="M179" i="19"/>
  <c r="D179" i="19"/>
  <c r="M178" i="19"/>
  <c r="D178" i="19"/>
  <c r="M177" i="19"/>
  <c r="D177" i="19"/>
  <c r="M176" i="19"/>
  <c r="D176" i="19"/>
  <c r="M175" i="19"/>
  <c r="D175" i="19"/>
  <c r="M174" i="19"/>
  <c r="D174" i="19"/>
  <c r="M173" i="19"/>
  <c r="D173" i="19"/>
  <c r="D171" i="19"/>
  <c r="M170" i="19"/>
  <c r="D170" i="19"/>
  <c r="M169" i="19"/>
  <c r="D169" i="19"/>
  <c r="M168" i="19"/>
  <c r="D168" i="19"/>
  <c r="M167" i="19"/>
  <c r="D167" i="19"/>
  <c r="M166" i="19"/>
  <c r="D166" i="19"/>
  <c r="M165" i="19"/>
  <c r="D165" i="19"/>
  <c r="M164" i="19"/>
  <c r="D164" i="19"/>
  <c r="M163" i="19"/>
  <c r="D163" i="19"/>
  <c r="M162" i="19"/>
  <c r="D162" i="19"/>
  <c r="M161" i="19"/>
  <c r="D161" i="19"/>
  <c r="M160" i="19"/>
  <c r="D160" i="19"/>
  <c r="M159" i="19"/>
  <c r="D159" i="19"/>
  <c r="M158" i="19"/>
  <c r="D158" i="19"/>
  <c r="M157" i="19"/>
  <c r="D157" i="19"/>
  <c r="M156" i="19"/>
  <c r="D156" i="19"/>
  <c r="M155" i="19"/>
  <c r="D155" i="19"/>
  <c r="M154" i="19"/>
  <c r="D154" i="19"/>
  <c r="M153" i="19"/>
  <c r="D153" i="19"/>
  <c r="M152" i="19"/>
  <c r="D152" i="19"/>
  <c r="M151" i="19"/>
  <c r="D151" i="19"/>
  <c r="M150" i="19"/>
  <c r="D150" i="19"/>
  <c r="M149" i="19"/>
  <c r="D149" i="19"/>
  <c r="M142" i="19"/>
  <c r="D142" i="19"/>
  <c r="M141" i="19"/>
  <c r="D141" i="19"/>
  <c r="M140" i="19"/>
  <c r="D140" i="19"/>
  <c r="M139" i="19"/>
  <c r="D139" i="19"/>
  <c r="M137" i="19"/>
  <c r="D137" i="19"/>
  <c r="M136" i="19"/>
  <c r="D136" i="19"/>
  <c r="M135" i="19"/>
  <c r="D135" i="19"/>
  <c r="M134" i="19"/>
  <c r="D134" i="19"/>
  <c r="M133" i="19"/>
  <c r="D133" i="19"/>
  <c r="M132" i="19"/>
  <c r="D132" i="19"/>
  <c r="M131" i="19"/>
  <c r="D131" i="19"/>
  <c r="M130" i="19"/>
  <c r="D130" i="19"/>
  <c r="M129" i="19"/>
  <c r="D129" i="19"/>
  <c r="M128" i="19"/>
  <c r="D128" i="19"/>
  <c r="M127" i="19"/>
  <c r="D127" i="19"/>
  <c r="M112" i="19"/>
  <c r="D112" i="19"/>
  <c r="M111" i="19"/>
  <c r="D111" i="19"/>
  <c r="M110" i="19"/>
  <c r="D110" i="19"/>
  <c r="M109" i="19"/>
  <c r="D109" i="19"/>
  <c r="M108" i="19"/>
  <c r="D108" i="19"/>
  <c r="M107" i="19"/>
  <c r="D107" i="19"/>
  <c r="M106" i="19"/>
  <c r="D106" i="19"/>
  <c r="M105" i="19"/>
  <c r="M104" i="19"/>
  <c r="D104" i="19"/>
  <c r="M103" i="19"/>
  <c r="D103" i="19"/>
  <c r="M102" i="19"/>
  <c r="D102" i="19"/>
  <c r="M101" i="19"/>
  <c r="D101" i="19"/>
  <c r="M100" i="19"/>
  <c r="D100" i="19"/>
  <c r="M99" i="19"/>
  <c r="D99" i="19"/>
  <c r="M98" i="19"/>
  <c r="D98" i="19"/>
  <c r="M97" i="19"/>
  <c r="D97" i="19"/>
  <c r="M96" i="19"/>
  <c r="D96" i="19"/>
  <c r="M95" i="19"/>
  <c r="D95" i="19"/>
  <c r="M94" i="19"/>
  <c r="D94" i="19"/>
  <c r="M93" i="19"/>
  <c r="D93" i="19"/>
  <c r="M92" i="19"/>
  <c r="D92" i="19"/>
  <c r="M91" i="19"/>
  <c r="J122" i="19" s="1"/>
  <c r="D91" i="19"/>
  <c r="M85" i="19"/>
  <c r="D85" i="19"/>
  <c r="M84" i="19"/>
  <c r="D84" i="19"/>
  <c r="M83" i="19"/>
  <c r="D83" i="19"/>
  <c r="M82" i="19"/>
  <c r="D82" i="19"/>
  <c r="M81" i="19"/>
  <c r="D81" i="19"/>
  <c r="M80" i="19"/>
  <c r="D80" i="19"/>
  <c r="M79" i="19"/>
  <c r="D79" i="19"/>
  <c r="M78" i="19"/>
  <c r="D78" i="19"/>
  <c r="M77" i="19"/>
  <c r="D77" i="19"/>
  <c r="M76" i="19"/>
  <c r="D76" i="19"/>
  <c r="M75" i="19"/>
  <c r="D75" i="19"/>
  <c r="M74" i="19"/>
  <c r="D74" i="19"/>
  <c r="M73" i="19"/>
  <c r="D73" i="19"/>
  <c r="M72" i="19"/>
  <c r="D72" i="19"/>
  <c r="M71" i="19"/>
  <c r="D71" i="19"/>
  <c r="M70" i="19"/>
  <c r="D70" i="19"/>
  <c r="M69" i="19"/>
  <c r="D69" i="19"/>
  <c r="M68" i="19"/>
  <c r="D68" i="19"/>
  <c r="M67" i="19"/>
  <c r="D67" i="19"/>
  <c r="M66" i="19"/>
  <c r="D66" i="19"/>
  <c r="M65" i="19"/>
  <c r="D65" i="19"/>
  <c r="M64" i="19"/>
  <c r="D64" i="19"/>
  <c r="M63" i="19"/>
  <c r="D63" i="19"/>
  <c r="M62" i="19"/>
  <c r="D62" i="19"/>
  <c r="M54" i="19"/>
  <c r="D54" i="19"/>
  <c r="M53" i="19"/>
  <c r="D53" i="19"/>
  <c r="M52" i="19"/>
  <c r="D52" i="19"/>
  <c r="M51" i="19"/>
  <c r="D51" i="19"/>
  <c r="M50" i="19"/>
  <c r="D50" i="19"/>
  <c r="M49" i="19"/>
  <c r="D49" i="19"/>
  <c r="M48" i="19"/>
  <c r="D48" i="19"/>
  <c r="M47" i="19"/>
  <c r="D47" i="19"/>
  <c r="M46" i="19"/>
  <c r="D46" i="19"/>
  <c r="M45" i="19"/>
  <c r="D45" i="19"/>
  <c r="M44" i="19"/>
  <c r="D44" i="19"/>
  <c r="M37" i="19"/>
  <c r="D37" i="19"/>
  <c r="M36" i="19"/>
  <c r="D36" i="19"/>
  <c r="M35" i="19"/>
  <c r="D35" i="19"/>
  <c r="M34" i="19"/>
  <c r="D34" i="19"/>
  <c r="M33" i="19"/>
  <c r="D33" i="19"/>
  <c r="M32" i="19"/>
  <c r="D32" i="19"/>
  <c r="M31" i="19"/>
  <c r="D31" i="19"/>
  <c r="M30" i="19"/>
  <c r="D30" i="19"/>
  <c r="M29" i="19"/>
  <c r="D29" i="19"/>
  <c r="M28" i="19"/>
  <c r="D28" i="19"/>
  <c r="M27" i="19"/>
  <c r="D27" i="19"/>
  <c r="M26" i="19"/>
  <c r="D26" i="19"/>
  <c r="M25" i="19"/>
  <c r="D25" i="19"/>
  <c r="M24" i="19"/>
  <c r="D24" i="19"/>
  <c r="M23" i="19"/>
  <c r="D23" i="19"/>
  <c r="M22" i="19"/>
  <c r="D22" i="19"/>
  <c r="M21" i="19"/>
  <c r="D21" i="19"/>
  <c r="M20" i="19"/>
  <c r="D20" i="19"/>
  <c r="M19" i="19"/>
  <c r="D19" i="19"/>
  <c r="M18" i="19"/>
  <c r="D18" i="19"/>
  <c r="M17" i="19"/>
  <c r="D17" i="19"/>
  <c r="M16" i="19"/>
  <c r="D16" i="19"/>
  <c r="M15" i="19"/>
  <c r="D15" i="19"/>
  <c r="D12" i="19"/>
  <c r="G16" i="19"/>
  <c r="G17" i="19" s="1"/>
  <c r="G18" i="19" s="1"/>
  <c r="G19" i="19" s="1"/>
  <c r="G20" i="19" s="1"/>
  <c r="G21" i="19" s="1"/>
  <c r="G22" i="19" s="1"/>
  <c r="G23" i="19" s="1"/>
  <c r="G24" i="19" s="1"/>
  <c r="G25" i="19" s="1"/>
  <c r="G26" i="19" s="1"/>
  <c r="G27" i="19" s="1"/>
  <c r="G28" i="19" s="1"/>
  <c r="G29" i="19" s="1"/>
  <c r="G30" i="19" s="1"/>
  <c r="G31" i="19" s="1"/>
  <c r="G32" i="19" s="1"/>
  <c r="G33" i="19" s="1"/>
  <c r="G34" i="19" s="1"/>
  <c r="G35" i="19" s="1"/>
  <c r="G36" i="19" s="1"/>
  <c r="G37" i="19" s="1"/>
  <c r="G44" i="19" l="1"/>
  <c r="G45" i="19" s="1"/>
  <c r="G46" i="19" s="1"/>
  <c r="G47" i="19" s="1"/>
  <c r="G48" i="19" s="1"/>
  <c r="G49" i="19" s="1"/>
  <c r="G50" i="19" s="1"/>
  <c r="G51" i="19" s="1"/>
  <c r="G52" i="19" s="1"/>
  <c r="G53" i="19" s="1"/>
  <c r="G54" i="19" s="1"/>
  <c r="J39" i="19"/>
  <c r="J56" i="19"/>
  <c r="J87" i="19"/>
  <c r="J218" i="19"/>
  <c r="D261" i="19"/>
  <c r="D313" i="19"/>
  <c r="J261" i="19"/>
  <c r="O2" i="19"/>
  <c r="D219" i="19"/>
  <c r="J144" i="19"/>
  <c r="J203" i="19"/>
  <c r="J312" i="19"/>
  <c r="G62" i="19" l="1"/>
  <c r="G63" i="19" s="1"/>
  <c r="G64" i="19" s="1"/>
  <c r="G65" i="19" s="1"/>
  <c r="G66" i="19" s="1"/>
  <c r="G67" i="19" s="1"/>
  <c r="G68" i="19" s="1"/>
  <c r="G69" i="19" s="1"/>
  <c r="G70" i="19" s="1"/>
  <c r="G71" i="19" s="1"/>
  <c r="G72" i="19" s="1"/>
  <c r="G73" i="19" s="1"/>
  <c r="G74" i="19" s="1"/>
  <c r="G75" i="19" s="1"/>
  <c r="G76" i="19" s="1"/>
  <c r="G77" i="19" s="1"/>
  <c r="G78" i="19" s="1"/>
  <c r="G79" i="19" s="1"/>
  <c r="G80" i="19" s="1"/>
  <c r="G81" i="19" s="1"/>
  <c r="G82" i="19" s="1"/>
  <c r="G83" i="19" s="1"/>
  <c r="G84" i="19" s="1"/>
  <c r="G85" i="19" s="1"/>
  <c r="D319" i="19"/>
  <c r="J20" i="16" l="1"/>
  <c r="G91" i="19" l="1"/>
  <c r="G92" i="19" s="1"/>
  <c r="G93" i="19" s="1"/>
  <c r="G94" i="19" s="1"/>
  <c r="G95" i="19" s="1"/>
  <c r="G96" i="19" s="1"/>
  <c r="G97" i="19" s="1"/>
  <c r="G98" i="19" s="1"/>
  <c r="G99" i="19" s="1"/>
  <c r="G100" i="19" s="1"/>
  <c r="G101" i="19" s="1"/>
  <c r="G102" i="19" s="1"/>
  <c r="G103" i="19" s="1"/>
  <c r="G104" i="19" s="1"/>
  <c r="G105" i="19" s="1"/>
  <c r="G106" i="19" s="1"/>
  <c r="G107" i="19" s="1"/>
  <c r="G108" i="19" s="1"/>
  <c r="G109" i="19" s="1"/>
  <c r="G110" i="19" s="1"/>
  <c r="G111" i="19" s="1"/>
  <c r="G112" i="19" s="1"/>
  <c r="G113" i="19" s="1"/>
  <c r="G114" i="19" s="1"/>
  <c r="G115" i="19" s="1"/>
  <c r="G116" i="19" s="1"/>
  <c r="G117" i="19" s="1"/>
  <c r="G118" i="19" s="1"/>
  <c r="G119" i="19" s="1"/>
  <c r="G120" i="19" s="1"/>
  <c r="G127" i="19" l="1"/>
  <c r="G128" i="19" s="1"/>
  <c r="G129" i="19" l="1"/>
  <c r="G130" i="19" s="1"/>
  <c r="G131" i="19" s="1"/>
  <c r="G132" i="19" s="1"/>
  <c r="G133" i="19" s="1"/>
  <c r="G134" i="19" s="1"/>
  <c r="G135" i="19" s="1"/>
  <c r="G136" i="19" s="1"/>
  <c r="G137" i="19" s="1"/>
  <c r="G138" i="19" s="1"/>
  <c r="G139" i="19" s="1"/>
  <c r="G140" i="19" s="1"/>
  <c r="G141" i="19" s="1"/>
  <c r="G142" i="19" s="1"/>
  <c r="G149" i="19" s="1"/>
  <c r="G150" i="19" s="1"/>
  <c r="G151" i="19" s="1"/>
  <c r="G152" i="19" s="1"/>
  <c r="G153" i="19" s="1"/>
  <c r="G154" i="19" s="1"/>
  <c r="G155" i="19" s="1"/>
  <c r="G156" i="19" s="1"/>
  <c r="G157" i="19" s="1"/>
  <c r="G158" i="19" s="1"/>
  <c r="G159" i="19" s="1"/>
  <c r="G160" i="19" s="1"/>
  <c r="G161" i="19" s="1"/>
  <c r="G162" i="19" s="1"/>
  <c r="G163" i="19" s="1"/>
  <c r="G164" i="19" s="1"/>
  <c r="G165" i="19" s="1"/>
  <c r="G166" i="19" s="1"/>
  <c r="G167" i="19" s="1"/>
  <c r="G168" i="19" s="1"/>
  <c r="G169" i="19" s="1"/>
  <c r="G170" i="19" s="1"/>
  <c r="G171" i="19" s="1"/>
  <c r="G172" i="19" s="1"/>
  <c r="G173" i="19" s="1"/>
  <c r="G174" i="19" s="1"/>
  <c r="G175" i="19" s="1"/>
  <c r="G176" i="19" s="1"/>
  <c r="G177" i="19" s="1"/>
  <c r="G178" i="19" s="1"/>
  <c r="G179" i="19" s="1"/>
  <c r="G180" i="19" s="1"/>
  <c r="G181" i="19" s="1"/>
  <c r="G182" i="19" s="1"/>
  <c r="G183" i="19" s="1"/>
  <c r="G184" i="19" s="1"/>
  <c r="G185" i="19" s="1"/>
  <c r="G186" i="19" s="1"/>
  <c r="G187" i="19" l="1"/>
  <c r="G188" i="19" s="1"/>
  <c r="G189" i="19" s="1"/>
  <c r="G190" i="19" s="1"/>
  <c r="G191" i="19" s="1"/>
  <c r="G192" i="19" s="1"/>
  <c r="G193" i="19" s="1"/>
  <c r="G194" i="19" s="1"/>
  <c r="G195" i="19" s="1"/>
  <c r="G196" i="19" s="1"/>
  <c r="G197" i="19" s="1"/>
  <c r="G198" i="19" s="1"/>
  <c r="G199" i="19" s="1"/>
  <c r="G200" i="19" s="1"/>
  <c r="G209" i="19" s="1"/>
  <c r="G210" i="19" s="1"/>
  <c r="G211" i="19" s="1"/>
  <c r="G212" i="19" s="1"/>
  <c r="G213" i="19" s="1"/>
  <c r="G214" i="19" s="1"/>
  <c r="G215" i="19" s="1"/>
  <c r="G216" i="19" s="1"/>
  <c r="G224" i="19" s="1"/>
  <c r="G225" i="19" s="1"/>
  <c r="G226" i="19" s="1"/>
  <c r="G227" i="19" s="1"/>
  <c r="G228" i="19" s="1"/>
  <c r="G229" i="19" s="1"/>
  <c r="G230" i="19" s="1"/>
  <c r="G231" i="19" s="1"/>
  <c r="G232" i="19" s="1"/>
  <c r="G233" i="19" s="1"/>
  <c r="G234" i="19" s="1"/>
  <c r="G235" i="19" s="1"/>
  <c r="G236" i="19" s="1"/>
  <c r="G237" i="19" s="1"/>
  <c r="G238" i="19" s="1"/>
  <c r="G239" i="19" s="1"/>
  <c r="G240" i="19" s="1"/>
  <c r="G241" i="19" s="1"/>
  <c r="G242" i="19" s="1"/>
  <c r="G243" i="19" s="1"/>
  <c r="G244" i="19" s="1"/>
  <c r="G245" i="19" s="1"/>
  <c r="G246" i="19" s="1"/>
  <c r="G247" i="19" s="1"/>
  <c r="G248" i="19" s="1"/>
  <c r="G249" i="19" s="1"/>
  <c r="G250" i="19" s="1"/>
  <c r="G251" i="19" s="1"/>
  <c r="G252" i="19" s="1"/>
  <c r="G253" i="19" s="1"/>
  <c r="G254" i="19" s="1"/>
  <c r="G255" i="19" s="1"/>
  <c r="G256" i="19" s="1"/>
  <c r="G257" i="19" s="1"/>
  <c r="G258" i="19" s="1"/>
  <c r="G266" i="19" s="1"/>
  <c r="G267" i="19" s="1"/>
  <c r="G268" i="19" s="1"/>
  <c r="G269" i="19" s="1"/>
  <c r="G270" i="19" s="1"/>
  <c r="G271" i="19" s="1"/>
  <c r="G272" i="19" s="1"/>
  <c r="G273" i="19" s="1"/>
  <c r="G274" i="19" s="1"/>
  <c r="G275" i="19" s="1"/>
  <c r="G276" i="19" s="1"/>
  <c r="G277" i="19" s="1"/>
  <c r="G278" i="19" s="1"/>
  <c r="G279" i="19" s="1"/>
  <c r="G280" i="19" s="1"/>
  <c r="G281" i="19" s="1"/>
  <c r="G282" i="19" s="1"/>
  <c r="G283" i="19" s="1"/>
  <c r="G284" i="19" s="1"/>
  <c r="G285" i="19" s="1"/>
  <c r="G286" i="19" s="1"/>
  <c r="G287" i="19" s="1"/>
  <c r="G288" i="19" s="1"/>
  <c r="G289" i="19" s="1"/>
  <c r="G290" i="19" s="1"/>
  <c r="G291" i="19" s="1"/>
  <c r="G292" i="19" s="1"/>
  <c r="G293" i="19" s="1"/>
  <c r="G294" i="19" s="1"/>
  <c r="G295" i="19" s="1"/>
  <c r="G296" i="19" s="1"/>
  <c r="G297" i="19" s="1"/>
  <c r="G298" i="19" s="1"/>
  <c r="G299" i="19" s="1"/>
  <c r="G300" i="19" s="1"/>
  <c r="G301" i="19" s="1"/>
  <c r="G302" i="19" s="1"/>
  <c r="G303" i="19" s="1"/>
  <c r="G304" i="19" s="1"/>
  <c r="G305" i="19" s="1"/>
  <c r="G306" i="19" s="1"/>
  <c r="G307" i="19" s="1"/>
  <c r="M29" i="16"/>
</calcChain>
</file>

<file path=xl/sharedStrings.xml><?xml version="1.0" encoding="utf-8"?>
<sst xmlns="http://schemas.openxmlformats.org/spreadsheetml/2006/main" count="1812" uniqueCount="542">
  <si>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</si>
  <si>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</si>
  <si>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</si>
  <si>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</si>
  <si>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</si>
  <si>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</si>
  <si>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</si>
  <si>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</si>
  <si>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</si>
  <si>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</si>
  <si>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</si>
  <si>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</si>
  <si>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</si>
  <si>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</si>
  <si>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</si>
  <si>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</si>
  <si>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</si>
  <si>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</si>
  <si>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</si>
  <si>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</si>
  <si>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</si>
  <si>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</si>
  <si>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</si>
  <si>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1日目</t>
    <rPh sb="1" eb="3">
      <t>ヒメ</t>
    </rPh>
    <phoneticPr fontId="2"/>
  </si>
  <si>
    <t>ミスミ</t>
    <phoneticPr fontId="2"/>
  </si>
  <si>
    <t>配電BOXﾕﾆｯﾄ</t>
    <phoneticPr fontId="2"/>
  </si>
  <si>
    <t>浸け置きﾕﾆｯﾄ</t>
    <rPh sb="0" eb="1">
      <t>ツ</t>
    </rPh>
    <rPh sb="2" eb="3">
      <t>オ</t>
    </rPh>
    <phoneticPr fontId="2"/>
  </si>
  <si>
    <t>1日目</t>
    <rPh sb="1" eb="2">
      <t>ヒ</t>
    </rPh>
    <rPh sb="2" eb="3">
      <t>メ</t>
    </rPh>
    <phoneticPr fontId="2"/>
  </si>
  <si>
    <t>CHNS4</t>
    <phoneticPr fontId="2"/>
  </si>
  <si>
    <t>CRKB4-8</t>
    <phoneticPr fontId="2"/>
  </si>
  <si>
    <t>ﾐｽﾐ</t>
    <phoneticPr fontId="2"/>
  </si>
  <si>
    <t>KBXS100-100</t>
    <phoneticPr fontId="2"/>
  </si>
  <si>
    <t>金属BOX</t>
    <phoneticPr fontId="2"/>
  </si>
  <si>
    <t>MS3-6</t>
    <phoneticPr fontId="16"/>
  </si>
  <si>
    <t>RSCB4-15</t>
    <phoneticPr fontId="2"/>
  </si>
  <si>
    <t>3日目</t>
    <rPh sb="1" eb="2">
      <t>ヒ</t>
    </rPh>
    <rPh sb="2" eb="3">
      <t>メ</t>
    </rPh>
    <phoneticPr fontId="2"/>
  </si>
  <si>
    <t>3日間</t>
    <rPh sb="1" eb="2">
      <t>ヒ</t>
    </rPh>
    <rPh sb="2" eb="3">
      <t>カン</t>
    </rPh>
    <phoneticPr fontId="16"/>
  </si>
  <si>
    <t>meviy</t>
    <phoneticPr fontId="2"/>
  </si>
  <si>
    <t>ミスミ</t>
  </si>
  <si>
    <t>ツ－ル治具部分</t>
  </si>
  <si>
    <t>8日目</t>
    <rPh sb="1" eb="2">
      <t>ヒ</t>
    </rPh>
    <rPh sb="2" eb="3">
      <t>メ</t>
    </rPh>
    <phoneticPr fontId="2"/>
  </si>
  <si>
    <t>1日間</t>
    <rPh sb="1" eb="2">
      <t>ヒ</t>
    </rPh>
    <rPh sb="2" eb="3">
      <t>カン</t>
    </rPh>
    <phoneticPr fontId="16"/>
  </si>
  <si>
    <t>MWS-DS37A-HT37</t>
    <phoneticPr fontId="2"/>
  </si>
  <si>
    <t>DINレール</t>
    <phoneticPr fontId="2"/>
  </si>
  <si>
    <t>漏電ブレーカ</t>
    <rPh sb="0" eb="2">
      <t>ロウデン</t>
    </rPh>
    <phoneticPr fontId="2"/>
  </si>
  <si>
    <t>TBS-22</t>
    <phoneticPr fontId="2"/>
  </si>
  <si>
    <t>三沢電線</t>
    <rPh sb="0" eb="2">
      <t>ミサワ</t>
    </rPh>
    <rPh sb="2" eb="4">
      <t>デンセン</t>
    </rPh>
    <phoneticPr fontId="2"/>
  </si>
  <si>
    <t>UL1007-18AWG-R-10</t>
    <phoneticPr fontId="2"/>
  </si>
  <si>
    <t>単芯電線　　0.75　AGW18　赤色</t>
    <rPh sb="0" eb="1">
      <t>タン</t>
    </rPh>
    <rPh sb="1" eb="2">
      <t>シン</t>
    </rPh>
    <rPh sb="2" eb="4">
      <t>デンセン</t>
    </rPh>
    <rPh sb="17" eb="19">
      <t>アカイロ</t>
    </rPh>
    <phoneticPr fontId="2"/>
  </si>
  <si>
    <t>UL1007-18AWG-BK-10</t>
    <phoneticPr fontId="2"/>
  </si>
  <si>
    <t>単芯電線　　0.75　AGW18　黒色</t>
    <rPh sb="0" eb="1">
      <t>タン</t>
    </rPh>
    <rPh sb="1" eb="2">
      <t>シン</t>
    </rPh>
    <rPh sb="2" eb="4">
      <t>デンセン</t>
    </rPh>
    <rPh sb="17" eb="19">
      <t>コクショク</t>
    </rPh>
    <phoneticPr fontId="2"/>
  </si>
  <si>
    <t>ADR-361-JP</t>
    <phoneticPr fontId="2"/>
  </si>
  <si>
    <t>B-1100-3</t>
    <phoneticPr fontId="16"/>
  </si>
  <si>
    <t>SFB3-5</t>
    <phoneticPr fontId="16"/>
  </si>
  <si>
    <t>MS2-6</t>
    <phoneticPr fontId="16"/>
  </si>
  <si>
    <t>MSC2-4</t>
    <phoneticPr fontId="16"/>
  </si>
  <si>
    <t>UNST5-40</t>
    <phoneticPr fontId="16"/>
  </si>
  <si>
    <t>EBS-32FB-15A</t>
    <phoneticPr fontId="2"/>
  </si>
  <si>
    <t>ﾜｺﾞ</t>
    <phoneticPr fontId="2"/>
  </si>
  <si>
    <t>2002-1301</t>
    <phoneticPr fontId="2"/>
  </si>
  <si>
    <t>DINレール用中継端子台 2002シリーズ　ｸﾞﾚｰ色　　6個</t>
    <rPh sb="26" eb="27">
      <t>ショク</t>
    </rPh>
    <rPh sb="30" eb="31">
      <t>コ</t>
    </rPh>
    <phoneticPr fontId="2"/>
  </si>
  <si>
    <t>2002-1307</t>
    <phoneticPr fontId="2"/>
  </si>
  <si>
    <t>DINレール用中継端子台 2002シリーズ　ｱｰｽ用ｸﾞﾘｰﾝ色　3個</t>
    <rPh sb="25" eb="26">
      <t>ヨウ</t>
    </rPh>
    <rPh sb="31" eb="32">
      <t>イロ</t>
    </rPh>
    <rPh sb="34" eb="35">
      <t>コ</t>
    </rPh>
    <phoneticPr fontId="2"/>
  </si>
  <si>
    <t>中継用端子台 差込型ジャンパ（絶縁） 2002シリーズ用　3個</t>
    <rPh sb="30" eb="31">
      <t>コ</t>
    </rPh>
    <phoneticPr fontId="2"/>
  </si>
  <si>
    <t>2002-1391</t>
    <phoneticPr fontId="2"/>
  </si>
  <si>
    <t>中継用端子台用エンドプレート　　4個</t>
    <rPh sb="17" eb="18">
      <t>コ</t>
    </rPh>
    <phoneticPr fontId="2"/>
  </si>
  <si>
    <t>部材重さkg</t>
    <rPh sb="0" eb="2">
      <t>ブザイ</t>
    </rPh>
    <rPh sb="2" eb="3">
      <t>オモ</t>
    </rPh>
    <phoneticPr fontId="2"/>
  </si>
  <si>
    <t>上下架台以外の重量</t>
    <rPh sb="0" eb="2">
      <t>ジョウゲ</t>
    </rPh>
    <rPh sb="2" eb="4">
      <t>カダイ</t>
    </rPh>
    <rPh sb="4" eb="6">
      <t>イガイ</t>
    </rPh>
    <rPh sb="7" eb="9">
      <t>ジュウリョウ</t>
    </rPh>
    <phoneticPr fontId="2"/>
  </si>
  <si>
    <t>kg</t>
    <phoneticPr fontId="2"/>
  </si>
  <si>
    <t>安全ｶﾊﾞｰﾕﾆｯﾄ</t>
    <rPh sb="0" eb="2">
      <t>アンゼン</t>
    </rPh>
    <phoneticPr fontId="2"/>
  </si>
  <si>
    <t xml:space="preserve">SPWF8 </t>
    <phoneticPr fontId="2"/>
  </si>
  <si>
    <t>平座金－単品販売－</t>
    <phoneticPr fontId="2"/>
  </si>
  <si>
    <t>SPWF6</t>
    <phoneticPr fontId="2"/>
  </si>
  <si>
    <t>HBLFSN6-C-SET　</t>
    <phoneticPr fontId="2"/>
  </si>
  <si>
    <t>　突起付反転ブラケット</t>
    <phoneticPr fontId="2"/>
  </si>
  <si>
    <t>安全ｶﾊﾞｰ部</t>
    <rPh sb="0" eb="2">
      <t>アンゼン</t>
    </rPh>
    <rPh sb="6" eb="7">
      <t>ブ</t>
    </rPh>
    <phoneticPr fontId="2"/>
  </si>
  <si>
    <t>HCBR6　</t>
    <phoneticPr fontId="2"/>
  </si>
  <si>
    <t>パネルサポートブラケット</t>
    <phoneticPr fontId="2"/>
  </si>
  <si>
    <t>HFC6-3030-S</t>
    <phoneticPr fontId="2"/>
  </si>
  <si>
    <t>６シリーズ（溝幅８ｍｍ）　アルミフレーム用フレームキャップ</t>
    <phoneticPr fontId="2"/>
  </si>
  <si>
    <t>アルミフレーム　６シリーズ　正方形　３０×３０ｍｍ　１列溝　４面溝</t>
    <phoneticPr fontId="2"/>
  </si>
  <si>
    <t>HSJNS6</t>
    <phoneticPr fontId="2"/>
  </si>
  <si>
    <t>６シリーズ（溝幅８ｍｍ）ブラインドジョイント部品　シングルジョイントキット</t>
    <phoneticPr fontId="2"/>
  </si>
  <si>
    <t>SCB6-20</t>
    <phoneticPr fontId="2"/>
  </si>
  <si>
    <t>六角穴付ボルト－ステンレス　 (M6×20)　　6本使用</t>
    <rPh sb="25" eb="26">
      <t>ホン</t>
    </rPh>
    <rPh sb="26" eb="28">
      <t>シヨウ</t>
    </rPh>
    <phoneticPr fontId="2"/>
  </si>
  <si>
    <t>排気ﾌﾗﾝｼﾞ固定用</t>
    <phoneticPr fontId="2"/>
  </si>
  <si>
    <t>スパイラルダクト継手 フランジカラー</t>
    <phoneticPr fontId="2"/>
  </si>
  <si>
    <t>スパイラルダクト継手 フランジ ﾌﾟﾚｰﾄ</t>
    <phoneticPr fontId="2"/>
  </si>
  <si>
    <t>SLBNR6</t>
    <phoneticPr fontId="2"/>
  </si>
  <si>
    <t>ナット</t>
    <phoneticPr fontId="2"/>
  </si>
  <si>
    <t>SHCBM5-12　</t>
    <phoneticPr fontId="2"/>
  </si>
  <si>
    <t>ﾄﾗｽﾄﾈｼﾞ</t>
    <phoneticPr fontId="2"/>
  </si>
  <si>
    <t>SHCBM5-15　</t>
    <phoneticPr fontId="2"/>
  </si>
  <si>
    <t>SUNCO</t>
    <phoneticPr fontId="2"/>
  </si>
  <si>
    <t>架台部分</t>
    <rPh sb="0" eb="2">
      <t>カダイ</t>
    </rPh>
    <rPh sb="2" eb="4">
      <t>ブブン</t>
    </rPh>
    <phoneticPr fontId="2"/>
  </si>
  <si>
    <t>BSLG6</t>
    <phoneticPr fontId="2"/>
  </si>
  <si>
    <t>日本ピスコ</t>
    <rPh sb="0" eb="2">
      <t>ニホン</t>
    </rPh>
    <phoneticPr fontId="2"/>
  </si>
  <si>
    <t>一般配管用 チューブフィッティング ダブルブランチエイ</t>
    <phoneticPr fontId="2"/>
  </si>
  <si>
    <t>安全ｶﾊﾞｰ（上部架台）</t>
    <rPh sb="0" eb="2">
      <t>アンゼン</t>
    </rPh>
    <rPh sb="7" eb="9">
      <t>ジョウブ</t>
    </rPh>
    <rPh sb="9" eb="11">
      <t>カダイ</t>
    </rPh>
    <phoneticPr fontId="2"/>
  </si>
  <si>
    <t>TOTAL重量</t>
    <rPh sb="5" eb="7">
      <t>ジュウリョウ</t>
    </rPh>
    <phoneticPr fontId="2"/>
  </si>
  <si>
    <t>HFCN6PACK-S</t>
    <phoneticPr fontId="16"/>
  </si>
  <si>
    <t>ケーブルクランプひし形タイプ</t>
    <phoneticPr fontId="16"/>
  </si>
  <si>
    <t>ワンタッチ継手　Ｙタイプ</t>
    <phoneticPr fontId="2"/>
  </si>
  <si>
    <t>MKBシリーズ　止め金具【10個入り】</t>
    <phoneticPr fontId="2"/>
  </si>
  <si>
    <t>MKS9L-10P</t>
    <phoneticPr fontId="2"/>
  </si>
  <si>
    <t>SCB4-6</t>
    <phoneticPr fontId="2"/>
  </si>
  <si>
    <t>六角ﾎﾞﾙﾄ</t>
    <phoneticPr fontId="2"/>
  </si>
  <si>
    <t>蝶ﾅｯﾄ</t>
    <phoneticPr fontId="2"/>
  </si>
  <si>
    <t>10日目</t>
    <rPh sb="2" eb="3">
      <t>ヒ</t>
    </rPh>
    <rPh sb="3" eb="4">
      <t>メ</t>
    </rPh>
    <phoneticPr fontId="2"/>
  </si>
  <si>
    <t>ノックピン　－プラス公差　2本</t>
    <rPh sb="14" eb="15">
      <t>ホン</t>
    </rPh>
    <phoneticPr fontId="2"/>
  </si>
  <si>
    <t>MVTUP-SUB-3GK-HD2S8</t>
    <phoneticPr fontId="16"/>
  </si>
  <si>
    <t>SETB0178-Z06　30ccｶｯﾌﾟsus材　20230803</t>
    <phoneticPr fontId="2"/>
  </si>
  <si>
    <t>蝶ﾅｯﾄ　　1本</t>
    <rPh sb="7" eb="8">
      <t>ホン</t>
    </rPh>
    <phoneticPr fontId="2"/>
  </si>
  <si>
    <t>日産ﾈｼﾞ</t>
    <phoneticPr fontId="2"/>
  </si>
  <si>
    <t>CSHSM-SUS-M3-5</t>
    <phoneticPr fontId="2"/>
  </si>
  <si>
    <t>小頭ﾈｼﾞ　　2個</t>
    <rPh sb="8" eb="9">
      <t>コ</t>
    </rPh>
    <phoneticPr fontId="2"/>
  </si>
  <si>
    <t>FNT3</t>
    <phoneticPr fontId="2"/>
  </si>
  <si>
    <t>袋ﾅｯﾄ　2個</t>
    <rPh sb="6" eb="7">
      <t>コ</t>
    </rPh>
    <phoneticPr fontId="2"/>
  </si>
  <si>
    <t>六角ﾎﾞﾙﾄ　1本</t>
    <rPh sb="8" eb="9">
      <t>ホン</t>
    </rPh>
    <phoneticPr fontId="2"/>
  </si>
  <si>
    <t>低弾性ラバー付ボルト</t>
    <phoneticPr fontId="16"/>
  </si>
  <si>
    <t>タキゲン製造</t>
    <rPh sb="4" eb="6">
      <t>セイゾウ</t>
    </rPh>
    <phoneticPr fontId="16"/>
  </si>
  <si>
    <t>ﾐｽﾐ</t>
    <phoneticPr fontId="16"/>
  </si>
  <si>
    <t>平型蝶番（B-1100・ステンレス製） 長さ:38mm 幅:26mm</t>
    <phoneticPr fontId="16"/>
  </si>
  <si>
    <t>MVSHM-3N03054-3AM-PACME</t>
    <phoneticPr fontId="2"/>
  </si>
  <si>
    <t>SETB0134-Z02　金属BOX受皿</t>
    <phoneticPr fontId="2"/>
  </si>
  <si>
    <t>BVHV6-1-3-A</t>
    <phoneticPr fontId="2"/>
  </si>
  <si>
    <t>ハンドバルブ</t>
    <phoneticPr fontId="2"/>
  </si>
  <si>
    <t xml:space="preserve">USYL6 </t>
    <phoneticPr fontId="2"/>
  </si>
  <si>
    <t>ワンタッチ継手　ブラインドプラグ</t>
  </si>
  <si>
    <t>六角穴付きﾎﾞﾙﾄ　M4×6mm　　　　2本</t>
    <rPh sb="21" eb="22">
      <t>ホン</t>
    </rPh>
    <phoneticPr fontId="2"/>
  </si>
  <si>
    <t>A8110</t>
    <phoneticPr fontId="2"/>
  </si>
  <si>
    <t>汎用3芯OAタップ 4ヶ口</t>
    <phoneticPr fontId="2"/>
  </si>
  <si>
    <t>ＪＡＰＰＹ</t>
    <phoneticPr fontId="2"/>
  </si>
  <si>
    <t>配線ダクト（側片折り取り可能）　1本　　カッチンダクト</t>
    <rPh sb="17" eb="18">
      <t>ホン</t>
    </rPh>
    <phoneticPr fontId="2"/>
  </si>
  <si>
    <r>
      <t>端子カバー　</t>
    </r>
    <r>
      <rPr>
        <b/>
        <sz val="11"/>
        <rFont val="ＭＳ Ｐゴシック"/>
        <family val="3"/>
        <charset val="128"/>
      </rPr>
      <t>　</t>
    </r>
    <phoneticPr fontId="2"/>
  </si>
  <si>
    <t>MRB-480</t>
    <phoneticPr fontId="2"/>
  </si>
  <si>
    <t>UL1007-20AWG-BE-10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</si>
  <si>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</si>
  <si>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UL1007-18AWG-Y-10</t>
    <phoneticPr fontId="2"/>
  </si>
  <si>
    <t>単芯電線　　0.75　AGW18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</si>
  <si>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UL1007-18AWG-GN-10</t>
    <phoneticPr fontId="2"/>
  </si>
  <si>
    <t>単芯電線　　0.75　AGW18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</si>
  <si>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UL1007-16AWG-Y-10</t>
    <phoneticPr fontId="2"/>
  </si>
  <si>
    <t>単芯電線　　1.25　AGW16　黄色</t>
    <rPh sb="0" eb="1">
      <t>タン</t>
    </rPh>
    <rPh sb="1" eb="2">
      <t>シン</t>
    </rPh>
    <rPh sb="2" eb="4">
      <t>デンセン</t>
    </rPh>
    <rPh sb="17" eb="19">
      <t>キイロ</t>
    </rPh>
    <phoneticPr fontId="2"/>
  </si>
  <si>
    <t>UL1007-16AWG-GN-10</t>
    <phoneticPr fontId="2"/>
  </si>
  <si>
    <t>単芯電線　　1.25　AGW16　緑色</t>
    <rPh sb="0" eb="1">
      <t>タン</t>
    </rPh>
    <rPh sb="1" eb="2">
      <t>シン</t>
    </rPh>
    <rPh sb="2" eb="4">
      <t>デンセン</t>
    </rPh>
    <rPh sb="17" eb="19">
      <t>ミドリイロ</t>
    </rPh>
    <phoneticPr fontId="2"/>
  </si>
  <si>
    <t>RSAU-PS-550-370-270-K-WB2404030163</t>
    <phoneticPr fontId="2"/>
  </si>
  <si>
    <t>Web設計ボックス</t>
    <rPh sb="3" eb="5">
      <t>セッケイ</t>
    </rPh>
    <phoneticPr fontId="2"/>
  </si>
  <si>
    <t>タキゲン製造</t>
    <rPh sb="4" eb="6">
      <t>セイゾウ</t>
    </rPh>
    <phoneticPr fontId="2"/>
  </si>
  <si>
    <t>C-30-SG-30X90A-EP-UL</t>
    <phoneticPr fontId="2"/>
  </si>
  <si>
    <t>グロメット　　2個</t>
    <rPh sb="8" eb="9">
      <t>コ</t>
    </rPh>
    <phoneticPr fontId="2"/>
  </si>
  <si>
    <t>AYSK15-10</t>
    <phoneticPr fontId="2"/>
  </si>
  <si>
    <t>ゴム足</t>
    <rPh sb="2" eb="3">
      <t>アシ</t>
    </rPh>
    <phoneticPr fontId="2"/>
  </si>
  <si>
    <t>2002-403</t>
    <phoneticPr fontId="2"/>
  </si>
  <si>
    <t>PDDJ-PS-JS-37-3</t>
    <phoneticPr fontId="2"/>
  </si>
  <si>
    <t>PDDU-PT-MS-9-3</t>
    <phoneticPr fontId="2"/>
  </si>
  <si>
    <t>ACコード 固定長</t>
    <phoneticPr fontId="2"/>
  </si>
  <si>
    <t xml:space="preserve">ULJP-C-ULJPSS-3 </t>
    <phoneticPr fontId="2"/>
  </si>
  <si>
    <t>ミスミ</t>
    <phoneticPr fontId="16"/>
  </si>
  <si>
    <t>MVSHM-3N02052-3Y4-191KL</t>
    <phoneticPr fontId="16"/>
  </si>
  <si>
    <t>MVSHM-3N02006-3Y4-4YZ2U</t>
    <phoneticPr fontId="16"/>
  </si>
  <si>
    <t>MVTUP-ACW-3Y4-FDYX7</t>
    <phoneticPr fontId="16"/>
  </si>
  <si>
    <t>MWS-B3102</t>
    <phoneticPr fontId="2"/>
  </si>
  <si>
    <t>コモン端子台　Pコモン、Nコモン分割</t>
    <phoneticPr fontId="2"/>
  </si>
  <si>
    <t>ツール、etc</t>
    <phoneticPr fontId="2"/>
  </si>
  <si>
    <t>HMEN6-5　</t>
    <phoneticPr fontId="2"/>
  </si>
  <si>
    <t>マグネットキャッチセット</t>
    <phoneticPr fontId="2"/>
  </si>
  <si>
    <t>HMER6-5　</t>
    <phoneticPr fontId="2"/>
  </si>
  <si>
    <t>センサ付マグネットキャッチセット</t>
    <phoneticPr fontId="2"/>
  </si>
  <si>
    <t>パネルクランプ</t>
    <phoneticPr fontId="2"/>
  </si>
  <si>
    <t>１日間</t>
    <rPh sb="1" eb="2">
      <t>ヒ</t>
    </rPh>
    <rPh sb="2" eb="3">
      <t>カン</t>
    </rPh>
    <phoneticPr fontId="2"/>
  </si>
  <si>
    <t>MSSFS4-8</t>
    <phoneticPr fontId="2"/>
  </si>
  <si>
    <t>SCB4-25</t>
    <phoneticPr fontId="2"/>
  </si>
  <si>
    <t>WSSS16-5-3</t>
    <phoneticPr fontId="2"/>
  </si>
  <si>
    <t>金属ワッシャ　Ｔ寸選択・指定タイプ</t>
    <phoneticPr fontId="2"/>
  </si>
  <si>
    <t>SCB5-10</t>
    <phoneticPr fontId="2"/>
  </si>
  <si>
    <t>8日間</t>
    <rPh sb="1" eb="2">
      <t>ヒ</t>
    </rPh>
    <rPh sb="2" eb="3">
      <t>カン</t>
    </rPh>
    <phoneticPr fontId="2"/>
  </si>
  <si>
    <r>
      <rPr>
        <b/>
        <sz val="11"/>
        <color theme="1"/>
        <rFont val="ＭＳ Ｐゴシック"/>
        <family val="3"/>
        <charset val="128"/>
        <scheme val="minor"/>
      </rPr>
      <t>SETB312-Z03</t>
    </r>
    <r>
      <rPr>
        <sz val="11"/>
        <color theme="1"/>
        <rFont val="ＭＳ Ｐゴシック"/>
        <family val="3"/>
        <charset val="128"/>
        <scheme val="minor"/>
      </rPr>
      <t>　カップ受け板金2</t>
    </r>
    <phoneticPr fontId="16"/>
  </si>
  <si>
    <r>
      <rPr>
        <b/>
        <sz val="11"/>
        <color theme="1"/>
        <rFont val="ＭＳ Ｐゴシック"/>
        <family val="3"/>
        <charset val="128"/>
        <scheme val="minor"/>
      </rPr>
      <t>SETB0312-Z04</t>
    </r>
    <r>
      <rPr>
        <sz val="11"/>
        <color theme="1"/>
        <rFont val="ＭＳ Ｐゴシック"/>
        <family val="3"/>
        <charset val="128"/>
        <scheme val="minor"/>
      </rPr>
      <t>　金属BOX受け板金3</t>
    </r>
    <phoneticPr fontId="16"/>
  </si>
  <si>
    <t>エクセル株式会社様</t>
    <rPh sb="8" eb="9">
      <t>サマ</t>
    </rPh>
    <phoneticPr fontId="2"/>
  </si>
  <si>
    <r>
      <t>カバープレート (PET材）</t>
    </r>
    <r>
      <rPr>
        <b/>
        <sz val="11"/>
        <color rgb="FFFF0000"/>
        <rFont val="ＭＳ Ｐゴシック"/>
        <family val="3"/>
        <charset val="128"/>
        <scheme val="minor"/>
      </rPr>
      <t>制電対策</t>
    </r>
    <rPh sb="12" eb="13">
      <t>ザイ</t>
    </rPh>
    <rPh sb="14" eb="16">
      <t>セイデン</t>
    </rPh>
    <rPh sb="16" eb="18">
      <t>タイサク</t>
    </rPh>
    <phoneticPr fontId="2"/>
  </si>
  <si>
    <t>CBSST3-6</t>
    <phoneticPr fontId="2"/>
  </si>
  <si>
    <t>低頭六角穴付ボルト</t>
    <phoneticPr fontId="2"/>
  </si>
  <si>
    <t>モーター駆動軸先端固定用ﾈｼﾞ</t>
    <rPh sb="4" eb="6">
      <t>クドウ</t>
    </rPh>
    <rPh sb="6" eb="7">
      <t>ジク</t>
    </rPh>
    <rPh sb="7" eb="9">
      <t>センタン</t>
    </rPh>
    <rPh sb="9" eb="11">
      <t>コテイ</t>
    </rPh>
    <rPh sb="11" eb="12">
      <t>ヨウ</t>
    </rPh>
    <phoneticPr fontId="2"/>
  </si>
  <si>
    <t>MS4-10</t>
    <phoneticPr fontId="2"/>
  </si>
  <si>
    <t>六角穴付きﾎﾞﾙﾄ　 (M4×25)　2本+2</t>
    <rPh sb="20" eb="21">
      <t>ホン</t>
    </rPh>
    <phoneticPr fontId="2"/>
  </si>
  <si>
    <t>ﾛﾎﾞｯﾄθ軸固定用</t>
    <phoneticPr fontId="2"/>
  </si>
  <si>
    <t xml:space="preserve">SLBNR4 </t>
    <phoneticPr fontId="2"/>
  </si>
  <si>
    <t>ナット　　1個</t>
    <rPh sb="6" eb="7">
      <t>コ</t>
    </rPh>
    <phoneticPr fontId="2"/>
  </si>
  <si>
    <t>sunco</t>
    <phoneticPr fontId="2"/>
  </si>
  <si>
    <t>SSHNI-ST-M4-14</t>
    <phoneticPr fontId="2"/>
  </si>
  <si>
    <t>六角穴付 止めねじ 棒先 アンスコ製　　1個</t>
    <rPh sb="21" eb="22">
      <t>コ</t>
    </rPh>
    <phoneticPr fontId="2"/>
  </si>
  <si>
    <t>WSSS12-3-1</t>
    <phoneticPr fontId="2"/>
  </si>
  <si>
    <t>モーター駆動軸先端固定用ｽﾍﾟｰｻ部使用</t>
    <rPh sb="4" eb="6">
      <t>クドウ</t>
    </rPh>
    <rPh sb="6" eb="7">
      <t>ジク</t>
    </rPh>
    <rPh sb="7" eb="9">
      <t>センタン</t>
    </rPh>
    <rPh sb="9" eb="11">
      <t>コテイ</t>
    </rPh>
    <rPh sb="11" eb="12">
      <t>ヨウ</t>
    </rPh>
    <rPh sb="17" eb="18">
      <t>ブ</t>
    </rPh>
    <rPh sb="18" eb="20">
      <t>シヨウ</t>
    </rPh>
    <phoneticPr fontId="2"/>
  </si>
  <si>
    <t>六角穴付止めねじ平先</t>
    <phoneticPr fontId="2"/>
  </si>
  <si>
    <t>SETB-0091-Ｙ05 に固定</t>
    <rPh sb="15" eb="17">
      <t>コテイ</t>
    </rPh>
    <phoneticPr fontId="2"/>
  </si>
  <si>
    <t>ﾛﾎﾞｯﾄθ軸固定用</t>
    <rPh sb="6" eb="7">
      <t>ジク</t>
    </rPh>
    <rPh sb="7" eb="9">
      <t>コテイ</t>
    </rPh>
    <rPh sb="9" eb="10">
      <t>ヨウ</t>
    </rPh>
    <phoneticPr fontId="2"/>
  </si>
  <si>
    <t>RCBSS5-10</t>
    <phoneticPr fontId="16"/>
  </si>
  <si>
    <t>六角ボルト【SUS316</t>
    <phoneticPr fontId="16"/>
  </si>
  <si>
    <t>MVBLK-AMW-3SB-TBRRG</t>
    <phoneticPr fontId="16"/>
  </si>
  <si>
    <r>
      <t>SETB</t>
    </r>
    <r>
      <rPr>
        <b/>
        <sz val="11"/>
        <rFont val="ＭＳ Ｐゴシック"/>
        <family val="3"/>
        <charset val="128"/>
      </rPr>
      <t>0209-Ｙ06</t>
    </r>
    <r>
      <rPr>
        <sz val="11"/>
        <color theme="1"/>
        <rFont val="ＭＳ Ｐゴシック"/>
        <family val="3"/>
        <charset val="128"/>
        <scheme val="minor"/>
      </rPr>
      <t xml:space="preserve"> モータ取付板</t>
    </r>
    <phoneticPr fontId="2"/>
  </si>
  <si>
    <t>DCLS-D17-V10-H22-T1.5-L5.5</t>
    <phoneticPr fontId="2"/>
  </si>
  <si>
    <t>段付スペーサ</t>
    <phoneticPr fontId="2"/>
  </si>
  <si>
    <t>SETB-0091-Ｙ06 モータ受けとして</t>
    <rPh sb="17" eb="18">
      <t>ウ</t>
    </rPh>
    <phoneticPr fontId="2"/>
  </si>
  <si>
    <t>FL6903ZZ</t>
    <phoneticPr fontId="2"/>
  </si>
  <si>
    <t>小径玉軸受　フランジ付両シールド形</t>
    <phoneticPr fontId="2"/>
  </si>
  <si>
    <t>MS3-10</t>
    <phoneticPr fontId="2"/>
  </si>
  <si>
    <t>SCB4-45</t>
    <phoneticPr fontId="2"/>
  </si>
  <si>
    <t>六角穴付きﾎﾞﾙﾄ　 (M4×45)　4本</t>
    <rPh sb="20" eb="21">
      <t>ホン</t>
    </rPh>
    <phoneticPr fontId="2"/>
  </si>
  <si>
    <t>SCB4-14</t>
    <phoneticPr fontId="2"/>
  </si>
  <si>
    <t>六角穴付きﾎﾞﾙﾄ　 (M4×14)　　6本</t>
    <rPh sb="21" eb="22">
      <t>ホン</t>
    </rPh>
    <phoneticPr fontId="2"/>
  </si>
  <si>
    <t>SETB-0091-Y06とSETB-0091-Y05　固定用　6個</t>
    <rPh sb="28" eb="30">
      <t>コテイ</t>
    </rPh>
    <rPh sb="30" eb="31">
      <t>ヨウ</t>
    </rPh>
    <rPh sb="33" eb="34">
      <t>コ</t>
    </rPh>
    <phoneticPr fontId="2"/>
  </si>
  <si>
    <t>ねじ変換継手</t>
    <phoneticPr fontId="2"/>
  </si>
  <si>
    <t>M8丸型防水コネクタハーネス  ＳＶＥＭﾛﾝｸﾞ3m　TYPE</t>
    <phoneticPr fontId="2"/>
  </si>
  <si>
    <t>2000-1301</t>
    <phoneticPr fontId="2"/>
  </si>
  <si>
    <t>DINレール用中継端子台 2000シリーズ　ｸﾞﾚｰ色　　16個</t>
    <rPh sb="26" eb="27">
      <t>ショク</t>
    </rPh>
    <rPh sb="31" eb="32">
      <t>コ</t>
    </rPh>
    <phoneticPr fontId="2"/>
  </si>
  <si>
    <t>2000-1391</t>
    <phoneticPr fontId="2"/>
  </si>
  <si>
    <t>中継用端子台用エンドプレート  ｸﾞﾚｰ色　4枚</t>
    <rPh sb="23" eb="24">
      <t>マイ</t>
    </rPh>
    <phoneticPr fontId="2"/>
  </si>
  <si>
    <t>2000-404</t>
    <phoneticPr fontId="2"/>
  </si>
  <si>
    <t>中継用端子台 差込型ジャンパ（絶縁）　　4個</t>
    <rPh sb="21" eb="22">
      <t>コ</t>
    </rPh>
    <phoneticPr fontId="2"/>
  </si>
  <si>
    <t>MWS-MDR50-HT50</t>
    <phoneticPr fontId="2"/>
  </si>
  <si>
    <t>SETB0312-X03　ﾜｰｸｾｯﾄ治具</t>
    <phoneticPr fontId="16"/>
  </si>
  <si>
    <t>HBLFSN5-C-SSP</t>
    <phoneticPr fontId="16"/>
  </si>
  <si>
    <t>HFSF5-2020-155</t>
    <phoneticPr fontId="16"/>
  </si>
  <si>
    <t>HFSF5-2020-455</t>
    <phoneticPr fontId="16"/>
  </si>
  <si>
    <t>HFC5-2020-S</t>
    <phoneticPr fontId="16"/>
  </si>
  <si>
    <t>SETB0312-X04　ﾜｰｸｾｯﾄ治具位置調整ﾌﾟﾚｰﾄ</t>
    <phoneticPr fontId="16"/>
  </si>
  <si>
    <t>SFB4-8</t>
    <phoneticPr fontId="16"/>
  </si>
  <si>
    <t>SFB5-8</t>
    <phoneticPr fontId="16"/>
  </si>
  <si>
    <t>SFB5-12</t>
    <phoneticPr fontId="16"/>
  </si>
  <si>
    <t>SHNTP5-5</t>
    <phoneticPr fontId="16"/>
  </si>
  <si>
    <t>UWANS10-80-27</t>
    <phoneticPr fontId="16"/>
  </si>
  <si>
    <t>MVSHM-3N03006-4F3-DZL8J</t>
    <phoneticPr fontId="16"/>
  </si>
  <si>
    <t>MVSHM-3N03004-4F3-BLYWX</t>
    <phoneticPr fontId="16"/>
  </si>
  <si>
    <t>ECO-BS ﾋﾗﾄｳﾛｰﾚｯﾄﾋﾞｽ</t>
    <phoneticPr fontId="16"/>
  </si>
  <si>
    <t>ﾛｯｶｸｱﾅﾂｷｻﾗﾎﾞﾙﾄ(SFB)</t>
    <phoneticPr fontId="16"/>
  </si>
  <si>
    <t>ｲﾁｷﾞﾒﾋﾟﾝ APUHA</t>
    <phoneticPr fontId="16"/>
  </si>
  <si>
    <t>ﾄｯﾃ UMA</t>
    <phoneticPr fontId="16"/>
  </si>
  <si>
    <t>ｱﾙﾐﾌﾚｰﾑﾖｳﾊﾞﾈﾅｯﾄ</t>
    <phoneticPr fontId="16"/>
  </si>
  <si>
    <t>ﾌﾚｰﾑｷｬｯﾌﾟ (HFC)</t>
    <phoneticPr fontId="16"/>
  </si>
  <si>
    <t>ｱﾙﾐﾌﾚｰﾑｻﾞｲ</t>
    <phoneticPr fontId="16"/>
  </si>
  <si>
    <t>ｱﾙﾐﾌﾞﾗｹｯﾄｻﾞｲ</t>
    <phoneticPr fontId="16"/>
  </si>
  <si>
    <t>ﾜｰｸ治具ﾛﾎﾞｯﾄ固定ﾃｰﾌﾞﾙ</t>
    <rPh sb="3" eb="5">
      <t>ジグ</t>
    </rPh>
    <rPh sb="10" eb="12">
      <t>コテイ</t>
    </rPh>
    <phoneticPr fontId="2"/>
  </si>
  <si>
    <t>CSH-ST-M4-32</t>
    <phoneticPr fontId="16"/>
  </si>
  <si>
    <t>2日目</t>
    <rPh sb="1" eb="2">
      <t>ヒ</t>
    </rPh>
    <rPh sb="2" eb="3">
      <t>メ</t>
    </rPh>
    <phoneticPr fontId="2"/>
  </si>
  <si>
    <t>ﾜｰｸｶﾞｲﾄﾞ WGL</t>
    <phoneticPr fontId="16"/>
  </si>
  <si>
    <t>ﾛｯｶｸｱﾅﾂｷﾎﾞﾙﾄ(ｾﾞﾝﾈｼﾞ ﾊﾝﾈｼﾞ)(ｻﾞｲ</t>
    <phoneticPr fontId="16"/>
  </si>
  <si>
    <t>南(齋藤）</t>
    <rPh sb="0" eb="1">
      <t>ミナミ</t>
    </rPh>
    <rPh sb="2" eb="4">
      <t>サイトウ</t>
    </rPh>
    <phoneticPr fontId="2"/>
  </si>
  <si>
    <t>SETB-0312-A01　JR4604+SV01CSｼﾘﾝｼﾞﾁﾙﾄ角+浸捨て射ち+ｹｰﾌﾞﾙﾍﾞｱ+安全ｶﾊﾞｰ+ﾗｲﾄｶｰﾃﾝ+ 20260130</t>
    <rPh sb="35" eb="36">
      <t>カク</t>
    </rPh>
    <phoneticPr fontId="16"/>
  </si>
  <si>
    <t>APMTSL-N1-N1-L26</t>
    <phoneticPr fontId="16"/>
  </si>
  <si>
    <t>APMTSL-N1-N1-L30</t>
    <phoneticPr fontId="16"/>
  </si>
  <si>
    <t>SETB0204-Y15　SV59161　SV01ﾊﾞﾙﾌﾞﾎﾙﾀﾞ:1</t>
    <phoneticPr fontId="16"/>
  </si>
  <si>
    <t>AFPBA3-P3.96-L4-B2.3-E0.7</t>
    <phoneticPr fontId="16"/>
  </si>
  <si>
    <t>SCB6-10</t>
    <phoneticPr fontId="2"/>
  </si>
  <si>
    <t>MVBLK-AMW-3TF-Z1GFR</t>
    <phoneticPr fontId="16"/>
  </si>
  <si>
    <t>位置決めピン 高耐食ステンレス</t>
    <phoneticPr fontId="16"/>
  </si>
  <si>
    <r>
      <t>SETB0091</t>
    </r>
    <r>
      <rPr>
        <sz val="11"/>
        <rFont val="ＭＳ Ｐゴシック"/>
        <family val="3"/>
        <charset val="128"/>
      </rPr>
      <t>-Ｙ05</t>
    </r>
    <r>
      <rPr>
        <b/>
        <sz val="11"/>
        <color rgb="FFFF0000"/>
        <rFont val="ＭＳ Ｐゴシック"/>
        <family val="3"/>
        <charset val="128"/>
      </rPr>
      <t>-1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r>
      <rPr>
        <sz val="11"/>
        <color theme="1"/>
        <rFont val="ＭＳ Ｐゴシック"/>
        <family val="3"/>
        <charset val="128"/>
        <scheme val="minor"/>
      </rPr>
      <t>回転軸位置決めﾌﾞﾗｹｯﾄ</t>
    </r>
    <phoneticPr fontId="2"/>
  </si>
  <si>
    <t>ｹｰﾌﾞﾙﾍﾞｱ関連</t>
    <rPh sb="8" eb="10">
      <t>カンレン</t>
    </rPh>
    <phoneticPr fontId="2"/>
  </si>
  <si>
    <t>SETB-0012-Z01とSETB-0023-Z25と26固定用　</t>
    <phoneticPr fontId="2"/>
  </si>
  <si>
    <t>MVSHM-3N03058-48C-BEDDL</t>
    <phoneticPr fontId="2"/>
  </si>
  <si>
    <r>
      <t>SETB-</t>
    </r>
    <r>
      <rPr>
        <b/>
        <sz val="11"/>
        <color rgb="FFFF0000"/>
        <rFont val="ＭＳ Ｐゴシック"/>
        <family val="3"/>
        <charset val="128"/>
        <scheme val="minor"/>
      </rPr>
      <t>0233</t>
    </r>
    <r>
      <rPr>
        <sz val="11"/>
        <rFont val="ＭＳ Ｐゴシック"/>
        <family val="3"/>
        <charset val="128"/>
        <scheme val="minor"/>
      </rPr>
      <t>-</t>
    </r>
    <r>
      <rPr>
        <b/>
        <sz val="11"/>
        <rFont val="ＭＳ Ｐゴシック"/>
        <family val="3"/>
        <charset val="128"/>
        <scheme val="minor"/>
      </rPr>
      <t>Z25</t>
    </r>
    <r>
      <rPr>
        <sz val="11"/>
        <rFont val="ＭＳ Ｐゴシック"/>
        <family val="3"/>
        <charset val="128"/>
        <scheme val="minor"/>
      </rPr>
      <t>　ケーブルベア下板左側</t>
    </r>
    <rPh sb="22" eb="23">
      <t>ヒダリ</t>
    </rPh>
    <rPh sb="23" eb="24">
      <t>ガワ</t>
    </rPh>
    <phoneticPr fontId="2"/>
  </si>
  <si>
    <t>MVSHM-3N03058-48C-WC9WZ</t>
    <phoneticPr fontId="2"/>
  </si>
  <si>
    <r>
      <t>SETB-</t>
    </r>
    <r>
      <rPr>
        <b/>
        <sz val="11"/>
        <color rgb="FFFF0000"/>
        <rFont val="ＭＳ Ｐゴシック"/>
        <family val="3"/>
        <charset val="128"/>
        <scheme val="minor"/>
      </rPr>
      <t>0233</t>
    </r>
    <r>
      <rPr>
        <sz val="11"/>
        <rFont val="ＭＳ Ｐゴシック"/>
        <family val="3"/>
        <charset val="128"/>
        <scheme val="minor"/>
      </rPr>
      <t>-</t>
    </r>
    <r>
      <rPr>
        <b/>
        <sz val="11"/>
        <rFont val="ＭＳ Ｐゴシック"/>
        <family val="3"/>
        <charset val="128"/>
        <scheme val="minor"/>
      </rPr>
      <t>Z26</t>
    </r>
    <r>
      <rPr>
        <sz val="11"/>
        <rFont val="ＭＳ Ｐゴシック"/>
        <family val="3"/>
        <charset val="128"/>
        <scheme val="minor"/>
      </rPr>
      <t>　ケーブルベア下板右側</t>
    </r>
    <rPh sb="22" eb="23">
      <t>ミギ</t>
    </rPh>
    <phoneticPr fontId="2"/>
  </si>
  <si>
    <r>
      <t>SETB</t>
    </r>
    <r>
      <rPr>
        <b/>
        <sz val="11"/>
        <color indexed="10"/>
        <rFont val="ＭＳ Ｐゴシック"/>
        <family val="3"/>
        <charset val="128"/>
      </rPr>
      <t>-0179</t>
    </r>
    <r>
      <rPr>
        <sz val="11"/>
        <rFont val="ＭＳ Ｐゴシック"/>
        <family val="3"/>
        <charset val="128"/>
      </rPr>
      <t>-Z27　ケーブルベア下板</t>
    </r>
    <phoneticPr fontId="2"/>
  </si>
  <si>
    <t>CSHELH-SUS-M4-6</t>
    <phoneticPr fontId="2"/>
  </si>
  <si>
    <t>極薄NSローヘッド ステンレス 表面処理なし</t>
    <phoneticPr fontId="2"/>
  </si>
  <si>
    <t>CSHELH-SUS-M4-10</t>
    <phoneticPr fontId="2"/>
  </si>
  <si>
    <t xml:space="preserve">FWZAA-D20-V8-P4.5-H4.5-T7 </t>
    <phoneticPr fontId="2"/>
  </si>
  <si>
    <t>金属ワッシャ　－ザグリ穴タイプ－</t>
    <phoneticPr fontId="2"/>
  </si>
  <si>
    <t>SBCB4-20</t>
    <phoneticPr fontId="2"/>
  </si>
  <si>
    <t>六角穴付きﾎﾞﾀﾝﾎﾞﾙﾄ　 (M4×20)</t>
    <phoneticPr fontId="2"/>
  </si>
  <si>
    <t>SCB4-5</t>
    <phoneticPr fontId="2"/>
  </si>
  <si>
    <t>六角穴付きﾎﾞﾙﾄ　 (M4×5)　３本</t>
    <rPh sb="19" eb="20">
      <t>ホン</t>
    </rPh>
    <phoneticPr fontId="2"/>
  </si>
  <si>
    <t>SLBNR5</t>
    <phoneticPr fontId="2"/>
  </si>
  <si>
    <t>M5ﾅｯﾄ</t>
    <phoneticPr fontId="2"/>
  </si>
  <si>
    <t xml:space="preserve">SZ16F-3-075-28 </t>
    <phoneticPr fontId="2"/>
  </si>
  <si>
    <t>ケーブルキャリア　スリットタイプ</t>
    <phoneticPr fontId="2"/>
  </si>
  <si>
    <t>5日目</t>
    <rPh sb="1" eb="2">
      <t>ヒ</t>
    </rPh>
    <rPh sb="2" eb="3">
      <t>メ</t>
    </rPh>
    <phoneticPr fontId="2"/>
  </si>
  <si>
    <t>架台ﾕﾆｯﾄ</t>
    <rPh sb="0" eb="2">
      <t>カダイ</t>
    </rPh>
    <phoneticPr fontId="2"/>
  </si>
  <si>
    <t>2日間</t>
    <rPh sb="1" eb="2">
      <t>ヒ</t>
    </rPh>
    <rPh sb="2" eb="3">
      <t>カン</t>
    </rPh>
    <phoneticPr fontId="16"/>
  </si>
  <si>
    <t>正面上部扉</t>
    <rPh sb="0" eb="2">
      <t>ショウメン</t>
    </rPh>
    <rPh sb="2" eb="4">
      <t>ジョウブ</t>
    </rPh>
    <rPh sb="4" eb="5">
      <t>トビラ</t>
    </rPh>
    <phoneticPr fontId="2"/>
  </si>
  <si>
    <t>HFC5-2020-S　</t>
    <phoneticPr fontId="2"/>
  </si>
  <si>
    <t>フレームキャップ</t>
    <phoneticPr fontId="2"/>
  </si>
  <si>
    <t>0.5kg/m</t>
    <phoneticPr fontId="2"/>
  </si>
  <si>
    <t>アルミフレーム　５シリーズ　Nタイプ　正方形　２０×２０ｍｍ　１列溝　４面溝</t>
    <phoneticPr fontId="2"/>
  </si>
  <si>
    <t>HHDF19-SSP　</t>
    <phoneticPr fontId="2"/>
  </si>
  <si>
    <t>アルミ取手</t>
    <phoneticPr fontId="2"/>
  </si>
  <si>
    <t>HHPFDLN6-5-SSP</t>
    <phoneticPr fontId="2"/>
  </si>
  <si>
    <t>ハタ蝶番</t>
    <phoneticPr fontId="2"/>
  </si>
  <si>
    <t>SCB5-25</t>
    <phoneticPr fontId="2"/>
  </si>
  <si>
    <t>六角穴付ボルト－ステンレス　 (M5×25)　　4本使用</t>
    <rPh sb="25" eb="26">
      <t>ホン</t>
    </rPh>
    <rPh sb="26" eb="28">
      <t>シヨウ</t>
    </rPh>
    <phoneticPr fontId="2"/>
  </si>
  <si>
    <t>HBLTD6-C-SSP</t>
    <phoneticPr fontId="2"/>
  </si>
  <si>
    <t>６シリーズ（溝幅８ｍｍ）－２列溝用－　押出厚型ブラケット</t>
    <phoneticPr fontId="2"/>
  </si>
  <si>
    <t>架台</t>
  </si>
  <si>
    <t>HCBR6</t>
    <phoneticPr fontId="2"/>
  </si>
  <si>
    <t>パネルサポートブラケット　樹脂タイプ</t>
    <phoneticPr fontId="2"/>
  </si>
  <si>
    <t>ｺﾝﾄﾛｰﾗ棚板部　底板補強と固定　左右側</t>
    <rPh sb="10" eb="11">
      <t>ソコ</t>
    </rPh>
    <rPh sb="11" eb="12">
      <t>イタ</t>
    </rPh>
    <rPh sb="12" eb="14">
      <t>ホキョウ</t>
    </rPh>
    <rPh sb="15" eb="17">
      <t>コテイ</t>
    </rPh>
    <rPh sb="18" eb="20">
      <t>サユウ</t>
    </rPh>
    <rPh sb="20" eb="21">
      <t>ガワ</t>
    </rPh>
    <phoneticPr fontId="2"/>
  </si>
  <si>
    <t>HFC6-6060-S</t>
    <phoneticPr fontId="2"/>
  </si>
  <si>
    <t>天面補強　2本、底面補強　2本</t>
    <rPh sb="0" eb="2">
      <t>テンメン</t>
    </rPh>
    <rPh sb="2" eb="4">
      <t>ホキョウ</t>
    </rPh>
    <rPh sb="6" eb="7">
      <t>ホン</t>
    </rPh>
    <rPh sb="8" eb="9">
      <t>ソコ</t>
    </rPh>
    <rPh sb="9" eb="10">
      <t>メン</t>
    </rPh>
    <rPh sb="10" eb="12">
      <t>ホキョウ</t>
    </rPh>
    <rPh sb="14" eb="15">
      <t>ホン</t>
    </rPh>
    <phoneticPr fontId="2"/>
  </si>
  <si>
    <t>アルミフレーム　６シリーズ　正方形　６０×６０ｍｍ　２列溝　４面溝</t>
    <phoneticPr fontId="2"/>
  </si>
  <si>
    <t>HFS6-6060-980</t>
    <phoneticPr fontId="2"/>
  </si>
  <si>
    <t>元圧</t>
    <rPh sb="0" eb="1">
      <t>モト</t>
    </rPh>
    <rPh sb="1" eb="2">
      <t>アツ</t>
    </rPh>
    <phoneticPr fontId="2"/>
  </si>
  <si>
    <t>ワンタッチ継手　ブラインドプラグ</t>
    <phoneticPr fontId="2"/>
  </si>
  <si>
    <t>BVHVU6-3　</t>
    <phoneticPr fontId="2"/>
  </si>
  <si>
    <t>3方弁　ハンドバルブ</t>
    <phoneticPr fontId="2"/>
  </si>
  <si>
    <t>PAW6-02</t>
    <phoneticPr fontId="2"/>
  </si>
  <si>
    <t>ＪＡＰＰY</t>
    <phoneticPr fontId="2"/>
  </si>
  <si>
    <t>カッチンダクト</t>
    <phoneticPr fontId="2"/>
  </si>
  <si>
    <t>SHNTP6-4</t>
    <phoneticPr fontId="2"/>
  </si>
  <si>
    <t>カッチンダクト固定</t>
    <rPh sb="7" eb="9">
      <t>コテイ</t>
    </rPh>
    <phoneticPr fontId="2"/>
  </si>
  <si>
    <t>日産ﾈｼﾞ</t>
    <rPh sb="0" eb="2">
      <t>ニッサン</t>
    </rPh>
    <phoneticPr fontId="16"/>
  </si>
  <si>
    <t>フランジボタン</t>
    <phoneticPr fontId="16"/>
  </si>
  <si>
    <t>ｼﾘﾝｼﾞレギュレーター</t>
    <phoneticPr fontId="2"/>
  </si>
  <si>
    <r>
      <t>SETB-0023-</t>
    </r>
    <r>
      <rPr>
        <b/>
        <sz val="11"/>
        <rFont val="ＭＳ Ｐゴシック"/>
        <family val="3"/>
        <charset val="128"/>
        <scheme val="minor"/>
      </rPr>
      <t>Z24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rFont val="ＭＳ Ｐゴシック"/>
        <family val="3"/>
        <charset val="128"/>
        <scheme val="minor"/>
      </rPr>
      <t>　ケーブルベアヘッド横板金</t>
    </r>
    <phoneticPr fontId="2"/>
  </si>
  <si>
    <t>MVSHM-3N02052-46C-PY7MF</t>
    <phoneticPr fontId="16"/>
  </si>
  <si>
    <t>MVSHM-3N03002-3GP-PB84X</t>
    <phoneticPr fontId="16"/>
  </si>
  <si>
    <r>
      <t>SETB0177-Z07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カップ受け板金</t>
    </r>
    <phoneticPr fontId="16"/>
  </si>
  <si>
    <r>
      <t>SETB0177-Z08</t>
    </r>
    <r>
      <rPr>
        <b/>
        <sz val="11"/>
        <color rgb="FFFF0000"/>
        <rFont val="ＭＳ Ｐゴシック"/>
        <family val="3"/>
        <charset val="128"/>
        <scheme val="minor"/>
      </rPr>
      <t>-1</t>
    </r>
    <r>
      <rPr>
        <sz val="11"/>
        <color theme="1"/>
        <rFont val="ＭＳ Ｐゴシック"/>
        <family val="3"/>
        <charset val="128"/>
        <scheme val="minor"/>
      </rPr>
      <t>　カップ受け板金</t>
    </r>
    <phoneticPr fontId="16"/>
  </si>
  <si>
    <r>
      <t>SETB0177-Z09</t>
    </r>
    <r>
      <rPr>
        <b/>
        <sz val="11"/>
        <color rgb="FFFF0000"/>
        <rFont val="ＭＳ Ｐゴシック"/>
        <family val="3"/>
        <charset val="128"/>
        <scheme val="minor"/>
      </rPr>
      <t>-2</t>
    </r>
    <r>
      <rPr>
        <sz val="11"/>
        <color theme="1"/>
        <rFont val="ＭＳ Ｐゴシック"/>
        <family val="3"/>
        <charset val="128"/>
        <scheme val="minor"/>
      </rPr>
      <t>　カップ受け板金4</t>
    </r>
    <phoneticPr fontId="16"/>
  </si>
  <si>
    <t>ノックピン　プラス公差　3本+4　</t>
    <phoneticPr fontId="16"/>
  </si>
  <si>
    <t>ノックピン　プラス公差　端部形状　3本+3</t>
    <rPh sb="18" eb="19">
      <t>ホン</t>
    </rPh>
    <phoneticPr fontId="16"/>
  </si>
  <si>
    <t>六角穴付皿ボルト　－ステンレス　4本+2</t>
    <rPh sb="17" eb="18">
      <t>ホン</t>
    </rPh>
    <phoneticPr fontId="16"/>
  </si>
  <si>
    <t>樹脂付ローレットボルト2+1</t>
    <rPh sb="0" eb="2">
      <t>ジュシ</t>
    </rPh>
    <rPh sb="2" eb="3">
      <t>ツキ</t>
    </rPh>
    <phoneticPr fontId="2"/>
  </si>
  <si>
    <t>MVSHM-3N02052-4H1-3SRBX</t>
    <phoneticPr fontId="16"/>
  </si>
  <si>
    <t>MVSHM-3N02052-4H1-731GZ</t>
    <phoneticPr fontId="16"/>
  </si>
  <si>
    <t>MVSHM-3N02052-4H1-5D466</t>
    <phoneticPr fontId="16"/>
  </si>
  <si>
    <t>皿ﾈｼﾞ　　4個</t>
    <rPh sb="7" eb="8">
      <t>コ</t>
    </rPh>
    <phoneticPr fontId="2"/>
  </si>
  <si>
    <t>SHFBS4-6</t>
    <phoneticPr fontId="2"/>
  </si>
  <si>
    <t>PACK10-CIMRS4-9-0.1</t>
    <phoneticPr fontId="16"/>
  </si>
  <si>
    <t>シムリング【10個入り】</t>
    <phoneticPr fontId="16"/>
  </si>
  <si>
    <t>PACK10-CIMRS4-9-0.05</t>
    <phoneticPr fontId="16"/>
  </si>
  <si>
    <t>MVBLK-AMW-4C9-JH1YZ</t>
    <phoneticPr fontId="16"/>
  </si>
  <si>
    <t>SETB0233-X12　リニアｶﾞｲﾄﾞﾍﾞｰｽ</t>
    <phoneticPr fontId="16"/>
  </si>
  <si>
    <t xml:space="preserve">SCB4-8 </t>
    <phoneticPr fontId="16"/>
  </si>
  <si>
    <t>SSEBWNZ16G-630</t>
    <phoneticPr fontId="16"/>
  </si>
  <si>
    <t>ﾐﾆﾁｭｱｽﾗｲﾄﾞｶﾞｲﾄﾞ</t>
    <phoneticPr fontId="16"/>
  </si>
  <si>
    <t>SCB4-12</t>
    <phoneticPr fontId="16"/>
  </si>
  <si>
    <t>XJPNGLB4-P5.98-B6.5-G4-ML5-RAC</t>
    <phoneticPr fontId="16"/>
  </si>
  <si>
    <t>ｲﾁｷﾞﾒﾋﾟﾝ XJPNGLB</t>
    <phoneticPr fontId="16"/>
  </si>
  <si>
    <t>CBSST4-8</t>
    <phoneticPr fontId="16"/>
  </si>
  <si>
    <t>ﾃｲﾄｳﾛｯｶｸｱﾅﾂｷﾎﾞﾙﾄ</t>
    <phoneticPr fontId="16"/>
  </si>
  <si>
    <t>17日目</t>
    <rPh sb="2" eb="3">
      <t>ヒ</t>
    </rPh>
    <rPh sb="3" eb="4">
      <t>メ</t>
    </rPh>
    <phoneticPr fontId="2"/>
  </si>
  <si>
    <t>12日目</t>
    <rPh sb="2" eb="3">
      <t>ヒ</t>
    </rPh>
    <rPh sb="3" eb="4">
      <t>メ</t>
    </rPh>
    <phoneticPr fontId="2"/>
  </si>
  <si>
    <r>
      <t>SETB0</t>
    </r>
    <r>
      <rPr>
        <b/>
        <sz val="11"/>
        <color rgb="FFFF0000"/>
        <rFont val="ＭＳ Ｐゴシック"/>
        <family val="3"/>
        <charset val="128"/>
      </rPr>
      <t>312</t>
    </r>
    <r>
      <rPr>
        <sz val="11"/>
        <rFont val="ＭＳ Ｐゴシック"/>
        <family val="3"/>
        <charset val="128"/>
      </rPr>
      <t>-X13　リニアｶﾞｲﾄﾞﾌﾞﾛｯｸ固定変換</t>
    </r>
    <phoneticPr fontId="16"/>
  </si>
  <si>
    <t>MVBLK-AMW-4H1-C1BNJ</t>
    <phoneticPr fontId="16"/>
  </si>
  <si>
    <t>SETB0312-X01　ﾜｰｸ治具ﾍﾞｰｽ板</t>
    <phoneticPr fontId="16"/>
  </si>
  <si>
    <t>MVBLK-AMW-4H1-ZYRWS</t>
    <phoneticPr fontId="16"/>
  </si>
  <si>
    <t>SETB0312-X02　ﾜｰｸ治具ﾓｰﾀｰﾍﾞｰｽ板</t>
    <phoneticPr fontId="16"/>
  </si>
  <si>
    <t>MVBLK-AMW-4H1-A2TRC</t>
    <phoneticPr fontId="16"/>
  </si>
  <si>
    <t>ALSBG10-50-M4-N4</t>
    <phoneticPr fontId="16"/>
  </si>
  <si>
    <t xml:space="preserve">SCB4-10 </t>
    <phoneticPr fontId="16"/>
  </si>
  <si>
    <t>SETGRS8-52-SC20</t>
    <phoneticPr fontId="16"/>
  </si>
  <si>
    <t>ALSBG8-36-M4-N5</t>
    <phoneticPr fontId="16"/>
  </si>
  <si>
    <t>APNA4-P2.00-L0-B10.0-E2.3</t>
    <phoneticPr fontId="16"/>
  </si>
  <si>
    <t>CBSST4-12</t>
    <phoneticPr fontId="16"/>
  </si>
  <si>
    <t>MS3-8</t>
    <phoneticPr fontId="16"/>
  </si>
  <si>
    <t>ノックピン 44</t>
    <phoneticPr fontId="16"/>
  </si>
  <si>
    <t>WGDS-30-12-10</t>
    <phoneticPr fontId="16"/>
  </si>
  <si>
    <t>WGLS-40-30-15</t>
    <phoneticPr fontId="16"/>
  </si>
  <si>
    <t>ﾛｯｶｸｼﾁｭｳ</t>
    <phoneticPr fontId="16"/>
  </si>
  <si>
    <t>ｴﾝｹｲｼﾁｭｳ - SETGRS</t>
    <phoneticPr fontId="16"/>
  </si>
  <si>
    <t>ｲﾁｷﾞﾒﾋﾟﾝ APNA</t>
    <phoneticPr fontId="16"/>
  </si>
  <si>
    <t>ﾜｰｸ治具　　(4SET)</t>
    <rPh sb="3" eb="5">
      <t>ジグ</t>
    </rPh>
    <phoneticPr fontId="2"/>
  </si>
  <si>
    <t>ADR-341-JP　</t>
    <phoneticPr fontId="2"/>
  </si>
  <si>
    <t>鍋屋ﾊﾞｲﾃｯｸ</t>
    <rPh sb="0" eb="1">
      <t>ナベ</t>
    </rPh>
    <rPh sb="1" eb="2">
      <t>ヤ</t>
    </rPh>
    <phoneticPr fontId="2"/>
  </si>
  <si>
    <t>SFBS-M4X6-VA</t>
    <phoneticPr fontId="2"/>
  </si>
  <si>
    <t>六角穴付ボタンボルト　フランジ付タイプ</t>
    <phoneticPr fontId="2"/>
  </si>
  <si>
    <t>カッチンダクト固定用とﾃﾞｨﾝﾚｰﾙ固定と中間BOX</t>
    <rPh sb="7" eb="9">
      <t>コテイ</t>
    </rPh>
    <rPh sb="9" eb="10">
      <t>ヨウ</t>
    </rPh>
    <rPh sb="18" eb="20">
      <t>コテイ</t>
    </rPh>
    <phoneticPr fontId="16"/>
  </si>
  <si>
    <t>カッチンダクト固定用とﾃﾞｨﾝﾚｰﾙ固定</t>
    <rPh sb="7" eb="9">
      <t>コテイ</t>
    </rPh>
    <rPh sb="9" eb="10">
      <t>ヨウ</t>
    </rPh>
    <rPh sb="18" eb="20">
      <t>コテイ</t>
    </rPh>
    <phoneticPr fontId="16"/>
  </si>
  <si>
    <t>SETB0312-Z03  配電BOXｶﾃｰ板</t>
    <phoneticPr fontId="16"/>
  </si>
  <si>
    <t>AXFH-D15-L10-V4-B</t>
    <phoneticPr fontId="16"/>
  </si>
  <si>
    <t>SFB4-20</t>
  </si>
  <si>
    <t>SFB5-10</t>
  </si>
  <si>
    <t>SHNTP6-5</t>
    <phoneticPr fontId="16"/>
  </si>
  <si>
    <t xml:space="preserve">SLBNR4 </t>
    <phoneticPr fontId="16"/>
  </si>
  <si>
    <t>ナット</t>
    <phoneticPr fontId="16"/>
  </si>
  <si>
    <t xml:space="preserve">SPWF4 </t>
    <phoneticPr fontId="16"/>
  </si>
  <si>
    <t>ワッシャ</t>
    <phoneticPr fontId="16"/>
  </si>
  <si>
    <t>SS300RSB-22-1P-10</t>
    <phoneticPr fontId="2"/>
  </si>
  <si>
    <t>SS300R-22-3-8</t>
    <phoneticPr fontId="16"/>
  </si>
  <si>
    <t>SS300R　UL規格　小径(３芯）</t>
    <rPh sb="16" eb="17">
      <t>シン</t>
    </rPh>
    <phoneticPr fontId="2"/>
  </si>
  <si>
    <t>SS300RSB UL規格シールド付小径(2芯）</t>
    <phoneticPr fontId="16"/>
  </si>
  <si>
    <t>PDDJ-PT-MS-9-3</t>
    <phoneticPr fontId="16"/>
  </si>
  <si>
    <t>Dsub9　オス　コネクタハーネス　ｵｽ　M2.6ショートねじ</t>
    <phoneticPr fontId="2"/>
  </si>
  <si>
    <t>Dsub9　オス　コネクタハーネス　ｵｽ　#4-40ショートねじ</t>
    <phoneticPr fontId="2"/>
  </si>
  <si>
    <t>IO-S1接続用</t>
    <rPh sb="5" eb="8">
      <t>セツゾクヨウ</t>
    </rPh>
    <phoneticPr fontId="16"/>
  </si>
  <si>
    <t>Dsubコネクタハーネス　ｵｽ.ﾒｽ　M2.6ショートネジ</t>
    <phoneticPr fontId="2"/>
  </si>
  <si>
    <t>MWSシリーズ（バネアップ）,DINレール取付、ネジ取付両対応　ｵｽ</t>
    <phoneticPr fontId="2"/>
  </si>
  <si>
    <t>MWSシリーズ（バネアップ）,対応圧着端子：Y端子/丸端子　ﾒｽ</t>
    <phoneticPr fontId="2"/>
  </si>
  <si>
    <t>37303-3101-000FL-8P</t>
    <phoneticPr fontId="16"/>
  </si>
  <si>
    <t>e-CON　ソケットコネクタ　赤色　φ0.8から1.0</t>
    <rPh sb="15" eb="16">
      <t>アカ</t>
    </rPh>
    <rPh sb="16" eb="17">
      <t>イロ</t>
    </rPh>
    <phoneticPr fontId="16"/>
  </si>
  <si>
    <t>e-CON　プラグコネクタ　赤色　φ0.8から1.0</t>
    <phoneticPr fontId="16"/>
  </si>
  <si>
    <t>37103-3101-000FL-8P</t>
    <phoneticPr fontId="16"/>
  </si>
  <si>
    <t>37303-3122-000FL-8P</t>
    <phoneticPr fontId="16"/>
  </si>
  <si>
    <t>37103-3122-000FL-8P</t>
    <phoneticPr fontId="16"/>
  </si>
  <si>
    <t>37303-3163-000FL-8P</t>
    <phoneticPr fontId="16"/>
  </si>
  <si>
    <t>37103-3163-000FL-8P</t>
    <phoneticPr fontId="16"/>
  </si>
  <si>
    <t>37303-2165-000FL-8P</t>
    <phoneticPr fontId="16"/>
  </si>
  <si>
    <t>37103-2165-000FL-8P</t>
    <phoneticPr fontId="16"/>
  </si>
  <si>
    <t>e-CON　プラグコネクタ　橙色　1.2から1.6</t>
    <rPh sb="14" eb="16">
      <t>ダイダイイロ</t>
    </rPh>
    <phoneticPr fontId="16"/>
  </si>
  <si>
    <t>e-CON　ソケットコネクタ　橙色　φ1.2から1.6</t>
    <rPh sb="15" eb="17">
      <t>ダイダイイロ</t>
    </rPh>
    <rPh sb="17" eb="18">
      <t>キイロ</t>
    </rPh>
    <phoneticPr fontId="16"/>
  </si>
  <si>
    <t>e-CON　プラグコネクタ　黄色　1.0から1.2</t>
    <rPh sb="14" eb="16">
      <t>キイロ</t>
    </rPh>
    <phoneticPr fontId="16"/>
  </si>
  <si>
    <t>e-CON　ソケットコネクタ　黄色　φ1.0から1.2</t>
    <rPh sb="15" eb="17">
      <t>キイロ</t>
    </rPh>
    <rPh sb="16" eb="17">
      <t>イロ</t>
    </rPh>
    <phoneticPr fontId="16"/>
  </si>
  <si>
    <t>e-CON　ソケットコネクタ　緑色　φ1.2から1.6</t>
    <rPh sb="15" eb="17">
      <t>ミドリイロ</t>
    </rPh>
    <rPh sb="17" eb="18">
      <t>キイロ</t>
    </rPh>
    <phoneticPr fontId="16"/>
  </si>
  <si>
    <t>e-CON　プラグコネクタ　緑色　1.2から1.6</t>
    <rPh sb="14" eb="16">
      <t>ミドリイロ</t>
    </rPh>
    <phoneticPr fontId="16"/>
  </si>
  <si>
    <t>アジャスタパッド＆キャスタプレートユニット</t>
    <phoneticPr fontId="2"/>
  </si>
  <si>
    <t>HFS6-6060-448</t>
    <phoneticPr fontId="2"/>
  </si>
  <si>
    <t>天面補強　　2本　中央縦柱</t>
    <rPh sb="0" eb="2">
      <t>テンメン</t>
    </rPh>
    <rPh sb="2" eb="4">
      <t>ホキョウ</t>
    </rPh>
    <rPh sb="7" eb="8">
      <t>ホン</t>
    </rPh>
    <rPh sb="9" eb="11">
      <t>チュウオウ</t>
    </rPh>
    <rPh sb="11" eb="13">
      <t>タテハシラ</t>
    </rPh>
    <phoneticPr fontId="2"/>
  </si>
  <si>
    <t>HFS6-6060-450</t>
    <phoneticPr fontId="2"/>
  </si>
  <si>
    <t>SHNTP6-6</t>
    <phoneticPr fontId="16"/>
  </si>
  <si>
    <t>SBCB6-10</t>
    <phoneticPr fontId="16"/>
  </si>
  <si>
    <t>HAJCHP6060-16-SEP</t>
    <phoneticPr fontId="2"/>
  </si>
  <si>
    <t>SETB-0282-Z55 スイッチBOXﾌﾞﾗｹｯﾄ</t>
  </si>
  <si>
    <t>HCBM5-10　</t>
    <phoneticPr fontId="16"/>
  </si>
  <si>
    <t>十字穴付トラス小ねじ</t>
    <phoneticPr fontId="16"/>
  </si>
  <si>
    <t>SETB-0312-Z01 架台天板　1　奥側</t>
  </si>
  <si>
    <t>SETB-0312-Z02  架台天板　2　手前側</t>
    <phoneticPr fontId="16"/>
  </si>
  <si>
    <t>SETB-0312-Z21 棚板下段左右側:</t>
  </si>
  <si>
    <t>HCBM5-15</t>
    <phoneticPr fontId="16"/>
  </si>
  <si>
    <t>HFS6-6060-974</t>
    <phoneticPr fontId="2"/>
  </si>
  <si>
    <t>HFSG6-6060-508</t>
    <phoneticPr fontId="2"/>
  </si>
  <si>
    <t>HFSG6-6060-860</t>
    <phoneticPr fontId="2"/>
  </si>
  <si>
    <t>HFSG6-6060-980</t>
    <phoneticPr fontId="2"/>
  </si>
  <si>
    <r>
      <t>六角穴付</t>
    </r>
    <r>
      <rPr>
        <b/>
        <sz val="11"/>
        <color theme="1"/>
        <rFont val="ＭＳ Ｐゴシック"/>
        <family val="3"/>
        <charset val="128"/>
        <scheme val="minor"/>
      </rPr>
      <t>鍋</t>
    </r>
    <r>
      <rPr>
        <sz val="11"/>
        <color theme="1"/>
        <rFont val="ＭＳ Ｐゴシック"/>
        <family val="3"/>
        <charset val="128"/>
        <scheme val="minor"/>
      </rPr>
      <t>ボルト－ステンレス　 (M6×10)</t>
    </r>
    <rPh sb="4" eb="5">
      <t>ナベ</t>
    </rPh>
    <phoneticPr fontId="2"/>
  </si>
  <si>
    <r>
      <t>ロボット固定板金（1）　　</t>
    </r>
    <r>
      <rPr>
        <b/>
        <sz val="11"/>
        <color rgb="FF333333"/>
        <rFont val="ＭＳ Ｐゴシック"/>
        <family val="3"/>
        <charset val="128"/>
        <scheme val="minor"/>
      </rPr>
      <t>SETB-0233-Z03</t>
    </r>
    <phoneticPr fontId="2"/>
  </si>
  <si>
    <t>SCB4-16</t>
    <phoneticPr fontId="2"/>
  </si>
  <si>
    <t>六角穴付きﾎﾞﾙﾄ　 (M4×16)　4本</t>
    <rPh sb="20" eb="21">
      <t>ホン</t>
    </rPh>
    <phoneticPr fontId="2"/>
  </si>
  <si>
    <t>ﾛｯｶｸｱﾅﾂｷｻﾗﾎﾞﾙﾄ(SFB)</t>
    <phoneticPr fontId="2"/>
  </si>
  <si>
    <t xml:space="preserve">SPWF4 </t>
    <phoneticPr fontId="2"/>
  </si>
  <si>
    <t>ワッシャ</t>
    <phoneticPr fontId="2"/>
  </si>
  <si>
    <r>
      <t>ロボット固定板金（2）　　</t>
    </r>
    <r>
      <rPr>
        <b/>
        <sz val="11"/>
        <rFont val="ＭＳ Ｐゴシック"/>
        <family val="3"/>
        <charset val="128"/>
        <scheme val="minor"/>
      </rPr>
      <t>SETB-0233-Z04</t>
    </r>
    <phoneticPr fontId="2"/>
  </si>
  <si>
    <t>SCB5-12</t>
    <phoneticPr fontId="2"/>
  </si>
  <si>
    <t>六角穴付きﾎﾞﾙﾄ　SETB-0233-Z04と天板　固定用   　6本</t>
    <rPh sb="24" eb="26">
      <t>テンバン</t>
    </rPh>
    <rPh sb="27" eb="29">
      <t>コテイ</t>
    </rPh>
    <rPh sb="29" eb="30">
      <t>ヨウ</t>
    </rPh>
    <rPh sb="35" eb="36">
      <t>ホン</t>
    </rPh>
    <phoneticPr fontId="2"/>
  </si>
  <si>
    <t xml:space="preserve">SPWF5 </t>
    <phoneticPr fontId="2"/>
  </si>
  <si>
    <t>ワッシャ　SETB-0023-Z03とSETB-0233-Z04　固定用</t>
    <rPh sb="33" eb="35">
      <t>コテイ</t>
    </rPh>
    <rPh sb="35" eb="36">
      <t>ヨウ</t>
    </rPh>
    <phoneticPr fontId="2"/>
  </si>
  <si>
    <t>ナット　SETB-0023-Z03とSETB-0233-Z04　固定用</t>
    <rPh sb="32" eb="34">
      <t>コテイ</t>
    </rPh>
    <rPh sb="34" eb="35">
      <t>ヨウ</t>
    </rPh>
    <phoneticPr fontId="2"/>
  </si>
  <si>
    <r>
      <t>ロボット固定板金（3）　</t>
    </r>
    <r>
      <rPr>
        <b/>
        <sz val="11"/>
        <rFont val="ＭＳ Ｐゴシック"/>
        <family val="3"/>
        <charset val="128"/>
        <scheme val="minor"/>
      </rPr>
      <t>　SETB-0233-Z09</t>
    </r>
    <phoneticPr fontId="2"/>
  </si>
  <si>
    <t>6日目</t>
    <rPh sb="1" eb="2">
      <t>ヒ</t>
    </rPh>
    <rPh sb="2" eb="3">
      <t>メ</t>
    </rPh>
    <phoneticPr fontId="2"/>
  </si>
  <si>
    <t>MVSHM-3N03004-465-WU2H1</t>
    <phoneticPr fontId="16"/>
  </si>
  <si>
    <t>MVSHM-3N03004-465-ZBHR6</t>
    <phoneticPr fontId="16"/>
  </si>
  <si>
    <t>MVBLK-AMN-465-F1JDF</t>
    <phoneticPr fontId="16"/>
  </si>
  <si>
    <t>SETB-0233-Z10　元圧ﾚｷﾞｭﾚｰﾀﾌﾞﾗｹｯﾄ</t>
    <phoneticPr fontId="16"/>
  </si>
  <si>
    <t>SCB5-8　　　</t>
    <phoneticPr fontId="2"/>
  </si>
  <si>
    <t>六角穴付ボルト－ステンレス　 (M5×8)　2本</t>
    <rPh sb="23" eb="24">
      <t>ホン</t>
    </rPh>
    <phoneticPr fontId="2"/>
  </si>
  <si>
    <t>MVSHM-3N03002-465-HB7AR</t>
    <phoneticPr fontId="16"/>
  </si>
  <si>
    <t>MVSHM-3N03050-4A5-514EX</t>
    <phoneticPr fontId="16"/>
  </si>
  <si>
    <t>MVSHM-3N02000-4H5-ZNPUF</t>
    <phoneticPr fontId="16"/>
  </si>
  <si>
    <t>MVSHM-3N02000-4H5-18TWX</t>
    <phoneticPr fontId="16"/>
  </si>
  <si>
    <t>スガツネ工業</t>
    <rPh sb="4" eb="6">
      <t>コウギョウ</t>
    </rPh>
    <phoneticPr fontId="2"/>
  </si>
  <si>
    <t>HBLSD6-SSP</t>
    <phoneticPr fontId="2"/>
  </si>
  <si>
    <t>6シリーズ(溝幅8mm)用薄型ブラケット</t>
    <phoneticPr fontId="16"/>
  </si>
  <si>
    <t>MVSHM-3N02002-4H5-D2HJN</t>
    <phoneticPr fontId="16"/>
  </si>
  <si>
    <t>MVSHM-3N02002-4H5-WU35A</t>
    <phoneticPr fontId="16"/>
  </si>
  <si>
    <t>SI2520-315</t>
    <phoneticPr fontId="16"/>
  </si>
  <si>
    <t>PC601</t>
    <phoneticPr fontId="2"/>
  </si>
  <si>
    <t>USSTL4</t>
    <phoneticPr fontId="2"/>
  </si>
  <si>
    <t>PLLJ6</t>
    <phoneticPr fontId="16"/>
  </si>
  <si>
    <r>
      <rPr>
        <b/>
        <sz val="11"/>
        <rFont val="ＭＳ Ｐゴシック"/>
        <family val="3"/>
        <charset val="128"/>
        <scheme val="minor"/>
      </rPr>
      <t>SETB0312-Z05</t>
    </r>
    <r>
      <rPr>
        <sz val="11"/>
        <rFont val="ＭＳ Ｐゴシック"/>
        <family val="3"/>
        <charset val="128"/>
        <scheme val="minor"/>
      </rPr>
      <t>　カップ受け板金1</t>
    </r>
    <phoneticPr fontId="16"/>
  </si>
  <si>
    <t>SETB-0233-Z20 棚板下段中心前後側</t>
    <phoneticPr fontId="16"/>
  </si>
  <si>
    <t>HFS5-2020-874-TPW</t>
    <phoneticPr fontId="2"/>
  </si>
  <si>
    <t>HFS6-3030-445</t>
    <phoneticPr fontId="16"/>
  </si>
  <si>
    <t>HFS6-3030-920-LDH-RDH</t>
    <phoneticPr fontId="16"/>
  </si>
  <si>
    <t>HFS6-3030-920</t>
    <phoneticPr fontId="16"/>
  </si>
  <si>
    <t>HFS6-3030-980-LCH-RCH</t>
    <phoneticPr fontId="16"/>
  </si>
  <si>
    <t>HFS6-3030-980</t>
    <phoneticPr fontId="16"/>
  </si>
  <si>
    <t>HFS6-3030-1040-Z6-XA130-XB380-XC660-XD910</t>
    <phoneticPr fontId="16"/>
  </si>
  <si>
    <t>HFS6-3030-1040</t>
    <phoneticPr fontId="16"/>
  </si>
  <si>
    <t>PYTA-883-233-3</t>
    <phoneticPr fontId="16"/>
  </si>
  <si>
    <r>
      <t>ＰＥＴプレート  (PET材）</t>
    </r>
    <r>
      <rPr>
        <b/>
        <sz val="11"/>
        <color rgb="FFFF0000"/>
        <rFont val="ＭＳ Ｐゴシック"/>
        <family val="3"/>
        <charset val="128"/>
        <scheme val="minor"/>
      </rPr>
      <t>制電対策</t>
    </r>
    <phoneticPr fontId="16"/>
  </si>
  <si>
    <t>HSCPF3H-S-222</t>
    <phoneticPr fontId="2"/>
  </si>
  <si>
    <t>HSCPF3H-S-875</t>
    <phoneticPr fontId="2"/>
  </si>
  <si>
    <t>PYTA42W8-918-443-5-C11-D11-N6</t>
    <phoneticPr fontId="2"/>
  </si>
  <si>
    <t>PYTA6H-503-443-5-F240.5-G421-N6</t>
    <phoneticPr fontId="16"/>
  </si>
  <si>
    <t>PYTA42W8-918-503-5-C11-D11-N6</t>
    <phoneticPr fontId="2"/>
  </si>
  <si>
    <t>六角穴付ボルト－ステンレス　 (M6×28)　　8本使用</t>
    <rPh sb="25" eb="26">
      <t>ホン</t>
    </rPh>
    <rPh sb="26" eb="28">
      <t>シヨウ</t>
    </rPh>
    <phoneticPr fontId="2"/>
  </si>
  <si>
    <t>安全ｶﾊﾞｰ架台固定用</t>
    <rPh sb="0" eb="2">
      <t>アンゼン</t>
    </rPh>
    <rPh sb="6" eb="8">
      <t>カダイ</t>
    </rPh>
    <rPh sb="8" eb="10">
      <t>コテイ</t>
    </rPh>
    <rPh sb="10" eb="11">
      <t>ヨウ</t>
    </rPh>
    <phoneticPr fontId="16"/>
  </si>
  <si>
    <t>MVSHM-3E05000-4H5-15UJP</t>
  </si>
  <si>
    <t>HOAJ100</t>
    <phoneticPr fontId="16"/>
  </si>
  <si>
    <t>HOFS100</t>
    <phoneticPr fontId="16"/>
  </si>
  <si>
    <t>SETB0312-Z06　裏下段パネル</t>
    <phoneticPr fontId="2"/>
  </si>
  <si>
    <t>NFS5-2020-259-Z5-XA7.5-XB251.5</t>
    <phoneticPr fontId="16"/>
  </si>
  <si>
    <t>SETB0312-Z07　レギュレーター取付板金</t>
    <phoneticPr fontId="2"/>
  </si>
  <si>
    <t>MVSHM-3N02052-4H6-YC4RC</t>
    <phoneticPr fontId="16"/>
  </si>
  <si>
    <t>HKKJ</t>
    <phoneticPr fontId="16"/>
  </si>
  <si>
    <t>フック</t>
    <phoneticPr fontId="16"/>
  </si>
  <si>
    <t>ﾉｯｸﾋﾟﾝ MS　　68+2+4+6</t>
    <phoneticPr fontId="16"/>
  </si>
  <si>
    <t>ノックピン　－プラス公差　6本+8+5+2+10+4</t>
    <rPh sb="14" eb="15">
      <t>ホン</t>
    </rPh>
    <phoneticPr fontId="2"/>
  </si>
  <si>
    <t>六角穴付ボルト8+2</t>
    <phoneticPr fontId="16"/>
  </si>
  <si>
    <t>六角穴付ボルト6+8+10+2+4+2</t>
    <phoneticPr fontId="16"/>
  </si>
  <si>
    <t>六角穴付ボルト32+12</t>
    <phoneticPr fontId="16"/>
  </si>
  <si>
    <t>六角穴付きﾎﾞﾙﾄ　M5×10mm　1本+3+2</t>
    <rPh sb="19" eb="20">
      <t>ホン</t>
    </rPh>
    <phoneticPr fontId="2"/>
  </si>
  <si>
    <t>六角穴付きﾎﾞﾙﾄ　 (M6×10)　2本+2</t>
    <rPh sb="20" eb="21">
      <t>ホン</t>
    </rPh>
    <phoneticPr fontId="2"/>
  </si>
  <si>
    <t>ﾛｯｶｸｱﾅﾂｷｻﾗﾎﾞﾙﾄ(SFB)　48+4</t>
    <phoneticPr fontId="16"/>
  </si>
  <si>
    <t>ﾛｯｶｸｱﾅﾂｷｻﾗﾎﾞﾙﾄ(SFB)　24+24</t>
    <phoneticPr fontId="16"/>
  </si>
  <si>
    <t>ﾛｯｶｸｱﾅﾂｷｻﾗﾎﾞﾙﾄ(SFB)　4+6+6+2</t>
    <phoneticPr fontId="2"/>
  </si>
  <si>
    <t>後入れバネナット　30+2+4+20</t>
    <phoneticPr fontId="2"/>
  </si>
  <si>
    <t>後入れバネナット　50+2</t>
    <phoneticPr fontId="2"/>
  </si>
  <si>
    <t>後入れバネナット4+3+5+2</t>
    <phoneticPr fontId="2"/>
  </si>
  <si>
    <t>XJPNGLB4-P6-B8-G3-ML6</t>
    <phoneticPr fontId="16"/>
  </si>
  <si>
    <r>
      <rPr>
        <b/>
        <sz val="11"/>
        <color indexed="8"/>
        <rFont val="ＭＳ Ｐゴシック"/>
        <family val="3"/>
        <charset val="128"/>
      </rPr>
      <t>SETB-0110-Ｙ01</t>
    </r>
    <r>
      <rPr>
        <b/>
        <sz val="11"/>
        <color rgb="FFFF0000"/>
        <rFont val="ＭＳ Ｐゴシック"/>
        <family val="3"/>
        <charset val="128"/>
      </rPr>
      <t>-1</t>
    </r>
    <r>
      <rPr>
        <b/>
        <sz val="11"/>
        <color indexed="10"/>
        <rFont val="ＭＳ Ｐゴシック"/>
        <family val="3"/>
        <charset val="128"/>
      </rPr>
      <t xml:space="preserve"> </t>
    </r>
    <r>
      <rPr>
        <sz val="11"/>
        <color theme="1"/>
        <rFont val="ＭＳ Ｐゴシック"/>
        <family val="3"/>
        <charset val="128"/>
        <scheme val="minor"/>
      </rPr>
      <t>ﾊﾞﾙﾌﾞ固定モーターﾌﾞﾗｹｯﾄ</t>
    </r>
    <phoneticPr fontId="2"/>
  </si>
  <si>
    <t>MV2D-2602-9301J-SETB-0110-Y01-Y</t>
    <phoneticPr fontId="16"/>
  </si>
  <si>
    <r>
      <rPr>
        <b/>
        <sz val="11"/>
        <color theme="1"/>
        <rFont val="ＭＳ Ｐゴシック"/>
        <family val="3"/>
        <charset val="128"/>
        <scheme val="minor"/>
      </rPr>
      <t>MV2D-2602-9249J-SETB0091-Y05-1</t>
    </r>
    <r>
      <rPr>
        <sz val="11"/>
        <color theme="1"/>
        <rFont val="ＭＳ Ｐゴシック"/>
        <family val="3"/>
        <charset val="128"/>
        <scheme val="minor"/>
      </rPr>
      <t xml:space="preserve"> </t>
    </r>
    <r>
      <rPr>
        <sz val="11"/>
        <color rgb="FFFF0000"/>
        <rFont val="ＭＳ Ｐゴシック"/>
        <family val="3"/>
        <charset val="128"/>
        <scheme val="minor"/>
      </rPr>
      <t xml:space="preserve"> </t>
    </r>
    <phoneticPr fontId="16"/>
  </si>
  <si>
    <t>③</t>
    <phoneticPr fontId="7"/>
  </si>
  <si>
    <t>SR01</t>
    <phoneticPr fontId="16"/>
  </si>
  <si>
    <t>サイレンサ 管用テーパネジ用　　G1/8</t>
    <phoneticPr fontId="16"/>
  </si>
  <si>
    <t>APUHA8-P5.8-L11-B3</t>
    <phoneticPr fontId="16"/>
  </si>
  <si>
    <t>APUHA8-P5.8-L8-B3</t>
    <phoneticPr fontId="16"/>
  </si>
  <si>
    <t>NO.230762-1　H-SAITOU</t>
    <phoneticPr fontId="16"/>
  </si>
  <si>
    <t>NO.230762-2　H-SAITOU</t>
    <phoneticPr fontId="16"/>
  </si>
  <si>
    <t>NO.230762-3　H-SAITOU</t>
    <phoneticPr fontId="16"/>
  </si>
  <si>
    <t>NO.230762-4　H-SAITOU</t>
    <phoneticPr fontId="16"/>
  </si>
  <si>
    <t>NO.230762-5　H-SAITOU</t>
    <phoneticPr fontId="16"/>
  </si>
  <si>
    <t>NO.230762-6　H-SAITOU</t>
    <phoneticPr fontId="16"/>
  </si>
  <si>
    <t>NO.230762-7　H-SAITOU</t>
    <phoneticPr fontId="16"/>
  </si>
  <si>
    <t>NO.230762-8　H-SAITOU</t>
    <phoneticPr fontId="16"/>
  </si>
  <si>
    <t>NO.230762-9　H-SAITOU</t>
    <phoneticPr fontId="16"/>
  </si>
  <si>
    <t>CSH-SUS-M4-28</t>
    <phoneticPr fontId="2"/>
  </si>
  <si>
    <t>FSC10-C-3</t>
    <phoneticPr fontId="2"/>
  </si>
  <si>
    <t>ﾋｮｳｼﾞｭﾝﾂｷﾞﾃ PLLJ</t>
    <phoneticPr fontId="16"/>
  </si>
  <si>
    <t xml:space="preserve">ｳﾚﾀﾝｸｯｼｮﾝﾌﾘｰ AXF
</t>
    <phoneticPr fontId="16"/>
  </si>
  <si>
    <t>AB24EG3EDG</t>
    <phoneticPr fontId="16"/>
  </si>
  <si>
    <t>ﾐｽﾐ　お客様注文NO.</t>
    <rPh sb="5" eb="7">
      <t>キャクサマ</t>
    </rPh>
    <rPh sb="7" eb="9">
      <t>チュウモン</t>
    </rPh>
    <phoneticPr fontId="16"/>
  </si>
  <si>
    <t>SUNCO</t>
    <phoneticPr fontId="16"/>
  </si>
  <si>
    <t>CSMKN-SUS-M5-10</t>
    <phoneticPr fontId="16"/>
  </si>
  <si>
    <t>すり割り付 ローレットビス</t>
    <phoneticPr fontId="16"/>
  </si>
  <si>
    <t>AB24G4B449</t>
    <phoneticPr fontId="16"/>
  </si>
  <si>
    <r>
      <t xml:space="preserve">SPNFL-BRN-M5-15  </t>
    </r>
    <r>
      <rPr>
        <b/>
        <sz val="11"/>
        <color rgb="FF0070C0"/>
        <rFont val="ＭＳ Ｐゴシック"/>
        <family val="3"/>
        <charset val="128"/>
        <scheme val="minor"/>
      </rPr>
      <t>次回は８個発注　残り４個は下記の物手配する事</t>
    </r>
    <rPh sb="17" eb="19">
      <t>ジカイ</t>
    </rPh>
    <rPh sb="21" eb="22">
      <t>コ</t>
    </rPh>
    <rPh sb="22" eb="24">
      <t>ハッチュウ</t>
    </rPh>
    <rPh sb="25" eb="26">
      <t>ノコ</t>
    </rPh>
    <rPh sb="28" eb="29">
      <t>コ</t>
    </rPh>
    <rPh sb="30" eb="32">
      <t>カキ</t>
    </rPh>
    <rPh sb="33" eb="34">
      <t>モノ</t>
    </rPh>
    <rPh sb="34" eb="36">
      <t>テハイ</t>
    </rPh>
    <rPh sb="38" eb="39">
      <t>コト</t>
    </rPh>
    <phoneticPr fontId="16"/>
  </si>
  <si>
    <t>MVBLK-AMW-4K7-67PPB</t>
    <phoneticPr fontId="16"/>
  </si>
  <si>
    <t>SETB0312-X02-1　ﾜｰｸ治具ﾓｰﾀｰﾍﾞｰｽ板</t>
    <phoneticPr fontId="16"/>
  </si>
  <si>
    <t>AB2514EB91</t>
    <phoneticPr fontId="16"/>
  </si>
  <si>
    <t xml:space="preserve">ノックピン </t>
    <phoneticPr fontId="16"/>
  </si>
  <si>
    <t>MS4-35</t>
    <phoneticPr fontId="16"/>
  </si>
  <si>
    <t>WGHS-30-30-15</t>
    <phoneticPr fontId="16"/>
  </si>
  <si>
    <t>ﾜｰｸｶﾞｲﾄﾞ WGH</t>
    <phoneticPr fontId="16"/>
  </si>
  <si>
    <t>CSH-SUS-M4-32</t>
    <phoneticPr fontId="16"/>
  </si>
  <si>
    <r>
      <t>MVSHM-3N03006-4F3-DZL8J　</t>
    </r>
    <r>
      <rPr>
        <b/>
        <sz val="11"/>
        <color rgb="FFFF0000"/>
        <rFont val="ＭＳ Ｐゴシック"/>
        <family val="3"/>
        <charset val="128"/>
        <scheme val="minor"/>
      </rPr>
      <t>次回は下記を発注すること</t>
    </r>
    <rPh sb="24" eb="26">
      <t>ジカイ</t>
    </rPh>
    <rPh sb="27" eb="29">
      <t>カキ</t>
    </rPh>
    <rPh sb="30" eb="32">
      <t>ハッチュウ</t>
    </rPh>
    <phoneticPr fontId="16"/>
  </si>
  <si>
    <t>MVSHM-3N03004-4K7-Y79KH</t>
    <phoneticPr fontId="16"/>
  </si>
  <si>
    <t>SETB0312-Z08  配電BOX固定板</t>
    <phoneticPr fontId="16"/>
  </si>
  <si>
    <t>AB25152F29</t>
    <phoneticPr fontId="16"/>
  </si>
  <si>
    <t>KCC7-18600-210226-405</t>
    <phoneticPr fontId="2"/>
  </si>
  <si>
    <t>特注ﾊｰﾈｽ　　IO-M　4m　MWS-MDR50-HT50用</t>
    <rPh sb="0" eb="2">
      <t>トクチュウ</t>
    </rPh>
    <rPh sb="30" eb="31">
      <t>ヨウ</t>
    </rPh>
    <phoneticPr fontId="2"/>
  </si>
  <si>
    <t>AB2517E542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</si>
</sst>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;[Red]\-0\ "/>
    <numFmt numFmtId="182" formatCode="#,##0_ "/>
    <numFmt numFmtId="183" formatCode="0_ "/>
  </numFmts>
  <fonts count="4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sz val="9.9499999999999993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u/>
      <sz val="11"/>
      <name val="ＭＳ Ｐゴシック"/>
      <family val="3"/>
      <charset val="128"/>
      <scheme val="minor"/>
    </font>
    <font>
      <b/>
      <sz val="11"/>
      <color indexed="10"/>
      <name val="ＭＳ Ｐゴシック"/>
      <family val="3"/>
      <charset val="128"/>
    </font>
    <font>
      <b/>
      <sz val="11"/>
      <color theme="9" tint="-0.249977111117893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1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</font>
    <font>
      <sz val="12"/>
      <color rgb="FF333333"/>
      <name val="ＭＳ Ｐゴシック"/>
      <family val="3"/>
      <charset val="128"/>
      <scheme val="minor"/>
    </font>
    <font>
      <sz val="11"/>
      <color rgb="FF333333"/>
      <name val="ＭＳ Ｐゴシック"/>
      <family val="3"/>
      <charset val="128"/>
      <scheme val="minor"/>
    </font>
    <font>
      <b/>
      <sz val="11"/>
      <color rgb="FF333333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4"/>
      <color theme="9" tint="-0.249977111117893"/>
      <name val="ＭＳ Ｐゴシック"/>
      <family val="3"/>
      <charset val="128"/>
      <scheme val="minor"/>
    </font>
    <font>
      <b/>
      <sz val="14"/>
      <color rgb="FF0070C0"/>
      <name val="ＭＳ Ｐゴシック"/>
      <family val="3"/>
      <charset val="128"/>
      <scheme val="minor"/>
    </font>
    <font>
      <b/>
      <sz val="11"/>
      <color rgb="FF0070C0"/>
      <name val="ＭＳ Ｐゴシック"/>
      <family val="3"/>
      <charset val="128"/>
      <scheme val="minor"/>
    </font>
    <font>
      <b/>
      <sz val="14"/>
      <color rgb="FF00B050"/>
      <name val="ＭＳ Ｐゴシック"/>
      <family val="3"/>
      <charset val="128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>
      <alignment vertical="center"/>
    </xf>
    <xf numFmtId="0" fontId="6" fillId="0" borderId="0"/>
    <xf numFmtId="0" fontId="15" fillId="0" borderId="0">
      <alignment vertical="center"/>
    </xf>
    <xf numFmtId="0" fontId="27" fillId="0" borderId="0">
      <alignment vertical="center"/>
    </xf>
  </cellStyleXfs>
  <cellXfs count="39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38" fontId="0" fillId="0" borderId="0" xfId="0" applyNumberFormat="1">
      <alignment vertical="center"/>
    </xf>
    <xf numFmtId="17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3" fontId="0" fillId="0" borderId="0" xfId="0" applyNumberFormat="1">
      <alignment vertical="center"/>
    </xf>
    <xf numFmtId="38" fontId="0" fillId="0" borderId="1" xfId="0" applyNumberFormat="1" applyBorder="1" applyAlignment="1">
      <alignment horizontal="right" vertical="center"/>
    </xf>
    <xf numFmtId="38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0" fillId="0" borderId="1" xfId="0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6" fontId="0" fillId="0" borderId="0" xfId="0" applyNumberFormat="1" applyAlignment="1">
      <alignment horizontal="right" vertical="center"/>
    </xf>
    <xf numFmtId="0" fontId="0" fillId="0" borderId="2" xfId="0" applyBorder="1" applyAlignment="1">
      <alignment horizontal="right" vertical="center"/>
    </xf>
    <xf numFmtId="182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179" fontId="0" fillId="0" borderId="16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3" fontId="15" fillId="0" borderId="1" xfId="2" applyNumberFormat="1" applyBorder="1" applyAlignment="1">
      <alignment horizontal="center" vertical="center"/>
    </xf>
    <xf numFmtId="0" fontId="15" fillId="0" borderId="1" xfId="2" applyBorder="1" applyAlignment="1">
      <alignment horizontal="center" vertical="center"/>
    </xf>
    <xf numFmtId="178" fontId="0" fillId="0" borderId="16" xfId="0" applyNumberFormat="1" applyBorder="1" applyAlignment="1">
      <alignment horizontal="center" vertical="center"/>
    </xf>
    <xf numFmtId="49" fontId="15" fillId="0" borderId="1" xfId="2" applyNumberFormat="1" applyBorder="1" applyAlignment="1">
      <alignment horizontal="left" vertical="center"/>
    </xf>
    <xf numFmtId="0" fontId="15" fillId="0" borderId="1" xfId="2" applyBorder="1">
      <alignment vertical="center"/>
    </xf>
    <xf numFmtId="0" fontId="0" fillId="0" borderId="18" xfId="0" applyBorder="1" applyAlignment="1">
      <alignment vertical="center" shrinkToFit="1"/>
    </xf>
    <xf numFmtId="0" fontId="0" fillId="4" borderId="1" xfId="0" applyFill="1" applyBorder="1" applyAlignment="1">
      <alignment horizontal="center" vertical="center"/>
    </xf>
    <xf numFmtId="176" fontId="0" fillId="0" borderId="1" xfId="0" applyNumberFormat="1" applyBorder="1" applyAlignment="1"/>
    <xf numFmtId="0" fontId="0" fillId="0" borderId="1" xfId="0" applyBorder="1" applyAlignment="1">
      <alignment horizontal="left" vertical="center" shrinkToFit="1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vertical="center" shrinkToFit="1"/>
    </xf>
    <xf numFmtId="0" fontId="15" fillId="9" borderId="1" xfId="0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8" fontId="18" fillId="0" borderId="1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56" fontId="0" fillId="0" borderId="2" xfId="0" applyNumberFormat="1" applyBorder="1" applyAlignment="1">
      <alignment horizontal="center" vertical="center"/>
    </xf>
    <xf numFmtId="0" fontId="6" fillId="0" borderId="1" xfId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shrinkToFit="1"/>
    </xf>
    <xf numFmtId="3" fontId="0" fillId="4" borderId="1" xfId="0" applyNumberForma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0" fillId="10" borderId="5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8" fillId="10" borderId="1" xfId="0" applyFont="1" applyFill="1" applyBorder="1">
      <alignment vertical="center"/>
    </xf>
    <xf numFmtId="3" fontId="0" fillId="0" borderId="18" xfId="0" applyNumberFormat="1" applyBorder="1" applyAlignment="1">
      <alignment horizontal="center" vertical="center"/>
    </xf>
    <xf numFmtId="179" fontId="0" fillId="0" borderId="23" xfId="0" applyNumberFormat="1" applyBorder="1" applyAlignment="1">
      <alignment horizontal="center" vertical="center"/>
    </xf>
    <xf numFmtId="38" fontId="15" fillId="0" borderId="1" xfId="2" applyNumberFormat="1" applyBorder="1" applyAlignment="1">
      <alignment horizontal="center" vertical="center"/>
    </xf>
    <xf numFmtId="3" fontId="12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8" fillId="0" borderId="1" xfId="0" applyFont="1" applyBorder="1">
      <alignment vertical="center"/>
    </xf>
    <xf numFmtId="0" fontId="24" fillId="0" borderId="16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3" fontId="0" fillId="10" borderId="1" xfId="0" applyNumberForma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76" fontId="0" fillId="0" borderId="1" xfId="0" applyNumberFormat="1" applyBorder="1">
      <alignment vertical="center"/>
    </xf>
    <xf numFmtId="176" fontId="18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18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76" fontId="0" fillId="0" borderId="22" xfId="0" applyNumberFormat="1" applyBorder="1" applyAlignment="1"/>
    <xf numFmtId="0" fontId="12" fillId="0" borderId="16" xfId="0" applyFont="1" applyBorder="1" applyAlignment="1">
      <alignment horizontal="left" vertical="center"/>
    </xf>
    <xf numFmtId="3" fontId="18" fillId="0" borderId="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76" fontId="0" fillId="0" borderId="16" xfId="0" applyNumberFormat="1" applyBorder="1">
      <alignment vertical="center"/>
    </xf>
    <xf numFmtId="176" fontId="0" fillId="0" borderId="12" xfId="0" applyNumberFormat="1" applyBorder="1" applyAlignment="1"/>
    <xf numFmtId="0" fontId="15" fillId="0" borderId="1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9" fillId="0" borderId="5" xfId="0" applyFont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3" fontId="12" fillId="4" borderId="12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38" fontId="1" fillId="4" borderId="1" xfId="0" applyNumberFormat="1" applyFont="1" applyFill="1" applyBorder="1" applyAlignment="1">
      <alignment horizontal="center" vertical="center"/>
    </xf>
    <xf numFmtId="181" fontId="18" fillId="4" borderId="1" xfId="0" applyNumberFormat="1" applyFon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18" fillId="4" borderId="1" xfId="0" applyNumberFormat="1" applyFont="1" applyFill="1" applyBorder="1" applyAlignment="1">
      <alignment horizontal="center" vertical="center"/>
    </xf>
    <xf numFmtId="38" fontId="0" fillId="4" borderId="1" xfId="0" applyNumberFormat="1" applyFill="1" applyBorder="1" applyAlignment="1">
      <alignment horizontal="center" vertical="center"/>
    </xf>
    <xf numFmtId="38" fontId="1" fillId="4" borderId="2" xfId="0" applyNumberFormat="1" applyFont="1" applyFill="1" applyBorder="1" applyAlignment="1">
      <alignment horizontal="center" vertical="center"/>
    </xf>
    <xf numFmtId="38" fontId="18" fillId="4" borderId="1" xfId="0" applyNumberFormat="1" applyFont="1" applyFill="1" applyBorder="1" applyAlignment="1">
      <alignment horizontal="center" vertical="center"/>
    </xf>
    <xf numFmtId="181" fontId="0" fillId="4" borderId="1" xfId="0" applyNumberFormat="1" applyFill="1" applyBorder="1" applyAlignment="1">
      <alignment horizontal="center" vertical="center"/>
    </xf>
    <xf numFmtId="0" fontId="22" fillId="4" borderId="1" xfId="1" applyFont="1" applyFill="1" applyBorder="1" applyAlignment="1">
      <alignment horizontal="center" vertical="center"/>
    </xf>
    <xf numFmtId="38" fontId="15" fillId="4" borderId="1" xfId="2" applyNumberFormat="1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0" borderId="8" xfId="0" applyBorder="1" applyAlignment="1">
      <alignment horizontal="center" vertical="center"/>
    </xf>
    <xf numFmtId="183" fontId="18" fillId="10" borderId="1" xfId="0" applyNumberFormat="1" applyFont="1" applyFill="1" applyBorder="1" applyAlignment="1">
      <alignment horizontal="right" vertical="center"/>
    </xf>
    <xf numFmtId="0" fontId="9" fillId="11" borderId="1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83" fontId="18" fillId="10" borderId="3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right" vertical="center"/>
    </xf>
    <xf numFmtId="0" fontId="22" fillId="0" borderId="1" xfId="1" applyFont="1" applyBorder="1" applyAlignment="1">
      <alignment horizontal="center" vertical="center"/>
    </xf>
    <xf numFmtId="0" fontId="0" fillId="4" borderId="1" xfId="0" applyFill="1" applyBorder="1" applyAlignment="1">
      <alignment horizontal="right" vertical="center"/>
    </xf>
    <xf numFmtId="183" fontId="18" fillId="0" borderId="1" xfId="0" applyNumberFormat="1" applyFont="1" applyBorder="1" applyAlignment="1">
      <alignment horizontal="right" vertical="center"/>
    </xf>
    <xf numFmtId="3" fontId="0" fillId="10" borderId="8" xfId="0" applyNumberFormat="1" applyFill="1" applyBorder="1" applyAlignment="1">
      <alignment horizontal="center" vertical="center"/>
    </xf>
    <xf numFmtId="176" fontId="13" fillId="7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9" fillId="13" borderId="26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6" fillId="4" borderId="1" xfId="1" applyFill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15" fillId="0" borderId="1" xfId="2" applyNumberFormat="1" applyBorder="1">
      <alignment vertical="center"/>
    </xf>
    <xf numFmtId="3" fontId="0" fillId="9" borderId="1" xfId="0" applyNumberForma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176" fontId="0" fillId="0" borderId="2" xfId="0" applyNumberFormat="1" applyBorder="1" applyAlignment="1">
      <alignment horizontal="left" vertical="center"/>
    </xf>
    <xf numFmtId="180" fontId="18" fillId="0" borderId="1" xfId="0" applyNumberFormat="1" applyFont="1" applyBorder="1" applyAlignment="1">
      <alignment horizontal="center" vertical="center"/>
    </xf>
    <xf numFmtId="182" fontId="0" fillId="4" borderId="1" xfId="0" applyNumberFormat="1" applyFill="1" applyBorder="1" applyAlignment="1">
      <alignment horizontal="center" vertical="center"/>
    </xf>
    <xf numFmtId="176" fontId="1" fillId="0" borderId="2" xfId="0" applyNumberFormat="1" applyFont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0" fillId="10" borderId="1" xfId="0" applyFill="1" applyBorder="1">
      <alignment vertical="center"/>
    </xf>
    <xf numFmtId="183" fontId="18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3" fontId="18" fillId="9" borderId="1" xfId="0" applyNumberFormat="1" applyFont="1" applyFill="1" applyBorder="1" applyAlignment="1">
      <alignment horizontal="center" vertical="center"/>
    </xf>
    <xf numFmtId="3" fontId="15" fillId="9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15" fillId="0" borderId="16" xfId="2" applyBorder="1" applyAlignment="1">
      <alignment horizontal="center" vertical="center"/>
    </xf>
    <xf numFmtId="176" fontId="15" fillId="4" borderId="1" xfId="2" applyNumberFormat="1" applyFill="1" applyBorder="1" applyAlignment="1">
      <alignment horizontal="center" vertical="center"/>
    </xf>
    <xf numFmtId="0" fontId="15" fillId="0" borderId="1" xfId="2" applyBorder="1" applyAlignment="1">
      <alignment vertical="center" shrinkToFit="1"/>
    </xf>
    <xf numFmtId="0" fontId="12" fillId="0" borderId="17" xfId="0" applyFont="1" applyBorder="1" applyAlignment="1">
      <alignment horizontal="center" vertical="center"/>
    </xf>
    <xf numFmtId="176" fontId="15" fillId="4" borderId="1" xfId="0" applyNumberFormat="1" applyFont="1" applyFill="1" applyBorder="1" applyAlignment="1">
      <alignment horizontal="center" vertical="center"/>
    </xf>
    <xf numFmtId="183" fontId="1" fillId="4" borderId="1" xfId="0" applyNumberFormat="1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183" fontId="18" fillId="4" borderId="1" xfId="0" applyNumberFormat="1" applyFont="1" applyFill="1" applyBorder="1" applyAlignment="1">
      <alignment horizontal="center" vertical="center"/>
    </xf>
    <xf numFmtId="0" fontId="18" fillId="4" borderId="1" xfId="2" applyFont="1" applyFill="1" applyBorder="1" applyAlignment="1">
      <alignment horizontal="center" vertical="center"/>
    </xf>
    <xf numFmtId="38" fontId="0" fillId="12" borderId="1" xfId="0" applyNumberFormat="1" applyFill="1" applyBorder="1" applyAlignment="1">
      <alignment horizontal="center" vertical="center"/>
    </xf>
    <xf numFmtId="183" fontId="0" fillId="4" borderId="1" xfId="0" applyNumberFormat="1" applyFill="1" applyBorder="1" applyAlignment="1">
      <alignment horizontal="center" vertical="center"/>
    </xf>
    <xf numFmtId="183" fontId="18" fillId="4" borderId="3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3" fontId="18" fillId="4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6" fillId="0" borderId="1" xfId="1" applyBorder="1" applyAlignment="1">
      <alignment horizontal="left" vertical="center"/>
    </xf>
    <xf numFmtId="176" fontId="0" fillId="0" borderId="22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right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18" fillId="0" borderId="1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176" fontId="18" fillId="0" borderId="2" xfId="0" applyNumberFormat="1" applyFont="1" applyBorder="1" applyAlignment="1">
      <alignment horizontal="left" vertical="center"/>
    </xf>
    <xf numFmtId="176" fontId="18" fillId="4" borderId="2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5" fillId="0" borderId="2" xfId="2" applyBorder="1" applyAlignment="1">
      <alignment horizontal="left" vertical="center"/>
    </xf>
    <xf numFmtId="0" fontId="15" fillId="0" borderId="1" xfId="2" applyBorder="1" applyAlignment="1">
      <alignment horizontal="left" vertical="center"/>
    </xf>
    <xf numFmtId="0" fontId="15" fillId="9" borderId="1" xfId="2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/>
    </xf>
    <xf numFmtId="3" fontId="13" fillId="3" borderId="8" xfId="0" applyNumberFormat="1" applyFont="1" applyFill="1" applyBorder="1" applyAlignment="1">
      <alignment horizontal="center" vertical="center"/>
    </xf>
    <xf numFmtId="3" fontId="13" fillId="3" borderId="2" xfId="0" applyNumberFormat="1" applyFont="1" applyFill="1" applyBorder="1" applyAlignment="1">
      <alignment horizontal="left" vertical="center"/>
    </xf>
    <xf numFmtId="3" fontId="1" fillId="9" borderId="1" xfId="0" applyNumberFormat="1" applyFont="1" applyFill="1" applyBorder="1" applyAlignment="1">
      <alignment horizontal="center" vertical="center"/>
    </xf>
    <xf numFmtId="0" fontId="18" fillId="4" borderId="1" xfId="0" applyFont="1" applyFill="1" applyBorder="1">
      <alignment vertical="center"/>
    </xf>
    <xf numFmtId="0" fontId="18" fillId="9" borderId="1" xfId="0" applyFont="1" applyFill="1" applyBorder="1">
      <alignment vertical="center"/>
    </xf>
    <xf numFmtId="0" fontId="18" fillId="9" borderId="1" xfId="0" applyFont="1" applyFill="1" applyBorder="1" applyAlignment="1">
      <alignment vertical="center" wrapText="1"/>
    </xf>
    <xf numFmtId="0" fontId="18" fillId="9" borderId="1" xfId="0" applyFont="1" applyFill="1" applyBorder="1" applyAlignment="1">
      <alignment horizontal="left" vertical="center"/>
    </xf>
    <xf numFmtId="0" fontId="0" fillId="9" borderId="1" xfId="0" applyFill="1" applyBorder="1">
      <alignment vertical="center"/>
    </xf>
    <xf numFmtId="0" fontId="6" fillId="9" borderId="1" xfId="1" applyFill="1" applyBorder="1" applyAlignment="1">
      <alignment horizontal="left"/>
    </xf>
    <xf numFmtId="0" fontId="32" fillId="0" borderId="0" xfId="0" applyFont="1">
      <alignment vertical="center"/>
    </xf>
    <xf numFmtId="183" fontId="1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176" fontId="0" fillId="4" borderId="1" xfId="0" applyNumberFormat="1" applyFill="1" applyBorder="1">
      <alignment vertical="center"/>
    </xf>
    <xf numFmtId="3" fontId="18" fillId="0" borderId="3" xfId="0" applyNumberFormat="1" applyFont="1" applyBorder="1" applyAlignment="1">
      <alignment horizontal="center" vertical="center"/>
    </xf>
    <xf numFmtId="38" fontId="0" fillId="4" borderId="1" xfId="0" applyNumberFormat="1" applyFill="1" applyBorder="1">
      <alignment vertical="center"/>
    </xf>
    <xf numFmtId="176" fontId="6" fillId="0" borderId="2" xfId="0" applyNumberFormat="1" applyFont="1" applyBorder="1">
      <alignment vertical="center"/>
    </xf>
    <xf numFmtId="0" fontId="6" fillId="9" borderId="2" xfId="0" applyFont="1" applyFill="1" applyBorder="1">
      <alignment vertical="center"/>
    </xf>
    <xf numFmtId="0" fontId="0" fillId="4" borderId="3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left" vertical="center"/>
    </xf>
    <xf numFmtId="0" fontId="0" fillId="4" borderId="0" xfId="0" applyFill="1">
      <alignment vertical="center"/>
    </xf>
    <xf numFmtId="0" fontId="15" fillId="4" borderId="1" xfId="0" applyFont="1" applyFill="1" applyBorder="1" applyAlignment="1">
      <alignment horizontal="left" vertical="center"/>
    </xf>
    <xf numFmtId="176" fontId="18" fillId="4" borderId="1" xfId="0" applyNumberFormat="1" applyFon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/>
    </xf>
    <xf numFmtId="0" fontId="6" fillId="4" borderId="1" xfId="1" applyFill="1" applyBorder="1" applyAlignment="1">
      <alignment horizontal="left"/>
    </xf>
    <xf numFmtId="49" fontId="18" fillId="4" borderId="1" xfId="0" applyNumberFormat="1" applyFont="1" applyFill="1" applyBorder="1" applyAlignment="1">
      <alignment horizontal="left" vertical="center"/>
    </xf>
    <xf numFmtId="176" fontId="6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176" fontId="9" fillId="4" borderId="1" xfId="0" applyNumberFormat="1" applyFont="1" applyFill="1" applyBorder="1" applyAlignment="1">
      <alignment horizontal="center" vertical="center"/>
    </xf>
    <xf numFmtId="49" fontId="15" fillId="4" borderId="1" xfId="0" applyNumberFormat="1" applyFont="1" applyFill="1" applyBorder="1" applyAlignment="1">
      <alignment horizontal="left" vertical="center"/>
    </xf>
    <xf numFmtId="0" fontId="6" fillId="4" borderId="1" xfId="1" applyFill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10" fillId="4" borderId="1" xfId="0" applyFont="1" applyFill="1" applyBorder="1">
      <alignment vertical="center"/>
    </xf>
    <xf numFmtId="0" fontId="6" fillId="0" borderId="1" xfId="1" applyBorder="1" applyAlignment="1">
      <alignment horizontal="left"/>
    </xf>
    <xf numFmtId="0" fontId="6" fillId="4" borderId="1" xfId="1" applyFill="1" applyBorder="1" applyAlignment="1">
      <alignment horizontal="left" vertical="center"/>
    </xf>
    <xf numFmtId="183" fontId="1" fillId="4" borderId="1" xfId="0" applyNumberFormat="1" applyFont="1" applyFill="1" applyBorder="1">
      <alignment vertical="center"/>
    </xf>
    <xf numFmtId="0" fontId="23" fillId="9" borderId="1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0" fillId="0" borderId="18" xfId="0" applyBorder="1" applyAlignment="1">
      <alignment horizontal="center" vertical="center"/>
    </xf>
    <xf numFmtId="176" fontId="1" fillId="4" borderId="1" xfId="0" applyNumberFormat="1" applyFont="1" applyFill="1" applyBorder="1">
      <alignment vertical="center"/>
    </xf>
    <xf numFmtId="49" fontId="15" fillId="4" borderId="1" xfId="2" applyNumberFormat="1" applyFill="1" applyBorder="1" applyAlignment="1">
      <alignment horizontal="left" vertical="center"/>
    </xf>
    <xf numFmtId="0" fontId="15" fillId="4" borderId="1" xfId="2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4" borderId="1" xfId="1" applyFont="1" applyFill="1" applyBorder="1" applyAlignment="1">
      <alignment horizontal="left" vertical="center"/>
    </xf>
    <xf numFmtId="0" fontId="18" fillId="4" borderId="1" xfId="0" applyFont="1" applyFill="1" applyBorder="1" applyAlignment="1">
      <alignment vertical="center" wrapText="1"/>
    </xf>
    <xf numFmtId="0" fontId="18" fillId="4" borderId="1" xfId="2" applyFont="1" applyFill="1" applyBorder="1" applyAlignment="1">
      <alignment horizontal="left" vertical="center"/>
    </xf>
    <xf numFmtId="0" fontId="6" fillId="4" borderId="1" xfId="2" applyFont="1" applyFill="1" applyBorder="1" applyAlignment="1">
      <alignment horizontal="left" vertical="center"/>
    </xf>
    <xf numFmtId="0" fontId="18" fillId="4" borderId="3" xfId="0" applyFont="1" applyFill="1" applyBorder="1" applyAlignment="1">
      <alignment horizontal="left" vertical="center"/>
    </xf>
    <xf numFmtId="176" fontId="15" fillId="6" borderId="2" xfId="2" applyNumberFormat="1" applyFill="1" applyBorder="1" applyAlignment="1">
      <alignment horizontal="center" vertical="center"/>
    </xf>
    <xf numFmtId="176" fontId="15" fillId="0" borderId="2" xfId="2" applyNumberFormat="1" applyBorder="1" applyAlignment="1"/>
    <xf numFmtId="0" fontId="15" fillId="0" borderId="1" xfId="2" applyBorder="1" applyAlignment="1">
      <alignment horizontal="left" vertical="center" shrinkToFit="1"/>
    </xf>
    <xf numFmtId="176" fontId="1" fillId="6" borderId="1" xfId="2" applyNumberFormat="1" applyFont="1" applyFill="1" applyBorder="1" applyAlignment="1">
      <alignment horizontal="center" vertical="center"/>
    </xf>
    <xf numFmtId="49" fontId="6" fillId="4" borderId="11" xfId="2" applyNumberFormat="1" applyFont="1" applyFill="1" applyBorder="1" applyAlignment="1">
      <alignment vertical="center" shrinkToFit="1"/>
    </xf>
    <xf numFmtId="176" fontId="18" fillId="4" borderId="3" xfId="2" applyNumberFormat="1" applyFont="1" applyFill="1" applyBorder="1">
      <alignment vertical="center"/>
    </xf>
    <xf numFmtId="3" fontId="18" fillId="4" borderId="1" xfId="2" applyNumberFormat="1" applyFont="1" applyFill="1" applyBorder="1" applyAlignment="1">
      <alignment horizontal="left" vertical="center"/>
    </xf>
    <xf numFmtId="183" fontId="15" fillId="4" borderId="1" xfId="2" applyNumberFormat="1" applyFill="1" applyBorder="1">
      <alignment vertical="center"/>
    </xf>
    <xf numFmtId="3" fontId="6" fillId="0" borderId="3" xfId="0" applyNumberFormat="1" applyFont="1" applyBorder="1" applyAlignment="1">
      <alignment horizontal="center" vertical="center"/>
    </xf>
    <xf numFmtId="0" fontId="0" fillId="4" borderId="2" xfId="0" applyFill="1" applyBorder="1">
      <alignment vertical="center"/>
    </xf>
    <xf numFmtId="0" fontId="18" fillId="0" borderId="3" xfId="0" applyFont="1" applyBorder="1">
      <alignment vertical="center"/>
    </xf>
    <xf numFmtId="49" fontId="0" fillId="4" borderId="3" xfId="0" applyNumberForma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29" fillId="0" borderId="23" xfId="2" applyFont="1" applyBorder="1" applyAlignment="1">
      <alignment horizontal="center" vertical="center"/>
    </xf>
    <xf numFmtId="0" fontId="29" fillId="0" borderId="1" xfId="2" applyFont="1" applyBorder="1" applyAlignment="1">
      <alignment horizontal="center" vertical="center"/>
    </xf>
    <xf numFmtId="176" fontId="15" fillId="0" borderId="2" xfId="2" applyNumberFormat="1" applyBorder="1">
      <alignment vertical="center"/>
    </xf>
    <xf numFmtId="0" fontId="15" fillId="0" borderId="23" xfId="2" applyBorder="1" applyAlignment="1">
      <alignment horizontal="center" vertical="center"/>
    </xf>
    <xf numFmtId="0" fontId="33" fillId="4" borderId="0" xfId="0" applyFont="1" applyFill="1">
      <alignment vertical="center"/>
    </xf>
    <xf numFmtId="0" fontId="18" fillId="4" borderId="1" xfId="0" applyFont="1" applyFill="1" applyBorder="1" applyAlignment="1">
      <alignment horizontal="right" vertical="center"/>
    </xf>
    <xf numFmtId="183" fontId="18" fillId="4" borderId="1" xfId="0" applyNumberFormat="1" applyFont="1" applyFill="1" applyBorder="1">
      <alignment vertical="center"/>
    </xf>
    <xf numFmtId="0" fontId="34" fillId="4" borderId="1" xfId="0" applyFont="1" applyFill="1" applyBorder="1">
      <alignment vertical="center"/>
    </xf>
    <xf numFmtId="0" fontId="34" fillId="4" borderId="1" xfId="0" applyFont="1" applyFill="1" applyBorder="1" applyAlignment="1">
      <alignment horizontal="left" vertical="center"/>
    </xf>
    <xf numFmtId="0" fontId="34" fillId="0" borderId="1" xfId="0" applyFont="1" applyBorder="1" applyAlignment="1">
      <alignment horizontal="left" vertical="center"/>
    </xf>
    <xf numFmtId="0" fontId="34" fillId="0" borderId="1" xfId="0" applyFont="1" applyBorder="1">
      <alignment vertical="center"/>
    </xf>
    <xf numFmtId="0" fontId="6" fillId="4" borderId="2" xfId="0" applyFont="1" applyFill="1" applyBorder="1">
      <alignment vertical="center"/>
    </xf>
    <xf numFmtId="176" fontId="18" fillId="4" borderId="1" xfId="0" applyNumberFormat="1" applyFont="1" applyFill="1" applyBorder="1">
      <alignment vertical="center"/>
    </xf>
    <xf numFmtId="176" fontId="18" fillId="4" borderId="16" xfId="0" applyNumberFormat="1" applyFont="1" applyFill="1" applyBorder="1" applyAlignment="1">
      <alignment horizontal="right" vertical="center"/>
    </xf>
    <xf numFmtId="0" fontId="0" fillId="4" borderId="20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18" fillId="0" borderId="2" xfId="0" applyNumberFormat="1" applyFont="1" applyBorder="1">
      <alignment vertical="center"/>
    </xf>
    <xf numFmtId="0" fontId="18" fillId="0" borderId="2" xfId="0" applyFont="1" applyBorder="1">
      <alignment vertical="center"/>
    </xf>
    <xf numFmtId="3" fontId="0" fillId="4" borderId="3" xfId="0" applyNumberForma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9" fillId="19" borderId="1" xfId="0" applyFont="1" applyFill="1" applyBorder="1" applyAlignment="1">
      <alignment horizontal="center" vertical="center"/>
    </xf>
    <xf numFmtId="38" fontId="0" fillId="0" borderId="1" xfId="0" applyNumberForma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3" fontId="18" fillId="0" borderId="1" xfId="2" applyNumberFormat="1" applyFont="1" applyBorder="1" applyAlignment="1">
      <alignment horizontal="center" vertical="center"/>
    </xf>
    <xf numFmtId="0" fontId="15" fillId="9" borderId="1" xfId="2" applyFill="1" applyBorder="1" applyAlignment="1">
      <alignment horizontal="left" vertical="center"/>
    </xf>
    <xf numFmtId="0" fontId="36" fillId="0" borderId="0" xfId="0" applyFont="1" applyAlignment="1">
      <alignment vertical="center" shrinkToFit="1"/>
    </xf>
    <xf numFmtId="0" fontId="36" fillId="0" borderId="0" xfId="0" applyFont="1" applyAlignment="1">
      <alignment horizontal="center" vertical="center" shrinkToFit="1"/>
    </xf>
    <xf numFmtId="0" fontId="36" fillId="4" borderId="0" xfId="0" applyFont="1" applyFill="1" applyAlignment="1">
      <alignment vertical="center" shrinkToFit="1"/>
    </xf>
    <xf numFmtId="0" fontId="36" fillId="21" borderId="1" xfId="0" applyFont="1" applyFill="1" applyBorder="1" applyAlignment="1">
      <alignment horizontal="center" vertical="center" shrinkToFit="1"/>
    </xf>
    <xf numFmtId="0" fontId="36" fillId="0" borderId="1" xfId="0" applyFont="1" applyBorder="1" applyAlignment="1">
      <alignment horizontal="center" vertical="center" shrinkToFit="1"/>
    </xf>
    <xf numFmtId="0" fontId="36" fillId="4" borderId="0" xfId="0" applyFont="1" applyFill="1" applyAlignment="1">
      <alignment horizontal="center" vertical="center" shrinkToFit="1"/>
    </xf>
    <xf numFmtId="0" fontId="36" fillId="9" borderId="1" xfId="0" applyFont="1" applyFill="1" applyBorder="1" applyAlignment="1">
      <alignment horizontal="center" vertical="center" shrinkToFit="1"/>
    </xf>
    <xf numFmtId="0" fontId="36" fillId="6" borderId="1" xfId="0" applyFont="1" applyFill="1" applyBorder="1" applyAlignment="1">
      <alignment horizontal="center" vertical="center" shrinkToFit="1"/>
    </xf>
    <xf numFmtId="0" fontId="36" fillId="4" borderId="1" xfId="0" applyFont="1" applyFill="1" applyBorder="1" applyAlignment="1">
      <alignment horizontal="center" vertical="center" shrinkToFit="1"/>
    </xf>
    <xf numFmtId="0" fontId="36" fillId="15" borderId="1" xfId="0" applyFont="1" applyFill="1" applyBorder="1" applyAlignment="1">
      <alignment horizontal="center" vertical="center" shrinkToFit="1"/>
    </xf>
    <xf numFmtId="0" fontId="36" fillId="16" borderId="1" xfId="0" applyFont="1" applyFill="1" applyBorder="1" applyAlignment="1">
      <alignment horizontal="center" vertical="center" shrinkToFit="1"/>
    </xf>
    <xf numFmtId="0" fontId="36" fillId="22" borderId="1" xfId="0" applyFont="1" applyFill="1" applyBorder="1" applyAlignment="1">
      <alignment horizontal="center" vertical="center" shrinkToFit="1"/>
    </xf>
    <xf numFmtId="0" fontId="36" fillId="5" borderId="1" xfId="0" applyFont="1" applyFill="1" applyBorder="1" applyAlignment="1">
      <alignment horizontal="center" vertical="center" shrinkToFit="1"/>
    </xf>
    <xf numFmtId="0" fontId="36" fillId="17" borderId="1" xfId="0" applyFont="1" applyFill="1" applyBorder="1" applyAlignment="1">
      <alignment horizontal="center" vertical="center" shrinkToFit="1"/>
    </xf>
    <xf numFmtId="0" fontId="30" fillId="4" borderId="1" xfId="0" applyFont="1" applyFill="1" applyBorder="1">
      <alignment vertical="center"/>
    </xf>
    <xf numFmtId="56" fontId="0" fillId="0" borderId="16" xfId="0" applyNumberFormat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76" fontId="0" fillId="12" borderId="1" xfId="0" applyNumberFormat="1" applyFill="1" applyBorder="1" applyAlignment="1">
      <alignment horizontal="center" vertical="center"/>
    </xf>
    <xf numFmtId="38" fontId="15" fillId="12" borderId="1" xfId="2" applyNumberFormat="1" applyFill="1" applyBorder="1" applyAlignment="1">
      <alignment horizontal="center" vertical="center"/>
    </xf>
    <xf numFmtId="176" fontId="18" fillId="4" borderId="1" xfId="2" applyNumberFormat="1" applyFont="1" applyFill="1" applyBorder="1" applyAlignment="1">
      <alignment horizontal="center" vertical="center"/>
    </xf>
    <xf numFmtId="38" fontId="18" fillId="12" borderId="1" xfId="0" applyNumberFormat="1" applyFont="1" applyFill="1" applyBorder="1" applyAlignment="1">
      <alignment horizontal="center" vertical="center"/>
    </xf>
    <xf numFmtId="176" fontId="18" fillId="12" borderId="1" xfId="0" applyNumberFormat="1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38" fontId="0" fillId="12" borderId="3" xfId="0" applyNumberForma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8" fillId="12" borderId="3" xfId="0" applyFont="1" applyFill="1" applyBorder="1" applyAlignment="1">
      <alignment horizontal="center" vertical="center"/>
    </xf>
    <xf numFmtId="181" fontId="0" fillId="12" borderId="1" xfId="0" applyNumberFormat="1" applyFill="1" applyBorder="1" applyAlignment="1">
      <alignment horizontal="center" vertical="center"/>
    </xf>
    <xf numFmtId="176" fontId="1" fillId="12" borderId="1" xfId="0" applyNumberFormat="1" applyFont="1" applyFill="1" applyBorder="1" applyAlignment="1">
      <alignment horizontal="center" vertical="center"/>
    </xf>
    <xf numFmtId="38" fontId="15" fillId="4" borderId="1" xfId="2" applyNumberFormat="1" applyFill="1" applyBorder="1">
      <alignment vertical="center"/>
    </xf>
    <xf numFmtId="0" fontId="37" fillId="0" borderId="1" xfId="2" applyFont="1" applyBorder="1" applyAlignment="1">
      <alignment horizontal="center" vertical="center"/>
    </xf>
    <xf numFmtId="49" fontId="15" fillId="13" borderId="1" xfId="2" applyNumberFormat="1" applyFill="1" applyBorder="1" applyAlignment="1">
      <alignment horizontal="left" vertical="center"/>
    </xf>
    <xf numFmtId="0" fontId="15" fillId="13" borderId="1" xfId="2" applyFill="1" applyBorder="1" applyAlignment="1">
      <alignment horizontal="center" vertical="center"/>
    </xf>
    <xf numFmtId="38" fontId="15" fillId="13" borderId="1" xfId="2" applyNumberFormat="1" applyFill="1" applyBorder="1" applyAlignment="1">
      <alignment horizontal="center" vertical="center"/>
    </xf>
    <xf numFmtId="0" fontId="38" fillId="0" borderId="1" xfId="2" applyFont="1" applyBorder="1" applyAlignment="1">
      <alignment horizontal="center" vertical="center"/>
    </xf>
    <xf numFmtId="49" fontId="0" fillId="4" borderId="1" xfId="2" applyNumberFormat="1" applyFont="1" applyFill="1" applyBorder="1" applyAlignment="1">
      <alignment horizontal="left" vertical="center"/>
    </xf>
    <xf numFmtId="0" fontId="10" fillId="13" borderId="1" xfId="0" applyFont="1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38" fontId="0" fillId="13" borderId="1" xfId="0" applyNumberForma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 wrapText="1" shrinkToFit="1"/>
    </xf>
    <xf numFmtId="0" fontId="6" fillId="13" borderId="1" xfId="1" applyFill="1" applyBorder="1" applyAlignment="1">
      <alignment horizontal="left" vertical="center"/>
    </xf>
    <xf numFmtId="183" fontId="1" fillId="13" borderId="1" xfId="0" applyNumberFormat="1" applyFont="1" applyFill="1" applyBorder="1">
      <alignment vertical="center"/>
    </xf>
    <xf numFmtId="0" fontId="6" fillId="13" borderId="1" xfId="1" applyFill="1" applyBorder="1" applyAlignment="1">
      <alignment horizontal="center" vertical="center"/>
    </xf>
    <xf numFmtId="0" fontId="1" fillId="13" borderId="1" xfId="0" applyFont="1" applyFill="1" applyBorder="1">
      <alignment vertical="center"/>
    </xf>
    <xf numFmtId="176" fontId="0" fillId="13" borderId="1" xfId="0" applyNumberFormat="1" applyFill="1" applyBorder="1" applyAlignment="1">
      <alignment horizontal="center" vertical="center"/>
    </xf>
    <xf numFmtId="3" fontId="15" fillId="4" borderId="1" xfId="2" applyNumberFormat="1" applyFill="1" applyBorder="1" applyAlignment="1">
      <alignment horizontal="center" vertical="center"/>
    </xf>
    <xf numFmtId="176" fontId="0" fillId="23" borderId="1" xfId="0" applyNumberFormat="1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0" fontId="40" fillId="0" borderId="1" xfId="2" applyFont="1" applyBorder="1" applyAlignment="1">
      <alignment horizontal="center" vertical="center"/>
    </xf>
    <xf numFmtId="176" fontId="13" fillId="7" borderId="13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6" fontId="13" fillId="7" borderId="15" xfId="0" applyNumberFormat="1" applyFont="1" applyFill="1" applyBorder="1" applyAlignment="1">
      <alignment horizontal="center" vertical="center"/>
    </xf>
    <xf numFmtId="3" fontId="13" fillId="3" borderId="2" xfId="0" applyNumberFormat="1" applyFont="1" applyFill="1" applyBorder="1" applyAlignment="1">
      <alignment horizontal="center" vertical="center"/>
    </xf>
    <xf numFmtId="3" fontId="13" fillId="3" borderId="7" xfId="0" applyNumberFormat="1" applyFont="1" applyFill="1" applyBorder="1" applyAlignment="1">
      <alignment horizontal="center" vertical="center"/>
    </xf>
    <xf numFmtId="3" fontId="13" fillId="3" borderId="8" xfId="0" applyNumberFormat="1" applyFont="1" applyFill="1" applyBorder="1" applyAlignment="1">
      <alignment horizontal="center" vertical="center"/>
    </xf>
    <xf numFmtId="3" fontId="21" fillId="3" borderId="4" xfId="0" applyNumberFormat="1" applyFont="1" applyFill="1" applyBorder="1" applyAlignment="1">
      <alignment horizontal="center" vertical="center"/>
    </xf>
    <xf numFmtId="3" fontId="21" fillId="3" borderId="25" xfId="0" applyNumberFormat="1" applyFont="1" applyFill="1" applyBorder="1" applyAlignment="1">
      <alignment horizontal="center" vertical="center"/>
    </xf>
    <xf numFmtId="3" fontId="21" fillId="3" borderId="11" xfId="0" applyNumberFormat="1" applyFont="1" applyFill="1" applyBorder="1" applyAlignment="1">
      <alignment horizontal="center" vertical="center"/>
    </xf>
    <xf numFmtId="176" fontId="13" fillId="7" borderId="2" xfId="0" applyNumberFormat="1" applyFont="1" applyFill="1" applyBorder="1" applyAlignment="1">
      <alignment horizontal="center" vertical="center"/>
    </xf>
    <xf numFmtId="176" fontId="13" fillId="7" borderId="7" xfId="0" applyNumberFormat="1" applyFont="1" applyFill="1" applyBorder="1" applyAlignment="1">
      <alignment horizontal="center" vertical="center"/>
    </xf>
    <xf numFmtId="176" fontId="13" fillId="7" borderId="8" xfId="0" applyNumberFormat="1" applyFont="1" applyFill="1" applyBorder="1" applyAlignment="1">
      <alignment horizontal="center" vertical="center"/>
    </xf>
    <xf numFmtId="0" fontId="20" fillId="3" borderId="2" xfId="1" applyFont="1" applyFill="1" applyBorder="1" applyAlignment="1">
      <alignment horizontal="center" vertical="center"/>
    </xf>
    <xf numFmtId="0" fontId="20" fillId="3" borderId="7" xfId="1" applyFont="1" applyFill="1" applyBorder="1" applyAlignment="1">
      <alignment horizontal="center" vertical="center"/>
    </xf>
    <xf numFmtId="0" fontId="20" fillId="3" borderId="8" xfId="1" applyFont="1" applyFill="1" applyBorder="1" applyAlignment="1">
      <alignment horizontal="center" vertical="center"/>
    </xf>
    <xf numFmtId="176" fontId="13" fillId="7" borderId="21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3" fillId="7" borderId="24" xfId="0" applyNumberFormat="1" applyFont="1" applyFill="1" applyBorder="1" applyAlignment="1">
      <alignment horizontal="center" vertical="center"/>
    </xf>
    <xf numFmtId="3" fontId="21" fillId="8" borderId="2" xfId="0" applyNumberFormat="1" applyFont="1" applyFill="1" applyBorder="1" applyAlignment="1">
      <alignment horizontal="center" vertical="center"/>
    </xf>
    <xf numFmtId="3" fontId="21" fillId="8" borderId="7" xfId="0" applyNumberFormat="1" applyFont="1" applyFill="1" applyBorder="1" applyAlignment="1">
      <alignment horizontal="center" vertical="center"/>
    </xf>
    <xf numFmtId="3" fontId="21" fillId="8" borderId="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8" fontId="11" fillId="5" borderId="9" xfId="0" applyNumberFormat="1" applyFont="1" applyFill="1" applyBorder="1" applyAlignment="1">
      <alignment horizontal="left" vertical="center" shrinkToFit="1"/>
    </xf>
    <xf numFmtId="38" fontId="11" fillId="5" borderId="10" xfId="0" applyNumberFormat="1" applyFont="1" applyFill="1" applyBorder="1" applyAlignment="1">
      <alignment horizontal="left" vertical="center" shrinkToFit="1"/>
    </xf>
    <xf numFmtId="38" fontId="11" fillId="5" borderId="4" xfId="0" applyNumberFormat="1" applyFont="1" applyFill="1" applyBorder="1" applyAlignment="1">
      <alignment horizontal="left" vertical="center" shrinkToFit="1"/>
    </xf>
    <xf numFmtId="38" fontId="11" fillId="5" borderId="11" xfId="0" applyNumberFormat="1" applyFont="1" applyFill="1" applyBorder="1" applyAlignment="1">
      <alignment horizontal="left" vertical="center" shrinkToFit="1"/>
    </xf>
    <xf numFmtId="0" fontId="14" fillId="20" borderId="1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1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6" fillId="0" borderId="0" xfId="0" applyFont="1" applyBorder="1" applyAlignment="1">
      <alignment horizontal="center" vertical="center" shrinkToFit="1"/>
    </xf>
    <xf numFmtId="0" fontId="9" fillId="15" borderId="5" xfId="0" applyFont="1" applyFill="1" applyBorder="1" applyAlignment="1">
      <alignment horizontal="center" vertical="center"/>
    </xf>
    <xf numFmtId="3" fontId="12" fillId="4" borderId="21" xfId="0" applyNumberFormat="1" applyFont="1" applyFill="1" applyBorder="1" applyAlignment="1">
      <alignment horizontal="center" vertical="center"/>
    </xf>
    <xf numFmtId="3" fontId="15" fillId="13" borderId="5" xfId="2" applyNumberFormat="1" applyFill="1" applyBorder="1" applyAlignment="1">
      <alignment horizontal="center" vertical="center"/>
    </xf>
    <xf numFmtId="0" fontId="18" fillId="13" borderId="5" xfId="2" applyFont="1" applyFill="1" applyBorder="1" applyAlignment="1">
      <alignment horizontal="left" vertical="center"/>
    </xf>
    <xf numFmtId="183" fontId="18" fillId="13" borderId="5" xfId="2" applyNumberFormat="1" applyFont="1" applyFill="1" applyBorder="1" applyAlignment="1">
      <alignment horizontal="center" vertical="center"/>
    </xf>
    <xf numFmtId="38" fontId="18" fillId="13" borderId="5" xfId="2" applyNumberFormat="1" applyFont="1" applyFill="1" applyBorder="1" applyAlignment="1">
      <alignment horizontal="center" vertical="center"/>
    </xf>
    <xf numFmtId="38" fontId="15" fillId="4" borderId="5" xfId="2" applyNumberFormat="1" applyFill="1" applyBorder="1" applyAlignment="1">
      <alignment horizontal="center" vertical="center"/>
    </xf>
    <xf numFmtId="0" fontId="15" fillId="0" borderId="9" xfId="2" applyBorder="1" applyAlignment="1">
      <alignment horizontal="left" vertical="center"/>
    </xf>
    <xf numFmtId="0" fontId="15" fillId="0" borderId="5" xfId="2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0" fontId="29" fillId="0" borderId="5" xfId="2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 shrinkToFit="1"/>
    </xf>
    <xf numFmtId="0" fontId="9" fillId="0" borderId="3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176" fontId="0" fillId="0" borderId="3" xfId="0" applyNumberFormat="1" applyBorder="1" applyAlignment="1">
      <alignment horizontal="right" vertical="center"/>
    </xf>
    <xf numFmtId="176" fontId="0" fillId="0" borderId="3" xfId="0" applyNumberFormat="1" applyBorder="1" applyAlignment="1"/>
    <xf numFmtId="0" fontId="0" fillId="0" borderId="3" xfId="0" applyBorder="1" applyAlignment="1">
      <alignment horizontal="left" vertical="center" shrinkToFit="1"/>
    </xf>
    <xf numFmtId="0" fontId="0" fillId="0" borderId="15" xfId="0" applyBorder="1" applyAlignment="1">
      <alignment vertical="center" shrinkToFit="1"/>
    </xf>
    <xf numFmtId="0" fontId="24" fillId="0" borderId="22" xfId="0" applyFont="1" applyBorder="1" applyAlignment="1">
      <alignment horizontal="center" vertical="center" shrinkToFit="1"/>
    </xf>
    <xf numFmtId="179" fontId="0" fillId="0" borderId="29" xfId="0" applyNumberForma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 shrinkToFit="1"/>
    </xf>
    <xf numFmtId="176" fontId="13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 shrinkToFit="1"/>
    </xf>
  </cellXfs>
  <cellStyles count="4">
    <cellStyle name="ハイパーリンク" xfId="3" xr:uid="{68E0A9C6-052B-48AB-B7C4-03C0C4F4A198}"/>
    <cellStyle name="標準" xfId="0" builtinId="0"/>
    <cellStyle name="標準 3" xfId="2" xr:uid="{DC7DCAA0-6465-40DD-8C0A-A3E444632F39}"/>
    <cellStyle name="標準_発注管理表" xfId="1" xr:uid="{00000000-0005-0000-0000-000002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14C9-7D3B-41CE-9387-29318E65D975}">
  <sheetPr>
    <tabColor rgb="FF00B0F0"/>
  </sheetPr>
  <dimension ref="A2:V322"/>
  <sheetViews>
    <sheetView tabSelected="1" zoomScale="70" zoomScaleNormal="70" workbookViewId="0">
      <pane xSplit="15" ySplit="9" topLeftCell="P189" activePane="bottomRight" state="frozen"/>
      <selection pane="topRight" activeCell="K1" sqref="K1"/>
      <selection pane="bottomLeft" activeCell="A9" sqref="A9"/>
      <selection pane="bottomRight" activeCell="F203" sqref="F203"/>
    </sheetView>
  </sheetViews>
  <sheetFormatPr defaultRowHeight="13.2" x14ac:dyDescent="0.2"/>
  <cols>
    <col min="2" max="2" width="19.88671875" style="288" customWidth="1"/>
    <col min="3" max="3" width="7.6640625" customWidth="1"/>
    <col min="4" max="4" width="7.88671875" customWidth="1"/>
    <col min="5" max="5" width="4.5546875" customWidth="1"/>
    <col min="6" max="6" width="9" customWidth="1"/>
    <col min="7" max="7" width="13.21875" style="3" customWidth="1"/>
    <col min="8" max="8" width="14.33203125" bestFit="1" customWidth="1"/>
    <col min="9" max="9" width="13.109375" bestFit="1" customWidth="1"/>
    <col min="10" max="10" width="71.109375" customWidth="1"/>
    <col min="11" max="11" width="6.21875" style="3" customWidth="1"/>
    <col min="12" max="13" width="9.88671875" style="8" bestFit="1" customWidth="1"/>
    <col min="14" max="14" width="5.77734375" style="8" customWidth="1"/>
    <col min="15" max="15" width="44.109375" customWidth="1"/>
    <col min="16" max="16" width="23.88671875" customWidth="1"/>
    <col min="17" max="17" width="20.33203125" style="3" customWidth="1"/>
    <col min="18" max="18" width="13.77734375" style="10" customWidth="1"/>
    <col min="19" max="19" width="6.33203125" customWidth="1"/>
    <col min="20" max="20" width="13.21875" style="8" customWidth="1"/>
    <col min="21" max="21" width="14.44140625" style="12" customWidth="1"/>
    <col min="22" max="22" width="15.6640625" style="13" customWidth="1"/>
  </cols>
  <sheetData>
    <row r="2" spans="1:22" ht="20.100000000000001" customHeight="1" x14ac:dyDescent="0.2">
      <c r="G2" s="358" t="s">
        <v>11</v>
      </c>
      <c r="H2" s="358"/>
      <c r="I2" s="358"/>
      <c r="J2" s="9" t="s">
        <v>179</v>
      </c>
      <c r="L2" s="359" t="s">
        <v>15</v>
      </c>
      <c r="M2" s="360"/>
      <c r="N2" s="361"/>
      <c r="O2" s="7">
        <f>SUM(M:M)</f>
        <v>1427724</v>
      </c>
    </row>
    <row r="3" spans="1:22" ht="20.100000000000001" customHeight="1" x14ac:dyDescent="0.2">
      <c r="G3" s="358" t="s">
        <v>10</v>
      </c>
      <c r="H3" s="358"/>
      <c r="I3" s="358"/>
      <c r="J3" s="5" t="s">
        <v>247</v>
      </c>
    </row>
    <row r="4" spans="1:22" ht="20.100000000000001" customHeight="1" x14ac:dyDescent="0.2">
      <c r="G4" s="358" t="s">
        <v>12</v>
      </c>
      <c r="H4" s="358"/>
      <c r="I4" s="358"/>
      <c r="J4" s="5">
        <v>230762</v>
      </c>
      <c r="M4" s="31"/>
      <c r="O4" s="362" t="s">
        <v>248</v>
      </c>
      <c r="P4" s="363"/>
    </row>
    <row r="5" spans="1:22" ht="20.100000000000001" customHeight="1" x14ac:dyDescent="0.2">
      <c r="G5" s="358" t="s">
        <v>13</v>
      </c>
      <c r="H5" s="358"/>
      <c r="I5" s="358"/>
      <c r="J5" s="6">
        <v>46150</v>
      </c>
      <c r="L5" s="366" t="s">
        <v>502</v>
      </c>
      <c r="M5" s="366"/>
      <c r="O5" s="364"/>
      <c r="P5" s="365"/>
    </row>
    <row r="6" spans="1:22" ht="20.100000000000001" customHeight="1" x14ac:dyDescent="0.2">
      <c r="G6" s="358" t="s">
        <v>14</v>
      </c>
      <c r="H6" s="358"/>
      <c r="I6" s="358"/>
      <c r="J6" s="6">
        <v>46153</v>
      </c>
      <c r="L6" s="366"/>
      <c r="M6" s="366"/>
      <c r="O6" s="15"/>
      <c r="P6" s="20"/>
    </row>
    <row r="7" spans="1:22" ht="20.100000000000001" customHeight="1" x14ac:dyDescent="0.2">
      <c r="G7" s="17"/>
      <c r="H7" s="17"/>
      <c r="I7" s="17"/>
      <c r="J7" s="16"/>
      <c r="O7" s="15"/>
      <c r="P7" s="20"/>
      <c r="Q7" s="18"/>
    </row>
    <row r="9" spans="1:22" s="3" customFormat="1" ht="19.649999999999999" customHeight="1" x14ac:dyDescent="0.2">
      <c r="A9" s="1"/>
      <c r="B9" s="292" t="s">
        <v>521</v>
      </c>
      <c r="C9" s="1"/>
      <c r="D9" s="112" t="s">
        <v>66</v>
      </c>
      <c r="F9" s="1" t="s">
        <v>22</v>
      </c>
      <c r="G9" s="4" t="s">
        <v>4</v>
      </c>
      <c r="H9" s="4" t="s">
        <v>9</v>
      </c>
      <c r="I9" s="4" t="s">
        <v>5</v>
      </c>
      <c r="J9" s="1" t="s">
        <v>8</v>
      </c>
      <c r="K9" s="1" t="s">
        <v>0</v>
      </c>
      <c r="L9" s="27" t="s">
        <v>1</v>
      </c>
      <c r="M9" s="32" t="s">
        <v>2</v>
      </c>
      <c r="N9" s="2" t="s">
        <v>18</v>
      </c>
      <c r="O9" s="1" t="s">
        <v>3</v>
      </c>
      <c r="P9" s="1" t="s">
        <v>17</v>
      </c>
      <c r="Q9" s="1" t="s">
        <v>16</v>
      </c>
      <c r="R9" s="11" t="s">
        <v>6</v>
      </c>
      <c r="S9" s="4" t="s">
        <v>19</v>
      </c>
      <c r="T9" s="1" t="s">
        <v>7</v>
      </c>
      <c r="U9" s="11" t="s">
        <v>20</v>
      </c>
      <c r="V9" s="14" t="s">
        <v>21</v>
      </c>
    </row>
    <row r="10" spans="1:22" s="3" customFormat="1" ht="19.649999999999999" customHeight="1" x14ac:dyDescent="0.2">
      <c r="B10" s="289"/>
      <c r="E10" s="187"/>
      <c r="F10" s="72"/>
      <c r="G10" s="4"/>
      <c r="H10" s="4"/>
      <c r="I10" s="4"/>
      <c r="J10" s="25"/>
      <c r="K10" s="1"/>
      <c r="L10" s="21"/>
      <c r="M10" s="33"/>
      <c r="N10" s="2"/>
      <c r="O10" s="24"/>
      <c r="P10" s="22"/>
      <c r="Q10" s="4"/>
      <c r="R10" s="11"/>
      <c r="S10" s="4"/>
      <c r="T10" s="19"/>
      <c r="U10" s="19"/>
      <c r="V10" s="14"/>
    </row>
    <row r="11" spans="1:22" s="3" customFormat="1" ht="19.5" customHeight="1" x14ac:dyDescent="0.2">
      <c r="B11" s="289"/>
      <c r="D11" s="3" t="s">
        <v>67</v>
      </c>
      <c r="F11" s="165"/>
      <c r="G11" s="70"/>
      <c r="H11" s="39"/>
      <c r="I11" s="39"/>
      <c r="J11" s="42"/>
      <c r="K11" s="40"/>
      <c r="L11" s="69"/>
      <c r="M11" s="39"/>
      <c r="N11" s="40"/>
      <c r="O11" s="43"/>
      <c r="P11" s="40"/>
      <c r="Q11" s="40"/>
      <c r="R11" s="11"/>
      <c r="S11" s="67"/>
      <c r="T11" s="35"/>
      <c r="U11" s="36"/>
      <c r="V11" s="38"/>
    </row>
    <row r="12" spans="1:22" s="3" customFormat="1" ht="19.5" customHeight="1" x14ac:dyDescent="0.2">
      <c r="B12" s="289"/>
      <c r="D12" s="114" t="e">
        <f>SUM(#REF!)</f>
        <v>#REF!</v>
      </c>
      <c r="F12" s="165"/>
      <c r="G12" s="70"/>
      <c r="H12" s="39"/>
      <c r="I12" s="39"/>
      <c r="J12" s="42"/>
      <c r="K12" s="40"/>
      <c r="L12" s="69"/>
      <c r="M12" s="39"/>
      <c r="N12" s="40"/>
      <c r="O12" s="43"/>
      <c r="P12" s="40"/>
      <c r="Q12" s="40"/>
      <c r="R12" s="11"/>
      <c r="S12" s="67"/>
      <c r="T12" s="35"/>
      <c r="U12" s="36"/>
      <c r="V12" s="38"/>
    </row>
    <row r="13" spans="1:22" s="3" customFormat="1" ht="19.5" customHeight="1" x14ac:dyDescent="0.2">
      <c r="B13" s="289"/>
      <c r="D13" s="63" t="s">
        <v>68</v>
      </c>
      <c r="F13" s="165"/>
      <c r="G13" s="70"/>
      <c r="H13" s="39"/>
      <c r="I13" s="39"/>
      <c r="J13" s="42"/>
      <c r="K13" s="40"/>
      <c r="L13" s="69"/>
      <c r="M13" s="39"/>
      <c r="N13" s="40"/>
      <c r="O13" s="43"/>
      <c r="P13" s="40"/>
      <c r="Q13" s="40"/>
      <c r="R13" s="11"/>
      <c r="S13" s="67"/>
      <c r="T13" s="35"/>
      <c r="U13" s="36"/>
      <c r="V13" s="38"/>
    </row>
    <row r="14" spans="1:22" s="3" customFormat="1" ht="19.5" customHeight="1" x14ac:dyDescent="0.2">
      <c r="A14" s="210"/>
      <c r="B14" s="290"/>
      <c r="C14" s="210"/>
      <c r="D14" s="210"/>
      <c r="E14" s="210"/>
      <c r="F14" s="210"/>
      <c r="G14" s="367" t="s">
        <v>39</v>
      </c>
      <c r="H14" s="368"/>
      <c r="I14" s="368"/>
      <c r="J14" s="369"/>
      <c r="K14" s="85"/>
      <c r="L14" s="85"/>
      <c r="M14" s="171"/>
      <c r="N14" s="86"/>
      <c r="O14" s="87"/>
      <c r="P14" s="49"/>
      <c r="Q14" s="40"/>
      <c r="R14" s="11"/>
      <c r="S14" s="67"/>
      <c r="T14" s="35"/>
      <c r="U14" s="36"/>
      <c r="V14" s="38"/>
    </row>
    <row r="15" spans="1:22" s="3" customFormat="1" ht="19.5" customHeight="1" x14ac:dyDescent="0.2">
      <c r="A15" s="129" t="s">
        <v>35</v>
      </c>
      <c r="B15" s="291" t="s">
        <v>507</v>
      </c>
      <c r="C15" s="92">
        <v>0.08</v>
      </c>
      <c r="D15" s="1">
        <f t="shared" ref="D15:D37" si="0">+C15*K15</f>
        <v>0.08</v>
      </c>
      <c r="E15" s="126"/>
      <c r="F15" s="282">
        <v>9</v>
      </c>
      <c r="G15" s="60">
        <v>1</v>
      </c>
      <c r="H15" s="166" t="s">
        <v>24</v>
      </c>
      <c r="I15" s="166" t="s">
        <v>24</v>
      </c>
      <c r="J15" s="209" t="s">
        <v>249</v>
      </c>
      <c r="K15" s="207">
        <v>1</v>
      </c>
      <c r="L15" s="207">
        <v>1395</v>
      </c>
      <c r="M15" s="176">
        <f t="shared" ref="M15:M37" si="1">K15*L15</f>
        <v>1395</v>
      </c>
      <c r="N15" s="168"/>
      <c r="O15" s="61" t="s">
        <v>212</v>
      </c>
      <c r="P15" s="99"/>
      <c r="Q15" s="318" t="s">
        <v>520</v>
      </c>
      <c r="R15" s="11">
        <v>46120</v>
      </c>
      <c r="S15" s="67"/>
      <c r="T15" s="303">
        <v>46150</v>
      </c>
      <c r="U15" s="36">
        <v>46153</v>
      </c>
      <c r="V15" s="38"/>
    </row>
    <row r="16" spans="1:22" s="3" customFormat="1" ht="19.5" customHeight="1" x14ac:dyDescent="0.2">
      <c r="A16" s="129" t="s">
        <v>35</v>
      </c>
      <c r="B16" s="291" t="s">
        <v>507</v>
      </c>
      <c r="C16" s="92">
        <v>0.08</v>
      </c>
      <c r="D16" s="1">
        <f t="shared" si="0"/>
        <v>0.08</v>
      </c>
      <c r="E16" s="126"/>
      <c r="F16" s="282">
        <v>9</v>
      </c>
      <c r="G16" s="60">
        <f>+G15+1</f>
        <v>2</v>
      </c>
      <c r="H16" s="166" t="s">
        <v>24</v>
      </c>
      <c r="I16" s="166" t="s">
        <v>24</v>
      </c>
      <c r="J16" s="209" t="s">
        <v>250</v>
      </c>
      <c r="K16" s="207">
        <v>1</v>
      </c>
      <c r="L16" s="304">
        <v>1395</v>
      </c>
      <c r="M16" s="176">
        <f t="shared" si="1"/>
        <v>1395</v>
      </c>
      <c r="N16" s="168"/>
      <c r="O16" s="61" t="s">
        <v>212</v>
      </c>
      <c r="P16" s="99"/>
      <c r="Q16" s="318" t="s">
        <v>520</v>
      </c>
      <c r="R16" s="11">
        <v>46120</v>
      </c>
      <c r="S16" s="67"/>
      <c r="T16" s="303">
        <v>46150</v>
      </c>
      <c r="U16" s="36">
        <v>46153</v>
      </c>
      <c r="V16" s="38"/>
    </row>
    <row r="17" spans="1:22" s="3" customFormat="1" ht="19.5" customHeight="1" x14ac:dyDescent="0.2">
      <c r="A17" s="129" t="s">
        <v>40</v>
      </c>
      <c r="B17" s="291" t="s">
        <v>507</v>
      </c>
      <c r="C17" s="92">
        <v>5.6000000000000001E-2</v>
      </c>
      <c r="D17" s="1">
        <f t="shared" si="0"/>
        <v>5.6000000000000001E-2</v>
      </c>
      <c r="E17" s="126"/>
      <c r="F17" s="282">
        <v>9</v>
      </c>
      <c r="G17" s="60">
        <f t="shared" ref="G17:G37" si="2">+G16+1</f>
        <v>3</v>
      </c>
      <c r="H17" s="274" t="s">
        <v>37</v>
      </c>
      <c r="I17" s="166" t="s">
        <v>24</v>
      </c>
      <c r="J17" s="209" t="s">
        <v>254</v>
      </c>
      <c r="K17" s="207">
        <v>1</v>
      </c>
      <c r="L17" s="207">
        <v>12300</v>
      </c>
      <c r="M17" s="176">
        <f t="shared" si="1"/>
        <v>12300</v>
      </c>
      <c r="N17" s="168"/>
      <c r="O17" s="169" t="s">
        <v>251</v>
      </c>
      <c r="P17" s="99"/>
      <c r="Q17" s="318" t="s">
        <v>520</v>
      </c>
      <c r="R17" s="11">
        <v>46120</v>
      </c>
      <c r="S17" s="67"/>
      <c r="T17" s="303">
        <v>46150</v>
      </c>
      <c r="U17" s="36">
        <v>46153</v>
      </c>
      <c r="V17" s="38"/>
    </row>
    <row r="18" spans="1:22" s="3" customFormat="1" ht="19.5" customHeight="1" x14ac:dyDescent="0.2">
      <c r="A18" s="129" t="s">
        <v>35</v>
      </c>
      <c r="B18" s="291" t="s">
        <v>507</v>
      </c>
      <c r="C18" s="92">
        <v>0.01</v>
      </c>
      <c r="D18" s="1">
        <f t="shared" si="0"/>
        <v>0.04</v>
      </c>
      <c r="E18" s="126"/>
      <c r="F18" s="282">
        <v>9</v>
      </c>
      <c r="G18" s="60">
        <f t="shared" si="2"/>
        <v>4</v>
      </c>
      <c r="H18" s="166" t="s">
        <v>24</v>
      </c>
      <c r="I18" s="166" t="s">
        <v>24</v>
      </c>
      <c r="J18" s="209" t="s">
        <v>252</v>
      </c>
      <c r="K18" s="207">
        <v>4</v>
      </c>
      <c r="L18" s="207">
        <v>489</v>
      </c>
      <c r="M18" s="176">
        <f t="shared" si="1"/>
        <v>1956</v>
      </c>
      <c r="N18" s="168"/>
      <c r="O18" s="169" t="s">
        <v>255</v>
      </c>
      <c r="P18" s="99"/>
      <c r="Q18" s="318" t="s">
        <v>520</v>
      </c>
      <c r="R18" s="11">
        <v>46120</v>
      </c>
      <c r="S18" s="67"/>
      <c r="T18" s="303">
        <v>46150</v>
      </c>
      <c r="U18" s="36">
        <v>46153</v>
      </c>
      <c r="V18" s="38"/>
    </row>
    <row r="19" spans="1:22" s="3" customFormat="1" ht="19.5" customHeight="1" x14ac:dyDescent="0.2">
      <c r="A19" s="129" t="s">
        <v>27</v>
      </c>
      <c r="B19" s="291" t="s">
        <v>507</v>
      </c>
      <c r="C19" s="92">
        <v>5.0000000000000001E-3</v>
      </c>
      <c r="D19" s="1">
        <f t="shared" si="0"/>
        <v>0.02</v>
      </c>
      <c r="E19" s="126"/>
      <c r="F19" s="282">
        <v>9</v>
      </c>
      <c r="G19" s="60">
        <f t="shared" si="2"/>
        <v>5</v>
      </c>
      <c r="H19" s="88" t="s">
        <v>24</v>
      </c>
      <c r="I19" s="88" t="s">
        <v>24</v>
      </c>
      <c r="J19" s="173" t="s">
        <v>253</v>
      </c>
      <c r="K19" s="100">
        <v>4</v>
      </c>
      <c r="L19" s="104">
        <v>113</v>
      </c>
      <c r="M19" s="135">
        <f>K19*L19</f>
        <v>452</v>
      </c>
      <c r="N19" s="178"/>
      <c r="O19" s="178" t="s">
        <v>491</v>
      </c>
      <c r="P19" s="61" t="s">
        <v>186</v>
      </c>
      <c r="Q19" s="318" t="s">
        <v>520</v>
      </c>
      <c r="R19" s="11">
        <v>46120</v>
      </c>
      <c r="S19" s="67"/>
      <c r="T19" s="303">
        <v>46150</v>
      </c>
      <c r="U19" s="36">
        <v>46153</v>
      </c>
      <c r="V19" s="38"/>
    </row>
    <row r="20" spans="1:22" s="3" customFormat="1" ht="19.5" customHeight="1" x14ac:dyDescent="0.2">
      <c r="A20" s="129" t="s">
        <v>176</v>
      </c>
      <c r="B20" s="291" t="s">
        <v>507</v>
      </c>
      <c r="C20" s="92">
        <v>5.0000000000000001E-3</v>
      </c>
      <c r="D20" s="1">
        <f t="shared" si="0"/>
        <v>0.02</v>
      </c>
      <c r="E20" s="126"/>
      <c r="F20" s="282">
        <v>9</v>
      </c>
      <c r="G20" s="60">
        <f t="shared" si="2"/>
        <v>6</v>
      </c>
      <c r="H20" s="88" t="s">
        <v>24</v>
      </c>
      <c r="I20" s="88" t="s">
        <v>24</v>
      </c>
      <c r="J20" s="173" t="s">
        <v>207</v>
      </c>
      <c r="K20" s="208">
        <v>4</v>
      </c>
      <c r="L20" s="104">
        <v>142</v>
      </c>
      <c r="M20" s="181">
        <f t="shared" ref="M20:M21" si="3">K20*L20</f>
        <v>568</v>
      </c>
      <c r="N20" s="180"/>
      <c r="O20" s="180" t="s">
        <v>208</v>
      </c>
      <c r="P20" s="182"/>
      <c r="Q20" s="318" t="s">
        <v>520</v>
      </c>
      <c r="R20" s="11">
        <v>46120</v>
      </c>
      <c r="S20" s="67"/>
      <c r="T20" s="303">
        <v>46150</v>
      </c>
      <c r="U20" s="36">
        <v>46153</v>
      </c>
      <c r="V20" s="38"/>
    </row>
    <row r="21" spans="1:22" s="3" customFormat="1" ht="19.5" customHeight="1" x14ac:dyDescent="0.2">
      <c r="A21" s="129" t="s">
        <v>40</v>
      </c>
      <c r="B21" s="291" t="s">
        <v>507</v>
      </c>
      <c r="C21" s="92">
        <v>8.5000000000000006E-2</v>
      </c>
      <c r="D21" s="1">
        <f t="shared" si="0"/>
        <v>8.5000000000000006E-2</v>
      </c>
      <c r="E21" s="126"/>
      <c r="F21" s="282">
        <v>9</v>
      </c>
      <c r="G21" s="60">
        <f t="shared" si="2"/>
        <v>7</v>
      </c>
      <c r="H21" s="274" t="s">
        <v>37</v>
      </c>
      <c r="I21" s="166" t="s">
        <v>24</v>
      </c>
      <c r="J21" s="275" t="s">
        <v>500</v>
      </c>
      <c r="K21" s="207">
        <v>1</v>
      </c>
      <c r="L21" s="207">
        <v>14730</v>
      </c>
      <c r="M21" s="176">
        <f t="shared" si="3"/>
        <v>14730</v>
      </c>
      <c r="N21" s="168"/>
      <c r="O21" s="168" t="s">
        <v>499</v>
      </c>
      <c r="P21" s="99"/>
      <c r="Q21" s="318" t="s">
        <v>520</v>
      </c>
      <c r="R21" s="11">
        <v>46120</v>
      </c>
      <c r="S21" s="67"/>
      <c r="T21" s="303">
        <v>46150</v>
      </c>
      <c r="U21" s="36">
        <v>46153</v>
      </c>
      <c r="V21" s="38"/>
    </row>
    <row r="22" spans="1:22" s="3" customFormat="1" ht="19.5" customHeight="1" x14ac:dyDescent="0.2">
      <c r="A22" s="129" t="s">
        <v>35</v>
      </c>
      <c r="B22" s="291" t="s">
        <v>507</v>
      </c>
      <c r="C22" s="92">
        <v>5.0000000000000001E-3</v>
      </c>
      <c r="D22" s="1">
        <f t="shared" si="0"/>
        <v>5.0000000000000001E-3</v>
      </c>
      <c r="E22" s="126"/>
      <c r="F22" s="282">
        <v>9</v>
      </c>
      <c r="G22" s="60">
        <f t="shared" si="2"/>
        <v>8</v>
      </c>
      <c r="H22" s="4" t="s">
        <v>24</v>
      </c>
      <c r="I22" s="4" t="s">
        <v>24</v>
      </c>
      <c r="J22" s="211" t="s">
        <v>181</v>
      </c>
      <c r="K22" s="45">
        <v>1</v>
      </c>
      <c r="L22" s="45">
        <v>80</v>
      </c>
      <c r="M22" s="177">
        <f t="shared" si="1"/>
        <v>80</v>
      </c>
      <c r="N22" s="76"/>
      <c r="O22" s="76" t="s">
        <v>182</v>
      </c>
      <c r="P22" s="23" t="s">
        <v>183</v>
      </c>
      <c r="Q22" s="318" t="s">
        <v>520</v>
      </c>
      <c r="R22" s="11">
        <v>46120</v>
      </c>
      <c r="S22" s="67"/>
      <c r="T22" s="303">
        <v>46150</v>
      </c>
      <c r="U22" s="36">
        <v>46153</v>
      </c>
      <c r="V22" s="38"/>
    </row>
    <row r="23" spans="1:22" s="3" customFormat="1" ht="19.5" customHeight="1" x14ac:dyDescent="0.2">
      <c r="A23" s="129" t="s">
        <v>170</v>
      </c>
      <c r="B23" s="291" t="s">
        <v>507</v>
      </c>
      <c r="C23" s="92">
        <v>5.0000000000000001E-3</v>
      </c>
      <c r="D23" s="1">
        <f t="shared" si="0"/>
        <v>0.01</v>
      </c>
      <c r="E23" s="126"/>
      <c r="F23" s="282">
        <v>9</v>
      </c>
      <c r="G23" s="60">
        <f t="shared" si="2"/>
        <v>9</v>
      </c>
      <c r="H23" s="88" t="s">
        <v>24</v>
      </c>
      <c r="I23" s="88" t="s">
        <v>24</v>
      </c>
      <c r="J23" s="211" t="s">
        <v>184</v>
      </c>
      <c r="K23" s="45">
        <v>2</v>
      </c>
      <c r="L23" s="45">
        <v>187</v>
      </c>
      <c r="M23" s="135">
        <f>K23*L23</f>
        <v>374</v>
      </c>
      <c r="N23" s="76"/>
      <c r="O23" s="76" t="s">
        <v>109</v>
      </c>
      <c r="P23" s="23"/>
      <c r="Q23" s="318" t="s">
        <v>520</v>
      </c>
      <c r="R23" s="11">
        <v>46120</v>
      </c>
      <c r="S23" s="67"/>
      <c r="T23" s="303">
        <v>46150</v>
      </c>
      <c r="U23" s="36">
        <v>46153</v>
      </c>
      <c r="V23" s="38"/>
    </row>
    <row r="24" spans="1:22" s="3" customFormat="1" ht="19.5" customHeight="1" x14ac:dyDescent="0.2">
      <c r="A24" s="129" t="s">
        <v>27</v>
      </c>
      <c r="B24" s="291" t="s">
        <v>507</v>
      </c>
      <c r="C24" s="92">
        <v>5.0000000000000001E-3</v>
      </c>
      <c r="D24" s="1">
        <f t="shared" si="0"/>
        <v>0.02</v>
      </c>
      <c r="E24" s="126"/>
      <c r="F24" s="282">
        <v>9</v>
      </c>
      <c r="G24" s="60">
        <f t="shared" si="2"/>
        <v>10</v>
      </c>
      <c r="H24" s="88" t="s">
        <v>24</v>
      </c>
      <c r="I24" s="88" t="s">
        <v>24</v>
      </c>
      <c r="J24" s="173" t="s">
        <v>172</v>
      </c>
      <c r="K24" s="100">
        <v>4</v>
      </c>
      <c r="L24" s="104">
        <v>120</v>
      </c>
      <c r="M24" s="135">
        <f>K24*L24</f>
        <v>480</v>
      </c>
      <c r="N24" s="178"/>
      <c r="O24" s="178" t="s">
        <v>185</v>
      </c>
      <c r="P24" s="61" t="s">
        <v>186</v>
      </c>
      <c r="Q24" s="318" t="s">
        <v>520</v>
      </c>
      <c r="R24" s="11">
        <v>46120</v>
      </c>
      <c r="S24" s="67"/>
      <c r="T24" s="303">
        <v>46150</v>
      </c>
      <c r="U24" s="36">
        <v>46153</v>
      </c>
      <c r="V24" s="38"/>
    </row>
    <row r="25" spans="1:22" s="3" customFormat="1" ht="19.5" customHeight="1" x14ac:dyDescent="0.2">
      <c r="A25" s="129" t="s">
        <v>27</v>
      </c>
      <c r="B25" s="291" t="s">
        <v>507</v>
      </c>
      <c r="C25" s="92">
        <v>5.0000000000000001E-3</v>
      </c>
      <c r="D25" s="1">
        <f t="shared" si="0"/>
        <v>5.0000000000000001E-3</v>
      </c>
      <c r="E25" s="126"/>
      <c r="F25" s="282">
        <v>9</v>
      </c>
      <c r="G25" s="60">
        <f t="shared" si="2"/>
        <v>11</v>
      </c>
      <c r="H25" s="88" t="s">
        <v>24</v>
      </c>
      <c r="I25" s="88" t="s">
        <v>24</v>
      </c>
      <c r="J25" s="175" t="s">
        <v>187</v>
      </c>
      <c r="K25" s="100">
        <v>1</v>
      </c>
      <c r="L25" s="100">
        <v>81</v>
      </c>
      <c r="M25" s="135">
        <f t="shared" si="1"/>
        <v>81</v>
      </c>
      <c r="N25" s="94"/>
      <c r="O25" s="94" t="s">
        <v>188</v>
      </c>
      <c r="P25" s="1"/>
      <c r="Q25" s="318" t="s">
        <v>520</v>
      </c>
      <c r="R25" s="11">
        <v>46120</v>
      </c>
      <c r="S25" s="67"/>
      <c r="T25" s="303">
        <v>46150</v>
      </c>
      <c r="U25" s="36">
        <v>46153</v>
      </c>
      <c r="V25" s="38"/>
    </row>
    <row r="26" spans="1:22" s="3" customFormat="1" ht="19.5" customHeight="1" x14ac:dyDescent="0.2">
      <c r="A26" s="129" t="s">
        <v>27</v>
      </c>
      <c r="B26" s="291" t="s">
        <v>507</v>
      </c>
      <c r="C26" s="92">
        <v>5.0000000000000001E-3</v>
      </c>
      <c r="D26" s="1">
        <f t="shared" si="0"/>
        <v>5.0000000000000001E-3</v>
      </c>
      <c r="E26" s="126"/>
      <c r="F26" s="282">
        <v>9</v>
      </c>
      <c r="G26" s="60">
        <f t="shared" si="2"/>
        <v>12</v>
      </c>
      <c r="H26" s="88" t="s">
        <v>189</v>
      </c>
      <c r="I26" s="88" t="s">
        <v>24</v>
      </c>
      <c r="J26" s="211" t="s">
        <v>190</v>
      </c>
      <c r="K26" s="45">
        <v>1</v>
      </c>
      <c r="L26" s="45">
        <v>421</v>
      </c>
      <c r="M26" s="104">
        <f t="shared" si="1"/>
        <v>421</v>
      </c>
      <c r="N26" s="76"/>
      <c r="O26" s="76" t="s">
        <v>191</v>
      </c>
      <c r="P26" s="1"/>
      <c r="Q26" s="318" t="s">
        <v>520</v>
      </c>
      <c r="R26" s="11">
        <v>46120</v>
      </c>
      <c r="S26" s="67"/>
      <c r="T26" s="303">
        <v>46150</v>
      </c>
      <c r="U26" s="36">
        <v>46153</v>
      </c>
      <c r="V26" s="38"/>
    </row>
    <row r="27" spans="1:22" s="3" customFormat="1" ht="19.5" customHeight="1" x14ac:dyDescent="0.2">
      <c r="A27" s="129" t="s">
        <v>27</v>
      </c>
      <c r="B27" s="291" t="s">
        <v>507</v>
      </c>
      <c r="C27" s="92">
        <v>5.0000000000000001E-3</v>
      </c>
      <c r="D27" s="1">
        <f t="shared" si="0"/>
        <v>5.0000000000000001E-3</v>
      </c>
      <c r="E27" s="126"/>
      <c r="F27" s="282">
        <v>9</v>
      </c>
      <c r="G27" s="60">
        <f t="shared" si="2"/>
        <v>13</v>
      </c>
      <c r="H27" s="4" t="s">
        <v>24</v>
      </c>
      <c r="I27" s="4" t="s">
        <v>24</v>
      </c>
      <c r="J27" s="172" t="s">
        <v>192</v>
      </c>
      <c r="K27" s="45">
        <v>1</v>
      </c>
      <c r="L27" s="45">
        <v>56</v>
      </c>
      <c r="M27" s="177">
        <f t="shared" si="1"/>
        <v>56</v>
      </c>
      <c r="N27" s="76"/>
      <c r="O27" s="76" t="s">
        <v>174</v>
      </c>
      <c r="P27" s="23" t="s">
        <v>193</v>
      </c>
      <c r="Q27" s="318" t="s">
        <v>520</v>
      </c>
      <c r="R27" s="11">
        <v>46120</v>
      </c>
      <c r="S27" s="67"/>
      <c r="T27" s="303">
        <v>46150</v>
      </c>
      <c r="U27" s="36">
        <v>46153</v>
      </c>
      <c r="V27" s="38"/>
    </row>
    <row r="28" spans="1:22" s="3" customFormat="1" ht="19.5" customHeight="1" x14ac:dyDescent="0.2">
      <c r="A28" s="129" t="s">
        <v>27</v>
      </c>
      <c r="B28" s="291" t="s">
        <v>507</v>
      </c>
      <c r="C28" s="92">
        <v>8.7999999999999995E-2</v>
      </c>
      <c r="D28" s="1">
        <f t="shared" si="0"/>
        <v>8.7999999999999995E-2</v>
      </c>
      <c r="E28" s="126"/>
      <c r="F28" s="282">
        <v>9</v>
      </c>
      <c r="G28" s="60">
        <f t="shared" si="2"/>
        <v>14</v>
      </c>
      <c r="H28" s="60" t="s">
        <v>37</v>
      </c>
      <c r="I28" s="4" t="s">
        <v>24</v>
      </c>
      <c r="J28" s="172" t="s">
        <v>501</v>
      </c>
      <c r="K28" s="45">
        <v>1</v>
      </c>
      <c r="L28" s="45">
        <v>22040</v>
      </c>
      <c r="M28" s="135">
        <f t="shared" si="1"/>
        <v>22040</v>
      </c>
      <c r="N28" s="76"/>
      <c r="O28" s="76" t="s">
        <v>256</v>
      </c>
      <c r="P28" s="1"/>
      <c r="Q28" s="318" t="s">
        <v>520</v>
      </c>
      <c r="R28" s="11">
        <v>46120</v>
      </c>
      <c r="S28" s="67"/>
      <c r="T28" s="303">
        <v>46150</v>
      </c>
      <c r="U28" s="36">
        <v>46153</v>
      </c>
      <c r="V28" s="38"/>
    </row>
    <row r="29" spans="1:22" s="3" customFormat="1" ht="19.5" customHeight="1" x14ac:dyDescent="0.2">
      <c r="A29" s="129" t="s">
        <v>27</v>
      </c>
      <c r="B29" s="291" t="s">
        <v>507</v>
      </c>
      <c r="C29" s="92">
        <v>5.0000000000000001E-3</v>
      </c>
      <c r="D29" s="1">
        <f t="shared" si="0"/>
        <v>0.01</v>
      </c>
      <c r="E29" s="126"/>
      <c r="F29" s="282">
        <v>9</v>
      </c>
      <c r="G29" s="60">
        <f t="shared" si="2"/>
        <v>15</v>
      </c>
      <c r="H29" s="88" t="s">
        <v>24</v>
      </c>
      <c r="I29" s="88" t="s">
        <v>24</v>
      </c>
      <c r="J29" s="172" t="s">
        <v>171</v>
      </c>
      <c r="K29" s="45">
        <v>2</v>
      </c>
      <c r="L29" s="45">
        <v>78</v>
      </c>
      <c r="M29" s="135">
        <f t="shared" si="1"/>
        <v>156</v>
      </c>
      <c r="N29" s="76"/>
      <c r="O29" s="76" t="s">
        <v>194</v>
      </c>
      <c r="P29" s="23" t="s">
        <v>195</v>
      </c>
      <c r="Q29" s="318" t="s">
        <v>520</v>
      </c>
      <c r="R29" s="11">
        <v>46120</v>
      </c>
      <c r="S29" s="67"/>
      <c r="T29" s="303">
        <v>46150</v>
      </c>
      <c r="U29" s="36">
        <v>46153</v>
      </c>
      <c r="V29" s="38"/>
    </row>
    <row r="30" spans="1:22" s="3" customFormat="1" ht="19.5" customHeight="1" x14ac:dyDescent="0.2">
      <c r="A30" s="50" t="s">
        <v>35</v>
      </c>
      <c r="B30" s="291" t="s">
        <v>507</v>
      </c>
      <c r="C30" s="92">
        <v>5.0000000000000001E-3</v>
      </c>
      <c r="D30" s="1">
        <f t="shared" si="0"/>
        <v>5.0000000000000001E-3</v>
      </c>
      <c r="E30" s="126"/>
      <c r="F30" s="282">
        <v>9</v>
      </c>
      <c r="G30" s="60">
        <f t="shared" si="2"/>
        <v>16</v>
      </c>
      <c r="H30" s="88" t="s">
        <v>24</v>
      </c>
      <c r="I30" s="88" t="s">
        <v>24</v>
      </c>
      <c r="J30" s="192" t="s">
        <v>175</v>
      </c>
      <c r="K30" s="100">
        <v>1</v>
      </c>
      <c r="L30" s="100">
        <v>113</v>
      </c>
      <c r="M30" s="107">
        <f t="shared" si="1"/>
        <v>113</v>
      </c>
      <c r="N30" s="61"/>
      <c r="O30" s="61" t="s">
        <v>490</v>
      </c>
      <c r="P30" s="73" t="s">
        <v>196</v>
      </c>
      <c r="Q30" s="318" t="s">
        <v>520</v>
      </c>
      <c r="R30" s="11">
        <v>46120</v>
      </c>
      <c r="S30" s="67"/>
      <c r="T30" s="303">
        <v>46150</v>
      </c>
      <c r="U30" s="36">
        <v>46153</v>
      </c>
      <c r="V30" s="38"/>
    </row>
    <row r="31" spans="1:22" s="3" customFormat="1" ht="19.5" customHeight="1" x14ac:dyDescent="0.2">
      <c r="A31" s="129" t="s">
        <v>27</v>
      </c>
      <c r="B31" s="291" t="s">
        <v>507</v>
      </c>
      <c r="C31" s="92">
        <v>5.0000000000000001E-3</v>
      </c>
      <c r="D31" s="1">
        <f t="shared" si="0"/>
        <v>5.0000000000000001E-3</v>
      </c>
      <c r="E31" s="126"/>
      <c r="F31" s="282">
        <v>9</v>
      </c>
      <c r="G31" s="60">
        <f t="shared" si="2"/>
        <v>17</v>
      </c>
      <c r="H31" s="88" t="s">
        <v>24</v>
      </c>
      <c r="I31" s="88" t="s">
        <v>24</v>
      </c>
      <c r="J31" s="172" t="s">
        <v>173</v>
      </c>
      <c r="K31" s="208">
        <v>1</v>
      </c>
      <c r="L31" s="104">
        <v>67</v>
      </c>
      <c r="M31" s="135">
        <f t="shared" si="1"/>
        <v>67</v>
      </c>
      <c r="N31" s="178"/>
      <c r="O31" s="178" t="s">
        <v>174</v>
      </c>
      <c r="P31" s="23" t="s">
        <v>186</v>
      </c>
      <c r="Q31" s="318" t="s">
        <v>520</v>
      </c>
      <c r="R31" s="11">
        <v>46120</v>
      </c>
      <c r="S31" s="67"/>
      <c r="T31" s="303">
        <v>46150</v>
      </c>
      <c r="U31" s="36">
        <v>46153</v>
      </c>
      <c r="V31" s="38"/>
    </row>
    <row r="32" spans="1:22" s="3" customFormat="1" ht="19.5" customHeight="1" x14ac:dyDescent="0.2">
      <c r="A32" s="129" t="s">
        <v>27</v>
      </c>
      <c r="B32" s="291" t="s">
        <v>507</v>
      </c>
      <c r="C32" s="92">
        <v>5.0000000000000001E-3</v>
      </c>
      <c r="D32" s="1">
        <f t="shared" si="0"/>
        <v>5.0000000000000001E-3</v>
      </c>
      <c r="E32" s="126"/>
      <c r="F32" s="282">
        <v>9</v>
      </c>
      <c r="G32" s="60">
        <f t="shared" si="2"/>
        <v>18</v>
      </c>
      <c r="H32" s="88" t="s">
        <v>24</v>
      </c>
      <c r="I32" s="88" t="s">
        <v>24</v>
      </c>
      <c r="J32" s="211" t="s">
        <v>197</v>
      </c>
      <c r="K32" s="208">
        <v>1</v>
      </c>
      <c r="L32" s="104">
        <v>210</v>
      </c>
      <c r="M32" s="135">
        <f t="shared" si="1"/>
        <v>210</v>
      </c>
      <c r="N32" s="180"/>
      <c r="O32" s="180" t="s">
        <v>198</v>
      </c>
      <c r="P32" s="23"/>
      <c r="Q32" s="318" t="s">
        <v>520</v>
      </c>
      <c r="R32" s="11">
        <v>46120</v>
      </c>
      <c r="S32" s="67"/>
      <c r="T32" s="303">
        <v>46150</v>
      </c>
      <c r="U32" s="36">
        <v>46153</v>
      </c>
      <c r="V32" s="38"/>
    </row>
    <row r="33" spans="1:22" s="3" customFormat="1" ht="19.5" customHeight="1" x14ac:dyDescent="0.2">
      <c r="A33" s="129" t="s">
        <v>176</v>
      </c>
      <c r="B33" s="291" t="s">
        <v>507</v>
      </c>
      <c r="C33" s="92">
        <v>0.15</v>
      </c>
      <c r="D33" s="1">
        <f t="shared" si="0"/>
        <v>0.15</v>
      </c>
      <c r="E33" s="126"/>
      <c r="F33" s="282">
        <v>9</v>
      </c>
      <c r="G33" s="60">
        <f t="shared" si="2"/>
        <v>19</v>
      </c>
      <c r="H33" s="60" t="s">
        <v>37</v>
      </c>
      <c r="I33" s="4" t="s">
        <v>24</v>
      </c>
      <c r="J33" s="211" t="s">
        <v>199</v>
      </c>
      <c r="K33" s="45">
        <v>1</v>
      </c>
      <c r="L33" s="45">
        <v>11996</v>
      </c>
      <c r="M33" s="177">
        <f t="shared" si="1"/>
        <v>11996</v>
      </c>
      <c r="N33" s="76"/>
      <c r="O33" s="179" t="s">
        <v>200</v>
      </c>
      <c r="P33" s="1"/>
      <c r="Q33" s="318" t="s">
        <v>520</v>
      </c>
      <c r="R33" s="11">
        <v>46120</v>
      </c>
      <c r="S33" s="67"/>
      <c r="T33" s="303">
        <v>46150</v>
      </c>
      <c r="U33" s="36">
        <v>46153</v>
      </c>
      <c r="V33" s="38"/>
    </row>
    <row r="34" spans="1:22" s="3" customFormat="1" ht="19.5" customHeight="1" x14ac:dyDescent="0.2">
      <c r="A34" s="129" t="s">
        <v>170</v>
      </c>
      <c r="B34" s="291" t="s">
        <v>507</v>
      </c>
      <c r="C34" s="92">
        <v>5.0000000000000001E-3</v>
      </c>
      <c r="D34" s="1">
        <f t="shared" si="0"/>
        <v>5.0000000000000001E-3</v>
      </c>
      <c r="E34" s="126"/>
      <c r="F34" s="282">
        <v>9</v>
      </c>
      <c r="G34" s="60">
        <f t="shared" si="2"/>
        <v>20</v>
      </c>
      <c r="H34" s="4" t="s">
        <v>24</v>
      </c>
      <c r="I34" s="4" t="s">
        <v>24</v>
      </c>
      <c r="J34" s="172" t="s">
        <v>201</v>
      </c>
      <c r="K34" s="45">
        <v>1</v>
      </c>
      <c r="L34" s="45">
        <v>1044</v>
      </c>
      <c r="M34" s="177">
        <f t="shared" si="1"/>
        <v>1044</v>
      </c>
      <c r="N34" s="76"/>
      <c r="O34" s="76" t="s">
        <v>202</v>
      </c>
      <c r="P34" s="23" t="s">
        <v>203</v>
      </c>
      <c r="Q34" s="318" t="s">
        <v>520</v>
      </c>
      <c r="R34" s="11">
        <v>46120</v>
      </c>
      <c r="S34" s="67"/>
      <c r="T34" s="303">
        <v>46150</v>
      </c>
      <c r="U34" s="36">
        <v>46153</v>
      </c>
      <c r="V34" s="38"/>
    </row>
    <row r="35" spans="1:22" s="3" customFormat="1" ht="19.5" customHeight="1" x14ac:dyDescent="0.2">
      <c r="A35" s="129" t="s">
        <v>170</v>
      </c>
      <c r="B35" s="291" t="s">
        <v>507</v>
      </c>
      <c r="C35" s="92">
        <v>5.0000000000000001E-3</v>
      </c>
      <c r="D35" s="1">
        <f t="shared" si="0"/>
        <v>5.0000000000000001E-3</v>
      </c>
      <c r="E35" s="126"/>
      <c r="F35" s="282">
        <v>9</v>
      </c>
      <c r="G35" s="60">
        <f t="shared" si="2"/>
        <v>21</v>
      </c>
      <c r="H35" s="4" t="s">
        <v>24</v>
      </c>
      <c r="I35" s="4" t="s">
        <v>24</v>
      </c>
      <c r="J35" s="172" t="s">
        <v>204</v>
      </c>
      <c r="K35" s="45">
        <v>1</v>
      </c>
      <c r="L35" s="45">
        <v>975</v>
      </c>
      <c r="M35" s="177">
        <f t="shared" si="1"/>
        <v>975</v>
      </c>
      <c r="N35" s="76"/>
      <c r="O35" s="76" t="s">
        <v>205</v>
      </c>
      <c r="P35" s="23" t="s">
        <v>203</v>
      </c>
      <c r="Q35" s="318" t="s">
        <v>520</v>
      </c>
      <c r="R35" s="11">
        <v>46120</v>
      </c>
      <c r="S35" s="67"/>
      <c r="T35" s="303">
        <v>46150</v>
      </c>
      <c r="U35" s="36">
        <v>46153</v>
      </c>
      <c r="V35" s="38"/>
    </row>
    <row r="36" spans="1:22" s="3" customFormat="1" ht="19.5" customHeight="1" x14ac:dyDescent="0.2">
      <c r="A36" s="129" t="s">
        <v>170</v>
      </c>
      <c r="B36" s="291" t="s">
        <v>507</v>
      </c>
      <c r="C36" s="92">
        <v>5.0000000000000001E-3</v>
      </c>
      <c r="D36" s="1">
        <f t="shared" si="0"/>
        <v>0.17500000000000002</v>
      </c>
      <c r="E36" s="126"/>
      <c r="F36" s="282">
        <v>9</v>
      </c>
      <c r="G36" s="60">
        <f t="shared" si="2"/>
        <v>22</v>
      </c>
      <c r="H36" s="88" t="s">
        <v>24</v>
      </c>
      <c r="I36" s="88" t="s">
        <v>24</v>
      </c>
      <c r="J36" s="172" t="s">
        <v>206</v>
      </c>
      <c r="K36" s="45">
        <v>35</v>
      </c>
      <c r="L36" s="305">
        <v>22</v>
      </c>
      <c r="M36" s="135">
        <f t="shared" si="1"/>
        <v>770</v>
      </c>
      <c r="N36" s="76"/>
      <c r="O36" s="179" t="s">
        <v>486</v>
      </c>
      <c r="P36" s="1"/>
      <c r="Q36" s="318" t="s">
        <v>520</v>
      </c>
      <c r="R36" s="11">
        <v>46120</v>
      </c>
      <c r="S36" s="67"/>
      <c r="T36" s="303">
        <v>46150</v>
      </c>
      <c r="U36" s="36">
        <v>46153</v>
      </c>
      <c r="V36" s="38"/>
    </row>
    <row r="37" spans="1:22" s="3" customFormat="1" ht="19.5" customHeight="1" x14ac:dyDescent="0.2">
      <c r="A37" s="129" t="s">
        <v>170</v>
      </c>
      <c r="B37" s="291" t="s">
        <v>507</v>
      </c>
      <c r="C37" s="92">
        <v>5.0000000000000001E-3</v>
      </c>
      <c r="D37" s="1">
        <f t="shared" si="0"/>
        <v>0.03</v>
      </c>
      <c r="E37" s="126"/>
      <c r="F37" s="282">
        <v>9</v>
      </c>
      <c r="G37" s="60">
        <f t="shared" si="2"/>
        <v>23</v>
      </c>
      <c r="H37" s="88" t="s">
        <v>24</v>
      </c>
      <c r="I37" s="88" t="s">
        <v>24</v>
      </c>
      <c r="J37" s="173" t="s">
        <v>209</v>
      </c>
      <c r="K37" s="208">
        <v>6</v>
      </c>
      <c r="L37" s="104">
        <v>120</v>
      </c>
      <c r="M37" s="104">
        <f t="shared" si="1"/>
        <v>720</v>
      </c>
      <c r="N37" s="178"/>
      <c r="O37" s="178" t="s">
        <v>210</v>
      </c>
      <c r="P37" s="61" t="s">
        <v>211</v>
      </c>
      <c r="Q37" s="318" t="s">
        <v>520</v>
      </c>
      <c r="R37" s="11">
        <v>46120</v>
      </c>
      <c r="S37" s="67"/>
      <c r="T37" s="303">
        <v>46150</v>
      </c>
      <c r="U37" s="36">
        <v>46153</v>
      </c>
      <c r="V37" s="38"/>
    </row>
    <row r="38" spans="1:22" s="3" customFormat="1" ht="19.5" customHeight="1" x14ac:dyDescent="0.2">
      <c r="A38" s="92"/>
      <c r="B38" s="292"/>
      <c r="C38" s="92"/>
      <c r="D38" s="92"/>
      <c r="E38" s="92"/>
      <c r="F38" s="165"/>
      <c r="G38" s="4"/>
      <c r="H38" s="115"/>
      <c r="I38" s="166"/>
      <c r="J38" s="167"/>
      <c r="K38" s="99"/>
      <c r="L38" s="99"/>
      <c r="M38" s="84"/>
      <c r="N38" s="168"/>
      <c r="O38" s="169"/>
      <c r="P38" s="99"/>
      <c r="Q38" s="40"/>
      <c r="R38" s="11"/>
      <c r="S38" s="67"/>
      <c r="T38" s="35"/>
      <c r="U38" s="36"/>
      <c r="V38" s="38"/>
    </row>
    <row r="39" spans="1:22" s="3" customFormat="1" ht="19.5" customHeight="1" x14ac:dyDescent="0.2">
      <c r="A39"/>
      <c r="B39" s="288"/>
      <c r="C39"/>
      <c r="D39"/>
      <c r="E39"/>
      <c r="F39" s="24"/>
      <c r="G39" s="93"/>
      <c r="H39" s="37"/>
      <c r="I39" s="90"/>
      <c r="J39" s="352">
        <f>SUM(M15:M38)</f>
        <v>72379</v>
      </c>
      <c r="K39" s="353"/>
      <c r="L39" s="353"/>
      <c r="M39" s="354"/>
      <c r="N39" s="91"/>
      <c r="O39" s="89"/>
      <c r="P39" s="49"/>
      <c r="Q39" s="40"/>
      <c r="R39" s="11"/>
      <c r="S39" s="67"/>
      <c r="T39" s="35"/>
      <c r="U39" s="36"/>
      <c r="V39" s="38"/>
    </row>
    <row r="40" spans="1:22" s="3" customFormat="1" ht="19.5" customHeight="1" x14ac:dyDescent="0.2">
      <c r="B40" s="289"/>
      <c r="F40" s="165"/>
      <c r="G40" s="70"/>
      <c r="H40" s="39"/>
      <c r="I40" s="39"/>
      <c r="J40" s="42"/>
      <c r="K40" s="40"/>
      <c r="L40" s="69"/>
      <c r="M40" s="39"/>
      <c r="N40" s="40"/>
      <c r="O40" s="43"/>
      <c r="P40" s="40"/>
      <c r="Q40" s="40"/>
      <c r="R40" s="11"/>
      <c r="S40" s="67"/>
      <c r="T40" s="35"/>
      <c r="U40" s="36"/>
      <c r="V40" s="38"/>
    </row>
    <row r="41" spans="1:22" s="3" customFormat="1" ht="19.5" customHeight="1" x14ac:dyDescent="0.2">
      <c r="B41" s="289"/>
      <c r="F41" s="165"/>
      <c r="G41" s="70"/>
      <c r="H41" s="39"/>
      <c r="I41" s="39"/>
      <c r="J41" s="42"/>
      <c r="K41" s="40"/>
      <c r="L41" s="69"/>
      <c r="M41" s="39"/>
      <c r="N41" s="40"/>
      <c r="O41" s="43"/>
      <c r="P41" s="40"/>
      <c r="Q41" s="40"/>
      <c r="R41" s="11"/>
      <c r="S41" s="67"/>
      <c r="T41" s="35"/>
      <c r="U41" s="36"/>
      <c r="V41" s="38"/>
    </row>
    <row r="42" spans="1:22" s="3" customFormat="1" ht="19.5" customHeight="1" x14ac:dyDescent="0.2">
      <c r="B42" s="289"/>
      <c r="F42" s="1"/>
      <c r="G42" s="70"/>
      <c r="H42" s="39"/>
      <c r="I42" s="39"/>
      <c r="J42" s="42"/>
      <c r="K42" s="40"/>
      <c r="L42" s="69"/>
      <c r="M42" s="39"/>
      <c r="N42" s="40"/>
      <c r="O42" s="43"/>
      <c r="P42" s="44"/>
      <c r="Q42" s="74"/>
      <c r="R42" s="68"/>
      <c r="S42" s="38"/>
      <c r="T42" s="55"/>
      <c r="U42" s="19"/>
      <c r="V42" s="41"/>
    </row>
    <row r="43" spans="1:22" s="3" customFormat="1" ht="19.5" customHeight="1" x14ac:dyDescent="0.2">
      <c r="A43" s="162"/>
      <c r="B43" s="293"/>
      <c r="C43" s="162"/>
      <c r="D43" s="162"/>
      <c r="E43" s="162"/>
      <c r="F43" s="45"/>
      <c r="G43" s="186"/>
      <c r="H43" s="190" t="s">
        <v>257</v>
      </c>
      <c r="I43" s="188"/>
      <c r="J43" s="189"/>
      <c r="K43" s="97"/>
      <c r="L43" s="97"/>
      <c r="M43" s="29"/>
      <c r="N43" s="76"/>
      <c r="O43" s="170"/>
      <c r="P43" s="1"/>
      <c r="Q43" s="74"/>
      <c r="R43" s="68"/>
      <c r="S43" s="38"/>
      <c r="T43" s="55"/>
      <c r="U43" s="19"/>
      <c r="V43" s="41"/>
    </row>
    <row r="44" spans="1:22" s="3" customFormat="1" ht="19.5" customHeight="1" x14ac:dyDescent="0.2">
      <c r="A44" s="129" t="s">
        <v>35</v>
      </c>
      <c r="B44" s="294" t="s">
        <v>508</v>
      </c>
      <c r="C44" s="3">
        <v>0.25</v>
      </c>
      <c r="D44" s="1">
        <f t="shared" ref="D44:D54" si="4">+C44*K44</f>
        <v>0.25</v>
      </c>
      <c r="F44" s="283">
        <v>2</v>
      </c>
      <c r="G44" s="60">
        <f>+G37+1</f>
        <v>24</v>
      </c>
      <c r="H44" s="191" t="s">
        <v>37</v>
      </c>
      <c r="I44" s="28" t="s">
        <v>24</v>
      </c>
      <c r="J44" s="213" t="s">
        <v>314</v>
      </c>
      <c r="K44" s="157">
        <v>1</v>
      </c>
      <c r="L44" s="45">
        <v>4659</v>
      </c>
      <c r="M44" s="131">
        <f t="shared" ref="M44:M54" si="5">K44*L44</f>
        <v>4659</v>
      </c>
      <c r="N44" s="2"/>
      <c r="O44" s="192" t="s">
        <v>313</v>
      </c>
      <c r="P44" s="23" t="s">
        <v>258</v>
      </c>
      <c r="Q44" s="318" t="s">
        <v>520</v>
      </c>
      <c r="R44" s="11">
        <v>46120</v>
      </c>
      <c r="S44" s="67"/>
      <c r="T44" s="303">
        <v>46150</v>
      </c>
      <c r="U44" s="36">
        <v>46153</v>
      </c>
      <c r="V44" s="41"/>
    </row>
    <row r="45" spans="1:22" s="3" customFormat="1" ht="19.5" customHeight="1" x14ac:dyDescent="0.2">
      <c r="A45" s="129" t="s">
        <v>35</v>
      </c>
      <c r="B45" s="294" t="s">
        <v>508</v>
      </c>
      <c r="C45" s="3">
        <v>0.125</v>
      </c>
      <c r="D45" s="1">
        <f t="shared" si="4"/>
        <v>0.125</v>
      </c>
      <c r="F45" s="283">
        <v>2</v>
      </c>
      <c r="G45" s="60">
        <f>+G44+1</f>
        <v>25</v>
      </c>
      <c r="H45" s="191" t="s">
        <v>37</v>
      </c>
      <c r="I45" s="28" t="s">
        <v>24</v>
      </c>
      <c r="J45" s="213" t="s">
        <v>259</v>
      </c>
      <c r="K45" s="157">
        <v>1</v>
      </c>
      <c r="L45" s="45">
        <v>2724</v>
      </c>
      <c r="M45" s="131">
        <f t="shared" si="5"/>
        <v>2724</v>
      </c>
      <c r="N45" s="76"/>
      <c r="O45" s="192" t="s">
        <v>260</v>
      </c>
      <c r="P45" s="1"/>
      <c r="Q45" s="318" t="s">
        <v>520</v>
      </c>
      <c r="R45" s="11">
        <v>46120</v>
      </c>
      <c r="S45" s="67"/>
      <c r="T45" s="303">
        <v>46150</v>
      </c>
      <c r="U45" s="36">
        <v>46153</v>
      </c>
      <c r="V45" s="41"/>
    </row>
    <row r="46" spans="1:22" s="3" customFormat="1" ht="19.5" customHeight="1" x14ac:dyDescent="0.2">
      <c r="A46" s="129" t="s">
        <v>35</v>
      </c>
      <c r="B46" s="294" t="s">
        <v>508</v>
      </c>
      <c r="C46" s="3">
        <v>0.125</v>
      </c>
      <c r="D46" s="1">
        <f t="shared" si="4"/>
        <v>0.125</v>
      </c>
      <c r="F46" s="283">
        <v>2</v>
      </c>
      <c r="G46" s="60">
        <f t="shared" ref="G46:G54" si="6">+G45+1</f>
        <v>26</v>
      </c>
      <c r="H46" s="191" t="s">
        <v>37</v>
      </c>
      <c r="I46" s="28" t="s">
        <v>24</v>
      </c>
      <c r="J46" s="213" t="s">
        <v>261</v>
      </c>
      <c r="K46" s="157">
        <v>1</v>
      </c>
      <c r="L46" s="45">
        <v>2724</v>
      </c>
      <c r="M46" s="131">
        <f t="shared" si="5"/>
        <v>2724</v>
      </c>
      <c r="N46" s="76"/>
      <c r="O46" s="192" t="s">
        <v>262</v>
      </c>
      <c r="P46" s="1"/>
      <c r="Q46" s="318" t="s">
        <v>520</v>
      </c>
      <c r="R46" s="11">
        <v>46120</v>
      </c>
      <c r="S46" s="67"/>
      <c r="T46" s="303">
        <v>46150</v>
      </c>
      <c r="U46" s="36">
        <v>46153</v>
      </c>
      <c r="V46" s="41"/>
    </row>
    <row r="47" spans="1:22" s="3" customFormat="1" ht="19.5" customHeight="1" x14ac:dyDescent="0.2">
      <c r="A47" s="129" t="s">
        <v>35</v>
      </c>
      <c r="B47" s="294" t="s">
        <v>508</v>
      </c>
      <c r="C47" s="3">
        <v>1.5</v>
      </c>
      <c r="D47" s="1">
        <f t="shared" si="4"/>
        <v>1.5</v>
      </c>
      <c r="F47" s="283">
        <v>2</v>
      </c>
      <c r="G47" s="60">
        <f t="shared" si="6"/>
        <v>27</v>
      </c>
      <c r="H47" s="191" t="s">
        <v>37</v>
      </c>
      <c r="I47" s="28" t="s">
        <v>24</v>
      </c>
      <c r="J47" s="212" t="s">
        <v>315</v>
      </c>
      <c r="K47" s="157">
        <v>1</v>
      </c>
      <c r="L47" s="45">
        <v>6260</v>
      </c>
      <c r="M47" s="131">
        <f t="shared" si="5"/>
        <v>6260</v>
      </c>
      <c r="N47" s="2"/>
      <c r="O47" s="192" t="s">
        <v>263</v>
      </c>
      <c r="P47" s="1"/>
      <c r="Q47" s="318" t="s">
        <v>520</v>
      </c>
      <c r="R47" s="11">
        <v>46120</v>
      </c>
      <c r="S47" s="67"/>
      <c r="T47" s="303">
        <v>46150</v>
      </c>
      <c r="U47" s="36">
        <v>46153</v>
      </c>
      <c r="V47" s="41"/>
    </row>
    <row r="48" spans="1:22" s="3" customFormat="1" ht="19.5" customHeight="1" x14ac:dyDescent="0.2">
      <c r="A48" s="129" t="s">
        <v>27</v>
      </c>
      <c r="B48" s="294" t="s">
        <v>508</v>
      </c>
      <c r="C48" s="3">
        <v>5.0000000000000001E-3</v>
      </c>
      <c r="D48" s="1">
        <f t="shared" si="4"/>
        <v>0.02</v>
      </c>
      <c r="F48" s="283">
        <v>2</v>
      </c>
      <c r="G48" s="60">
        <f t="shared" si="6"/>
        <v>28</v>
      </c>
      <c r="H48" s="28" t="s">
        <v>93</v>
      </c>
      <c r="I48" s="28" t="s">
        <v>24</v>
      </c>
      <c r="J48" s="212" t="s">
        <v>264</v>
      </c>
      <c r="K48" s="157">
        <v>4</v>
      </c>
      <c r="L48" s="45">
        <v>69</v>
      </c>
      <c r="M48" s="131">
        <f t="shared" si="5"/>
        <v>276</v>
      </c>
      <c r="N48" s="2"/>
      <c r="O48" s="193" t="s">
        <v>265</v>
      </c>
      <c r="P48" s="1"/>
      <c r="Q48" s="318" t="s">
        <v>520</v>
      </c>
      <c r="R48" s="11">
        <v>46120</v>
      </c>
      <c r="S48" s="67"/>
      <c r="T48" s="303">
        <v>46150</v>
      </c>
      <c r="U48" s="36">
        <v>46153</v>
      </c>
      <c r="V48" s="41"/>
    </row>
    <row r="49" spans="1:22" s="3" customFormat="1" ht="19.5" customHeight="1" x14ac:dyDescent="0.2">
      <c r="A49" s="129" t="s">
        <v>27</v>
      </c>
      <c r="B49" s="294" t="s">
        <v>508</v>
      </c>
      <c r="C49" s="3">
        <v>5.0000000000000001E-3</v>
      </c>
      <c r="D49" s="1">
        <f t="shared" si="4"/>
        <v>0.01</v>
      </c>
      <c r="F49" s="283">
        <v>2</v>
      </c>
      <c r="G49" s="60">
        <f t="shared" si="6"/>
        <v>29</v>
      </c>
      <c r="H49" s="28" t="s">
        <v>93</v>
      </c>
      <c r="I49" s="28" t="s">
        <v>24</v>
      </c>
      <c r="J49" s="212" t="s">
        <v>266</v>
      </c>
      <c r="K49" s="157">
        <v>2</v>
      </c>
      <c r="L49" s="45">
        <v>116</v>
      </c>
      <c r="M49" s="131">
        <f t="shared" si="5"/>
        <v>232</v>
      </c>
      <c r="N49" s="2"/>
      <c r="O49" s="193" t="s">
        <v>265</v>
      </c>
      <c r="P49" s="1"/>
      <c r="Q49" s="318" t="s">
        <v>520</v>
      </c>
      <c r="R49" s="11">
        <v>46120</v>
      </c>
      <c r="S49" s="67"/>
      <c r="T49" s="303">
        <v>46150</v>
      </c>
      <c r="U49" s="36">
        <v>46153</v>
      </c>
      <c r="V49" s="41"/>
    </row>
    <row r="50" spans="1:22" s="3" customFormat="1" ht="19.5" customHeight="1" x14ac:dyDescent="0.2">
      <c r="A50" s="129" t="s">
        <v>277</v>
      </c>
      <c r="B50" s="294" t="s">
        <v>508</v>
      </c>
      <c r="C50" s="3">
        <v>1.4999999999999999E-2</v>
      </c>
      <c r="D50" s="1">
        <f t="shared" si="4"/>
        <v>4.4999999999999998E-2</v>
      </c>
      <c r="F50" s="283">
        <v>2</v>
      </c>
      <c r="G50" s="60">
        <f t="shared" si="6"/>
        <v>30</v>
      </c>
      <c r="H50" s="62" t="s">
        <v>24</v>
      </c>
      <c r="I50" s="62" t="s">
        <v>24</v>
      </c>
      <c r="J50" s="213" t="s">
        <v>267</v>
      </c>
      <c r="K50" s="157">
        <v>3</v>
      </c>
      <c r="L50" s="45">
        <v>414</v>
      </c>
      <c r="M50" s="217">
        <f t="shared" si="5"/>
        <v>1242</v>
      </c>
      <c r="N50" s="2"/>
      <c r="O50" s="194" t="s">
        <v>268</v>
      </c>
      <c r="P50" s="1"/>
      <c r="Q50" s="318" t="s">
        <v>520</v>
      </c>
      <c r="R50" s="11">
        <v>46120</v>
      </c>
      <c r="S50" s="67"/>
      <c r="T50" s="303">
        <v>46150</v>
      </c>
      <c r="U50" s="36">
        <v>46153</v>
      </c>
      <c r="V50" s="41"/>
    </row>
    <row r="51" spans="1:22" s="3" customFormat="1" ht="19.5" customHeight="1" x14ac:dyDescent="0.2">
      <c r="A51" s="129" t="s">
        <v>27</v>
      </c>
      <c r="B51" s="294" t="s">
        <v>508</v>
      </c>
      <c r="C51" s="3">
        <v>5.0000000000000001E-3</v>
      </c>
      <c r="D51" s="1">
        <f t="shared" si="4"/>
        <v>0.02</v>
      </c>
      <c r="F51" s="283">
        <v>2</v>
      </c>
      <c r="G51" s="60">
        <f t="shared" si="6"/>
        <v>31</v>
      </c>
      <c r="H51" s="88" t="s">
        <v>24</v>
      </c>
      <c r="I51" s="88" t="s">
        <v>24</v>
      </c>
      <c r="J51" s="173" t="s">
        <v>269</v>
      </c>
      <c r="K51" s="208">
        <v>4</v>
      </c>
      <c r="L51" s="104">
        <v>18</v>
      </c>
      <c r="M51" s="104">
        <f t="shared" si="5"/>
        <v>72</v>
      </c>
      <c r="N51" s="81"/>
      <c r="O51" s="195" t="s">
        <v>270</v>
      </c>
      <c r="P51" s="1"/>
      <c r="Q51" s="318" t="s">
        <v>520</v>
      </c>
      <c r="R51" s="11">
        <v>46120</v>
      </c>
      <c r="S51" s="67"/>
      <c r="T51" s="303">
        <v>46150</v>
      </c>
      <c r="U51" s="36">
        <v>46153</v>
      </c>
      <c r="V51" s="41"/>
    </row>
    <row r="52" spans="1:22" s="3" customFormat="1" ht="19.5" customHeight="1" x14ac:dyDescent="0.2">
      <c r="A52" s="129" t="s">
        <v>27</v>
      </c>
      <c r="B52" s="294" t="s">
        <v>508</v>
      </c>
      <c r="C52" s="3">
        <v>1E-3</v>
      </c>
      <c r="D52" s="1">
        <f t="shared" si="4"/>
        <v>3.0000000000000001E-3</v>
      </c>
      <c r="F52" s="283">
        <v>2</v>
      </c>
      <c r="G52" s="60">
        <f t="shared" si="6"/>
        <v>32</v>
      </c>
      <c r="H52" s="88" t="s">
        <v>24</v>
      </c>
      <c r="I52" s="88" t="s">
        <v>24</v>
      </c>
      <c r="J52" s="173" t="s">
        <v>271</v>
      </c>
      <c r="K52" s="208">
        <v>3</v>
      </c>
      <c r="L52" s="104">
        <v>127</v>
      </c>
      <c r="M52" s="104">
        <f t="shared" si="5"/>
        <v>381</v>
      </c>
      <c r="N52" s="81"/>
      <c r="O52" s="195" t="s">
        <v>272</v>
      </c>
      <c r="P52" s="1"/>
      <c r="Q52" s="318" t="s">
        <v>520</v>
      </c>
      <c r="R52" s="11">
        <v>46120</v>
      </c>
      <c r="S52" s="67"/>
      <c r="T52" s="303">
        <v>46150</v>
      </c>
      <c r="U52" s="36">
        <v>46153</v>
      </c>
      <c r="V52" s="41"/>
    </row>
    <row r="53" spans="1:22" s="3" customFormat="1" ht="19.5" customHeight="1" x14ac:dyDescent="0.2">
      <c r="A53" s="129" t="s">
        <v>27</v>
      </c>
      <c r="B53" s="294" t="s">
        <v>508</v>
      </c>
      <c r="C53" s="3">
        <v>2E-3</v>
      </c>
      <c r="D53" s="1">
        <f t="shared" si="4"/>
        <v>8.0000000000000002E-3</v>
      </c>
      <c r="F53" s="283">
        <v>2</v>
      </c>
      <c r="G53" s="60">
        <f t="shared" si="6"/>
        <v>33</v>
      </c>
      <c r="H53" s="4" t="s">
        <v>24</v>
      </c>
      <c r="I53" s="4" t="s">
        <v>24</v>
      </c>
      <c r="J53" s="216" t="s">
        <v>273</v>
      </c>
      <c r="K53" s="177">
        <v>4</v>
      </c>
      <c r="L53" s="105">
        <v>81</v>
      </c>
      <c r="M53" s="45">
        <f t="shared" si="5"/>
        <v>324</v>
      </c>
      <c r="N53" s="2"/>
      <c r="O53" s="196" t="s">
        <v>274</v>
      </c>
      <c r="P53" s="1"/>
      <c r="Q53" s="318" t="s">
        <v>520</v>
      </c>
      <c r="R53" s="11">
        <v>46120</v>
      </c>
      <c r="S53" s="67"/>
      <c r="T53" s="303">
        <v>46150</v>
      </c>
      <c r="U53" s="36">
        <v>46153</v>
      </c>
      <c r="V53" s="41"/>
    </row>
    <row r="54" spans="1:22" s="3" customFormat="1" ht="19.5" customHeight="1" x14ac:dyDescent="0.2">
      <c r="A54" s="129" t="s">
        <v>27</v>
      </c>
      <c r="B54" s="294" t="s">
        <v>508</v>
      </c>
      <c r="C54" s="3">
        <v>0.55000000000000004</v>
      </c>
      <c r="D54" s="1">
        <f t="shared" si="4"/>
        <v>0.55000000000000004</v>
      </c>
      <c r="F54" s="283">
        <v>2</v>
      </c>
      <c r="G54" s="60">
        <f t="shared" si="6"/>
        <v>34</v>
      </c>
      <c r="H54" s="28" t="s">
        <v>24</v>
      </c>
      <c r="I54" s="28" t="s">
        <v>24</v>
      </c>
      <c r="J54" s="215" t="s">
        <v>275</v>
      </c>
      <c r="K54" s="131">
        <v>1</v>
      </c>
      <c r="L54" s="130">
        <v>7038</v>
      </c>
      <c r="M54" s="131">
        <f t="shared" si="5"/>
        <v>7038</v>
      </c>
      <c r="N54" s="214"/>
      <c r="O54" s="197" t="s">
        <v>276</v>
      </c>
      <c r="P54" s="1"/>
      <c r="Q54" s="318" t="s">
        <v>520</v>
      </c>
      <c r="R54" s="11">
        <v>46120</v>
      </c>
      <c r="S54" s="67"/>
      <c r="T54" s="303">
        <v>46150</v>
      </c>
      <c r="U54" s="36">
        <v>46153</v>
      </c>
      <c r="V54" s="41"/>
    </row>
    <row r="55" spans="1:22" s="3" customFormat="1" ht="19.5" customHeight="1" x14ac:dyDescent="0.2">
      <c r="B55" s="289"/>
      <c r="F55" s="1"/>
      <c r="G55" s="4"/>
      <c r="H55" s="4"/>
      <c r="I55" s="4"/>
      <c r="J55" s="198"/>
      <c r="K55" s="199"/>
      <c r="L55" s="97"/>
      <c r="M55" s="200"/>
      <c r="N55" s="140"/>
      <c r="O55" s="170"/>
      <c r="P55" s="1"/>
      <c r="Q55" s="74"/>
      <c r="R55" s="68"/>
      <c r="S55" s="38"/>
      <c r="T55" s="55"/>
      <c r="U55" s="19"/>
      <c r="V55" s="41"/>
    </row>
    <row r="56" spans="1:22" s="3" customFormat="1" ht="19.5" customHeight="1" x14ac:dyDescent="0.2">
      <c r="B56" s="289"/>
      <c r="F56" s="1"/>
      <c r="G56" s="4"/>
      <c r="H56" s="4"/>
      <c r="I56" s="4"/>
      <c r="J56" s="122">
        <f>SUM(M44:M55)</f>
        <v>25932</v>
      </c>
      <c r="K56" s="1"/>
      <c r="L56" s="29"/>
      <c r="M56" s="29"/>
      <c r="N56" s="137"/>
      <c r="O56" s="24"/>
      <c r="P56" s="1"/>
      <c r="Q56" s="74"/>
      <c r="R56" s="68"/>
      <c r="S56" s="38"/>
      <c r="T56" s="55"/>
      <c r="U56" s="19"/>
      <c r="V56" s="41"/>
    </row>
    <row r="57" spans="1:22" s="3" customFormat="1" ht="19.5" customHeight="1" x14ac:dyDescent="0.2">
      <c r="B57" s="289"/>
      <c r="F57" s="1"/>
      <c r="G57" s="70"/>
      <c r="H57" s="39"/>
      <c r="I57" s="39"/>
      <c r="J57" s="42"/>
      <c r="K57" s="40"/>
      <c r="L57" s="69"/>
      <c r="M57" s="39"/>
      <c r="N57" s="40"/>
      <c r="O57" s="43"/>
      <c r="P57" s="44"/>
      <c r="Q57" s="74"/>
      <c r="R57" s="68"/>
      <c r="S57" s="38"/>
      <c r="T57" s="55"/>
      <c r="U57" s="19"/>
      <c r="V57" s="41"/>
    </row>
    <row r="58" spans="1:22" s="3" customFormat="1" ht="19.5" customHeight="1" x14ac:dyDescent="0.2">
      <c r="B58" s="289"/>
      <c r="F58" s="1"/>
      <c r="G58" s="70"/>
      <c r="H58" s="39"/>
      <c r="I58" s="39"/>
      <c r="J58" s="42"/>
      <c r="K58" s="40"/>
      <c r="L58" s="69"/>
      <c r="M58" s="39"/>
      <c r="N58" s="40"/>
      <c r="O58" s="43"/>
      <c r="P58" s="44"/>
      <c r="Q58" s="74"/>
      <c r="R58" s="68"/>
      <c r="S58" s="38"/>
      <c r="T58" s="55"/>
      <c r="U58" s="19"/>
      <c r="V58" s="41"/>
    </row>
    <row r="59" spans="1:22" s="3" customFormat="1" ht="19.5" customHeight="1" x14ac:dyDescent="0.2">
      <c r="B59" s="289"/>
      <c r="F59" s="1"/>
      <c r="G59" s="70"/>
      <c r="H59" s="39"/>
      <c r="I59" s="39"/>
      <c r="J59" s="42"/>
      <c r="K59" s="40"/>
      <c r="L59" s="69"/>
      <c r="M59" s="39"/>
      <c r="N59" s="40"/>
      <c r="O59" s="43"/>
      <c r="P59" s="44"/>
      <c r="Q59" s="74"/>
      <c r="R59" s="68"/>
      <c r="S59" s="38"/>
      <c r="T59" s="55"/>
      <c r="U59" s="19"/>
      <c r="V59" s="41"/>
    </row>
    <row r="60" spans="1:22" s="3" customFormat="1" ht="19.5" customHeight="1" x14ac:dyDescent="0.2">
      <c r="B60" s="289"/>
      <c r="F60" s="1"/>
      <c r="G60" s="70"/>
      <c r="H60" s="39"/>
      <c r="I60" s="39"/>
      <c r="J60" s="42"/>
      <c r="K60" s="40"/>
      <c r="L60" s="69"/>
      <c r="M60" s="39"/>
      <c r="N60" s="40"/>
      <c r="O60" s="43"/>
      <c r="P60" s="44"/>
      <c r="Q60" s="74"/>
      <c r="R60" s="68"/>
      <c r="S60" s="38"/>
      <c r="T60" s="55"/>
      <c r="U60" s="19"/>
      <c r="V60" s="41"/>
    </row>
    <row r="61" spans="1:22" ht="18" customHeight="1" x14ac:dyDescent="0.2">
      <c r="A61" s="210"/>
      <c r="B61" s="290"/>
      <c r="C61" s="210"/>
      <c r="D61" s="210"/>
      <c r="E61" s="210"/>
      <c r="F61" s="111"/>
      <c r="G61" s="224"/>
      <c r="H61" s="355" t="s">
        <v>26</v>
      </c>
      <c r="I61" s="356"/>
      <c r="J61" s="357"/>
      <c r="K61" s="1"/>
      <c r="L61" s="1"/>
      <c r="M61" s="2"/>
      <c r="N61" s="2"/>
      <c r="O61" s="1"/>
      <c r="P61" s="44"/>
      <c r="Q61" s="74"/>
      <c r="R61" s="68"/>
      <c r="S61" s="38"/>
      <c r="T61" s="55"/>
      <c r="U61" s="19"/>
      <c r="V61" s="41"/>
    </row>
    <row r="62" spans="1:22" ht="18" customHeight="1" x14ac:dyDescent="0.2">
      <c r="A62" s="125" t="s">
        <v>27</v>
      </c>
      <c r="B62" s="295" t="s">
        <v>509</v>
      </c>
      <c r="C62" s="45">
        <v>0.08</v>
      </c>
      <c r="D62" s="1">
        <f t="shared" ref="D62:D85" si="7">+C62*K62</f>
        <v>0.08</v>
      </c>
      <c r="E62" s="45"/>
      <c r="F62" s="165">
        <v>11</v>
      </c>
      <c r="G62" s="60">
        <f>+G54+1</f>
        <v>35</v>
      </c>
      <c r="H62" s="60" t="s">
        <v>37</v>
      </c>
      <c r="I62" s="4" t="s">
        <v>24</v>
      </c>
      <c r="J62" s="216" t="s">
        <v>110</v>
      </c>
      <c r="K62" s="100">
        <v>1</v>
      </c>
      <c r="L62" s="102">
        <v>3897</v>
      </c>
      <c r="M62" s="107">
        <f t="shared" ref="M62:M83" si="8">K62*L62</f>
        <v>3897</v>
      </c>
      <c r="N62" s="94"/>
      <c r="O62" s="71" t="s">
        <v>111</v>
      </c>
      <c r="P62" s="44"/>
      <c r="Q62" s="318" t="s">
        <v>520</v>
      </c>
      <c r="R62" s="11">
        <v>46120</v>
      </c>
      <c r="S62" s="67"/>
      <c r="T62" s="303">
        <v>46150</v>
      </c>
      <c r="U62" s="36">
        <v>46153</v>
      </c>
      <c r="V62" s="41"/>
    </row>
    <row r="63" spans="1:22" ht="18" customHeight="1" x14ac:dyDescent="0.2">
      <c r="A63" s="125" t="s">
        <v>35</v>
      </c>
      <c r="B63" s="295" t="s">
        <v>509</v>
      </c>
      <c r="C63" s="45">
        <v>6.3E-2</v>
      </c>
      <c r="D63" s="1">
        <f t="shared" si="7"/>
        <v>6.3E-2</v>
      </c>
      <c r="E63" s="45"/>
      <c r="F63" s="165">
        <v>11</v>
      </c>
      <c r="G63" s="60">
        <f>+G62+1</f>
        <v>36</v>
      </c>
      <c r="H63" s="60" t="s">
        <v>37</v>
      </c>
      <c r="I63" s="4" t="s">
        <v>24</v>
      </c>
      <c r="J63" s="221" t="s">
        <v>323</v>
      </c>
      <c r="K63" s="100">
        <v>1</v>
      </c>
      <c r="L63" s="102">
        <v>2764</v>
      </c>
      <c r="M63" s="107">
        <f t="shared" si="8"/>
        <v>2764</v>
      </c>
      <c r="N63" s="94"/>
      <c r="O63" s="71" t="s">
        <v>457</v>
      </c>
      <c r="P63" s="44"/>
      <c r="Q63" s="318" t="s">
        <v>520</v>
      </c>
      <c r="R63" s="11">
        <v>46120</v>
      </c>
      <c r="S63" s="67"/>
      <c r="T63" s="303">
        <v>46150</v>
      </c>
      <c r="U63" s="36">
        <v>46153</v>
      </c>
      <c r="V63" s="41"/>
    </row>
    <row r="64" spans="1:22" ht="18" customHeight="1" x14ac:dyDescent="0.2">
      <c r="A64" s="125" t="s">
        <v>27</v>
      </c>
      <c r="B64" s="295" t="s">
        <v>509</v>
      </c>
      <c r="C64" s="45">
        <v>2E-3</v>
      </c>
      <c r="D64" s="1">
        <f t="shared" si="7"/>
        <v>6.0000000000000001E-3</v>
      </c>
      <c r="E64" s="45"/>
      <c r="F64" s="165">
        <v>11</v>
      </c>
      <c r="G64" s="60">
        <f t="shared" ref="G64:G85" si="9">+G63+1</f>
        <v>37</v>
      </c>
      <c r="H64" s="1" t="s">
        <v>24</v>
      </c>
      <c r="I64" s="1" t="s">
        <v>24</v>
      </c>
      <c r="J64" s="222" t="s">
        <v>29</v>
      </c>
      <c r="K64" s="156">
        <v>3</v>
      </c>
      <c r="L64" s="109">
        <v>83</v>
      </c>
      <c r="M64" s="105">
        <f t="shared" si="8"/>
        <v>249</v>
      </c>
      <c r="N64" s="2"/>
      <c r="O64" s="56" t="s">
        <v>322</v>
      </c>
      <c r="P64" s="44"/>
      <c r="Q64" s="318" t="s">
        <v>520</v>
      </c>
      <c r="R64" s="11">
        <v>46120</v>
      </c>
      <c r="S64" s="67"/>
      <c r="T64" s="303">
        <v>46150</v>
      </c>
      <c r="U64" s="36">
        <v>46153</v>
      </c>
      <c r="V64" s="41"/>
    </row>
    <row r="65" spans="1:22" ht="18" customHeight="1" x14ac:dyDescent="0.2">
      <c r="A65" s="125" t="s">
        <v>35</v>
      </c>
      <c r="B65" s="295" t="s">
        <v>509</v>
      </c>
      <c r="C65" s="45">
        <v>0.151</v>
      </c>
      <c r="D65" s="1">
        <f t="shared" si="7"/>
        <v>0.151</v>
      </c>
      <c r="E65" s="45"/>
      <c r="F65" s="165">
        <v>11</v>
      </c>
      <c r="G65" s="60">
        <f t="shared" si="9"/>
        <v>38</v>
      </c>
      <c r="H65" s="60" t="s">
        <v>37</v>
      </c>
      <c r="I65" s="4" t="s">
        <v>24</v>
      </c>
      <c r="J65" s="221" t="s">
        <v>324</v>
      </c>
      <c r="K65" s="154">
        <v>1</v>
      </c>
      <c r="L65" s="103">
        <v>2970</v>
      </c>
      <c r="M65" s="105">
        <f t="shared" si="8"/>
        <v>2970</v>
      </c>
      <c r="N65" s="46"/>
      <c r="O65" s="47" t="s">
        <v>177</v>
      </c>
      <c r="P65" s="44"/>
      <c r="Q65" s="318" t="s">
        <v>520</v>
      </c>
      <c r="R65" s="11">
        <v>46120</v>
      </c>
      <c r="S65" s="67"/>
      <c r="T65" s="303">
        <v>46150</v>
      </c>
      <c r="U65" s="36">
        <v>46153</v>
      </c>
      <c r="V65" s="41"/>
    </row>
    <row r="66" spans="1:22" ht="18" customHeight="1" x14ac:dyDescent="0.2">
      <c r="A66" s="125" t="s">
        <v>27</v>
      </c>
      <c r="B66" s="295" t="s">
        <v>509</v>
      </c>
      <c r="C66" s="45">
        <v>2E-3</v>
      </c>
      <c r="D66" s="1">
        <f t="shared" si="7"/>
        <v>2E-3</v>
      </c>
      <c r="E66" s="45"/>
      <c r="F66" s="165">
        <v>11</v>
      </c>
      <c r="G66" s="60">
        <f t="shared" si="9"/>
        <v>39</v>
      </c>
      <c r="H66" s="4" t="s">
        <v>24</v>
      </c>
      <c r="I66" s="4" t="s">
        <v>24</v>
      </c>
      <c r="J66" s="221" t="s">
        <v>28</v>
      </c>
      <c r="K66" s="45">
        <v>1</v>
      </c>
      <c r="L66" s="108">
        <v>83</v>
      </c>
      <c r="M66" s="105">
        <f t="shared" si="8"/>
        <v>83</v>
      </c>
      <c r="N66" s="2"/>
      <c r="O66" s="54" t="s">
        <v>112</v>
      </c>
      <c r="P66" s="44"/>
      <c r="Q66" s="318" t="s">
        <v>520</v>
      </c>
      <c r="R66" s="11">
        <v>46120</v>
      </c>
      <c r="S66" s="67"/>
      <c r="T66" s="303">
        <v>46150</v>
      </c>
      <c r="U66" s="36">
        <v>46153</v>
      </c>
      <c r="V66" s="41"/>
    </row>
    <row r="67" spans="1:22" ht="18" customHeight="1" x14ac:dyDescent="0.2">
      <c r="A67" s="125" t="s">
        <v>27</v>
      </c>
      <c r="B67" s="295" t="s">
        <v>509</v>
      </c>
      <c r="C67" s="45">
        <v>1E-3</v>
      </c>
      <c r="D67" s="1">
        <f t="shared" si="7"/>
        <v>2E-3</v>
      </c>
      <c r="E67" s="45"/>
      <c r="F67" s="165">
        <v>11</v>
      </c>
      <c r="G67" s="60">
        <f t="shared" si="9"/>
        <v>40</v>
      </c>
      <c r="H67" s="51" t="s">
        <v>113</v>
      </c>
      <c r="I67" s="4" t="s">
        <v>30</v>
      </c>
      <c r="J67" s="218" t="s">
        <v>114</v>
      </c>
      <c r="K67" s="155">
        <v>2</v>
      </c>
      <c r="L67" s="101">
        <v>219</v>
      </c>
      <c r="M67" s="106">
        <f t="shared" si="8"/>
        <v>438</v>
      </c>
      <c r="N67" s="57"/>
      <c r="O67" s="58" t="s">
        <v>115</v>
      </c>
      <c r="P67" s="44"/>
      <c r="Q67" s="318" t="s">
        <v>520</v>
      </c>
      <c r="R67" s="11">
        <v>46120</v>
      </c>
      <c r="S67" s="67"/>
      <c r="T67" s="303">
        <v>46150</v>
      </c>
      <c r="U67" s="36">
        <v>46153</v>
      </c>
      <c r="V67" s="41"/>
    </row>
    <row r="68" spans="1:22" ht="18" customHeight="1" x14ac:dyDescent="0.2">
      <c r="A68" s="125" t="s">
        <v>27</v>
      </c>
      <c r="B68" s="295" t="s">
        <v>509</v>
      </c>
      <c r="C68" s="45">
        <v>1E-3</v>
      </c>
      <c r="D68" s="1">
        <f t="shared" si="7"/>
        <v>2E-3</v>
      </c>
      <c r="E68" s="45"/>
      <c r="F68" s="165">
        <v>11</v>
      </c>
      <c r="G68" s="60">
        <f t="shared" si="9"/>
        <v>41</v>
      </c>
      <c r="H68" s="4" t="s">
        <v>30</v>
      </c>
      <c r="I68" s="4" t="s">
        <v>30</v>
      </c>
      <c r="J68" s="218" t="s">
        <v>116</v>
      </c>
      <c r="K68" s="155">
        <v>2</v>
      </c>
      <c r="L68" s="101">
        <v>51</v>
      </c>
      <c r="M68" s="106">
        <f t="shared" si="8"/>
        <v>102</v>
      </c>
      <c r="N68" s="57"/>
      <c r="O68" s="58" t="s">
        <v>117</v>
      </c>
      <c r="P68" s="44"/>
      <c r="Q68" s="318" t="s">
        <v>520</v>
      </c>
      <c r="R68" s="11">
        <v>46120</v>
      </c>
      <c r="S68" s="67"/>
      <c r="T68" s="303">
        <v>46150</v>
      </c>
      <c r="U68" s="36">
        <v>46153</v>
      </c>
      <c r="V68" s="41"/>
    </row>
    <row r="69" spans="1:22" ht="18" customHeight="1" x14ac:dyDescent="0.2">
      <c r="A69" s="125" t="s">
        <v>27</v>
      </c>
      <c r="B69" s="295" t="s">
        <v>509</v>
      </c>
      <c r="C69" s="45">
        <v>1.4999999999999999E-4</v>
      </c>
      <c r="D69" s="1">
        <f t="shared" si="7"/>
        <v>1.0499999999999999E-3</v>
      </c>
      <c r="E69" s="45"/>
      <c r="F69" s="165">
        <v>11</v>
      </c>
      <c r="G69" s="60">
        <f t="shared" si="9"/>
        <v>42</v>
      </c>
      <c r="H69" s="223" t="s">
        <v>24</v>
      </c>
      <c r="I69" s="223" t="s">
        <v>24</v>
      </c>
      <c r="J69" s="216" t="s">
        <v>54</v>
      </c>
      <c r="K69" s="104">
        <v>7</v>
      </c>
      <c r="L69" s="104">
        <v>47</v>
      </c>
      <c r="M69" s="52">
        <f t="shared" si="8"/>
        <v>329</v>
      </c>
      <c r="N69" s="46"/>
      <c r="O69" s="59" t="s">
        <v>319</v>
      </c>
      <c r="P69" s="44"/>
      <c r="Q69" s="318" t="s">
        <v>520</v>
      </c>
      <c r="R69" s="11">
        <v>46120</v>
      </c>
      <c r="S69" s="67"/>
      <c r="T69" s="303">
        <v>46150</v>
      </c>
      <c r="U69" s="36">
        <v>46153</v>
      </c>
      <c r="V69" s="41"/>
    </row>
    <row r="70" spans="1:22" ht="18" customHeight="1" x14ac:dyDescent="0.2">
      <c r="A70" s="125" t="s">
        <v>27</v>
      </c>
      <c r="B70" s="295" t="s">
        <v>509</v>
      </c>
      <c r="C70" s="45">
        <v>1.5E-3</v>
      </c>
      <c r="D70" s="1">
        <f t="shared" si="7"/>
        <v>1.5E-3</v>
      </c>
      <c r="E70" s="45"/>
      <c r="F70" s="165">
        <v>11</v>
      </c>
      <c r="G70" s="60">
        <f t="shared" si="9"/>
        <v>43</v>
      </c>
      <c r="H70" s="4" t="s">
        <v>24</v>
      </c>
      <c r="I70" s="4" t="s">
        <v>24</v>
      </c>
      <c r="J70" s="221" t="s">
        <v>34</v>
      </c>
      <c r="K70" s="45">
        <v>1</v>
      </c>
      <c r="L70" s="108">
        <v>32</v>
      </c>
      <c r="M70" s="105">
        <f t="shared" si="8"/>
        <v>32</v>
      </c>
      <c r="N70" s="2"/>
      <c r="O70" s="54" t="s">
        <v>118</v>
      </c>
      <c r="P70" s="44"/>
      <c r="Q70" s="318" t="s">
        <v>520</v>
      </c>
      <c r="R70" s="11">
        <v>46120</v>
      </c>
      <c r="S70" s="67"/>
      <c r="T70" s="303">
        <v>46150</v>
      </c>
      <c r="U70" s="36">
        <v>46153</v>
      </c>
      <c r="V70" s="41"/>
    </row>
    <row r="71" spans="1:22" ht="18" customHeight="1" x14ac:dyDescent="0.2">
      <c r="A71" s="125" t="s">
        <v>35</v>
      </c>
      <c r="B71" s="295" t="s">
        <v>509</v>
      </c>
      <c r="C71" s="45">
        <v>0.45100000000000001</v>
      </c>
      <c r="D71" s="1">
        <f t="shared" si="7"/>
        <v>0.45100000000000001</v>
      </c>
      <c r="E71" s="45"/>
      <c r="F71" s="165">
        <v>11</v>
      </c>
      <c r="G71" s="60">
        <f t="shared" si="9"/>
        <v>44</v>
      </c>
      <c r="H71" s="60" t="s">
        <v>37</v>
      </c>
      <c r="I71" s="4" t="s">
        <v>24</v>
      </c>
      <c r="J71" s="221" t="s">
        <v>325</v>
      </c>
      <c r="K71" s="154">
        <v>1</v>
      </c>
      <c r="L71" s="103">
        <v>4977</v>
      </c>
      <c r="M71" s="105">
        <f t="shared" si="8"/>
        <v>4977</v>
      </c>
      <c r="N71" s="46"/>
      <c r="O71" s="47" t="s">
        <v>178</v>
      </c>
      <c r="P71" s="44"/>
      <c r="Q71" s="318" t="s">
        <v>520</v>
      </c>
      <c r="R71" s="11">
        <v>46120</v>
      </c>
      <c r="S71" s="67"/>
      <c r="T71" s="303">
        <v>46150</v>
      </c>
      <c r="U71" s="36">
        <v>46153</v>
      </c>
      <c r="V71" s="41"/>
    </row>
    <row r="72" spans="1:22" ht="18" customHeight="1" x14ac:dyDescent="0.2">
      <c r="A72" s="125" t="s">
        <v>27</v>
      </c>
      <c r="B72" s="295" t="s">
        <v>509</v>
      </c>
      <c r="C72" s="45">
        <v>1.5E-3</v>
      </c>
      <c r="D72" s="1">
        <f t="shared" si="7"/>
        <v>1.5E-3</v>
      </c>
      <c r="E72" s="45"/>
      <c r="F72" s="165">
        <v>11</v>
      </c>
      <c r="G72" s="60">
        <f t="shared" si="9"/>
        <v>45</v>
      </c>
      <c r="H72" s="4" t="s">
        <v>24</v>
      </c>
      <c r="I72" s="4" t="s">
        <v>24</v>
      </c>
      <c r="J72" s="221" t="s">
        <v>28</v>
      </c>
      <c r="K72" s="45">
        <v>1</v>
      </c>
      <c r="L72" s="108">
        <v>83</v>
      </c>
      <c r="M72" s="105">
        <f t="shared" si="8"/>
        <v>83</v>
      </c>
      <c r="N72" s="2"/>
      <c r="O72" s="54" t="s">
        <v>112</v>
      </c>
      <c r="P72" s="44"/>
      <c r="Q72" s="318" t="s">
        <v>520</v>
      </c>
      <c r="R72" s="11">
        <v>46120</v>
      </c>
      <c r="S72" s="67"/>
      <c r="T72" s="303">
        <v>46150</v>
      </c>
      <c r="U72" s="36">
        <v>46153</v>
      </c>
      <c r="V72" s="41"/>
    </row>
    <row r="73" spans="1:22" ht="18" customHeight="1" x14ac:dyDescent="0.2">
      <c r="A73" s="125" t="s">
        <v>27</v>
      </c>
      <c r="B73" s="295" t="s">
        <v>509</v>
      </c>
      <c r="C73" s="45">
        <v>1.5E-3</v>
      </c>
      <c r="D73" s="1">
        <f t="shared" si="7"/>
        <v>3.0000000000000001E-3</v>
      </c>
      <c r="E73" s="45"/>
      <c r="F73" s="165">
        <v>11</v>
      </c>
      <c r="G73" s="60">
        <f t="shared" si="9"/>
        <v>46</v>
      </c>
      <c r="H73" s="4" t="s">
        <v>113</v>
      </c>
      <c r="I73" s="4" t="s">
        <v>30</v>
      </c>
      <c r="J73" s="218" t="s">
        <v>114</v>
      </c>
      <c r="K73" s="155">
        <v>2</v>
      </c>
      <c r="L73" s="101">
        <v>219</v>
      </c>
      <c r="M73" s="106">
        <f t="shared" si="8"/>
        <v>438</v>
      </c>
      <c r="N73" s="57"/>
      <c r="O73" s="58" t="s">
        <v>115</v>
      </c>
      <c r="P73" s="44"/>
      <c r="Q73" s="318" t="s">
        <v>520</v>
      </c>
      <c r="R73" s="11">
        <v>46120</v>
      </c>
      <c r="S73" s="67"/>
      <c r="T73" s="303">
        <v>46150</v>
      </c>
      <c r="U73" s="36">
        <v>46153</v>
      </c>
      <c r="V73" s="41"/>
    </row>
    <row r="74" spans="1:22" ht="18" customHeight="1" x14ac:dyDescent="0.2">
      <c r="A74" s="125" t="s">
        <v>27</v>
      </c>
      <c r="B74" s="295" t="s">
        <v>509</v>
      </c>
      <c r="C74" s="45">
        <v>1.5E-3</v>
      </c>
      <c r="D74" s="1">
        <f t="shared" si="7"/>
        <v>3.0000000000000001E-3</v>
      </c>
      <c r="E74" s="45"/>
      <c r="F74" s="165">
        <v>11</v>
      </c>
      <c r="G74" s="60">
        <f t="shared" si="9"/>
        <v>47</v>
      </c>
      <c r="H74" s="4" t="s">
        <v>30</v>
      </c>
      <c r="I74" s="4" t="s">
        <v>30</v>
      </c>
      <c r="J74" s="218" t="s">
        <v>116</v>
      </c>
      <c r="K74" s="155">
        <v>2</v>
      </c>
      <c r="L74" s="101">
        <v>51</v>
      </c>
      <c r="M74" s="106">
        <f t="shared" si="8"/>
        <v>102</v>
      </c>
      <c r="N74" s="57"/>
      <c r="O74" s="58" t="s">
        <v>117</v>
      </c>
      <c r="P74" s="44"/>
      <c r="Q74" s="318" t="s">
        <v>520</v>
      </c>
      <c r="R74" s="11">
        <v>46120</v>
      </c>
      <c r="S74" s="67"/>
      <c r="T74" s="303">
        <v>46150</v>
      </c>
      <c r="U74" s="36">
        <v>46153</v>
      </c>
      <c r="V74" s="41"/>
    </row>
    <row r="75" spans="1:22" ht="18" customHeight="1" x14ac:dyDescent="0.2">
      <c r="A75" s="125" t="s">
        <v>27</v>
      </c>
      <c r="B75" s="295" t="s">
        <v>509</v>
      </c>
      <c r="C75" s="45">
        <v>1.5E-3</v>
      </c>
      <c r="D75" s="1">
        <f t="shared" si="7"/>
        <v>1.5E-3</v>
      </c>
      <c r="E75" s="45"/>
      <c r="F75" s="165">
        <v>11</v>
      </c>
      <c r="G75" s="60">
        <f t="shared" si="9"/>
        <v>48</v>
      </c>
      <c r="H75" s="4" t="s">
        <v>24</v>
      </c>
      <c r="I75" s="4" t="s">
        <v>24</v>
      </c>
      <c r="J75" s="221" t="s">
        <v>34</v>
      </c>
      <c r="K75" s="45">
        <v>1</v>
      </c>
      <c r="L75" s="108">
        <v>32</v>
      </c>
      <c r="M75" s="105">
        <f t="shared" si="8"/>
        <v>32</v>
      </c>
      <c r="N75" s="2"/>
      <c r="O75" s="54" t="s">
        <v>118</v>
      </c>
      <c r="P75" s="44"/>
      <c r="Q75" s="318" t="s">
        <v>520</v>
      </c>
      <c r="R75" s="11">
        <v>46120</v>
      </c>
      <c r="S75" s="67"/>
      <c r="T75" s="303">
        <v>46150</v>
      </c>
      <c r="U75" s="36">
        <v>46153</v>
      </c>
      <c r="V75" s="41"/>
    </row>
    <row r="76" spans="1:22" ht="18" customHeight="1" x14ac:dyDescent="0.2">
      <c r="A76" s="125" t="s">
        <v>27</v>
      </c>
      <c r="B76" s="295" t="s">
        <v>509</v>
      </c>
      <c r="C76" s="45">
        <v>2.5000000000000001E-2</v>
      </c>
      <c r="D76" s="1">
        <f t="shared" si="7"/>
        <v>0.05</v>
      </c>
      <c r="E76" s="45"/>
      <c r="F76" s="165">
        <v>11</v>
      </c>
      <c r="G76" s="60">
        <f t="shared" si="9"/>
        <v>49</v>
      </c>
      <c r="H76" s="4" t="s">
        <v>24</v>
      </c>
      <c r="I76" s="4" t="s">
        <v>24</v>
      </c>
      <c r="J76" s="221" t="s">
        <v>56</v>
      </c>
      <c r="K76" s="154">
        <v>2</v>
      </c>
      <c r="L76" s="103">
        <v>281</v>
      </c>
      <c r="M76" s="105">
        <f t="shared" si="8"/>
        <v>562</v>
      </c>
      <c r="N76" s="46"/>
      <c r="O76" s="59" t="s">
        <v>119</v>
      </c>
      <c r="P76" s="44"/>
      <c r="Q76" s="318" t="s">
        <v>520</v>
      </c>
      <c r="R76" s="11">
        <v>46120</v>
      </c>
      <c r="S76" s="67"/>
      <c r="T76" s="303">
        <v>46150</v>
      </c>
      <c r="U76" s="36">
        <v>46153</v>
      </c>
      <c r="V76" s="41"/>
    </row>
    <row r="77" spans="1:22" ht="18" customHeight="1" x14ac:dyDescent="0.2">
      <c r="A77" s="125" t="s">
        <v>35</v>
      </c>
      <c r="B77" s="295" t="s">
        <v>509</v>
      </c>
      <c r="C77" s="45">
        <v>0.08</v>
      </c>
      <c r="D77" s="1">
        <f t="shared" si="7"/>
        <v>0.08</v>
      </c>
      <c r="E77" s="45"/>
      <c r="F77" s="165">
        <v>11</v>
      </c>
      <c r="G77" s="60">
        <f t="shared" si="9"/>
        <v>50</v>
      </c>
      <c r="H77" s="60" t="s">
        <v>37</v>
      </c>
      <c r="I77" s="4" t="s">
        <v>24</v>
      </c>
      <c r="J77" s="219" t="s">
        <v>159</v>
      </c>
      <c r="K77" s="154">
        <v>1</v>
      </c>
      <c r="L77" s="103">
        <v>3391</v>
      </c>
      <c r="M77" s="105">
        <f t="shared" si="8"/>
        <v>3391</v>
      </c>
      <c r="N77" s="46"/>
      <c r="O77" s="47" t="s">
        <v>316</v>
      </c>
      <c r="P77" s="44"/>
      <c r="Q77" s="318" t="s">
        <v>520</v>
      </c>
      <c r="R77" s="11">
        <v>46120</v>
      </c>
      <c r="S77" s="67"/>
      <c r="T77" s="303">
        <v>46150</v>
      </c>
      <c r="U77" s="36">
        <v>46153</v>
      </c>
      <c r="V77" s="41"/>
    </row>
    <row r="78" spans="1:22" ht="18" customHeight="1" x14ac:dyDescent="0.2">
      <c r="A78" s="125" t="s">
        <v>27</v>
      </c>
      <c r="B78" s="295" t="s">
        <v>509</v>
      </c>
      <c r="C78" s="45">
        <v>1.5E-3</v>
      </c>
      <c r="D78" s="1">
        <f t="shared" si="7"/>
        <v>1.5E-3</v>
      </c>
      <c r="E78" s="45"/>
      <c r="F78" s="165">
        <v>11</v>
      </c>
      <c r="G78" s="60">
        <f t="shared" si="9"/>
        <v>51</v>
      </c>
      <c r="H78" s="51" t="s">
        <v>120</v>
      </c>
      <c r="I78" s="51" t="s">
        <v>121</v>
      </c>
      <c r="J78" s="221" t="s">
        <v>52</v>
      </c>
      <c r="K78" s="154">
        <v>1</v>
      </c>
      <c r="L78" s="103">
        <v>167</v>
      </c>
      <c r="M78" s="105">
        <f t="shared" si="8"/>
        <v>167</v>
      </c>
      <c r="N78" s="46"/>
      <c r="O78" s="59" t="s">
        <v>122</v>
      </c>
      <c r="P78" s="44"/>
      <c r="Q78" s="318" t="s">
        <v>520</v>
      </c>
      <c r="R78" s="11">
        <v>46120</v>
      </c>
      <c r="S78" s="67"/>
      <c r="T78" s="303">
        <v>46150</v>
      </c>
      <c r="U78" s="36">
        <v>46153</v>
      </c>
      <c r="V78" s="41"/>
    </row>
    <row r="79" spans="1:22" ht="18" customHeight="1" x14ac:dyDescent="0.2">
      <c r="A79" s="125" t="s">
        <v>27</v>
      </c>
      <c r="B79" s="295" t="s">
        <v>509</v>
      </c>
      <c r="C79" s="45">
        <v>1.5E-3</v>
      </c>
      <c r="D79" s="1">
        <f t="shared" si="7"/>
        <v>9.0000000000000011E-3</v>
      </c>
      <c r="E79" s="45"/>
      <c r="F79" s="165">
        <v>11</v>
      </c>
      <c r="G79" s="60">
        <f t="shared" si="9"/>
        <v>52</v>
      </c>
      <c r="H79" s="1" t="s">
        <v>24</v>
      </c>
      <c r="I79" s="1" t="s">
        <v>24</v>
      </c>
      <c r="J79" s="221" t="s">
        <v>53</v>
      </c>
      <c r="K79" s="154">
        <v>6</v>
      </c>
      <c r="L79" s="103">
        <v>93</v>
      </c>
      <c r="M79" s="105">
        <f t="shared" si="8"/>
        <v>558</v>
      </c>
      <c r="N79" s="46"/>
      <c r="O79" s="59" t="s">
        <v>321</v>
      </c>
      <c r="P79" s="44"/>
      <c r="Q79" s="318" t="s">
        <v>520</v>
      </c>
      <c r="R79" s="11">
        <v>46120</v>
      </c>
      <c r="S79" s="67"/>
      <c r="T79" s="303">
        <v>46150</v>
      </c>
      <c r="U79" s="36">
        <v>46153</v>
      </c>
      <c r="V79" s="41"/>
    </row>
    <row r="80" spans="1:22" ht="18" customHeight="1" x14ac:dyDescent="0.2">
      <c r="A80" s="125" t="s">
        <v>27</v>
      </c>
      <c r="B80" s="295" t="s">
        <v>509</v>
      </c>
      <c r="C80" s="45">
        <v>1E-4</v>
      </c>
      <c r="D80" s="1">
        <f t="shared" si="7"/>
        <v>6.0000000000000006E-4</v>
      </c>
      <c r="E80" s="45"/>
      <c r="F80" s="165">
        <v>11</v>
      </c>
      <c r="G80" s="60">
        <f t="shared" si="9"/>
        <v>53</v>
      </c>
      <c r="H80" s="1" t="s">
        <v>24</v>
      </c>
      <c r="I80" s="1" t="s">
        <v>24</v>
      </c>
      <c r="J80" s="221" t="s">
        <v>55</v>
      </c>
      <c r="K80" s="154">
        <v>6</v>
      </c>
      <c r="L80" s="103">
        <v>65</v>
      </c>
      <c r="M80" s="105">
        <f t="shared" si="8"/>
        <v>390</v>
      </c>
      <c r="N80" s="46"/>
      <c r="O80" s="59" t="s">
        <v>320</v>
      </c>
      <c r="P80" s="44"/>
      <c r="Q80" s="318" t="s">
        <v>520</v>
      </c>
      <c r="R80" s="11">
        <v>46120</v>
      </c>
      <c r="S80" s="67"/>
      <c r="T80" s="303">
        <v>46150</v>
      </c>
      <c r="U80" s="36">
        <v>46153</v>
      </c>
      <c r="V80" s="41"/>
    </row>
    <row r="81" spans="1:22" ht="18" customHeight="1" x14ac:dyDescent="0.2">
      <c r="A81" s="125" t="s">
        <v>35</v>
      </c>
      <c r="B81" s="295" t="s">
        <v>509</v>
      </c>
      <c r="C81" s="45">
        <v>0.05</v>
      </c>
      <c r="D81" s="1">
        <f t="shared" si="7"/>
        <v>0.05</v>
      </c>
      <c r="E81" s="45"/>
      <c r="F81" s="165">
        <v>11</v>
      </c>
      <c r="G81" s="60">
        <f t="shared" si="9"/>
        <v>54</v>
      </c>
      <c r="H81" s="60" t="s">
        <v>37</v>
      </c>
      <c r="I81" s="60" t="s">
        <v>24</v>
      </c>
      <c r="J81" s="219" t="s">
        <v>160</v>
      </c>
      <c r="K81" s="220">
        <v>1</v>
      </c>
      <c r="L81" s="103">
        <v>2365</v>
      </c>
      <c r="M81" s="103">
        <f t="shared" si="8"/>
        <v>2365</v>
      </c>
      <c r="N81" s="46"/>
      <c r="O81" s="47" t="s">
        <v>317</v>
      </c>
      <c r="P81" s="44"/>
      <c r="Q81" s="318" t="s">
        <v>520</v>
      </c>
      <c r="R81" s="11">
        <v>46120</v>
      </c>
      <c r="S81" s="67"/>
      <c r="T81" s="303">
        <v>46150</v>
      </c>
      <c r="U81" s="36">
        <v>46153</v>
      </c>
      <c r="V81" s="41"/>
    </row>
    <row r="82" spans="1:22" ht="18" customHeight="1" x14ac:dyDescent="0.2">
      <c r="A82" s="125" t="s">
        <v>108</v>
      </c>
      <c r="B82" s="295" t="s">
        <v>509</v>
      </c>
      <c r="C82" s="45">
        <v>0.04</v>
      </c>
      <c r="D82" s="1">
        <f t="shared" si="7"/>
        <v>0.04</v>
      </c>
      <c r="E82" s="45"/>
      <c r="F82" s="165">
        <v>11</v>
      </c>
      <c r="G82" s="60">
        <f t="shared" si="9"/>
        <v>55</v>
      </c>
      <c r="H82" s="60" t="s">
        <v>37</v>
      </c>
      <c r="I82" s="60" t="s">
        <v>24</v>
      </c>
      <c r="J82" s="219" t="s">
        <v>161</v>
      </c>
      <c r="K82" s="154">
        <v>1</v>
      </c>
      <c r="L82" s="103">
        <v>6148</v>
      </c>
      <c r="M82" s="103">
        <f t="shared" si="8"/>
        <v>6148</v>
      </c>
      <c r="N82" s="46"/>
      <c r="O82" s="47" t="s">
        <v>318</v>
      </c>
      <c r="P82" s="44"/>
      <c r="Q82" s="318" t="s">
        <v>520</v>
      </c>
      <c r="R82" s="11">
        <v>46120</v>
      </c>
      <c r="S82" s="67"/>
      <c r="T82" s="303">
        <v>46150</v>
      </c>
      <c r="U82" s="36">
        <v>46153</v>
      </c>
      <c r="V82" s="41"/>
    </row>
    <row r="83" spans="1:22" ht="18" customHeight="1" x14ac:dyDescent="0.2">
      <c r="A83" s="126" t="s">
        <v>36</v>
      </c>
      <c r="B83" s="295" t="s">
        <v>509</v>
      </c>
      <c r="C83" s="96">
        <v>0.75</v>
      </c>
      <c r="D83" s="1">
        <f t="shared" si="7"/>
        <v>0.75</v>
      </c>
      <c r="E83" s="96"/>
      <c r="F83" s="165">
        <v>11</v>
      </c>
      <c r="G83" s="60">
        <f t="shared" si="9"/>
        <v>56</v>
      </c>
      <c r="H83" s="4" t="s">
        <v>30</v>
      </c>
      <c r="I83" s="4" t="s">
        <v>30</v>
      </c>
      <c r="J83" s="218" t="s">
        <v>31</v>
      </c>
      <c r="K83" s="155">
        <v>1</v>
      </c>
      <c r="L83" s="101">
        <v>6050</v>
      </c>
      <c r="M83" s="106">
        <f t="shared" si="8"/>
        <v>6050</v>
      </c>
      <c r="N83" s="57"/>
      <c r="O83" s="58" t="s">
        <v>32</v>
      </c>
      <c r="P83" s="44"/>
      <c r="Q83" s="318" t="s">
        <v>520</v>
      </c>
      <c r="R83" s="11">
        <v>46120</v>
      </c>
      <c r="S83" s="67"/>
      <c r="T83" s="303">
        <v>46150</v>
      </c>
      <c r="U83" s="36">
        <v>46153</v>
      </c>
      <c r="V83" s="41"/>
    </row>
    <row r="84" spans="1:22" ht="18" customHeight="1" x14ac:dyDescent="0.2">
      <c r="A84" s="125" t="s">
        <v>35</v>
      </c>
      <c r="B84" s="295" t="s">
        <v>509</v>
      </c>
      <c r="C84" s="45">
        <v>0.35499999999999998</v>
      </c>
      <c r="D84" s="1">
        <f t="shared" si="7"/>
        <v>0.35499999999999998</v>
      </c>
      <c r="E84" s="45"/>
      <c r="F84" s="165">
        <v>11</v>
      </c>
      <c r="G84" s="60">
        <f t="shared" si="9"/>
        <v>57</v>
      </c>
      <c r="H84" s="60" t="s">
        <v>37</v>
      </c>
      <c r="I84" s="4" t="s">
        <v>24</v>
      </c>
      <c r="J84" s="216" t="s">
        <v>123</v>
      </c>
      <c r="K84" s="157">
        <v>1</v>
      </c>
      <c r="L84" s="107">
        <v>4870</v>
      </c>
      <c r="M84" s="106">
        <f>K84*L84</f>
        <v>4870</v>
      </c>
      <c r="N84" s="57"/>
      <c r="O84" s="61" t="s">
        <v>124</v>
      </c>
      <c r="P84" s="44"/>
      <c r="Q84" s="318" t="s">
        <v>520</v>
      </c>
      <c r="R84" s="11">
        <v>46120</v>
      </c>
      <c r="S84" s="67"/>
      <c r="T84" s="303">
        <v>46150</v>
      </c>
      <c r="U84" s="36">
        <v>46153</v>
      </c>
      <c r="V84" s="41"/>
    </row>
    <row r="85" spans="1:22" ht="18" customHeight="1" x14ac:dyDescent="0.2">
      <c r="A85" s="126" t="s">
        <v>36</v>
      </c>
      <c r="B85" s="295" t="s">
        <v>509</v>
      </c>
      <c r="C85" s="45">
        <v>5.0000000000000001E-3</v>
      </c>
      <c r="D85" s="1">
        <f t="shared" si="7"/>
        <v>0.02</v>
      </c>
      <c r="E85" s="45"/>
      <c r="F85" s="165">
        <v>11</v>
      </c>
      <c r="G85" s="60">
        <f t="shared" si="9"/>
        <v>58</v>
      </c>
      <c r="H85" s="51" t="s">
        <v>93</v>
      </c>
      <c r="I85" s="4" t="s">
        <v>30</v>
      </c>
      <c r="J85" s="218" t="s">
        <v>327</v>
      </c>
      <c r="K85" s="155">
        <v>4</v>
      </c>
      <c r="L85" s="101">
        <v>78</v>
      </c>
      <c r="M85" s="106">
        <f t="shared" ref="M85" si="10">K85*L85</f>
        <v>312</v>
      </c>
      <c r="N85" s="57"/>
      <c r="O85" s="58" t="s">
        <v>326</v>
      </c>
      <c r="P85" s="44"/>
      <c r="Q85" s="318" t="s">
        <v>520</v>
      </c>
      <c r="R85" s="11">
        <v>46120</v>
      </c>
      <c r="S85" s="67"/>
      <c r="T85" s="303">
        <v>46150</v>
      </c>
      <c r="U85" s="36">
        <v>46153</v>
      </c>
      <c r="V85" s="41"/>
    </row>
    <row r="86" spans="1:22" ht="18" customHeight="1" x14ac:dyDescent="0.2">
      <c r="F86" s="24"/>
      <c r="G86" s="153"/>
      <c r="H86" s="62"/>
      <c r="I86" s="62"/>
      <c r="J86" s="23"/>
      <c r="K86" s="1"/>
      <c r="L86" s="29"/>
      <c r="M86" s="29"/>
      <c r="N86" s="2"/>
      <c r="O86" s="58"/>
      <c r="P86" s="44"/>
      <c r="Q86" s="74"/>
      <c r="R86" s="68"/>
      <c r="S86" s="38"/>
      <c r="T86" s="55"/>
      <c r="U86" s="19"/>
      <c r="V86" s="41"/>
    </row>
    <row r="87" spans="1:22" ht="18" customHeight="1" x14ac:dyDescent="0.2">
      <c r="F87" s="24"/>
      <c r="G87" s="112"/>
      <c r="H87" s="64"/>
      <c r="I87" s="64"/>
      <c r="J87" s="346">
        <f>SUM(M62:M86)</f>
        <v>41309</v>
      </c>
      <c r="K87" s="347"/>
      <c r="L87" s="347"/>
      <c r="M87" s="348"/>
      <c r="N87" s="65"/>
      <c r="O87" s="66"/>
      <c r="P87" s="44"/>
      <c r="Q87" s="74"/>
      <c r="R87" s="68"/>
      <c r="S87" s="38"/>
      <c r="T87" s="55"/>
      <c r="U87" s="19"/>
      <c r="V87" s="41"/>
    </row>
    <row r="88" spans="1:22" s="3" customFormat="1" ht="19.5" customHeight="1" x14ac:dyDescent="0.2">
      <c r="B88" s="289"/>
      <c r="F88" s="165"/>
      <c r="G88" s="70"/>
      <c r="H88" s="39"/>
      <c r="I88" s="39"/>
      <c r="J88" s="42"/>
      <c r="K88" s="40"/>
      <c r="L88" s="69"/>
      <c r="M88" s="39"/>
      <c r="N88" s="40"/>
      <c r="O88" s="43"/>
      <c r="P88" s="44"/>
      <c r="Q88" s="74"/>
      <c r="R88" s="68"/>
      <c r="S88" s="38"/>
      <c r="T88" s="55"/>
      <c r="U88" s="19"/>
      <c r="V88" s="41"/>
    </row>
    <row r="89" spans="1:22" s="3" customFormat="1" ht="19.5" customHeight="1" x14ac:dyDescent="0.2">
      <c r="B89" s="289"/>
      <c r="F89" s="165"/>
      <c r="G89" s="70"/>
      <c r="H89" s="39"/>
      <c r="I89" s="39"/>
      <c r="J89" s="42"/>
      <c r="K89" s="40"/>
      <c r="L89" s="69"/>
      <c r="M89" s="39"/>
      <c r="N89" s="40"/>
      <c r="O89" s="43"/>
      <c r="P89" s="44"/>
      <c r="Q89" s="74"/>
      <c r="R89" s="68"/>
      <c r="S89" s="38"/>
      <c r="T89" s="55"/>
      <c r="U89" s="19"/>
      <c r="V89" s="41"/>
    </row>
    <row r="90" spans="1:22" s="3" customFormat="1" ht="19.649999999999999" customHeight="1" x14ac:dyDescent="0.2">
      <c r="A90" s="162"/>
      <c r="B90" s="293"/>
      <c r="C90" s="162"/>
      <c r="D90" s="162"/>
      <c r="E90" s="236"/>
      <c r="F90" s="45"/>
      <c r="G90" s="349" t="s">
        <v>242</v>
      </c>
      <c r="H90" s="350"/>
      <c r="I90" s="350"/>
      <c r="J90" s="351"/>
      <c r="K90" s="1"/>
      <c r="L90" s="34"/>
      <c r="M90" s="33"/>
      <c r="N90" s="26"/>
      <c r="O90" s="24"/>
      <c r="P90" s="44"/>
      <c r="Q90" s="74"/>
      <c r="R90" s="68"/>
      <c r="S90" s="38"/>
      <c r="T90" s="55"/>
      <c r="U90" s="19"/>
      <c r="V90" s="41"/>
    </row>
    <row r="91" spans="1:22" s="3" customFormat="1" ht="19.649999999999999" customHeight="1" x14ac:dyDescent="0.2">
      <c r="A91" s="230" t="s">
        <v>341</v>
      </c>
      <c r="B91" s="296" t="s">
        <v>510</v>
      </c>
      <c r="C91" s="96">
        <v>4.8</v>
      </c>
      <c r="D91" s="1">
        <f t="shared" ref="D91:D120" si="11">+C91*K91</f>
        <v>4.8</v>
      </c>
      <c r="E91" s="96"/>
      <c r="F91" s="281">
        <v>12</v>
      </c>
      <c r="G91" s="98">
        <f>G85+1</f>
        <v>59</v>
      </c>
      <c r="H91" s="134" t="s">
        <v>37</v>
      </c>
      <c r="I91" s="4" t="s">
        <v>24</v>
      </c>
      <c r="J91" s="231" t="s">
        <v>346</v>
      </c>
      <c r="K91" s="103">
        <v>1</v>
      </c>
      <c r="L91" s="103">
        <v>74911</v>
      </c>
      <c r="M91" s="103">
        <f t="shared" ref="M91:M120" si="12">K91*L91</f>
        <v>74911</v>
      </c>
      <c r="N91" s="46"/>
      <c r="O91" s="47" t="s">
        <v>345</v>
      </c>
      <c r="P91" s="35"/>
      <c r="Q91" s="318" t="s">
        <v>520</v>
      </c>
      <c r="R91" s="11">
        <v>46120</v>
      </c>
      <c r="S91" s="67"/>
      <c r="T91" s="303">
        <v>46150</v>
      </c>
      <c r="U91" s="36">
        <v>46153</v>
      </c>
      <c r="V91" s="41"/>
    </row>
    <row r="92" spans="1:22" s="3" customFormat="1" ht="19.649999999999999" customHeight="1" x14ac:dyDescent="0.2">
      <c r="A92" s="125" t="s">
        <v>27</v>
      </c>
      <c r="B92" s="296" t="s">
        <v>510</v>
      </c>
      <c r="C92" s="45">
        <v>1.2E-2</v>
      </c>
      <c r="D92" s="1">
        <f t="shared" si="11"/>
        <v>0.14400000000000002</v>
      </c>
      <c r="E92" s="45"/>
      <c r="F92" s="281">
        <v>12</v>
      </c>
      <c r="G92" s="60">
        <f t="shared" ref="G92:G120" si="13">+G91+1</f>
        <v>60</v>
      </c>
      <c r="H92" s="1" t="s">
        <v>24</v>
      </c>
      <c r="I92" s="1" t="s">
        <v>24</v>
      </c>
      <c r="J92" s="231" t="s">
        <v>349</v>
      </c>
      <c r="K92" s="103">
        <v>12</v>
      </c>
      <c r="L92" s="103">
        <v>806</v>
      </c>
      <c r="M92" s="103">
        <f t="shared" si="12"/>
        <v>9672</v>
      </c>
      <c r="N92" s="46"/>
      <c r="O92" s="47" t="s">
        <v>359</v>
      </c>
      <c r="P92" s="232"/>
      <c r="Q92" s="318" t="s">
        <v>520</v>
      </c>
      <c r="R92" s="11">
        <v>46120</v>
      </c>
      <c r="S92" s="67"/>
      <c r="T92" s="303">
        <v>46150</v>
      </c>
      <c r="U92" s="36">
        <v>46153</v>
      </c>
      <c r="V92" s="41"/>
    </row>
    <row r="93" spans="1:22" s="3" customFormat="1" ht="19.649999999999999" customHeight="1" x14ac:dyDescent="0.2">
      <c r="A93" s="125" t="s">
        <v>27</v>
      </c>
      <c r="B93" s="296" t="s">
        <v>510</v>
      </c>
      <c r="C93" s="45">
        <v>5.0000000000000001E-3</v>
      </c>
      <c r="D93" s="1">
        <f t="shared" si="11"/>
        <v>0.16</v>
      </c>
      <c r="E93" s="45"/>
      <c r="F93" s="281">
        <v>12</v>
      </c>
      <c r="G93" s="60">
        <f t="shared" si="13"/>
        <v>61</v>
      </c>
      <c r="H93" s="1" t="s">
        <v>24</v>
      </c>
      <c r="I93" s="1" t="s">
        <v>24</v>
      </c>
      <c r="J93" s="231" t="s">
        <v>333</v>
      </c>
      <c r="K93" s="103">
        <v>32</v>
      </c>
      <c r="L93" s="306">
        <v>12</v>
      </c>
      <c r="M93" s="103">
        <f t="shared" si="12"/>
        <v>384</v>
      </c>
      <c r="N93" s="46"/>
      <c r="O93" s="47" t="s">
        <v>488</v>
      </c>
      <c r="P93" s="232"/>
      <c r="Q93" s="318" t="s">
        <v>520</v>
      </c>
      <c r="R93" s="11">
        <v>46120</v>
      </c>
      <c r="S93" s="67"/>
      <c r="T93" s="303">
        <v>46150</v>
      </c>
      <c r="U93" s="36">
        <v>46153</v>
      </c>
      <c r="V93" s="41"/>
    </row>
    <row r="94" spans="1:22" s="3" customFormat="1" ht="19.649999999999999" customHeight="1" x14ac:dyDescent="0.2">
      <c r="A94" s="125" t="s">
        <v>27</v>
      </c>
      <c r="B94" s="296" t="s">
        <v>510</v>
      </c>
      <c r="C94" s="45">
        <v>5.0000000000000001E-3</v>
      </c>
      <c r="D94" s="1">
        <f t="shared" si="11"/>
        <v>0.05</v>
      </c>
      <c r="E94" s="45"/>
      <c r="F94" s="281">
        <v>12</v>
      </c>
      <c r="G94" s="60">
        <f t="shared" si="13"/>
        <v>62</v>
      </c>
      <c r="H94" s="1" t="s">
        <v>24</v>
      </c>
      <c r="I94" s="1" t="s">
        <v>24</v>
      </c>
      <c r="J94" s="231" t="s">
        <v>350</v>
      </c>
      <c r="K94" s="103">
        <v>10</v>
      </c>
      <c r="L94" s="306">
        <v>14</v>
      </c>
      <c r="M94" s="103">
        <f t="shared" si="12"/>
        <v>140</v>
      </c>
      <c r="N94" s="46"/>
      <c r="O94" s="47" t="s">
        <v>487</v>
      </c>
      <c r="P94" s="232"/>
      <c r="Q94" s="318" t="s">
        <v>520</v>
      </c>
      <c r="R94" s="11">
        <v>46120</v>
      </c>
      <c r="S94" s="67"/>
      <c r="T94" s="303">
        <v>46150</v>
      </c>
      <c r="U94" s="36">
        <v>46153</v>
      </c>
      <c r="V94" s="41"/>
    </row>
    <row r="95" spans="1:22" s="3" customFormat="1" ht="19.5" customHeight="1" x14ac:dyDescent="0.2">
      <c r="A95" s="129" t="s">
        <v>341</v>
      </c>
      <c r="B95" s="296" t="s">
        <v>510</v>
      </c>
      <c r="C95" s="162">
        <v>1.75</v>
      </c>
      <c r="D95" s="1">
        <f t="shared" si="11"/>
        <v>1.75</v>
      </c>
      <c r="E95" s="162"/>
      <c r="F95" s="281">
        <v>12</v>
      </c>
      <c r="G95" s="60">
        <f t="shared" si="13"/>
        <v>63</v>
      </c>
      <c r="H95" s="191" t="s">
        <v>37</v>
      </c>
      <c r="I95" s="28" t="s">
        <v>24</v>
      </c>
      <c r="J95" s="215" t="s">
        <v>331</v>
      </c>
      <c r="K95" s="233">
        <v>1</v>
      </c>
      <c r="L95" s="130">
        <v>35526</v>
      </c>
      <c r="M95" s="103">
        <f t="shared" si="12"/>
        <v>35526</v>
      </c>
      <c r="N95" s="214"/>
      <c r="O95" s="227" t="s">
        <v>332</v>
      </c>
      <c r="P95" s="44"/>
      <c r="Q95" s="318" t="s">
        <v>520</v>
      </c>
      <c r="R95" s="11">
        <v>46120</v>
      </c>
      <c r="S95" s="67"/>
      <c r="T95" s="303">
        <v>46150</v>
      </c>
      <c r="U95" s="36">
        <v>46153</v>
      </c>
      <c r="V95" s="41"/>
    </row>
    <row r="96" spans="1:22" s="3" customFormat="1" ht="19.5" customHeight="1" x14ac:dyDescent="0.2">
      <c r="A96" s="129" t="s">
        <v>27</v>
      </c>
      <c r="B96" s="296" t="s">
        <v>510</v>
      </c>
      <c r="C96" s="162">
        <v>1.85</v>
      </c>
      <c r="D96" s="1">
        <f t="shared" si="11"/>
        <v>1.85</v>
      </c>
      <c r="E96" s="162"/>
      <c r="F96" s="281">
        <v>12</v>
      </c>
      <c r="G96" s="60">
        <f t="shared" si="13"/>
        <v>64</v>
      </c>
      <c r="H96" s="88" t="s">
        <v>24</v>
      </c>
      <c r="I96" s="88" t="s">
        <v>24</v>
      </c>
      <c r="J96" s="228" t="s">
        <v>334</v>
      </c>
      <c r="K96" s="229">
        <v>1</v>
      </c>
      <c r="L96" s="130">
        <v>18453</v>
      </c>
      <c r="M96" s="110">
        <f t="shared" si="12"/>
        <v>18453</v>
      </c>
      <c r="N96" s="140"/>
      <c r="O96" s="170" t="s">
        <v>335</v>
      </c>
      <c r="P96" s="44"/>
      <c r="Q96" s="318" t="s">
        <v>520</v>
      </c>
      <c r="R96" s="11">
        <v>46120</v>
      </c>
      <c r="S96" s="67"/>
      <c r="T96" s="303">
        <v>46150</v>
      </c>
      <c r="U96" s="36">
        <v>46153</v>
      </c>
      <c r="V96" s="41"/>
    </row>
    <row r="97" spans="1:22" s="3" customFormat="1" ht="19.5" customHeight="1" x14ac:dyDescent="0.2">
      <c r="A97" s="129" t="s">
        <v>27</v>
      </c>
      <c r="B97" s="296" t="s">
        <v>510</v>
      </c>
      <c r="C97" s="162">
        <v>5.0000000000000001E-3</v>
      </c>
      <c r="D97" s="1">
        <f t="shared" si="11"/>
        <v>0.16</v>
      </c>
      <c r="E97" s="162"/>
      <c r="F97" s="281">
        <v>12</v>
      </c>
      <c r="G97" s="60">
        <f t="shared" si="13"/>
        <v>65</v>
      </c>
      <c r="H97" s="88" t="s">
        <v>24</v>
      </c>
      <c r="I97" s="88" t="s">
        <v>24</v>
      </c>
      <c r="J97" s="228" t="s">
        <v>336</v>
      </c>
      <c r="K97" s="229">
        <v>32</v>
      </c>
      <c r="L97" s="130">
        <v>13</v>
      </c>
      <c r="M97" s="110">
        <f t="shared" si="12"/>
        <v>416</v>
      </c>
      <c r="N97" s="140"/>
      <c r="O97" s="170" t="s">
        <v>489</v>
      </c>
      <c r="P97" s="44"/>
      <c r="Q97" s="318" t="s">
        <v>520</v>
      </c>
      <c r="R97" s="11">
        <v>46120</v>
      </c>
      <c r="S97" s="67"/>
      <c r="T97" s="303">
        <v>46150</v>
      </c>
      <c r="U97" s="36">
        <v>46153</v>
      </c>
      <c r="V97" s="41"/>
    </row>
    <row r="98" spans="1:22" s="3" customFormat="1" ht="19.5" customHeight="1" x14ac:dyDescent="0.2">
      <c r="A98" s="129" t="s">
        <v>35</v>
      </c>
      <c r="B98" s="296" t="s">
        <v>510</v>
      </c>
      <c r="C98" s="162">
        <v>5.0000000000000001E-3</v>
      </c>
      <c r="D98" s="1">
        <f t="shared" si="11"/>
        <v>0.01</v>
      </c>
      <c r="E98" s="162"/>
      <c r="F98" s="281">
        <v>12</v>
      </c>
      <c r="G98" s="60">
        <f t="shared" si="13"/>
        <v>66</v>
      </c>
      <c r="H98" s="88" t="s">
        <v>24</v>
      </c>
      <c r="I98" s="88" t="s">
        <v>24</v>
      </c>
      <c r="J98" s="228" t="s">
        <v>337</v>
      </c>
      <c r="K98" s="229">
        <v>2</v>
      </c>
      <c r="L98" s="130">
        <v>1079</v>
      </c>
      <c r="M98" s="110">
        <f t="shared" si="12"/>
        <v>2158</v>
      </c>
      <c r="N98" s="140"/>
      <c r="O98" s="170" t="s">
        <v>338</v>
      </c>
      <c r="P98" s="44"/>
      <c r="Q98" s="318" t="s">
        <v>520</v>
      </c>
      <c r="R98" s="11">
        <v>46120</v>
      </c>
      <c r="S98" s="67"/>
      <c r="T98" s="303">
        <v>46150</v>
      </c>
      <c r="U98" s="36">
        <v>46153</v>
      </c>
      <c r="V98" s="41"/>
    </row>
    <row r="99" spans="1:22" s="3" customFormat="1" ht="19.5" customHeight="1" x14ac:dyDescent="0.2">
      <c r="A99" s="129" t="s">
        <v>342</v>
      </c>
      <c r="B99" s="296" t="s">
        <v>510</v>
      </c>
      <c r="C99" s="162">
        <v>0.48</v>
      </c>
      <c r="D99" s="1">
        <f t="shared" si="11"/>
        <v>0.48</v>
      </c>
      <c r="E99" s="162"/>
      <c r="F99" s="281">
        <v>12</v>
      </c>
      <c r="G99" s="60">
        <f t="shared" si="13"/>
        <v>67</v>
      </c>
      <c r="H99" s="191" t="s">
        <v>37</v>
      </c>
      <c r="I99" s="28" t="s">
        <v>24</v>
      </c>
      <c r="J99" s="228" t="s">
        <v>344</v>
      </c>
      <c r="K99" s="229">
        <v>1</v>
      </c>
      <c r="L99" s="130">
        <v>11944</v>
      </c>
      <c r="M99" s="110">
        <f t="shared" si="12"/>
        <v>11944</v>
      </c>
      <c r="N99" s="140"/>
      <c r="O99" s="170" t="s">
        <v>343</v>
      </c>
      <c r="P99" s="44"/>
      <c r="Q99" s="318" t="s">
        <v>520</v>
      </c>
      <c r="R99" s="11">
        <v>46120</v>
      </c>
      <c r="S99" s="67"/>
      <c r="T99" s="303">
        <v>46150</v>
      </c>
      <c r="U99" s="36">
        <v>46153</v>
      </c>
      <c r="V99" s="41"/>
    </row>
    <row r="100" spans="1:22" s="3" customFormat="1" ht="19.5" customHeight="1" x14ac:dyDescent="0.2">
      <c r="A100" s="129" t="s">
        <v>27</v>
      </c>
      <c r="B100" s="296" t="s">
        <v>510</v>
      </c>
      <c r="C100" s="162">
        <v>5.0000000000000001E-3</v>
      </c>
      <c r="D100" s="1">
        <f t="shared" si="11"/>
        <v>0.02</v>
      </c>
      <c r="E100" s="162"/>
      <c r="F100" s="281">
        <v>12</v>
      </c>
      <c r="G100" s="60">
        <f t="shared" si="13"/>
        <v>68</v>
      </c>
      <c r="H100" s="88" t="s">
        <v>24</v>
      </c>
      <c r="I100" s="88" t="s">
        <v>24</v>
      </c>
      <c r="J100" s="228" t="s">
        <v>339</v>
      </c>
      <c r="K100" s="229">
        <v>4</v>
      </c>
      <c r="L100" s="130">
        <v>38</v>
      </c>
      <c r="M100" s="110">
        <f t="shared" si="12"/>
        <v>152</v>
      </c>
      <c r="N100" s="140"/>
      <c r="O100" s="170" t="s">
        <v>340</v>
      </c>
      <c r="P100" s="44"/>
      <c r="Q100" s="318" t="s">
        <v>520</v>
      </c>
      <c r="R100" s="11">
        <v>46120</v>
      </c>
      <c r="S100" s="67"/>
      <c r="T100" s="303">
        <v>46150</v>
      </c>
      <c r="U100" s="36">
        <v>46153</v>
      </c>
      <c r="V100" s="41"/>
    </row>
    <row r="101" spans="1:22" s="3" customFormat="1" ht="19.5" customHeight="1" x14ac:dyDescent="0.2">
      <c r="A101" s="129" t="s">
        <v>35</v>
      </c>
      <c r="B101" s="296" t="s">
        <v>510</v>
      </c>
      <c r="C101" s="162">
        <v>2.5000000000000001E-2</v>
      </c>
      <c r="D101" s="1">
        <f t="shared" si="11"/>
        <v>0.05</v>
      </c>
      <c r="E101" s="162"/>
      <c r="F101" s="281">
        <v>12</v>
      </c>
      <c r="G101" s="60">
        <f t="shared" si="13"/>
        <v>69</v>
      </c>
      <c r="H101" s="88" t="s">
        <v>24</v>
      </c>
      <c r="I101" s="88" t="s">
        <v>24</v>
      </c>
      <c r="J101" s="228" t="s">
        <v>351</v>
      </c>
      <c r="K101" s="229">
        <v>2</v>
      </c>
      <c r="L101" s="130">
        <v>551</v>
      </c>
      <c r="M101" s="110">
        <f t="shared" si="12"/>
        <v>1102</v>
      </c>
      <c r="N101" s="140"/>
      <c r="O101" s="170" t="s">
        <v>360</v>
      </c>
      <c r="P101" s="44"/>
      <c r="Q101" s="318" t="s">
        <v>520</v>
      </c>
      <c r="R101" s="11">
        <v>46120</v>
      </c>
      <c r="S101" s="67"/>
      <c r="T101" s="303">
        <v>46150</v>
      </c>
      <c r="U101" s="36">
        <v>46153</v>
      </c>
      <c r="V101" s="41"/>
    </row>
    <row r="102" spans="1:22" s="3" customFormat="1" ht="19.5" customHeight="1" x14ac:dyDescent="0.2">
      <c r="A102" s="230" t="s">
        <v>341</v>
      </c>
      <c r="B102" s="296" t="s">
        <v>510</v>
      </c>
      <c r="C102" s="96">
        <v>4.75</v>
      </c>
      <c r="D102" s="1">
        <f t="shared" si="11"/>
        <v>4.75</v>
      </c>
      <c r="E102" s="96"/>
      <c r="F102" s="281">
        <v>12</v>
      </c>
      <c r="G102" s="60">
        <f t="shared" si="13"/>
        <v>70</v>
      </c>
      <c r="H102" s="134" t="s">
        <v>37</v>
      </c>
      <c r="I102" s="4" t="s">
        <v>24</v>
      </c>
      <c r="J102" s="231" t="s">
        <v>348</v>
      </c>
      <c r="K102" s="103">
        <v>1</v>
      </c>
      <c r="L102" s="103">
        <v>90373</v>
      </c>
      <c r="M102" s="103">
        <f t="shared" si="12"/>
        <v>90373</v>
      </c>
      <c r="N102" s="46"/>
      <c r="O102" s="47" t="s">
        <v>347</v>
      </c>
      <c r="P102" s="44"/>
      <c r="Q102" s="318" t="s">
        <v>520</v>
      </c>
      <c r="R102" s="11">
        <v>46120</v>
      </c>
      <c r="S102" s="67"/>
      <c r="T102" s="303">
        <v>46150</v>
      </c>
      <c r="U102" s="36">
        <v>46153</v>
      </c>
      <c r="V102" s="41"/>
    </row>
    <row r="103" spans="1:22" s="3" customFormat="1" ht="19.5" customHeight="1" x14ac:dyDescent="0.2">
      <c r="A103" s="129" t="s">
        <v>35</v>
      </c>
      <c r="B103" s="296" t="s">
        <v>510</v>
      </c>
      <c r="C103" s="162">
        <v>6.0000000000000001E-3</v>
      </c>
      <c r="D103" s="1">
        <f t="shared" si="11"/>
        <v>6.0000000000000001E-3</v>
      </c>
      <c r="E103" s="162"/>
      <c r="F103" s="276">
        <v>10</v>
      </c>
      <c r="G103" s="60">
        <f t="shared" si="13"/>
        <v>71</v>
      </c>
      <c r="H103" s="88" t="s">
        <v>24</v>
      </c>
      <c r="I103" s="88" t="s">
        <v>24</v>
      </c>
      <c r="J103" s="228" t="s">
        <v>352</v>
      </c>
      <c r="K103" s="229">
        <v>1</v>
      </c>
      <c r="L103" s="130">
        <v>1019</v>
      </c>
      <c r="M103" s="103">
        <f t="shared" si="12"/>
        <v>1019</v>
      </c>
      <c r="N103" s="140"/>
      <c r="O103" s="170" t="s">
        <v>359</v>
      </c>
      <c r="P103" s="44"/>
      <c r="Q103" s="318" t="s">
        <v>520</v>
      </c>
      <c r="R103" s="11">
        <v>46120</v>
      </c>
      <c r="S103" s="67"/>
      <c r="T103" s="303">
        <v>46150</v>
      </c>
      <c r="U103" s="36">
        <v>46153</v>
      </c>
      <c r="V103" s="41"/>
    </row>
    <row r="104" spans="1:22" s="3" customFormat="1" ht="19.5" customHeight="1" x14ac:dyDescent="0.2">
      <c r="A104" s="129" t="s">
        <v>35</v>
      </c>
      <c r="B104" s="296" t="s">
        <v>510</v>
      </c>
      <c r="C104" s="162">
        <v>5.0000000000000001E-3</v>
      </c>
      <c r="D104" s="1">
        <f t="shared" si="11"/>
        <v>5.0000000000000001E-3</v>
      </c>
      <c r="E104" s="162"/>
      <c r="F104" s="276">
        <v>10</v>
      </c>
      <c r="G104" s="60">
        <f t="shared" si="13"/>
        <v>72</v>
      </c>
      <c r="H104" s="88" t="s">
        <v>24</v>
      </c>
      <c r="I104" s="88" t="s">
        <v>24</v>
      </c>
      <c r="J104" s="228" t="s">
        <v>353</v>
      </c>
      <c r="K104" s="229">
        <v>1</v>
      </c>
      <c r="L104" s="130">
        <v>861</v>
      </c>
      <c r="M104" s="103">
        <f t="shared" si="12"/>
        <v>861</v>
      </c>
      <c r="N104" s="140"/>
      <c r="O104" s="170" t="s">
        <v>361</v>
      </c>
      <c r="P104" s="44"/>
      <c r="Q104" s="318" t="s">
        <v>520</v>
      </c>
      <c r="R104" s="11">
        <v>46120</v>
      </c>
      <c r="S104" s="67"/>
      <c r="T104" s="303">
        <v>46150</v>
      </c>
      <c r="U104" s="36">
        <v>46153</v>
      </c>
      <c r="V104" s="41"/>
    </row>
    <row r="105" spans="1:22" s="3" customFormat="1" ht="19.5" customHeight="1" x14ac:dyDescent="0.2">
      <c r="A105" s="129" t="s">
        <v>35</v>
      </c>
      <c r="B105" s="296" t="s">
        <v>510</v>
      </c>
      <c r="C105" s="162"/>
      <c r="D105" s="1">
        <f t="shared" si="11"/>
        <v>0</v>
      </c>
      <c r="E105" s="162"/>
      <c r="F105" s="276">
        <v>10</v>
      </c>
      <c r="G105" s="60">
        <f t="shared" si="13"/>
        <v>73</v>
      </c>
      <c r="H105" s="88" t="s">
        <v>24</v>
      </c>
      <c r="I105" s="88" t="s">
        <v>24</v>
      </c>
      <c r="J105" s="228" t="s">
        <v>498</v>
      </c>
      <c r="K105" s="229">
        <v>1</v>
      </c>
      <c r="L105" s="130">
        <v>504</v>
      </c>
      <c r="M105" s="103">
        <f t="shared" si="12"/>
        <v>504</v>
      </c>
      <c r="N105" s="140"/>
      <c r="O105" s="170" t="s">
        <v>361</v>
      </c>
      <c r="P105" s="44"/>
      <c r="Q105" s="318" t="s">
        <v>520</v>
      </c>
      <c r="R105" s="11">
        <v>46120</v>
      </c>
      <c r="S105" s="67"/>
      <c r="T105" s="303">
        <v>46150</v>
      </c>
      <c r="U105" s="36">
        <v>46153</v>
      </c>
      <c r="V105" s="41"/>
    </row>
    <row r="106" spans="1:22" s="3" customFormat="1" ht="19.5" customHeight="1" x14ac:dyDescent="0.2">
      <c r="A106" s="129" t="s">
        <v>27</v>
      </c>
      <c r="B106" s="296" t="s">
        <v>510</v>
      </c>
      <c r="C106" s="162">
        <v>2E-3</v>
      </c>
      <c r="D106" s="1">
        <f t="shared" si="11"/>
        <v>4.0000000000000001E-3</v>
      </c>
      <c r="E106" s="162"/>
      <c r="F106" s="281">
        <v>12</v>
      </c>
      <c r="G106" s="60">
        <f t="shared" si="13"/>
        <v>74</v>
      </c>
      <c r="H106" s="88" t="s">
        <v>24</v>
      </c>
      <c r="I106" s="88" t="s">
        <v>24</v>
      </c>
      <c r="J106" s="228" t="s">
        <v>354</v>
      </c>
      <c r="K106" s="229">
        <v>2</v>
      </c>
      <c r="L106" s="130">
        <v>81</v>
      </c>
      <c r="M106" s="103">
        <f t="shared" si="12"/>
        <v>162</v>
      </c>
      <c r="N106" s="140"/>
      <c r="O106" s="170" t="s">
        <v>340</v>
      </c>
      <c r="P106" s="44"/>
      <c r="Q106" s="318" t="s">
        <v>520</v>
      </c>
      <c r="R106" s="11">
        <v>46120</v>
      </c>
      <c r="S106" s="67"/>
      <c r="T106" s="303">
        <v>46150</v>
      </c>
      <c r="U106" s="36">
        <v>46153</v>
      </c>
      <c r="V106" s="41"/>
    </row>
    <row r="107" spans="1:22" s="3" customFormat="1" ht="19.5" customHeight="1" x14ac:dyDescent="0.2">
      <c r="A107" s="129" t="s">
        <v>27</v>
      </c>
      <c r="B107" s="296" t="s">
        <v>510</v>
      </c>
      <c r="C107" s="162">
        <v>1.4999999999999999E-4</v>
      </c>
      <c r="D107" s="1">
        <f t="shared" si="11"/>
        <v>6.5999999999999991E-3</v>
      </c>
      <c r="E107" s="162"/>
      <c r="F107" s="281">
        <v>12</v>
      </c>
      <c r="G107" s="60">
        <f t="shared" si="13"/>
        <v>75</v>
      </c>
      <c r="H107" s="88" t="s">
        <v>24</v>
      </c>
      <c r="I107" s="88" t="s">
        <v>24</v>
      </c>
      <c r="J107" s="228" t="s">
        <v>355</v>
      </c>
      <c r="K107" s="229">
        <v>44</v>
      </c>
      <c r="L107" s="130">
        <v>22</v>
      </c>
      <c r="M107" s="103">
        <f t="shared" si="12"/>
        <v>968</v>
      </c>
      <c r="N107" s="140"/>
      <c r="O107" s="170" t="s">
        <v>356</v>
      </c>
      <c r="P107" s="44"/>
      <c r="Q107" s="318" t="s">
        <v>520</v>
      </c>
      <c r="R107" s="11">
        <v>46120</v>
      </c>
      <c r="S107" s="67"/>
      <c r="T107" s="303">
        <v>46150</v>
      </c>
      <c r="U107" s="36">
        <v>46153</v>
      </c>
      <c r="V107" s="41"/>
    </row>
    <row r="108" spans="1:22" s="3" customFormat="1" ht="19.5" customHeight="1" x14ac:dyDescent="0.2">
      <c r="A108" s="129" t="s">
        <v>244</v>
      </c>
      <c r="B108" s="296" t="s">
        <v>510</v>
      </c>
      <c r="C108" s="162">
        <v>0.13100000000000001</v>
      </c>
      <c r="D108" s="1">
        <f t="shared" si="11"/>
        <v>1.5720000000000001</v>
      </c>
      <c r="E108" s="162"/>
      <c r="F108" s="281">
        <v>12</v>
      </c>
      <c r="G108" s="60">
        <f t="shared" si="13"/>
        <v>76</v>
      </c>
      <c r="H108" s="88" t="s">
        <v>24</v>
      </c>
      <c r="I108" s="88" t="s">
        <v>24</v>
      </c>
      <c r="J108" s="228" t="s">
        <v>357</v>
      </c>
      <c r="K108" s="229">
        <v>12</v>
      </c>
      <c r="L108" s="110">
        <v>4524</v>
      </c>
      <c r="M108" s="103">
        <f t="shared" si="12"/>
        <v>54288</v>
      </c>
      <c r="N108" s="40"/>
      <c r="O108" s="43" t="s">
        <v>245</v>
      </c>
      <c r="P108" s="44"/>
      <c r="Q108" s="318" t="s">
        <v>520</v>
      </c>
      <c r="R108" s="11">
        <v>46120</v>
      </c>
      <c r="S108" s="67"/>
      <c r="T108" s="303">
        <v>46150</v>
      </c>
      <c r="U108" s="36">
        <v>46153</v>
      </c>
      <c r="V108" s="41"/>
    </row>
    <row r="109" spans="1:22" s="3" customFormat="1" ht="19.5" customHeight="1" x14ac:dyDescent="0.2">
      <c r="A109" s="129" t="s">
        <v>244</v>
      </c>
      <c r="B109" s="296" t="s">
        <v>510</v>
      </c>
      <c r="C109" s="162">
        <v>0.22</v>
      </c>
      <c r="D109" s="1">
        <f t="shared" si="11"/>
        <v>0.88</v>
      </c>
      <c r="E109" s="162"/>
      <c r="F109" s="281">
        <v>12</v>
      </c>
      <c r="G109" s="60">
        <f t="shared" si="13"/>
        <v>77</v>
      </c>
      <c r="H109" s="88" t="s">
        <v>24</v>
      </c>
      <c r="I109" s="88" t="s">
        <v>24</v>
      </c>
      <c r="J109" s="228" t="s">
        <v>358</v>
      </c>
      <c r="K109" s="229">
        <v>4</v>
      </c>
      <c r="L109" s="110">
        <v>2633</v>
      </c>
      <c r="M109" s="103">
        <f t="shared" si="12"/>
        <v>10532</v>
      </c>
      <c r="N109" s="40"/>
      <c r="O109" s="43" t="s">
        <v>245</v>
      </c>
      <c r="P109" s="44"/>
      <c r="Q109" s="318" t="s">
        <v>520</v>
      </c>
      <c r="R109" s="11">
        <v>46120</v>
      </c>
      <c r="S109" s="67"/>
      <c r="T109" s="303">
        <v>46150</v>
      </c>
      <c r="U109" s="36">
        <v>46153</v>
      </c>
      <c r="V109" s="41"/>
    </row>
    <row r="110" spans="1:22" s="3" customFormat="1" ht="19.5" customHeight="1" x14ac:dyDescent="0.2">
      <c r="A110" s="125" t="s">
        <v>27</v>
      </c>
      <c r="B110" s="296" t="s">
        <v>510</v>
      </c>
      <c r="C110" s="45">
        <v>5.0000000000000001E-3</v>
      </c>
      <c r="D110" s="1">
        <f t="shared" si="11"/>
        <v>0.16</v>
      </c>
      <c r="E110" s="45"/>
      <c r="F110" s="281">
        <v>12</v>
      </c>
      <c r="G110" s="60">
        <f t="shared" si="13"/>
        <v>78</v>
      </c>
      <c r="H110" s="1" t="s">
        <v>24</v>
      </c>
      <c r="I110" s="1" t="s">
        <v>24</v>
      </c>
      <c r="J110" s="234" t="s">
        <v>243</v>
      </c>
      <c r="K110" s="235">
        <v>32</v>
      </c>
      <c r="L110" s="110">
        <v>36</v>
      </c>
      <c r="M110" s="103">
        <f t="shared" si="12"/>
        <v>1152</v>
      </c>
      <c r="N110" s="40"/>
      <c r="O110" s="43" t="s">
        <v>246</v>
      </c>
      <c r="P110" s="44"/>
      <c r="Q110" s="318" t="s">
        <v>520</v>
      </c>
      <c r="R110" s="11">
        <v>46120</v>
      </c>
      <c r="S110" s="67"/>
      <c r="T110" s="303">
        <v>46150</v>
      </c>
      <c r="U110" s="36">
        <v>46153</v>
      </c>
      <c r="V110" s="41"/>
    </row>
    <row r="111" spans="1:22" s="3" customFormat="1" ht="19.5" customHeight="1" x14ac:dyDescent="0.2">
      <c r="A111" s="125" t="s">
        <v>27</v>
      </c>
      <c r="B111" s="296" t="s">
        <v>510</v>
      </c>
      <c r="C111" s="162">
        <v>1E-3</v>
      </c>
      <c r="D111" s="1">
        <f t="shared" si="11"/>
        <v>1E-3</v>
      </c>
      <c r="E111" s="162"/>
      <c r="F111" s="281">
        <v>12</v>
      </c>
      <c r="G111" s="60">
        <f t="shared" si="13"/>
        <v>79</v>
      </c>
      <c r="H111" s="1" t="s">
        <v>38</v>
      </c>
      <c r="I111" s="1" t="s">
        <v>38</v>
      </c>
      <c r="J111" s="226" t="s">
        <v>328</v>
      </c>
      <c r="K111" s="45">
        <v>1</v>
      </c>
      <c r="L111" s="105">
        <v>960</v>
      </c>
      <c r="M111" s="103">
        <f t="shared" si="12"/>
        <v>960</v>
      </c>
      <c r="N111" s="225"/>
      <c r="O111" s="23" t="s">
        <v>329</v>
      </c>
      <c r="P111" s="44"/>
      <c r="Q111" s="318" t="s">
        <v>520</v>
      </c>
      <c r="R111" s="11">
        <v>46120</v>
      </c>
      <c r="S111" s="67"/>
      <c r="T111" s="303">
        <v>46150</v>
      </c>
      <c r="U111" s="36">
        <v>46153</v>
      </c>
      <c r="V111" s="41"/>
    </row>
    <row r="112" spans="1:22" s="3" customFormat="1" ht="19.5" customHeight="1" x14ac:dyDescent="0.2">
      <c r="A112" s="125" t="s">
        <v>27</v>
      </c>
      <c r="B112" s="296" t="s">
        <v>510</v>
      </c>
      <c r="C112" s="162">
        <v>1E-3</v>
      </c>
      <c r="D112" s="1">
        <f t="shared" si="11"/>
        <v>2E-3</v>
      </c>
      <c r="E112" s="162"/>
      <c r="F112" s="281">
        <v>12</v>
      </c>
      <c r="G112" s="60">
        <f t="shared" si="13"/>
        <v>80</v>
      </c>
      <c r="H112" s="1" t="s">
        <v>38</v>
      </c>
      <c r="I112" s="1" t="s">
        <v>38</v>
      </c>
      <c r="J112" s="226" t="s">
        <v>330</v>
      </c>
      <c r="K112" s="45">
        <v>2</v>
      </c>
      <c r="L112" s="105">
        <v>732</v>
      </c>
      <c r="M112" s="103">
        <f t="shared" si="12"/>
        <v>1464</v>
      </c>
      <c r="N112" s="225"/>
      <c r="O112" s="23" t="s">
        <v>329</v>
      </c>
      <c r="P112" s="44"/>
      <c r="Q112" s="318" t="s">
        <v>520</v>
      </c>
      <c r="R112" s="11">
        <v>46120</v>
      </c>
      <c r="S112" s="67"/>
      <c r="T112" s="303">
        <v>46150</v>
      </c>
      <c r="U112" s="36">
        <v>46153</v>
      </c>
      <c r="V112" s="41"/>
    </row>
    <row r="113" spans="1:22" s="3" customFormat="1" ht="19.5" customHeight="1" x14ac:dyDescent="0.2">
      <c r="A113" s="230" t="s">
        <v>341</v>
      </c>
      <c r="B113" s="296" t="s">
        <v>510</v>
      </c>
      <c r="C113" s="96">
        <v>4.75</v>
      </c>
      <c r="D113" s="1">
        <f t="shared" si="11"/>
        <v>4.75</v>
      </c>
      <c r="F113" s="281">
        <v>12</v>
      </c>
      <c r="G113" s="60">
        <f t="shared" si="13"/>
        <v>81</v>
      </c>
      <c r="H113" s="134" t="s">
        <v>37</v>
      </c>
      <c r="I113" s="4" t="s">
        <v>24</v>
      </c>
      <c r="J113" s="324" t="s">
        <v>527</v>
      </c>
      <c r="K113" s="325">
        <v>1</v>
      </c>
      <c r="L113" s="326">
        <v>87099</v>
      </c>
      <c r="M113" s="103">
        <f t="shared" si="12"/>
        <v>87099</v>
      </c>
      <c r="N113" s="225"/>
      <c r="O113" s="23" t="s">
        <v>528</v>
      </c>
      <c r="P113" s="44"/>
      <c r="Q113" s="327" t="s">
        <v>529</v>
      </c>
      <c r="R113" s="68">
        <v>46183</v>
      </c>
      <c r="S113" s="38"/>
      <c r="T113" s="55">
        <v>46206</v>
      </c>
      <c r="U113" s="19">
        <v>46209</v>
      </c>
      <c r="V113" s="41"/>
    </row>
    <row r="114" spans="1:22" s="3" customFormat="1" ht="19.5" customHeight="1" x14ac:dyDescent="0.2">
      <c r="A114" s="129" t="s">
        <v>27</v>
      </c>
      <c r="B114" s="296" t="s">
        <v>510</v>
      </c>
      <c r="C114" s="162">
        <v>2E-3</v>
      </c>
      <c r="D114" s="1">
        <f t="shared" si="11"/>
        <v>4.0000000000000001E-3</v>
      </c>
      <c r="F114" s="281">
        <v>12</v>
      </c>
      <c r="G114" s="60">
        <f t="shared" si="13"/>
        <v>82</v>
      </c>
      <c r="H114" s="88" t="s">
        <v>24</v>
      </c>
      <c r="I114" s="88" t="s">
        <v>24</v>
      </c>
      <c r="J114" s="328" t="s">
        <v>354</v>
      </c>
      <c r="K114" s="329">
        <v>2</v>
      </c>
      <c r="L114" s="330">
        <v>81</v>
      </c>
      <c r="M114" s="103">
        <f t="shared" si="12"/>
        <v>162</v>
      </c>
      <c r="N114" s="140"/>
      <c r="O114" s="170" t="s">
        <v>340</v>
      </c>
      <c r="P114" s="44"/>
      <c r="Q114" s="327" t="s">
        <v>529</v>
      </c>
      <c r="R114" s="68">
        <v>46183</v>
      </c>
      <c r="S114" s="38"/>
      <c r="T114" s="55">
        <v>46206</v>
      </c>
      <c r="U114" s="19">
        <v>46209</v>
      </c>
      <c r="V114" s="41"/>
    </row>
    <row r="115" spans="1:22" s="3" customFormat="1" ht="19.5" customHeight="1" x14ac:dyDescent="0.2">
      <c r="A115" s="129" t="s">
        <v>27</v>
      </c>
      <c r="B115" s="296" t="s">
        <v>510</v>
      </c>
      <c r="C115" s="162">
        <v>1.4999999999999999E-4</v>
      </c>
      <c r="D115" s="1">
        <f t="shared" si="11"/>
        <v>3.5999999999999999E-3</v>
      </c>
      <c r="F115" s="281">
        <v>12</v>
      </c>
      <c r="G115" s="60">
        <f t="shared" si="13"/>
        <v>83</v>
      </c>
      <c r="H115" s="88" t="s">
        <v>24</v>
      </c>
      <c r="I115" s="88" t="s">
        <v>24</v>
      </c>
      <c r="J115" s="328" t="s">
        <v>355</v>
      </c>
      <c r="K115" s="329">
        <v>24</v>
      </c>
      <c r="L115" s="330">
        <v>37</v>
      </c>
      <c r="M115" s="103">
        <f t="shared" si="12"/>
        <v>888</v>
      </c>
      <c r="N115" s="140"/>
      <c r="O115" s="170" t="s">
        <v>530</v>
      </c>
      <c r="P115" s="44"/>
      <c r="Q115" s="327" t="s">
        <v>529</v>
      </c>
      <c r="R115" s="68">
        <v>46183</v>
      </c>
      <c r="S115" s="38"/>
      <c r="T115" s="55">
        <v>46206</v>
      </c>
      <c r="U115" s="19">
        <v>46209</v>
      </c>
      <c r="V115" s="41"/>
    </row>
    <row r="116" spans="1:22" s="3" customFormat="1" ht="19.5" customHeight="1" x14ac:dyDescent="0.2">
      <c r="A116" s="129" t="s">
        <v>27</v>
      </c>
      <c r="B116" s="296" t="s">
        <v>510</v>
      </c>
      <c r="C116" s="162">
        <v>1.4999999999999999E-4</v>
      </c>
      <c r="D116" s="1">
        <f t="shared" si="11"/>
        <v>1.3499999999999999E-3</v>
      </c>
      <c r="F116" s="281">
        <v>12</v>
      </c>
      <c r="G116" s="60">
        <f t="shared" si="13"/>
        <v>84</v>
      </c>
      <c r="H116" s="88" t="s">
        <v>24</v>
      </c>
      <c r="I116" s="88" t="s">
        <v>24</v>
      </c>
      <c r="J116" s="328" t="s">
        <v>531</v>
      </c>
      <c r="K116" s="329">
        <v>9</v>
      </c>
      <c r="L116" s="330">
        <v>47</v>
      </c>
      <c r="M116" s="103">
        <f t="shared" si="12"/>
        <v>423</v>
      </c>
      <c r="N116" s="140"/>
      <c r="O116" s="170" t="s">
        <v>530</v>
      </c>
      <c r="P116" s="44"/>
      <c r="Q116" s="327" t="s">
        <v>529</v>
      </c>
      <c r="R116" s="68">
        <v>46183</v>
      </c>
      <c r="S116" s="38"/>
      <c r="T116" s="55">
        <v>46206</v>
      </c>
      <c r="U116" s="19">
        <v>46209</v>
      </c>
      <c r="V116" s="41"/>
    </row>
    <row r="117" spans="1:22" s="3" customFormat="1" ht="19.649999999999999" customHeight="1" x14ac:dyDescent="0.2">
      <c r="A117" s="125" t="s">
        <v>27</v>
      </c>
      <c r="B117" s="296" t="s">
        <v>510</v>
      </c>
      <c r="C117" s="45">
        <v>5.0000000000000001E-3</v>
      </c>
      <c r="D117" s="1">
        <f t="shared" si="11"/>
        <v>0.06</v>
      </c>
      <c r="F117" s="281">
        <v>12</v>
      </c>
      <c r="G117" s="60">
        <f t="shared" si="13"/>
        <v>85</v>
      </c>
      <c r="H117" s="1" t="s">
        <v>24</v>
      </c>
      <c r="I117" s="1" t="s">
        <v>24</v>
      </c>
      <c r="J117" s="331" t="s">
        <v>336</v>
      </c>
      <c r="K117" s="332">
        <v>12</v>
      </c>
      <c r="L117" s="332">
        <v>15</v>
      </c>
      <c r="M117" s="103">
        <f t="shared" si="12"/>
        <v>180</v>
      </c>
      <c r="N117" s="46"/>
      <c r="O117" s="47" t="s">
        <v>487</v>
      </c>
      <c r="P117" s="232"/>
      <c r="Q117" s="327" t="s">
        <v>529</v>
      </c>
      <c r="R117" s="68">
        <v>46183</v>
      </c>
      <c r="S117" s="38"/>
      <c r="T117" s="55">
        <v>46206</v>
      </c>
      <c r="U117" s="19">
        <v>46209</v>
      </c>
      <c r="V117" s="41"/>
    </row>
    <row r="118" spans="1:22" s="3" customFormat="1" ht="19.5" customHeight="1" x14ac:dyDescent="0.2">
      <c r="A118" s="129" t="s">
        <v>244</v>
      </c>
      <c r="B118" s="296" t="s">
        <v>510</v>
      </c>
      <c r="C118" s="162">
        <v>0.13100000000000001</v>
      </c>
      <c r="D118" s="1">
        <f t="shared" si="11"/>
        <v>0.52400000000000002</v>
      </c>
      <c r="F118" s="281">
        <v>12</v>
      </c>
      <c r="G118" s="60">
        <f t="shared" si="13"/>
        <v>86</v>
      </c>
      <c r="H118" s="88" t="s">
        <v>24</v>
      </c>
      <c r="I118" s="88" t="s">
        <v>24</v>
      </c>
      <c r="J118" s="328" t="s">
        <v>358</v>
      </c>
      <c r="K118" s="329">
        <v>4</v>
      </c>
      <c r="L118" s="321">
        <v>2633</v>
      </c>
      <c r="M118" s="103">
        <f t="shared" si="12"/>
        <v>10532</v>
      </c>
      <c r="N118" s="40"/>
      <c r="O118" s="43" t="s">
        <v>245</v>
      </c>
      <c r="P118" s="44"/>
      <c r="Q118" s="327" t="s">
        <v>529</v>
      </c>
      <c r="R118" s="68">
        <v>46183</v>
      </c>
      <c r="S118" s="38"/>
      <c r="T118" s="55">
        <v>46206</v>
      </c>
      <c r="U118" s="19">
        <v>46209</v>
      </c>
      <c r="V118" s="41"/>
    </row>
    <row r="119" spans="1:22" s="3" customFormat="1" ht="19.5" customHeight="1" x14ac:dyDescent="0.2">
      <c r="A119" s="129" t="s">
        <v>244</v>
      </c>
      <c r="B119" s="296" t="s">
        <v>510</v>
      </c>
      <c r="C119" s="162">
        <v>0.13100000000000001</v>
      </c>
      <c r="D119" s="1">
        <f t="shared" si="11"/>
        <v>1.048</v>
      </c>
      <c r="F119" s="281">
        <v>12</v>
      </c>
      <c r="G119" s="60">
        <f t="shared" si="13"/>
        <v>87</v>
      </c>
      <c r="H119" s="88" t="s">
        <v>24</v>
      </c>
      <c r="I119" s="88" t="s">
        <v>24</v>
      </c>
      <c r="J119" s="319" t="s">
        <v>532</v>
      </c>
      <c r="K119" s="320">
        <v>8</v>
      </c>
      <c r="L119" s="321">
        <v>1742</v>
      </c>
      <c r="M119" s="333">
        <f t="shared" si="12"/>
        <v>13936</v>
      </c>
      <c r="N119" s="40"/>
      <c r="O119" s="43" t="s">
        <v>533</v>
      </c>
      <c r="P119" s="44"/>
      <c r="Q119" s="327" t="s">
        <v>529</v>
      </c>
      <c r="R119" s="68">
        <v>46183</v>
      </c>
      <c r="S119" s="38"/>
      <c r="T119" s="55">
        <v>46206</v>
      </c>
      <c r="U119" s="19">
        <v>46209</v>
      </c>
      <c r="V119" s="41"/>
    </row>
    <row r="120" spans="1:22" s="3" customFormat="1" ht="19.5" customHeight="1" x14ac:dyDescent="0.2">
      <c r="A120" s="125" t="s">
        <v>27</v>
      </c>
      <c r="B120" s="296" t="s">
        <v>510</v>
      </c>
      <c r="C120" s="45">
        <v>5.0000000000000001E-3</v>
      </c>
      <c r="D120" s="1">
        <f t="shared" si="11"/>
        <v>0.25</v>
      </c>
      <c r="F120" s="281">
        <v>12</v>
      </c>
      <c r="G120" s="60">
        <f t="shared" si="13"/>
        <v>88</v>
      </c>
      <c r="H120" s="1" t="s">
        <v>93</v>
      </c>
      <c r="I120" s="1" t="s">
        <v>24</v>
      </c>
      <c r="J120" s="319" t="s">
        <v>534</v>
      </c>
      <c r="K120" s="320">
        <v>50</v>
      </c>
      <c r="L120" s="321">
        <v>140</v>
      </c>
      <c r="M120" s="103">
        <f t="shared" si="12"/>
        <v>7000</v>
      </c>
      <c r="N120" s="40"/>
      <c r="O120" s="43" t="s">
        <v>246</v>
      </c>
      <c r="P120" s="44"/>
      <c r="Q120" s="327" t="s">
        <v>529</v>
      </c>
      <c r="R120" s="68">
        <v>46183</v>
      </c>
      <c r="S120" s="38"/>
      <c r="T120" s="55">
        <v>46206</v>
      </c>
      <c r="U120" s="19">
        <v>46209</v>
      </c>
      <c r="V120" s="41"/>
    </row>
    <row r="121" spans="1:22" s="3" customFormat="1" ht="19.5" customHeight="1" x14ac:dyDescent="0.2">
      <c r="B121" s="289"/>
      <c r="F121" s="165"/>
      <c r="G121" s="70"/>
      <c r="H121" s="39"/>
      <c r="I121" s="39"/>
      <c r="J121" s="42"/>
      <c r="K121" s="40"/>
      <c r="L121" s="69"/>
      <c r="M121" s="39"/>
      <c r="N121" s="40"/>
      <c r="O121" s="43"/>
      <c r="P121" s="44"/>
      <c r="Q121" s="74"/>
      <c r="R121" s="68"/>
      <c r="S121" s="38"/>
      <c r="T121" s="55"/>
      <c r="U121" s="19"/>
      <c r="V121" s="41"/>
    </row>
    <row r="122" spans="1:22" s="3" customFormat="1" ht="19.5" customHeight="1" x14ac:dyDescent="0.2">
      <c r="B122" s="289"/>
      <c r="F122" s="165"/>
      <c r="G122" s="70"/>
      <c r="H122" s="39"/>
      <c r="I122" s="39"/>
      <c r="J122" s="337">
        <f>SUM(M91:M121)</f>
        <v>437361</v>
      </c>
      <c r="K122" s="338"/>
      <c r="L122" s="338"/>
      <c r="M122" s="339"/>
      <c r="N122" s="40"/>
      <c r="O122" s="43"/>
      <c r="P122" s="44"/>
      <c r="Q122" s="74"/>
      <c r="R122" s="68"/>
      <c r="S122" s="38"/>
      <c r="T122" s="55"/>
      <c r="U122" s="19"/>
      <c r="V122" s="41"/>
    </row>
    <row r="123" spans="1:22" s="3" customFormat="1" ht="19.5" customHeight="1" x14ac:dyDescent="0.2">
      <c r="B123" s="289"/>
      <c r="F123" s="165"/>
      <c r="G123" s="70"/>
      <c r="H123" s="39"/>
      <c r="I123" s="39"/>
      <c r="J123" s="42"/>
      <c r="K123" s="40"/>
      <c r="L123" s="69"/>
      <c r="M123" s="39"/>
      <c r="N123" s="40"/>
      <c r="O123" s="43"/>
      <c r="P123" s="44"/>
      <c r="Q123" s="74"/>
      <c r="R123" s="68"/>
      <c r="S123" s="38"/>
      <c r="T123" s="55"/>
      <c r="U123" s="19"/>
      <c r="V123" s="41"/>
    </row>
    <row r="124" spans="1:22" s="3" customFormat="1" ht="19.5" customHeight="1" x14ac:dyDescent="0.2">
      <c r="B124" s="289"/>
      <c r="F124" s="165"/>
      <c r="G124" s="70"/>
      <c r="H124" s="39"/>
      <c r="I124" s="39"/>
      <c r="J124" s="42"/>
      <c r="K124" s="40"/>
      <c r="L124" s="69"/>
      <c r="M124" s="39"/>
      <c r="N124" s="40"/>
      <c r="O124" s="43"/>
      <c r="P124" s="44"/>
      <c r="Q124" s="74"/>
      <c r="R124" s="68"/>
      <c r="S124" s="38"/>
      <c r="T124" s="55"/>
      <c r="U124" s="19"/>
      <c r="V124" s="41"/>
    </row>
    <row r="125" spans="1:22" s="3" customFormat="1" ht="19.5" customHeight="1" x14ac:dyDescent="0.2">
      <c r="B125" s="289"/>
      <c r="F125" s="165"/>
      <c r="G125" s="70"/>
      <c r="H125" s="39"/>
      <c r="I125" s="39"/>
      <c r="J125" s="42"/>
      <c r="K125" s="40"/>
      <c r="L125" s="69"/>
      <c r="M125" s="39"/>
      <c r="N125" s="40"/>
      <c r="O125" s="43"/>
      <c r="P125" s="44"/>
      <c r="Q125" s="74"/>
      <c r="R125" s="68"/>
      <c r="S125" s="38"/>
      <c r="T125" s="55"/>
      <c r="U125" s="19"/>
      <c r="V125" s="41"/>
    </row>
    <row r="126" spans="1:22" s="3" customFormat="1" ht="19.649999999999999" customHeight="1" x14ac:dyDescent="0.2">
      <c r="A126" s="162"/>
      <c r="B126" s="293"/>
      <c r="C126" s="162"/>
      <c r="D126" s="162"/>
      <c r="E126" s="236"/>
      <c r="F126" s="45"/>
      <c r="G126" s="349" t="s">
        <v>362</v>
      </c>
      <c r="H126" s="350"/>
      <c r="I126" s="350"/>
      <c r="J126" s="351"/>
      <c r="K126" s="1"/>
      <c r="L126" s="34"/>
      <c r="M126" s="33"/>
      <c r="N126" s="26"/>
      <c r="O126" s="24"/>
      <c r="P126" s="44"/>
      <c r="Q126" s="74"/>
      <c r="R126" s="68"/>
      <c r="S126" s="38"/>
      <c r="T126" s="55"/>
      <c r="U126" s="19"/>
      <c r="V126" s="41"/>
    </row>
    <row r="127" spans="1:22" s="3" customFormat="1" ht="19.5" customHeight="1" x14ac:dyDescent="0.2">
      <c r="A127" s="50" t="s">
        <v>35</v>
      </c>
      <c r="B127" s="297" t="s">
        <v>511</v>
      </c>
      <c r="C127" s="92">
        <v>1.8</v>
      </c>
      <c r="D127" s="1">
        <f t="shared" ref="D127:D142" si="14">+C127*K127</f>
        <v>7.2</v>
      </c>
      <c r="E127" s="92"/>
      <c r="F127" s="280">
        <v>20</v>
      </c>
      <c r="G127" s="60">
        <f>+G112+1</f>
        <v>81</v>
      </c>
      <c r="H127" s="134" t="s">
        <v>37</v>
      </c>
      <c r="I127" s="60" t="s">
        <v>24</v>
      </c>
      <c r="J127" s="234" t="s">
        <v>232</v>
      </c>
      <c r="K127" s="235">
        <v>4</v>
      </c>
      <c r="L127" s="110">
        <v>11309</v>
      </c>
      <c r="M127" s="39">
        <f t="shared" ref="M127:M142" si="15">K127*L127</f>
        <v>45236</v>
      </c>
      <c r="N127" s="40"/>
      <c r="O127" s="43" t="s">
        <v>221</v>
      </c>
      <c r="P127" s="44"/>
      <c r="Q127" s="318" t="s">
        <v>520</v>
      </c>
      <c r="R127" s="11">
        <v>46120</v>
      </c>
      <c r="S127" s="67"/>
      <c r="T127" s="303">
        <v>46150</v>
      </c>
      <c r="U127" s="36">
        <v>46153</v>
      </c>
      <c r="V127" s="41"/>
    </row>
    <row r="128" spans="1:22" s="3" customFormat="1" ht="19.5" customHeight="1" x14ac:dyDescent="0.2">
      <c r="A128" s="125" t="s">
        <v>27</v>
      </c>
      <c r="B128" s="297" t="s">
        <v>511</v>
      </c>
      <c r="C128" s="45">
        <v>0.01</v>
      </c>
      <c r="D128" s="1">
        <f t="shared" si="14"/>
        <v>0.24</v>
      </c>
      <c r="E128" s="45"/>
      <c r="F128" s="280">
        <v>20</v>
      </c>
      <c r="G128" s="60">
        <f t="shared" ref="G128:G142" si="16">+G127+1</f>
        <v>82</v>
      </c>
      <c r="H128" s="1" t="s">
        <v>24</v>
      </c>
      <c r="I128" s="1" t="s">
        <v>24</v>
      </c>
      <c r="J128" s="234" t="s">
        <v>505</v>
      </c>
      <c r="K128" s="235">
        <v>24</v>
      </c>
      <c r="L128" s="110">
        <v>957</v>
      </c>
      <c r="M128" s="39">
        <f t="shared" si="15"/>
        <v>22968</v>
      </c>
      <c r="N128" s="40"/>
      <c r="O128" s="43" t="s">
        <v>236</v>
      </c>
      <c r="P128" s="44"/>
      <c r="Q128" s="318" t="s">
        <v>520</v>
      </c>
      <c r="R128" s="11">
        <v>46120</v>
      </c>
      <c r="S128" s="67"/>
      <c r="T128" s="303">
        <v>46150</v>
      </c>
      <c r="U128" s="36">
        <v>46153</v>
      </c>
      <c r="V128" s="41"/>
    </row>
    <row r="129" spans="1:22" s="3" customFormat="1" ht="19.5" customHeight="1" x14ac:dyDescent="0.2">
      <c r="A129" s="125" t="s">
        <v>27</v>
      </c>
      <c r="B129" s="297" t="s">
        <v>511</v>
      </c>
      <c r="C129" s="45">
        <v>2.5000000000000001E-2</v>
      </c>
      <c r="D129" s="1">
        <f t="shared" si="14"/>
        <v>0.8</v>
      </c>
      <c r="E129" s="45"/>
      <c r="F129" s="280">
        <v>20</v>
      </c>
      <c r="G129" s="60">
        <f t="shared" si="16"/>
        <v>83</v>
      </c>
      <c r="H129" s="1" t="s">
        <v>24</v>
      </c>
      <c r="I129" s="1" t="s">
        <v>24</v>
      </c>
      <c r="J129" s="234" t="s">
        <v>222</v>
      </c>
      <c r="K129" s="235">
        <v>32</v>
      </c>
      <c r="L129" s="110">
        <v>227</v>
      </c>
      <c r="M129" s="39">
        <f t="shared" si="15"/>
        <v>7264</v>
      </c>
      <c r="N129" s="40"/>
      <c r="O129" s="43" t="s">
        <v>241</v>
      </c>
      <c r="P129" s="44"/>
      <c r="Q129" s="318" t="s">
        <v>520</v>
      </c>
      <c r="R129" s="11">
        <v>46120</v>
      </c>
      <c r="S129" s="67"/>
      <c r="T129" s="303">
        <v>46150</v>
      </c>
      <c r="U129" s="36">
        <v>46153</v>
      </c>
      <c r="V129" s="41"/>
    </row>
    <row r="130" spans="1:22" s="3" customFormat="1" ht="19.5" customHeight="1" x14ac:dyDescent="0.2">
      <c r="A130" s="125" t="s">
        <v>27</v>
      </c>
      <c r="B130" s="297" t="s">
        <v>511</v>
      </c>
      <c r="C130" s="45">
        <v>8.2000000000000003E-2</v>
      </c>
      <c r="D130" s="1">
        <f t="shared" si="14"/>
        <v>0.98399999999999999</v>
      </c>
      <c r="E130" s="45"/>
      <c r="F130" s="280">
        <v>20</v>
      </c>
      <c r="G130" s="60">
        <f t="shared" si="16"/>
        <v>84</v>
      </c>
      <c r="H130" s="1" t="s">
        <v>24</v>
      </c>
      <c r="I130" s="1" t="s">
        <v>24</v>
      </c>
      <c r="J130" s="234" t="s">
        <v>223</v>
      </c>
      <c r="K130" s="235">
        <v>12</v>
      </c>
      <c r="L130" s="110">
        <v>281</v>
      </c>
      <c r="M130" s="39">
        <f t="shared" si="15"/>
        <v>3372</v>
      </c>
      <c r="N130" s="40"/>
      <c r="O130" s="43" t="s">
        <v>240</v>
      </c>
      <c r="P130" s="44"/>
      <c r="Q130" s="318" t="s">
        <v>520</v>
      </c>
      <c r="R130" s="11">
        <v>46120</v>
      </c>
      <c r="S130" s="67"/>
      <c r="T130" s="303">
        <v>46150</v>
      </c>
      <c r="U130" s="36">
        <v>46153</v>
      </c>
      <c r="V130" s="41"/>
    </row>
    <row r="131" spans="1:22" s="3" customFormat="1" ht="19.5" customHeight="1" x14ac:dyDescent="0.2">
      <c r="A131" s="125" t="s">
        <v>27</v>
      </c>
      <c r="B131" s="297" t="s">
        <v>511</v>
      </c>
      <c r="C131" s="45">
        <v>0.24099999999999999</v>
      </c>
      <c r="D131" s="1">
        <f t="shared" si="14"/>
        <v>1.9279999999999999</v>
      </c>
      <c r="E131" s="45"/>
      <c r="F131" s="280">
        <v>20</v>
      </c>
      <c r="G131" s="60">
        <f t="shared" si="16"/>
        <v>85</v>
      </c>
      <c r="H131" s="1" t="s">
        <v>24</v>
      </c>
      <c r="I131" s="1" t="s">
        <v>24</v>
      </c>
      <c r="J131" s="234" t="s">
        <v>224</v>
      </c>
      <c r="K131" s="235">
        <v>8</v>
      </c>
      <c r="L131" s="110">
        <v>386</v>
      </c>
      <c r="M131" s="39">
        <f t="shared" si="15"/>
        <v>3088</v>
      </c>
      <c r="N131" s="40"/>
      <c r="O131" s="43" t="s">
        <v>240</v>
      </c>
      <c r="P131" s="44"/>
      <c r="Q131" s="318" t="s">
        <v>520</v>
      </c>
      <c r="R131" s="11">
        <v>46120</v>
      </c>
      <c r="S131" s="67"/>
      <c r="T131" s="303">
        <v>46150</v>
      </c>
      <c r="U131" s="36">
        <v>46153</v>
      </c>
      <c r="V131" s="41"/>
    </row>
    <row r="132" spans="1:22" s="3" customFormat="1" ht="19.5" customHeight="1" x14ac:dyDescent="0.2">
      <c r="A132" s="125" t="s">
        <v>27</v>
      </c>
      <c r="B132" s="297" t="s">
        <v>511</v>
      </c>
      <c r="C132" s="45">
        <v>5.0000000000000001E-3</v>
      </c>
      <c r="D132" s="1">
        <f t="shared" si="14"/>
        <v>0.08</v>
      </c>
      <c r="E132" s="45"/>
      <c r="F132" s="280">
        <v>20</v>
      </c>
      <c r="G132" s="60">
        <f t="shared" si="16"/>
        <v>86</v>
      </c>
      <c r="H132" s="1" t="s">
        <v>24</v>
      </c>
      <c r="I132" s="1" t="s">
        <v>24</v>
      </c>
      <c r="J132" s="234" t="s">
        <v>225</v>
      </c>
      <c r="K132" s="235">
        <v>16</v>
      </c>
      <c r="L132" s="110">
        <v>46</v>
      </c>
      <c r="M132" s="39">
        <f t="shared" si="15"/>
        <v>736</v>
      </c>
      <c r="N132" s="40"/>
      <c r="O132" s="43" t="s">
        <v>239</v>
      </c>
      <c r="P132" s="44"/>
      <c r="Q132" s="318" t="s">
        <v>520</v>
      </c>
      <c r="R132" s="11">
        <v>46120</v>
      </c>
      <c r="S132" s="67"/>
      <c r="T132" s="303">
        <v>46150</v>
      </c>
      <c r="U132" s="36">
        <v>46153</v>
      </c>
      <c r="V132" s="41"/>
    </row>
    <row r="133" spans="1:22" s="3" customFormat="1" ht="19.5" customHeight="1" x14ac:dyDescent="0.2">
      <c r="A133" s="125" t="s">
        <v>27</v>
      </c>
      <c r="B133" s="297" t="s">
        <v>511</v>
      </c>
      <c r="C133" s="45">
        <v>4.0000000000000002E-4</v>
      </c>
      <c r="D133" s="1">
        <f t="shared" si="14"/>
        <v>3.2000000000000001E-2</v>
      </c>
      <c r="E133" s="45"/>
      <c r="F133" s="280">
        <v>20</v>
      </c>
      <c r="G133" s="60">
        <f t="shared" si="16"/>
        <v>87</v>
      </c>
      <c r="H133" s="1" t="s">
        <v>24</v>
      </c>
      <c r="I133" s="1" t="s">
        <v>24</v>
      </c>
      <c r="J133" s="234" t="s">
        <v>33</v>
      </c>
      <c r="K133" s="235">
        <v>80</v>
      </c>
      <c r="L133" s="110">
        <v>22</v>
      </c>
      <c r="M133" s="39">
        <f t="shared" si="15"/>
        <v>1760</v>
      </c>
      <c r="N133" s="40"/>
      <c r="O133" s="43" t="s">
        <v>485</v>
      </c>
      <c r="P133" s="44"/>
      <c r="Q133" s="318" t="s">
        <v>520</v>
      </c>
      <c r="R133" s="11">
        <v>46120</v>
      </c>
      <c r="S133" s="67"/>
      <c r="T133" s="303">
        <v>46150</v>
      </c>
      <c r="U133" s="36">
        <v>46153</v>
      </c>
      <c r="V133" s="41"/>
    </row>
    <row r="134" spans="1:22" s="3" customFormat="1" ht="19.5" customHeight="1" x14ac:dyDescent="0.2">
      <c r="A134" s="50" t="s">
        <v>35</v>
      </c>
      <c r="B134" s="297" t="s">
        <v>511</v>
      </c>
      <c r="C134" s="92">
        <v>0.85</v>
      </c>
      <c r="D134" s="1">
        <f t="shared" si="14"/>
        <v>3.4</v>
      </c>
      <c r="E134" s="92"/>
      <c r="F134" s="280">
        <v>20</v>
      </c>
      <c r="G134" s="60">
        <f t="shared" si="16"/>
        <v>88</v>
      </c>
      <c r="H134" s="134" t="s">
        <v>37</v>
      </c>
      <c r="I134" s="60" t="s">
        <v>24</v>
      </c>
      <c r="J134" s="234" t="s">
        <v>233</v>
      </c>
      <c r="K134" s="235">
        <v>4</v>
      </c>
      <c r="L134" s="110">
        <v>5585</v>
      </c>
      <c r="M134" s="39">
        <f t="shared" si="15"/>
        <v>22340</v>
      </c>
      <c r="N134" s="40"/>
      <c r="O134" s="43" t="s">
        <v>226</v>
      </c>
      <c r="P134" s="44"/>
      <c r="Q134" s="318" t="s">
        <v>520</v>
      </c>
      <c r="R134" s="11">
        <v>46120</v>
      </c>
      <c r="S134" s="67"/>
      <c r="T134" s="303">
        <v>46150</v>
      </c>
      <c r="U134" s="36">
        <v>46153</v>
      </c>
      <c r="V134" s="41"/>
    </row>
    <row r="135" spans="1:22" s="3" customFormat="1" ht="19.5" customHeight="1" x14ac:dyDescent="0.2">
      <c r="A135" s="125" t="s">
        <v>27</v>
      </c>
      <c r="B135" s="297" t="s">
        <v>511</v>
      </c>
      <c r="C135" s="45">
        <v>0.01</v>
      </c>
      <c r="D135" s="1">
        <f t="shared" si="14"/>
        <v>0.24</v>
      </c>
      <c r="E135" s="45"/>
      <c r="F135" s="280">
        <v>20</v>
      </c>
      <c r="G135" s="60">
        <f t="shared" si="16"/>
        <v>89</v>
      </c>
      <c r="H135" s="1" t="s">
        <v>24</v>
      </c>
      <c r="I135" s="1" t="s">
        <v>24</v>
      </c>
      <c r="J135" s="234" t="s">
        <v>506</v>
      </c>
      <c r="K135" s="235">
        <v>24</v>
      </c>
      <c r="L135" s="110">
        <v>957</v>
      </c>
      <c r="M135" s="39">
        <f t="shared" si="15"/>
        <v>22968</v>
      </c>
      <c r="N135" s="40"/>
      <c r="O135" s="43" t="s">
        <v>236</v>
      </c>
      <c r="P135" s="44"/>
      <c r="Q135" s="318" t="s">
        <v>520</v>
      </c>
      <c r="R135" s="11">
        <v>46120</v>
      </c>
      <c r="S135" s="67"/>
      <c r="T135" s="303">
        <v>46150</v>
      </c>
      <c r="U135" s="36">
        <v>46153</v>
      </c>
      <c r="V135" s="41"/>
    </row>
    <row r="136" spans="1:22" s="3" customFormat="1" ht="19.5" customHeight="1" x14ac:dyDescent="0.2">
      <c r="A136" s="125" t="s">
        <v>27</v>
      </c>
      <c r="B136" s="297" t="s">
        <v>511</v>
      </c>
      <c r="C136" s="45">
        <v>1.5E-3</v>
      </c>
      <c r="D136" s="1">
        <f t="shared" si="14"/>
        <v>7.2000000000000008E-2</v>
      </c>
      <c r="E136" s="45"/>
      <c r="F136" s="280">
        <v>20</v>
      </c>
      <c r="G136" s="60">
        <f t="shared" si="16"/>
        <v>90</v>
      </c>
      <c r="H136" s="1" t="s">
        <v>24</v>
      </c>
      <c r="I136" s="1" t="s">
        <v>24</v>
      </c>
      <c r="J136" s="234" t="s">
        <v>227</v>
      </c>
      <c r="K136" s="235">
        <v>48</v>
      </c>
      <c r="L136" s="307">
        <v>27</v>
      </c>
      <c r="M136" s="39">
        <f t="shared" si="15"/>
        <v>1296</v>
      </c>
      <c r="N136" s="40"/>
      <c r="O136" s="43" t="s">
        <v>493</v>
      </c>
      <c r="P136" s="44"/>
      <c r="Q136" s="318" t="s">
        <v>520</v>
      </c>
      <c r="R136" s="11">
        <v>46120</v>
      </c>
      <c r="S136" s="67"/>
      <c r="T136" s="303">
        <v>46150</v>
      </c>
      <c r="U136" s="36">
        <v>46153</v>
      </c>
      <c r="V136" s="41"/>
    </row>
    <row r="137" spans="1:22" s="3" customFormat="1" ht="19.5" customHeight="1" x14ac:dyDescent="0.2">
      <c r="A137" s="125" t="s">
        <v>27</v>
      </c>
      <c r="B137" s="297" t="s">
        <v>511</v>
      </c>
      <c r="C137" s="45">
        <v>1.4999999999999999E-2</v>
      </c>
      <c r="D137" s="1">
        <f t="shared" si="14"/>
        <v>0.18</v>
      </c>
      <c r="E137" s="45"/>
      <c r="F137" s="280">
        <v>20</v>
      </c>
      <c r="G137" s="60">
        <f t="shared" si="16"/>
        <v>91</v>
      </c>
      <c r="H137" s="1" t="s">
        <v>24</v>
      </c>
      <c r="I137" s="1" t="s">
        <v>24</v>
      </c>
      <c r="J137" s="323" t="s">
        <v>526</v>
      </c>
      <c r="K137" s="235">
        <v>12</v>
      </c>
      <c r="L137" s="110">
        <v>382</v>
      </c>
      <c r="M137" s="39">
        <f t="shared" si="15"/>
        <v>4584</v>
      </c>
      <c r="N137" s="40"/>
      <c r="O137" s="43" t="s">
        <v>234</v>
      </c>
      <c r="P137" s="44"/>
      <c r="Q137" s="318" t="s">
        <v>520</v>
      </c>
      <c r="R137" s="11">
        <v>46120</v>
      </c>
      <c r="S137" s="67"/>
      <c r="T137" s="303">
        <v>46150</v>
      </c>
      <c r="U137" s="36">
        <v>46153</v>
      </c>
      <c r="V137" s="41"/>
    </row>
    <row r="138" spans="1:22" s="3" customFormat="1" ht="19.5" customHeight="1" x14ac:dyDescent="0.2">
      <c r="A138" s="125" t="s">
        <v>244</v>
      </c>
      <c r="B138" s="297" t="s">
        <v>511</v>
      </c>
      <c r="C138" s="45">
        <v>1.4999999999999999E-2</v>
      </c>
      <c r="D138" s="1">
        <f t="shared" ref="D138" si="17">+C138*K138</f>
        <v>0.06</v>
      </c>
      <c r="E138" s="45"/>
      <c r="F138" s="280">
        <v>20</v>
      </c>
      <c r="G138" s="60">
        <f t="shared" si="16"/>
        <v>92</v>
      </c>
      <c r="H138" s="1" t="s">
        <v>522</v>
      </c>
      <c r="I138" s="1" t="s">
        <v>24</v>
      </c>
      <c r="J138" s="319" t="s">
        <v>523</v>
      </c>
      <c r="K138" s="320">
        <v>4</v>
      </c>
      <c r="L138" s="321">
        <v>183</v>
      </c>
      <c r="M138" s="39">
        <f t="shared" si="15"/>
        <v>732</v>
      </c>
      <c r="N138" s="40"/>
      <c r="O138" s="43" t="s">
        <v>524</v>
      </c>
      <c r="P138" s="44"/>
      <c r="Q138" s="322" t="s">
        <v>525</v>
      </c>
      <c r="R138" s="11">
        <v>46157</v>
      </c>
      <c r="S138" s="67"/>
      <c r="T138" s="303">
        <v>46161</v>
      </c>
      <c r="U138" s="36">
        <v>46162</v>
      </c>
      <c r="V138" s="41"/>
    </row>
    <row r="139" spans="1:22" s="3" customFormat="1" ht="19.5" customHeight="1" x14ac:dyDescent="0.2">
      <c r="A139" s="125" t="s">
        <v>27</v>
      </c>
      <c r="B139" s="297" t="s">
        <v>511</v>
      </c>
      <c r="C139" s="45">
        <v>4.0000000000000001E-3</v>
      </c>
      <c r="D139" s="1">
        <f t="shared" si="14"/>
        <v>0.20800000000000002</v>
      </c>
      <c r="E139" s="45"/>
      <c r="F139" s="280">
        <v>20</v>
      </c>
      <c r="G139" s="60">
        <f t="shared" si="16"/>
        <v>93</v>
      </c>
      <c r="H139" s="1" t="s">
        <v>24</v>
      </c>
      <c r="I139" s="1" t="s">
        <v>24</v>
      </c>
      <c r="J139" s="234" t="s">
        <v>228</v>
      </c>
      <c r="K139" s="235">
        <v>52</v>
      </c>
      <c r="L139" s="307">
        <v>18</v>
      </c>
      <c r="M139" s="39">
        <f t="shared" si="15"/>
        <v>936</v>
      </c>
      <c r="N139" s="40"/>
      <c r="O139" s="43" t="s">
        <v>492</v>
      </c>
      <c r="P139" s="44"/>
      <c r="Q139" s="318" t="s">
        <v>520</v>
      </c>
      <c r="R139" s="11">
        <v>46120</v>
      </c>
      <c r="S139" s="67"/>
      <c r="T139" s="303">
        <v>46150</v>
      </c>
      <c r="U139" s="36">
        <v>46153</v>
      </c>
      <c r="V139" s="41"/>
    </row>
    <row r="140" spans="1:22" s="3" customFormat="1" ht="19.5" customHeight="1" x14ac:dyDescent="0.2">
      <c r="A140" s="125" t="s">
        <v>27</v>
      </c>
      <c r="B140" s="297" t="s">
        <v>511</v>
      </c>
      <c r="C140" s="45">
        <v>4.0000000000000001E-3</v>
      </c>
      <c r="D140" s="1">
        <f t="shared" si="14"/>
        <v>6.4000000000000001E-2</v>
      </c>
      <c r="E140" s="45"/>
      <c r="F140" s="280">
        <v>20</v>
      </c>
      <c r="G140" s="60">
        <f t="shared" si="16"/>
        <v>94</v>
      </c>
      <c r="H140" s="1" t="s">
        <v>24</v>
      </c>
      <c r="I140" s="1" t="s">
        <v>24</v>
      </c>
      <c r="J140" s="234" t="s">
        <v>229</v>
      </c>
      <c r="K140" s="235">
        <v>16</v>
      </c>
      <c r="L140" s="110">
        <v>56</v>
      </c>
      <c r="M140" s="39">
        <f t="shared" si="15"/>
        <v>896</v>
      </c>
      <c r="N140" s="40"/>
      <c r="O140" s="43" t="s">
        <v>235</v>
      </c>
      <c r="P140" s="44"/>
      <c r="Q140" s="318" t="s">
        <v>520</v>
      </c>
      <c r="R140" s="11">
        <v>46120</v>
      </c>
      <c r="S140" s="67"/>
      <c r="T140" s="303">
        <v>46150</v>
      </c>
      <c r="U140" s="36">
        <v>46153</v>
      </c>
      <c r="V140" s="41"/>
    </row>
    <row r="141" spans="1:22" s="3" customFormat="1" ht="19.5" customHeight="1" x14ac:dyDescent="0.2">
      <c r="A141" s="125" t="s">
        <v>27</v>
      </c>
      <c r="B141" s="297" t="s">
        <v>511</v>
      </c>
      <c r="C141" s="45">
        <v>7.0000000000000001E-3</v>
      </c>
      <c r="D141" s="1">
        <f t="shared" si="14"/>
        <v>0.33600000000000002</v>
      </c>
      <c r="E141" s="45"/>
      <c r="F141" s="280">
        <v>20</v>
      </c>
      <c r="G141" s="60">
        <f t="shared" si="16"/>
        <v>95</v>
      </c>
      <c r="H141" s="1" t="s">
        <v>24</v>
      </c>
      <c r="I141" s="1" t="s">
        <v>24</v>
      </c>
      <c r="J141" s="234" t="s">
        <v>230</v>
      </c>
      <c r="K141" s="235">
        <v>48</v>
      </c>
      <c r="L141" s="110">
        <v>56</v>
      </c>
      <c r="M141" s="39">
        <f t="shared" si="15"/>
        <v>2688</v>
      </c>
      <c r="N141" s="40"/>
      <c r="O141" s="43" t="s">
        <v>238</v>
      </c>
      <c r="P141" s="44"/>
      <c r="Q141" s="318" t="s">
        <v>520</v>
      </c>
      <c r="R141" s="11">
        <v>46120</v>
      </c>
      <c r="S141" s="67"/>
      <c r="T141" s="303">
        <v>46150</v>
      </c>
      <c r="U141" s="36">
        <v>46153</v>
      </c>
      <c r="V141" s="41"/>
    </row>
    <row r="142" spans="1:22" s="3" customFormat="1" ht="19.5" customHeight="1" x14ac:dyDescent="0.2">
      <c r="A142" s="125" t="s">
        <v>27</v>
      </c>
      <c r="B142" s="297" t="s">
        <v>511</v>
      </c>
      <c r="C142" s="45">
        <v>8.5000000000000006E-2</v>
      </c>
      <c r="D142" s="1">
        <f t="shared" si="14"/>
        <v>0.68</v>
      </c>
      <c r="E142" s="45"/>
      <c r="F142" s="280">
        <v>20</v>
      </c>
      <c r="G142" s="60">
        <f t="shared" si="16"/>
        <v>96</v>
      </c>
      <c r="H142" s="1" t="s">
        <v>24</v>
      </c>
      <c r="I142" s="1" t="s">
        <v>24</v>
      </c>
      <c r="J142" s="234" t="s">
        <v>231</v>
      </c>
      <c r="K142" s="235">
        <v>8</v>
      </c>
      <c r="L142" s="110">
        <v>276</v>
      </c>
      <c r="M142" s="39">
        <f t="shared" si="15"/>
        <v>2208</v>
      </c>
      <c r="N142" s="40"/>
      <c r="O142" s="43" t="s">
        <v>237</v>
      </c>
      <c r="P142" s="44"/>
      <c r="Q142" s="318" t="s">
        <v>520</v>
      </c>
      <c r="R142" s="11">
        <v>46120</v>
      </c>
      <c r="S142" s="67"/>
      <c r="T142" s="303">
        <v>46150</v>
      </c>
      <c r="U142" s="36">
        <v>46153</v>
      </c>
      <c r="V142" s="41"/>
    </row>
    <row r="143" spans="1:22" s="3" customFormat="1" ht="19.5" customHeight="1" x14ac:dyDescent="0.2">
      <c r="B143" s="289"/>
      <c r="F143" s="165"/>
      <c r="G143" s="70"/>
      <c r="H143" s="39"/>
      <c r="I143" s="39"/>
      <c r="J143" s="42"/>
      <c r="K143" s="40"/>
      <c r="L143" s="69"/>
      <c r="M143" s="39"/>
      <c r="N143" s="40"/>
      <c r="O143" s="43"/>
      <c r="P143" s="44"/>
      <c r="Q143" s="74"/>
      <c r="R143" s="68"/>
      <c r="S143" s="38"/>
      <c r="T143" s="55"/>
      <c r="U143" s="19"/>
      <c r="V143" s="41"/>
    </row>
    <row r="144" spans="1:22" s="3" customFormat="1" ht="19.5" customHeight="1" x14ac:dyDescent="0.2">
      <c r="B144" s="289"/>
      <c r="F144" s="165"/>
      <c r="G144" s="70"/>
      <c r="H144" s="39"/>
      <c r="I144" s="39"/>
      <c r="J144" s="337">
        <f>SUM(M127:M143)</f>
        <v>143072</v>
      </c>
      <c r="K144" s="338"/>
      <c r="L144" s="338"/>
      <c r="M144" s="339"/>
      <c r="N144" s="40"/>
      <c r="O144" s="43"/>
      <c r="P144" s="44"/>
      <c r="Q144" s="74"/>
      <c r="R144" s="68"/>
      <c r="S144" s="38"/>
      <c r="T144" s="55"/>
      <c r="U144" s="19"/>
      <c r="V144" s="41"/>
    </row>
    <row r="145" spans="1:22" s="3" customFormat="1" ht="19.5" customHeight="1" x14ac:dyDescent="0.2">
      <c r="B145" s="289"/>
      <c r="F145" s="165"/>
      <c r="G145" s="70"/>
      <c r="H145" s="39"/>
      <c r="I145" s="39"/>
      <c r="J145" s="42"/>
      <c r="K145" s="40"/>
      <c r="L145" s="69"/>
      <c r="M145" s="39"/>
      <c r="N145" s="40"/>
      <c r="O145" s="43"/>
      <c r="P145" s="44"/>
      <c r="Q145" s="74"/>
      <c r="R145" s="68"/>
      <c r="S145" s="38"/>
      <c r="T145" s="55"/>
      <c r="U145" s="19"/>
      <c r="V145" s="41"/>
    </row>
    <row r="146" spans="1:22" s="3" customFormat="1" ht="19.5" customHeight="1" x14ac:dyDescent="0.2">
      <c r="B146" s="289"/>
      <c r="F146" s="165"/>
      <c r="G146" s="70"/>
      <c r="H146" s="39"/>
      <c r="I146" s="39"/>
      <c r="J146" s="42"/>
      <c r="K146" s="40"/>
      <c r="L146" s="69"/>
      <c r="M146" s="39"/>
      <c r="N146" s="40"/>
      <c r="O146" s="43"/>
      <c r="P146" s="44"/>
      <c r="Q146" s="74"/>
      <c r="R146" s="68"/>
      <c r="S146" s="38"/>
      <c r="T146" s="55"/>
      <c r="U146" s="19"/>
      <c r="V146" s="41"/>
    </row>
    <row r="147" spans="1:22" s="3" customFormat="1" ht="19.5" customHeight="1" x14ac:dyDescent="0.2">
      <c r="B147" s="289"/>
      <c r="F147" s="165"/>
      <c r="G147" s="70"/>
      <c r="H147" s="39"/>
      <c r="I147" s="39"/>
      <c r="J147" s="42"/>
      <c r="K147" s="40"/>
      <c r="L147" s="69"/>
      <c r="M147" s="39"/>
      <c r="N147" s="40"/>
      <c r="O147" s="43"/>
      <c r="P147" s="44"/>
      <c r="Q147" s="74"/>
      <c r="R147" s="68"/>
      <c r="S147" s="38"/>
      <c r="T147" s="55"/>
      <c r="U147" s="19"/>
      <c r="V147" s="41"/>
    </row>
    <row r="148" spans="1:22" s="3" customFormat="1" ht="19.649999999999999" customHeight="1" x14ac:dyDescent="0.2">
      <c r="B148" s="289"/>
      <c r="E148" s="127"/>
      <c r="F148" s="1"/>
      <c r="G148" s="349" t="s">
        <v>25</v>
      </c>
      <c r="H148" s="350"/>
      <c r="I148" s="350"/>
      <c r="J148" s="351"/>
      <c r="K148" s="1"/>
      <c r="L148" s="34"/>
      <c r="M148" s="33"/>
      <c r="N148" s="26"/>
      <c r="O148" s="24"/>
      <c r="P148" s="44"/>
      <c r="Q148" s="74"/>
      <c r="R148" s="68"/>
      <c r="S148" s="38"/>
      <c r="T148" s="55"/>
      <c r="U148" s="19"/>
      <c r="V148" s="41"/>
    </row>
    <row r="149" spans="1:22" s="3" customFormat="1" ht="19.649999999999999" customHeight="1" x14ac:dyDescent="0.2">
      <c r="A149" s="125" t="s">
        <v>23</v>
      </c>
      <c r="B149" s="298" t="s">
        <v>512</v>
      </c>
      <c r="C149" s="45">
        <v>1.2</v>
      </c>
      <c r="D149" s="1">
        <f t="shared" ref="D149:D201" si="18">+C149*K149</f>
        <v>1.2</v>
      </c>
      <c r="E149" s="45"/>
      <c r="F149" s="201">
        <v>13</v>
      </c>
      <c r="G149" s="98">
        <f>+G142+1</f>
        <v>97</v>
      </c>
      <c r="H149" s="75" t="s">
        <v>24</v>
      </c>
      <c r="I149" s="75" t="s">
        <v>24</v>
      </c>
      <c r="J149" s="231" t="s">
        <v>130</v>
      </c>
      <c r="K149" s="103">
        <v>1</v>
      </c>
      <c r="L149" s="306">
        <v>2705</v>
      </c>
      <c r="M149" s="103">
        <f t="shared" ref="M149:M182" si="19">K149*L149</f>
        <v>2705</v>
      </c>
      <c r="N149" s="46"/>
      <c r="O149" s="47" t="s">
        <v>131</v>
      </c>
      <c r="P149" s="35"/>
      <c r="Q149" s="318" t="s">
        <v>520</v>
      </c>
      <c r="R149" s="11">
        <v>46120</v>
      </c>
      <c r="S149" s="67"/>
      <c r="T149" s="303">
        <v>46150</v>
      </c>
      <c r="U149" s="36">
        <v>46153</v>
      </c>
      <c r="V149" s="41"/>
    </row>
    <row r="150" spans="1:22" s="3" customFormat="1" ht="19.649999999999999" customHeight="1" x14ac:dyDescent="0.2">
      <c r="A150" s="129" t="s">
        <v>27</v>
      </c>
      <c r="B150" s="298" t="s">
        <v>512</v>
      </c>
      <c r="C150" s="45">
        <v>1</v>
      </c>
      <c r="D150" s="1">
        <f t="shared" si="18"/>
        <v>2</v>
      </c>
      <c r="E150" s="45"/>
      <c r="F150" s="201">
        <v>13</v>
      </c>
      <c r="G150" s="98">
        <f>+G149+1</f>
        <v>98</v>
      </c>
      <c r="H150" s="147" t="s">
        <v>132</v>
      </c>
      <c r="I150" s="88" t="s">
        <v>24</v>
      </c>
      <c r="J150" s="192" t="s">
        <v>51</v>
      </c>
      <c r="K150" s="45">
        <v>2</v>
      </c>
      <c r="L150" s="100">
        <v>1611</v>
      </c>
      <c r="M150" s="104">
        <f t="shared" si="19"/>
        <v>3222</v>
      </c>
      <c r="N150" s="94"/>
      <c r="O150" s="73" t="s">
        <v>133</v>
      </c>
      <c r="Q150" s="318" t="s">
        <v>520</v>
      </c>
      <c r="R150" s="11">
        <v>46120</v>
      </c>
      <c r="S150" s="67"/>
      <c r="T150" s="303">
        <v>46150</v>
      </c>
      <c r="U150" s="36">
        <v>46153</v>
      </c>
      <c r="V150" s="41"/>
    </row>
    <row r="151" spans="1:22" s="3" customFormat="1" ht="19.649999999999999" customHeight="1" x14ac:dyDescent="0.2">
      <c r="A151" s="129" t="s">
        <v>27</v>
      </c>
      <c r="B151" s="298" t="s">
        <v>512</v>
      </c>
      <c r="C151" s="45">
        <v>1</v>
      </c>
      <c r="D151" s="1">
        <f t="shared" si="18"/>
        <v>2</v>
      </c>
      <c r="E151" s="45"/>
      <c r="F151" s="201">
        <v>13</v>
      </c>
      <c r="G151" s="98">
        <f t="shared" ref="G151:G201" si="20">+G150+1</f>
        <v>99</v>
      </c>
      <c r="H151" s="147" t="s">
        <v>132</v>
      </c>
      <c r="I151" s="88" t="s">
        <v>24</v>
      </c>
      <c r="J151" s="192" t="s">
        <v>363</v>
      </c>
      <c r="K151" s="45">
        <v>2</v>
      </c>
      <c r="L151" s="100">
        <v>1443</v>
      </c>
      <c r="M151" s="104">
        <f t="shared" si="19"/>
        <v>2886</v>
      </c>
      <c r="N151" s="94"/>
      <c r="O151" s="73" t="s">
        <v>133</v>
      </c>
      <c r="Q151" s="318" t="s">
        <v>520</v>
      </c>
      <c r="R151" s="11">
        <v>46120</v>
      </c>
      <c r="S151" s="67"/>
      <c r="T151" s="303">
        <v>46150</v>
      </c>
      <c r="U151" s="36">
        <v>46153</v>
      </c>
      <c r="V151" s="41"/>
    </row>
    <row r="152" spans="1:22" s="3" customFormat="1" ht="19.649999999999999" customHeight="1" x14ac:dyDescent="0.2">
      <c r="A152" s="129" t="s">
        <v>27</v>
      </c>
      <c r="B152" s="298" t="s">
        <v>512</v>
      </c>
      <c r="C152" s="45">
        <v>5.0000000000000001E-3</v>
      </c>
      <c r="D152" s="1">
        <f t="shared" si="18"/>
        <v>0.35499999999999998</v>
      </c>
      <c r="E152" s="45"/>
      <c r="F152" s="201">
        <v>13</v>
      </c>
      <c r="G152" s="98">
        <f t="shared" si="20"/>
        <v>100</v>
      </c>
      <c r="H152" s="185" t="s">
        <v>364</v>
      </c>
      <c r="I152" s="40" t="s">
        <v>38</v>
      </c>
      <c r="J152" s="246" t="s">
        <v>365</v>
      </c>
      <c r="K152" s="247">
        <v>71</v>
      </c>
      <c r="L152" s="308">
        <v>81</v>
      </c>
      <c r="M152" s="242">
        <f t="shared" si="19"/>
        <v>5751</v>
      </c>
      <c r="N152" s="243"/>
      <c r="O152" s="244" t="s">
        <v>366</v>
      </c>
      <c r="P152" s="184" t="s">
        <v>367</v>
      </c>
      <c r="Q152" s="318" t="s">
        <v>520</v>
      </c>
      <c r="R152" s="11">
        <v>46120</v>
      </c>
      <c r="S152" s="67"/>
      <c r="T152" s="303">
        <v>46150</v>
      </c>
      <c r="U152" s="36">
        <v>46153</v>
      </c>
      <c r="V152" s="41"/>
    </row>
    <row r="153" spans="1:22" s="3" customFormat="1" ht="19.649999999999999" customHeight="1" x14ac:dyDescent="0.2">
      <c r="A153" s="129" t="s">
        <v>27</v>
      </c>
      <c r="B153" s="298" t="s">
        <v>512</v>
      </c>
      <c r="C153" s="45">
        <v>5.0000000000000001E-3</v>
      </c>
      <c r="D153" s="1">
        <f t="shared" si="18"/>
        <v>0.28000000000000003</v>
      </c>
      <c r="E153" s="45"/>
      <c r="F153" s="201">
        <v>13</v>
      </c>
      <c r="G153" s="98">
        <f t="shared" si="20"/>
        <v>101</v>
      </c>
      <c r="H153" s="39" t="s">
        <v>24</v>
      </c>
      <c r="I153" s="39" t="s">
        <v>24</v>
      </c>
      <c r="J153" s="248" t="s">
        <v>308</v>
      </c>
      <c r="K153" s="249">
        <v>56</v>
      </c>
      <c r="L153" s="235">
        <v>53</v>
      </c>
      <c r="M153" s="245">
        <f t="shared" si="19"/>
        <v>2968</v>
      </c>
      <c r="N153" s="183"/>
      <c r="O153" s="184" t="s">
        <v>495</v>
      </c>
      <c r="P153" s="184" t="s">
        <v>368</v>
      </c>
      <c r="Q153" s="318" t="s">
        <v>520</v>
      </c>
      <c r="R153" s="11">
        <v>46120</v>
      </c>
      <c r="S153" s="67"/>
      <c r="T153" s="303">
        <v>46150</v>
      </c>
      <c r="U153" s="36">
        <v>46153</v>
      </c>
      <c r="V153" s="41"/>
    </row>
    <row r="154" spans="1:22" s="3" customFormat="1" ht="19.649999999999999" customHeight="1" x14ac:dyDescent="0.2">
      <c r="A154" s="129" t="s">
        <v>27</v>
      </c>
      <c r="B154" s="298" t="s">
        <v>512</v>
      </c>
      <c r="C154" s="45">
        <v>0.25</v>
      </c>
      <c r="D154" s="1">
        <f t="shared" si="18"/>
        <v>0.25</v>
      </c>
      <c r="E154" s="45"/>
      <c r="F154" s="201">
        <v>13</v>
      </c>
      <c r="G154" s="98">
        <f t="shared" si="20"/>
        <v>102</v>
      </c>
      <c r="H154" s="4" t="s">
        <v>24</v>
      </c>
      <c r="I154" s="4" t="s">
        <v>24</v>
      </c>
      <c r="J154" s="237" t="s">
        <v>57</v>
      </c>
      <c r="K154" s="45">
        <v>1</v>
      </c>
      <c r="L154" s="306">
        <v>6542</v>
      </c>
      <c r="M154" s="103">
        <f t="shared" si="19"/>
        <v>6542</v>
      </c>
      <c r="N154" s="2"/>
      <c r="O154" s="23" t="s">
        <v>44</v>
      </c>
      <c r="P154" s="35"/>
      <c r="Q154" s="318" t="s">
        <v>520</v>
      </c>
      <c r="R154" s="11">
        <v>46120</v>
      </c>
      <c r="S154" s="67"/>
      <c r="T154" s="303">
        <v>46150</v>
      </c>
      <c r="U154" s="36">
        <v>46153</v>
      </c>
      <c r="V154" s="41"/>
    </row>
    <row r="155" spans="1:22" s="3" customFormat="1" ht="19.649999999999999" customHeight="1" x14ac:dyDescent="0.2">
      <c r="A155" s="129" t="s">
        <v>27</v>
      </c>
      <c r="B155" s="298" t="s">
        <v>512</v>
      </c>
      <c r="C155" s="45">
        <v>0.02</v>
      </c>
      <c r="D155" s="1">
        <f t="shared" si="18"/>
        <v>0.02</v>
      </c>
      <c r="E155" s="45"/>
      <c r="F155" s="201">
        <v>13</v>
      </c>
      <c r="G155" s="98">
        <f t="shared" si="20"/>
        <v>103</v>
      </c>
      <c r="H155" s="88" t="s">
        <v>24</v>
      </c>
      <c r="I155" s="88" t="s">
        <v>24</v>
      </c>
      <c r="J155" s="216" t="s">
        <v>45</v>
      </c>
      <c r="K155" s="100">
        <v>1</v>
      </c>
      <c r="L155" s="309">
        <v>208</v>
      </c>
      <c r="M155" s="104">
        <f t="shared" si="19"/>
        <v>208</v>
      </c>
      <c r="N155" s="53"/>
      <c r="O155" s="73" t="s">
        <v>134</v>
      </c>
      <c r="P155" s="35"/>
      <c r="Q155" s="318" t="s">
        <v>520</v>
      </c>
      <c r="R155" s="11">
        <v>46120</v>
      </c>
      <c r="S155" s="67"/>
      <c r="T155" s="303">
        <v>46150</v>
      </c>
      <c r="U155" s="36">
        <v>46153</v>
      </c>
      <c r="V155" s="41"/>
    </row>
    <row r="156" spans="1:22" s="3" customFormat="1" ht="19.649999999999999" customHeight="1" x14ac:dyDescent="0.2">
      <c r="A156" s="129" t="s">
        <v>27</v>
      </c>
      <c r="B156" s="298" t="s">
        <v>512</v>
      </c>
      <c r="C156" s="45">
        <v>0.1</v>
      </c>
      <c r="D156" s="1">
        <f t="shared" si="18"/>
        <v>0.1</v>
      </c>
      <c r="E156" s="45"/>
      <c r="F156" s="201">
        <v>13</v>
      </c>
      <c r="G156" s="98">
        <f t="shared" si="20"/>
        <v>104</v>
      </c>
      <c r="H156" s="4" t="s">
        <v>24</v>
      </c>
      <c r="I156" s="4" t="s">
        <v>24</v>
      </c>
      <c r="J156" s="238" t="s">
        <v>104</v>
      </c>
      <c r="K156" s="100">
        <v>1</v>
      </c>
      <c r="L156" s="310">
        <v>951</v>
      </c>
      <c r="M156" s="105">
        <f t="shared" si="19"/>
        <v>951</v>
      </c>
      <c r="N156" s="132"/>
      <c r="O156" s="73" t="s">
        <v>103</v>
      </c>
      <c r="P156" s="35"/>
      <c r="Q156" s="318" t="s">
        <v>520</v>
      </c>
      <c r="R156" s="11">
        <v>46120</v>
      </c>
      <c r="S156" s="67"/>
      <c r="T156" s="303">
        <v>46150</v>
      </c>
      <c r="U156" s="36">
        <v>46153</v>
      </c>
      <c r="V156" s="41"/>
    </row>
    <row r="157" spans="1:22" s="3" customFormat="1" ht="19.649999999999999" customHeight="1" x14ac:dyDescent="0.2">
      <c r="A157" s="129" t="s">
        <v>27</v>
      </c>
      <c r="B157" s="298" t="s">
        <v>512</v>
      </c>
      <c r="C157" s="45">
        <v>0.25</v>
      </c>
      <c r="D157" s="1">
        <f t="shared" si="18"/>
        <v>0.25</v>
      </c>
      <c r="E157" s="45"/>
      <c r="F157" s="201">
        <v>13</v>
      </c>
      <c r="G157" s="98">
        <f t="shared" si="20"/>
        <v>105</v>
      </c>
      <c r="H157" s="4" t="s">
        <v>24</v>
      </c>
      <c r="I157" s="4" t="s">
        <v>24</v>
      </c>
      <c r="J157" s="219" t="s">
        <v>42</v>
      </c>
      <c r="K157" s="160">
        <v>1</v>
      </c>
      <c r="L157" s="159">
        <v>5373</v>
      </c>
      <c r="M157" s="105">
        <f t="shared" si="19"/>
        <v>5373</v>
      </c>
      <c r="N157" s="76"/>
      <c r="O157" s="23" t="s">
        <v>387</v>
      </c>
      <c r="P157" s="35"/>
      <c r="Q157" s="318" t="s">
        <v>520</v>
      </c>
      <c r="R157" s="11">
        <v>46120</v>
      </c>
      <c r="S157" s="67"/>
      <c r="T157" s="303">
        <v>46150</v>
      </c>
      <c r="U157" s="36">
        <v>46153</v>
      </c>
      <c r="V157" s="41"/>
    </row>
    <row r="158" spans="1:22" s="3" customFormat="1" ht="19.649999999999999" customHeight="1" x14ac:dyDescent="0.2">
      <c r="A158" s="129" t="s">
        <v>27</v>
      </c>
      <c r="B158" s="298" t="s">
        <v>512</v>
      </c>
      <c r="C158" s="45">
        <v>0.3</v>
      </c>
      <c r="D158" s="1">
        <f t="shared" si="18"/>
        <v>0.3</v>
      </c>
      <c r="E158" s="45"/>
      <c r="F158" s="201">
        <v>13</v>
      </c>
      <c r="G158" s="98">
        <f t="shared" si="20"/>
        <v>106</v>
      </c>
      <c r="H158" s="4" t="s">
        <v>24</v>
      </c>
      <c r="I158" s="4" t="s">
        <v>24</v>
      </c>
      <c r="J158" s="219" t="s">
        <v>220</v>
      </c>
      <c r="K158" s="160">
        <v>1</v>
      </c>
      <c r="L158" s="105">
        <v>6201</v>
      </c>
      <c r="M158" s="105">
        <f t="shared" si="19"/>
        <v>6201</v>
      </c>
      <c r="N158" s="76"/>
      <c r="O158" s="23" t="s">
        <v>388</v>
      </c>
      <c r="P158" s="35"/>
      <c r="Q158" s="318" t="s">
        <v>520</v>
      </c>
      <c r="R158" s="11">
        <v>46120</v>
      </c>
      <c r="S158" s="67"/>
      <c r="T158" s="303">
        <v>46150</v>
      </c>
      <c r="U158" s="36">
        <v>46153</v>
      </c>
      <c r="V158" s="41"/>
    </row>
    <row r="159" spans="1:22" s="3" customFormat="1" ht="19.649999999999999" customHeight="1" x14ac:dyDescent="0.2">
      <c r="A159" s="129" t="s">
        <v>27</v>
      </c>
      <c r="B159" s="298" t="s">
        <v>512</v>
      </c>
      <c r="C159" s="45">
        <v>0.15</v>
      </c>
      <c r="D159" s="1">
        <f t="shared" si="18"/>
        <v>0.3</v>
      </c>
      <c r="E159" s="45"/>
      <c r="F159" s="201">
        <v>13</v>
      </c>
      <c r="G159" s="98">
        <f t="shared" si="20"/>
        <v>107</v>
      </c>
      <c r="H159" s="4" t="s">
        <v>24</v>
      </c>
      <c r="I159" s="4" t="s">
        <v>24</v>
      </c>
      <c r="J159" s="175" t="s">
        <v>135</v>
      </c>
      <c r="K159" s="45">
        <v>2</v>
      </c>
      <c r="L159" s="130">
        <v>1545</v>
      </c>
      <c r="M159" s="103">
        <f t="shared" si="19"/>
        <v>3090</v>
      </c>
      <c r="N159" s="137"/>
      <c r="O159" s="24" t="s">
        <v>43</v>
      </c>
      <c r="P159" s="35"/>
      <c r="Q159" s="318" t="s">
        <v>520</v>
      </c>
      <c r="R159" s="11">
        <v>46120</v>
      </c>
      <c r="S159" s="67"/>
      <c r="T159" s="303">
        <v>46150</v>
      </c>
      <c r="U159" s="36">
        <v>46153</v>
      </c>
      <c r="V159" s="41"/>
    </row>
    <row r="160" spans="1:22" s="3" customFormat="1" ht="19.649999999999999" customHeight="1" x14ac:dyDescent="0.2">
      <c r="A160" s="129" t="s">
        <v>27</v>
      </c>
      <c r="B160" s="298" t="s">
        <v>512</v>
      </c>
      <c r="C160" s="45">
        <v>0.2</v>
      </c>
      <c r="D160" s="1">
        <f t="shared" si="18"/>
        <v>0.2</v>
      </c>
      <c r="E160" s="45"/>
      <c r="F160" s="201">
        <v>13</v>
      </c>
      <c r="G160" s="98">
        <f t="shared" si="20"/>
        <v>108</v>
      </c>
      <c r="H160" s="4" t="s">
        <v>24</v>
      </c>
      <c r="I160" s="4" t="s">
        <v>24</v>
      </c>
      <c r="J160" s="219" t="s">
        <v>162</v>
      </c>
      <c r="K160" s="160">
        <v>1</v>
      </c>
      <c r="L160" s="105">
        <v>1638</v>
      </c>
      <c r="M160" s="159">
        <f t="shared" si="19"/>
        <v>1638</v>
      </c>
      <c r="N160" s="2"/>
      <c r="O160" s="23" t="s">
        <v>163</v>
      </c>
      <c r="P160" s="35"/>
      <c r="Q160" s="318" t="s">
        <v>520</v>
      </c>
      <c r="R160" s="11">
        <v>46120</v>
      </c>
      <c r="S160" s="67"/>
      <c r="T160" s="303">
        <v>46150</v>
      </c>
      <c r="U160" s="36">
        <v>46153</v>
      </c>
      <c r="V160" s="41"/>
    </row>
    <row r="161" spans="1:22" s="3" customFormat="1" ht="19.649999999999999" customHeight="1" x14ac:dyDescent="0.2">
      <c r="A161" s="129" t="s">
        <v>27</v>
      </c>
      <c r="B161" s="298" t="s">
        <v>512</v>
      </c>
      <c r="C161" s="45">
        <v>2.5</v>
      </c>
      <c r="D161" s="1">
        <f t="shared" si="18"/>
        <v>2.5</v>
      </c>
      <c r="E161" s="45"/>
      <c r="F161" s="201">
        <v>13</v>
      </c>
      <c r="G161" s="98">
        <f t="shared" si="20"/>
        <v>109</v>
      </c>
      <c r="H161" s="88" t="s">
        <v>24</v>
      </c>
      <c r="I161" s="88" t="s">
        <v>24</v>
      </c>
      <c r="J161" s="216" t="s">
        <v>157</v>
      </c>
      <c r="K161" s="100">
        <v>1</v>
      </c>
      <c r="L161" s="309">
        <v>2477</v>
      </c>
      <c r="M161" s="52">
        <f t="shared" si="19"/>
        <v>2477</v>
      </c>
      <c r="N161" s="53"/>
      <c r="O161" s="73" t="s">
        <v>156</v>
      </c>
      <c r="P161" s="35"/>
      <c r="Q161" s="318" t="s">
        <v>520</v>
      </c>
      <c r="R161" s="11">
        <v>46120</v>
      </c>
      <c r="S161" s="67"/>
      <c r="T161" s="303">
        <v>46150</v>
      </c>
      <c r="U161" s="36">
        <v>46153</v>
      </c>
      <c r="V161" s="41"/>
    </row>
    <row r="162" spans="1:22" s="3" customFormat="1" ht="19.649999999999999" customHeight="1" x14ac:dyDescent="0.2">
      <c r="A162" s="129" t="s">
        <v>27</v>
      </c>
      <c r="B162" s="298" t="s">
        <v>512</v>
      </c>
      <c r="C162" s="1">
        <v>0.2</v>
      </c>
      <c r="D162" s="1">
        <f t="shared" si="18"/>
        <v>0.2</v>
      </c>
      <c r="E162" s="1"/>
      <c r="F162" s="201">
        <v>13</v>
      </c>
      <c r="G162" s="98">
        <f t="shared" si="20"/>
        <v>110</v>
      </c>
      <c r="H162" s="148" t="s">
        <v>46</v>
      </c>
      <c r="I162" s="4" t="s">
        <v>24</v>
      </c>
      <c r="J162" s="149" t="s">
        <v>136</v>
      </c>
      <c r="K162" s="45">
        <v>1</v>
      </c>
      <c r="L162" s="311">
        <v>2560</v>
      </c>
      <c r="M162" s="103">
        <f t="shared" si="19"/>
        <v>2560</v>
      </c>
      <c r="N162" s="137"/>
      <c r="O162" s="24" t="s">
        <v>137</v>
      </c>
      <c r="P162" s="35"/>
      <c r="Q162" s="318" t="s">
        <v>520</v>
      </c>
      <c r="R162" s="11">
        <v>46120</v>
      </c>
      <c r="S162" s="67"/>
      <c r="T162" s="303">
        <v>46150</v>
      </c>
      <c r="U162" s="36">
        <v>46153</v>
      </c>
      <c r="V162" s="41"/>
    </row>
    <row r="163" spans="1:22" s="3" customFormat="1" ht="19.649999999999999" customHeight="1" x14ac:dyDescent="0.2">
      <c r="A163" s="129" t="s">
        <v>27</v>
      </c>
      <c r="B163" s="298" t="s">
        <v>512</v>
      </c>
      <c r="C163" s="1">
        <v>0.05</v>
      </c>
      <c r="D163" s="1">
        <f t="shared" si="18"/>
        <v>0.05</v>
      </c>
      <c r="E163" s="1"/>
      <c r="F163" s="201">
        <v>13</v>
      </c>
      <c r="G163" s="98">
        <f t="shared" si="20"/>
        <v>111</v>
      </c>
      <c r="H163" s="134" t="s">
        <v>46</v>
      </c>
      <c r="I163" s="4" t="s">
        <v>24</v>
      </c>
      <c r="J163" s="128" t="s">
        <v>47</v>
      </c>
      <c r="K163" s="160">
        <v>1</v>
      </c>
      <c r="L163" s="311">
        <v>2950</v>
      </c>
      <c r="M163" s="103">
        <f t="shared" si="19"/>
        <v>2950</v>
      </c>
      <c r="N163" s="137"/>
      <c r="O163" s="24" t="s">
        <v>48</v>
      </c>
      <c r="P163" s="35"/>
      <c r="Q163" s="318" t="s">
        <v>520</v>
      </c>
      <c r="R163" s="11">
        <v>46120</v>
      </c>
      <c r="S163" s="67"/>
      <c r="T163" s="303">
        <v>46150</v>
      </c>
      <c r="U163" s="36">
        <v>46153</v>
      </c>
      <c r="V163" s="41"/>
    </row>
    <row r="164" spans="1:22" s="3" customFormat="1" ht="19.649999999999999" customHeight="1" x14ac:dyDescent="0.2">
      <c r="A164" s="129" t="s">
        <v>27</v>
      </c>
      <c r="B164" s="298" t="s">
        <v>512</v>
      </c>
      <c r="C164" s="1">
        <v>0.05</v>
      </c>
      <c r="D164" s="1">
        <f t="shared" si="18"/>
        <v>0.05</v>
      </c>
      <c r="E164" s="1"/>
      <c r="F164" s="201">
        <v>13</v>
      </c>
      <c r="G164" s="98">
        <f t="shared" si="20"/>
        <v>112</v>
      </c>
      <c r="H164" s="134" t="s">
        <v>46</v>
      </c>
      <c r="I164" s="4" t="s">
        <v>24</v>
      </c>
      <c r="J164" s="128" t="s">
        <v>49</v>
      </c>
      <c r="K164" s="160">
        <v>1</v>
      </c>
      <c r="L164" s="311">
        <v>2950</v>
      </c>
      <c r="M164" s="103">
        <f t="shared" si="19"/>
        <v>2950</v>
      </c>
      <c r="N164" s="137"/>
      <c r="O164" s="24" t="s">
        <v>50</v>
      </c>
      <c r="P164" s="35"/>
      <c r="Q164" s="318" t="s">
        <v>520</v>
      </c>
      <c r="R164" s="11">
        <v>46120</v>
      </c>
      <c r="S164" s="67"/>
      <c r="T164" s="303">
        <v>46150</v>
      </c>
      <c r="U164" s="36">
        <v>46153</v>
      </c>
      <c r="V164" s="41"/>
    </row>
    <row r="165" spans="1:22" s="3" customFormat="1" ht="19.649999999999999" customHeight="1" x14ac:dyDescent="0.2">
      <c r="A165" s="129" t="s">
        <v>27</v>
      </c>
      <c r="B165" s="298" t="s">
        <v>512</v>
      </c>
      <c r="C165" s="1">
        <v>0.25</v>
      </c>
      <c r="D165" s="1">
        <f t="shared" si="18"/>
        <v>0.25</v>
      </c>
      <c r="E165" s="1"/>
      <c r="F165" s="201">
        <v>13</v>
      </c>
      <c r="G165" s="98">
        <f t="shared" si="20"/>
        <v>113</v>
      </c>
      <c r="H165" s="134" t="s">
        <v>46</v>
      </c>
      <c r="I165" s="4" t="s">
        <v>24</v>
      </c>
      <c r="J165" s="128" t="s">
        <v>138</v>
      </c>
      <c r="K165" s="45">
        <v>1</v>
      </c>
      <c r="L165" s="311">
        <v>2950</v>
      </c>
      <c r="M165" s="103">
        <f t="shared" si="19"/>
        <v>2950</v>
      </c>
      <c r="N165" s="137"/>
      <c r="O165" s="24" t="s">
        <v>139</v>
      </c>
      <c r="P165" s="35"/>
      <c r="Q165" s="318" t="s">
        <v>520</v>
      </c>
      <c r="R165" s="11">
        <v>46120</v>
      </c>
      <c r="S165" s="67"/>
      <c r="T165" s="303">
        <v>46150</v>
      </c>
      <c r="U165" s="36">
        <v>46153</v>
      </c>
      <c r="V165" s="41"/>
    </row>
    <row r="166" spans="1:22" s="3" customFormat="1" ht="19.649999999999999" customHeight="1" x14ac:dyDescent="0.2">
      <c r="A166" s="129" t="s">
        <v>27</v>
      </c>
      <c r="B166" s="298" t="s">
        <v>512</v>
      </c>
      <c r="C166" s="1">
        <v>0.1</v>
      </c>
      <c r="D166" s="1">
        <f t="shared" si="18"/>
        <v>0.1</v>
      </c>
      <c r="E166" s="1"/>
      <c r="F166" s="201">
        <v>13</v>
      </c>
      <c r="G166" s="98">
        <f t="shared" si="20"/>
        <v>114</v>
      </c>
      <c r="H166" s="134" t="s">
        <v>46</v>
      </c>
      <c r="I166" s="4" t="s">
        <v>24</v>
      </c>
      <c r="J166" s="128" t="s">
        <v>140</v>
      </c>
      <c r="K166" s="45">
        <v>1</v>
      </c>
      <c r="L166" s="311">
        <v>2950</v>
      </c>
      <c r="M166" s="103">
        <f>K166*L166</f>
        <v>2950</v>
      </c>
      <c r="N166" s="137"/>
      <c r="O166" s="24" t="s">
        <v>141</v>
      </c>
      <c r="P166" s="35"/>
      <c r="Q166" s="318" t="s">
        <v>520</v>
      </c>
      <c r="R166" s="11">
        <v>46120</v>
      </c>
      <c r="S166" s="67"/>
      <c r="T166" s="303">
        <v>46150</v>
      </c>
      <c r="U166" s="36">
        <v>46153</v>
      </c>
      <c r="V166" s="41"/>
    </row>
    <row r="167" spans="1:22" s="3" customFormat="1" ht="19.649999999999999" customHeight="1" x14ac:dyDescent="0.2">
      <c r="A167" s="129" t="s">
        <v>27</v>
      </c>
      <c r="B167" s="298" t="s">
        <v>512</v>
      </c>
      <c r="C167" s="1">
        <v>0.1</v>
      </c>
      <c r="D167" s="1">
        <f t="shared" si="18"/>
        <v>0.1</v>
      </c>
      <c r="E167" s="1"/>
      <c r="F167" s="201">
        <v>13</v>
      </c>
      <c r="G167" s="98">
        <f t="shared" si="20"/>
        <v>115</v>
      </c>
      <c r="H167" s="134" t="s">
        <v>46</v>
      </c>
      <c r="I167" s="4" t="s">
        <v>24</v>
      </c>
      <c r="J167" s="128" t="s">
        <v>142</v>
      </c>
      <c r="K167" s="45">
        <v>1</v>
      </c>
      <c r="L167" s="311">
        <v>4000</v>
      </c>
      <c r="M167" s="103">
        <f>K167*L167</f>
        <v>4000</v>
      </c>
      <c r="N167" s="137"/>
      <c r="O167" s="24" t="s">
        <v>143</v>
      </c>
      <c r="P167" s="35"/>
      <c r="Q167" s="318" t="s">
        <v>520</v>
      </c>
      <c r="R167" s="11">
        <v>46120</v>
      </c>
      <c r="S167" s="67"/>
      <c r="T167" s="303">
        <v>46150</v>
      </c>
      <c r="U167" s="36">
        <v>46153</v>
      </c>
      <c r="V167" s="41"/>
    </row>
    <row r="168" spans="1:22" s="3" customFormat="1" ht="19.649999999999999" customHeight="1" x14ac:dyDescent="0.2">
      <c r="A168" s="129" t="s">
        <v>27</v>
      </c>
      <c r="B168" s="298" t="s">
        <v>512</v>
      </c>
      <c r="C168" s="1">
        <v>0.1</v>
      </c>
      <c r="D168" s="1">
        <f t="shared" si="18"/>
        <v>0.1</v>
      </c>
      <c r="E168" s="1"/>
      <c r="F168" s="201">
        <v>13</v>
      </c>
      <c r="G168" s="98">
        <f t="shared" si="20"/>
        <v>116</v>
      </c>
      <c r="H168" s="134" t="s">
        <v>46</v>
      </c>
      <c r="I168" s="4" t="s">
        <v>24</v>
      </c>
      <c r="J168" s="128" t="s">
        <v>144</v>
      </c>
      <c r="K168" s="45">
        <v>1</v>
      </c>
      <c r="L168" s="311">
        <v>4000</v>
      </c>
      <c r="M168" s="103">
        <f>K168*L168</f>
        <v>4000</v>
      </c>
      <c r="N168" s="137"/>
      <c r="O168" s="24" t="s">
        <v>145</v>
      </c>
      <c r="P168" s="35"/>
      <c r="Q168" s="318" t="s">
        <v>520</v>
      </c>
      <c r="R168" s="11">
        <v>46120</v>
      </c>
      <c r="S168" s="67"/>
      <c r="T168" s="303">
        <v>46150</v>
      </c>
      <c r="U168" s="36">
        <v>46153</v>
      </c>
      <c r="V168" s="41"/>
    </row>
    <row r="169" spans="1:22" s="3" customFormat="1" ht="19.649999999999999" customHeight="1" x14ac:dyDescent="0.2">
      <c r="A169" s="96" t="s">
        <v>27</v>
      </c>
      <c r="B169" s="298" t="s">
        <v>512</v>
      </c>
      <c r="C169" s="1">
        <v>2</v>
      </c>
      <c r="D169" s="1">
        <f t="shared" si="18"/>
        <v>2</v>
      </c>
      <c r="E169" s="1"/>
      <c r="F169" s="201">
        <v>13</v>
      </c>
      <c r="G169" s="98">
        <f t="shared" si="20"/>
        <v>117</v>
      </c>
      <c r="H169" s="4" t="s">
        <v>24</v>
      </c>
      <c r="I169" s="4" t="s">
        <v>24</v>
      </c>
      <c r="J169" s="251" t="s">
        <v>378</v>
      </c>
      <c r="K169" s="45">
        <v>1</v>
      </c>
      <c r="L169" s="103">
        <v>4080</v>
      </c>
      <c r="M169" s="103">
        <f t="shared" si="19"/>
        <v>4080</v>
      </c>
      <c r="N169" s="76"/>
      <c r="O169" s="23" t="s">
        <v>381</v>
      </c>
      <c r="P169" s="35"/>
      <c r="Q169" s="318" t="s">
        <v>520</v>
      </c>
      <c r="R169" s="11">
        <v>46120</v>
      </c>
      <c r="S169" s="67"/>
      <c r="T169" s="303">
        <v>46150</v>
      </c>
      <c r="U169" s="36">
        <v>46153</v>
      </c>
      <c r="V169" s="41"/>
    </row>
    <row r="170" spans="1:22" s="3" customFormat="1" ht="19.649999999999999" customHeight="1" x14ac:dyDescent="0.2">
      <c r="A170" s="96" t="s">
        <v>27</v>
      </c>
      <c r="B170" s="298" t="s">
        <v>512</v>
      </c>
      <c r="C170" s="1">
        <v>1.8</v>
      </c>
      <c r="D170" s="1">
        <f t="shared" si="18"/>
        <v>1.8</v>
      </c>
      <c r="E170" s="1"/>
      <c r="F170" s="201">
        <v>13</v>
      </c>
      <c r="G170" s="98">
        <f t="shared" si="20"/>
        <v>118</v>
      </c>
      <c r="H170" s="4" t="s">
        <v>24</v>
      </c>
      <c r="I170" s="4" t="s">
        <v>24</v>
      </c>
      <c r="J170" s="251" t="s">
        <v>379</v>
      </c>
      <c r="K170" s="45">
        <v>1</v>
      </c>
      <c r="L170" s="103">
        <v>3956</v>
      </c>
      <c r="M170" s="103">
        <f t="shared" si="19"/>
        <v>3956</v>
      </c>
      <c r="N170" s="76"/>
      <c r="O170" s="23" t="s">
        <v>380</v>
      </c>
      <c r="P170" s="35"/>
      <c r="Q170" s="318" t="s">
        <v>520</v>
      </c>
      <c r="R170" s="11">
        <v>46120</v>
      </c>
      <c r="S170" s="67"/>
      <c r="T170" s="303">
        <v>46150</v>
      </c>
      <c r="U170" s="36">
        <v>46153</v>
      </c>
      <c r="V170" s="41"/>
    </row>
    <row r="171" spans="1:22" s="3" customFormat="1" ht="19.649999999999999" customHeight="1" x14ac:dyDescent="0.2">
      <c r="A171" s="96" t="s">
        <v>35</v>
      </c>
      <c r="B171" s="298" t="s">
        <v>512</v>
      </c>
      <c r="C171" s="162">
        <v>3.8</v>
      </c>
      <c r="D171" s="1">
        <f t="shared" si="18"/>
        <v>3.8</v>
      </c>
      <c r="E171" s="96"/>
      <c r="F171" s="201">
        <v>13</v>
      </c>
      <c r="G171" s="98">
        <f t="shared" si="20"/>
        <v>119</v>
      </c>
      <c r="H171" s="134" t="s">
        <v>37</v>
      </c>
      <c r="I171" s="4" t="s">
        <v>24</v>
      </c>
      <c r="J171" s="251" t="s">
        <v>535</v>
      </c>
      <c r="K171" s="45">
        <v>1</v>
      </c>
      <c r="L171" s="334">
        <v>12571</v>
      </c>
      <c r="M171" s="103">
        <f t="shared" si="19"/>
        <v>12571</v>
      </c>
      <c r="N171" s="76"/>
      <c r="O171" s="23" t="s">
        <v>369</v>
      </c>
      <c r="P171" s="35"/>
      <c r="Q171" s="318" t="s">
        <v>520</v>
      </c>
      <c r="R171" s="11">
        <v>46120</v>
      </c>
      <c r="S171" s="67"/>
      <c r="T171" s="303">
        <v>46150</v>
      </c>
      <c r="U171" s="36">
        <v>46153</v>
      </c>
      <c r="V171" s="41"/>
    </row>
    <row r="172" spans="1:22" s="3" customFormat="1" ht="19.649999999999999" customHeight="1" x14ac:dyDescent="0.2">
      <c r="A172" s="96" t="s">
        <v>35</v>
      </c>
      <c r="B172" s="298" t="s">
        <v>512</v>
      </c>
      <c r="C172" s="162">
        <v>3.8</v>
      </c>
      <c r="D172" s="1">
        <f t="shared" ref="D172" si="21">+C172*K172</f>
        <v>3.8</v>
      </c>
      <c r="E172" s="96"/>
      <c r="F172" s="201">
        <v>13</v>
      </c>
      <c r="G172" s="98">
        <f t="shared" si="20"/>
        <v>120</v>
      </c>
      <c r="H172" s="134" t="s">
        <v>37</v>
      </c>
      <c r="I172" s="4" t="s">
        <v>24</v>
      </c>
      <c r="J172" s="335" t="s">
        <v>536</v>
      </c>
      <c r="K172" s="325">
        <v>1</v>
      </c>
      <c r="L172" s="332">
        <v>14543</v>
      </c>
      <c r="M172" s="103">
        <f t="shared" si="19"/>
        <v>14543</v>
      </c>
      <c r="N172" s="76"/>
      <c r="O172" s="23" t="s">
        <v>537</v>
      </c>
      <c r="P172" s="35"/>
      <c r="Q172" s="336" t="s">
        <v>538</v>
      </c>
      <c r="R172" s="11">
        <v>46183</v>
      </c>
      <c r="S172" s="38"/>
      <c r="T172" s="303">
        <v>46186</v>
      </c>
      <c r="U172" s="36">
        <v>46188</v>
      </c>
      <c r="V172" s="41"/>
    </row>
    <row r="173" spans="1:22" s="3" customFormat="1" ht="19.649999999999999" customHeight="1" x14ac:dyDescent="0.2">
      <c r="A173" s="129" t="s">
        <v>27</v>
      </c>
      <c r="B173" s="298" t="s">
        <v>512</v>
      </c>
      <c r="C173" s="45">
        <v>4.5</v>
      </c>
      <c r="D173" s="1">
        <f t="shared" si="18"/>
        <v>4.5</v>
      </c>
      <c r="E173" s="45"/>
      <c r="F173" s="201">
        <v>13</v>
      </c>
      <c r="G173" s="98">
        <f t="shared" si="20"/>
        <v>121</v>
      </c>
      <c r="H173" s="4" t="s">
        <v>24</v>
      </c>
      <c r="I173" s="4" t="s">
        <v>24</v>
      </c>
      <c r="J173" s="192" t="s">
        <v>146</v>
      </c>
      <c r="K173" s="45">
        <v>1</v>
      </c>
      <c r="L173" s="306">
        <v>31598</v>
      </c>
      <c r="M173" s="103">
        <f t="shared" si="19"/>
        <v>31598</v>
      </c>
      <c r="N173" s="2"/>
      <c r="O173" s="23" t="s">
        <v>147</v>
      </c>
      <c r="P173" s="35"/>
      <c r="Q173" s="318" t="s">
        <v>520</v>
      </c>
      <c r="R173" s="11">
        <v>46120</v>
      </c>
      <c r="S173" s="67"/>
      <c r="T173" s="303">
        <v>46150</v>
      </c>
      <c r="U173" s="36">
        <v>46153</v>
      </c>
      <c r="V173" s="41"/>
    </row>
    <row r="174" spans="1:22" s="3" customFormat="1" ht="19.649999999999999" customHeight="1" x14ac:dyDescent="0.2">
      <c r="A174" s="129" t="s">
        <v>27</v>
      </c>
      <c r="B174" s="298" t="s">
        <v>512</v>
      </c>
      <c r="C174" s="45">
        <v>0.08</v>
      </c>
      <c r="D174" s="1">
        <f t="shared" si="18"/>
        <v>0.4</v>
      </c>
      <c r="E174" s="45"/>
      <c r="F174" s="201">
        <v>13</v>
      </c>
      <c r="G174" s="98">
        <f t="shared" si="20"/>
        <v>122</v>
      </c>
      <c r="H174" s="147" t="s">
        <v>148</v>
      </c>
      <c r="I174" s="88" t="s">
        <v>24</v>
      </c>
      <c r="J174" s="216" t="s">
        <v>149</v>
      </c>
      <c r="K174" s="100">
        <v>5</v>
      </c>
      <c r="L174" s="107">
        <v>177</v>
      </c>
      <c r="M174" s="107">
        <f t="shared" si="19"/>
        <v>885</v>
      </c>
      <c r="N174" s="53"/>
      <c r="O174" s="73" t="s">
        <v>150</v>
      </c>
      <c r="P174" s="35"/>
      <c r="Q174" s="318" t="s">
        <v>520</v>
      </c>
      <c r="R174" s="11">
        <v>46120</v>
      </c>
      <c r="S174" s="67"/>
      <c r="T174" s="303">
        <v>46150</v>
      </c>
      <c r="U174" s="36">
        <v>46153</v>
      </c>
      <c r="V174" s="41"/>
    </row>
    <row r="175" spans="1:22" s="3" customFormat="1" ht="19.649999999999999" customHeight="1" x14ac:dyDescent="0.2">
      <c r="A175" s="129" t="s">
        <v>27</v>
      </c>
      <c r="B175" s="298" t="s">
        <v>512</v>
      </c>
      <c r="C175" s="45">
        <v>0.05</v>
      </c>
      <c r="D175" s="1">
        <f t="shared" si="18"/>
        <v>0.2</v>
      </c>
      <c r="E175" s="45"/>
      <c r="F175" s="201">
        <v>13</v>
      </c>
      <c r="G175" s="98">
        <f t="shared" si="20"/>
        <v>123</v>
      </c>
      <c r="H175" s="4" t="s">
        <v>24</v>
      </c>
      <c r="I175" s="4" t="s">
        <v>24</v>
      </c>
      <c r="J175" s="219" t="s">
        <v>151</v>
      </c>
      <c r="K175" s="45">
        <v>4</v>
      </c>
      <c r="L175" s="159">
        <v>332</v>
      </c>
      <c r="M175" s="105">
        <f t="shared" si="19"/>
        <v>1328</v>
      </c>
      <c r="N175" s="2"/>
      <c r="O175" s="24" t="s">
        <v>152</v>
      </c>
      <c r="P175" s="35"/>
      <c r="Q175" s="318" t="s">
        <v>520</v>
      </c>
      <c r="R175" s="11">
        <v>46120</v>
      </c>
      <c r="S175" s="67"/>
      <c r="T175" s="303">
        <v>46150</v>
      </c>
      <c r="U175" s="36">
        <v>46153</v>
      </c>
      <c r="V175" s="41"/>
    </row>
    <row r="176" spans="1:22" s="3" customFormat="1" ht="19.649999999999999" customHeight="1" x14ac:dyDescent="0.2">
      <c r="A176" s="129" t="s">
        <v>27</v>
      </c>
      <c r="B176" s="298" t="s">
        <v>512</v>
      </c>
      <c r="C176" s="45">
        <v>0.05</v>
      </c>
      <c r="D176" s="1">
        <f t="shared" si="18"/>
        <v>0.2</v>
      </c>
      <c r="E176" s="45"/>
      <c r="F176" s="201">
        <v>13</v>
      </c>
      <c r="G176" s="98">
        <f t="shared" si="20"/>
        <v>124</v>
      </c>
      <c r="H176" s="4" t="s">
        <v>24</v>
      </c>
      <c r="I176" s="4" t="s">
        <v>24</v>
      </c>
      <c r="J176" s="253" t="s">
        <v>370</v>
      </c>
      <c r="K176" s="207">
        <v>4</v>
      </c>
      <c r="L176" s="312">
        <v>306</v>
      </c>
      <c r="M176" s="105">
        <f t="shared" si="19"/>
        <v>1224</v>
      </c>
      <c r="N176" s="254"/>
      <c r="O176" s="313" t="s">
        <v>519</v>
      </c>
      <c r="P176" s="35"/>
      <c r="Q176" s="318" t="s">
        <v>520</v>
      </c>
      <c r="R176" s="11">
        <v>46120</v>
      </c>
      <c r="S176" s="67"/>
      <c r="T176" s="303">
        <v>46150</v>
      </c>
      <c r="U176" s="36">
        <v>46153</v>
      </c>
      <c r="V176" s="41"/>
    </row>
    <row r="177" spans="1:22" s="3" customFormat="1" ht="19.649999999999999" customHeight="1" x14ac:dyDescent="0.2">
      <c r="A177" s="129" t="s">
        <v>27</v>
      </c>
      <c r="B177" s="298" t="s">
        <v>512</v>
      </c>
      <c r="C177" s="45">
        <v>0.01</v>
      </c>
      <c r="D177" s="1">
        <f t="shared" si="18"/>
        <v>0.04</v>
      </c>
      <c r="E177" s="45"/>
      <c r="F177" s="201">
        <v>13</v>
      </c>
      <c r="G177" s="98">
        <f t="shared" si="20"/>
        <v>125</v>
      </c>
      <c r="H177" s="250" t="s">
        <v>38</v>
      </c>
      <c r="I177" s="250" t="s">
        <v>38</v>
      </c>
      <c r="J177" s="253" t="s">
        <v>371</v>
      </c>
      <c r="K177" s="207">
        <v>4</v>
      </c>
      <c r="L177" s="312">
        <v>96</v>
      </c>
      <c r="M177" s="105">
        <f t="shared" si="19"/>
        <v>384</v>
      </c>
      <c r="N177" s="254"/>
      <c r="O177" s="264" t="s">
        <v>427</v>
      </c>
      <c r="P177" s="35"/>
      <c r="Q177" s="318" t="s">
        <v>520</v>
      </c>
      <c r="R177" s="11">
        <v>46120</v>
      </c>
      <c r="S177" s="67"/>
      <c r="T177" s="303">
        <v>46150</v>
      </c>
      <c r="U177" s="36">
        <v>46153</v>
      </c>
      <c r="V177" s="41"/>
    </row>
    <row r="178" spans="1:22" s="3" customFormat="1" ht="19.649999999999999" customHeight="1" x14ac:dyDescent="0.2">
      <c r="A178" s="129" t="s">
        <v>27</v>
      </c>
      <c r="B178" s="298" t="s">
        <v>512</v>
      </c>
      <c r="C178" s="45">
        <v>0.01</v>
      </c>
      <c r="D178" s="1">
        <f t="shared" si="18"/>
        <v>0.18</v>
      </c>
      <c r="E178" s="45"/>
      <c r="F178" s="201">
        <v>13</v>
      </c>
      <c r="G178" s="98">
        <f t="shared" si="20"/>
        <v>126</v>
      </c>
      <c r="H178" s="250" t="s">
        <v>38</v>
      </c>
      <c r="I178" s="250" t="s">
        <v>38</v>
      </c>
      <c r="J178" s="253" t="s">
        <v>372</v>
      </c>
      <c r="K178" s="207">
        <v>18</v>
      </c>
      <c r="L178" s="312">
        <v>56</v>
      </c>
      <c r="M178" s="105">
        <f t="shared" si="19"/>
        <v>1008</v>
      </c>
      <c r="N178" s="254"/>
      <c r="O178" s="264" t="s">
        <v>494</v>
      </c>
      <c r="P178" s="35"/>
      <c r="Q178" s="318" t="s">
        <v>520</v>
      </c>
      <c r="R178" s="11">
        <v>46120</v>
      </c>
      <c r="S178" s="67"/>
      <c r="T178" s="303">
        <v>46150</v>
      </c>
      <c r="U178" s="36">
        <v>46153</v>
      </c>
      <c r="V178" s="41"/>
    </row>
    <row r="179" spans="1:22" s="3" customFormat="1" ht="19.649999999999999" customHeight="1" x14ac:dyDescent="0.2">
      <c r="A179" s="129" t="s">
        <v>27</v>
      </c>
      <c r="B179" s="298" t="s">
        <v>512</v>
      </c>
      <c r="C179" s="45">
        <v>7.4999999999999997E-2</v>
      </c>
      <c r="D179" s="1">
        <f t="shared" si="18"/>
        <v>1.05</v>
      </c>
      <c r="E179" s="45"/>
      <c r="F179" s="201">
        <v>13</v>
      </c>
      <c r="G179" s="98">
        <f t="shared" si="20"/>
        <v>127</v>
      </c>
      <c r="H179" s="250" t="s">
        <v>38</v>
      </c>
      <c r="I179" s="250" t="s">
        <v>38</v>
      </c>
      <c r="J179" s="241" t="s">
        <v>373</v>
      </c>
      <c r="K179" s="161">
        <v>14</v>
      </c>
      <c r="L179" s="45">
        <v>52</v>
      </c>
      <c r="M179" s="105">
        <f t="shared" si="19"/>
        <v>728</v>
      </c>
      <c r="N179" s="84"/>
      <c r="O179" s="184" t="s">
        <v>497</v>
      </c>
      <c r="P179" s="35"/>
      <c r="Q179" s="318" t="s">
        <v>520</v>
      </c>
      <c r="R179" s="11">
        <v>46120</v>
      </c>
      <c r="S179" s="67"/>
      <c r="T179" s="303">
        <v>46150</v>
      </c>
      <c r="U179" s="36">
        <v>46153</v>
      </c>
      <c r="V179" s="41"/>
    </row>
    <row r="180" spans="1:22" s="3" customFormat="1" ht="19.649999999999999" customHeight="1" x14ac:dyDescent="0.2">
      <c r="A180" s="129" t="s">
        <v>27</v>
      </c>
      <c r="B180" s="298" t="s">
        <v>512</v>
      </c>
      <c r="C180" s="45">
        <v>0.02</v>
      </c>
      <c r="D180" s="1">
        <f t="shared" si="18"/>
        <v>0.08</v>
      </c>
      <c r="E180" s="45"/>
      <c r="F180" s="201">
        <v>13</v>
      </c>
      <c r="G180" s="98">
        <f t="shared" si="20"/>
        <v>128</v>
      </c>
      <c r="H180" s="250" t="s">
        <v>38</v>
      </c>
      <c r="I180" s="250" t="s">
        <v>38</v>
      </c>
      <c r="J180" s="241" t="s">
        <v>374</v>
      </c>
      <c r="K180" s="161">
        <v>4</v>
      </c>
      <c r="L180" s="314">
        <v>81</v>
      </c>
      <c r="M180" s="105">
        <f t="shared" si="19"/>
        <v>324</v>
      </c>
      <c r="N180" s="84"/>
      <c r="O180" s="83" t="s">
        <v>375</v>
      </c>
      <c r="P180" s="35"/>
      <c r="Q180" s="318" t="s">
        <v>520</v>
      </c>
      <c r="R180" s="11">
        <v>46120</v>
      </c>
      <c r="S180" s="67"/>
      <c r="T180" s="303">
        <v>46150</v>
      </c>
      <c r="U180" s="36">
        <v>46153</v>
      </c>
      <c r="V180" s="41"/>
    </row>
    <row r="181" spans="1:22" s="3" customFormat="1" ht="19.649999999999999" customHeight="1" x14ac:dyDescent="0.2">
      <c r="A181" s="129" t="s">
        <v>27</v>
      </c>
      <c r="B181" s="298" t="s">
        <v>512</v>
      </c>
      <c r="C181" s="45">
        <v>0.01</v>
      </c>
      <c r="D181" s="1">
        <f t="shared" si="18"/>
        <v>0.04</v>
      </c>
      <c r="E181" s="45"/>
      <c r="F181" s="201">
        <v>13</v>
      </c>
      <c r="G181" s="98">
        <f t="shared" si="20"/>
        <v>129</v>
      </c>
      <c r="H181" s="250" t="s">
        <v>38</v>
      </c>
      <c r="I181" s="250" t="s">
        <v>38</v>
      </c>
      <c r="J181" s="241" t="s">
        <v>376</v>
      </c>
      <c r="K181" s="161">
        <v>4</v>
      </c>
      <c r="L181" s="314">
        <v>93</v>
      </c>
      <c r="M181" s="105">
        <f t="shared" si="19"/>
        <v>372</v>
      </c>
      <c r="N181" s="84"/>
      <c r="O181" s="83" t="s">
        <v>377</v>
      </c>
      <c r="P181" s="35"/>
      <c r="Q181" s="318" t="s">
        <v>520</v>
      </c>
      <c r="R181" s="11">
        <v>46120</v>
      </c>
      <c r="S181" s="67"/>
      <c r="T181" s="303">
        <v>46150</v>
      </c>
      <c r="U181" s="36">
        <v>46153</v>
      </c>
      <c r="V181" s="41"/>
    </row>
    <row r="182" spans="1:22" s="3" customFormat="1" ht="19.649999999999999" customHeight="1" x14ac:dyDescent="0.2">
      <c r="A182" s="129" t="s">
        <v>27</v>
      </c>
      <c r="B182" s="298" t="s">
        <v>512</v>
      </c>
      <c r="C182" s="45">
        <v>0.05</v>
      </c>
      <c r="D182" s="1">
        <f t="shared" si="18"/>
        <v>0.8</v>
      </c>
      <c r="E182" s="45"/>
      <c r="F182" s="201">
        <v>13</v>
      </c>
      <c r="G182" s="98">
        <f t="shared" si="20"/>
        <v>130</v>
      </c>
      <c r="H182" s="148" t="s">
        <v>58</v>
      </c>
      <c r="I182" s="4" t="s">
        <v>38</v>
      </c>
      <c r="J182" s="175" t="s">
        <v>214</v>
      </c>
      <c r="K182" s="45">
        <v>16</v>
      </c>
      <c r="L182" s="305">
        <v>150</v>
      </c>
      <c r="M182" s="105">
        <f t="shared" si="19"/>
        <v>2400</v>
      </c>
      <c r="N182" s="76"/>
      <c r="O182" s="23" t="s">
        <v>215</v>
      </c>
      <c r="P182" s="35"/>
      <c r="Q182" s="318" t="s">
        <v>520</v>
      </c>
      <c r="R182" s="11">
        <v>46120</v>
      </c>
      <c r="S182" s="67"/>
      <c r="T182" s="303">
        <v>46150</v>
      </c>
      <c r="U182" s="36">
        <v>46153</v>
      </c>
      <c r="V182" s="41"/>
    </row>
    <row r="183" spans="1:22" s="3" customFormat="1" ht="19.649999999999999" customHeight="1" x14ac:dyDescent="0.2">
      <c r="A183" s="129" t="s">
        <v>27</v>
      </c>
      <c r="B183" s="298" t="s">
        <v>512</v>
      </c>
      <c r="C183" s="45">
        <v>0.05</v>
      </c>
      <c r="D183" s="1">
        <f t="shared" si="18"/>
        <v>0.2</v>
      </c>
      <c r="E183" s="45"/>
      <c r="F183" s="201">
        <v>13</v>
      </c>
      <c r="G183" s="98">
        <f t="shared" si="20"/>
        <v>131</v>
      </c>
      <c r="H183" s="134" t="s">
        <v>58</v>
      </c>
      <c r="I183" s="4" t="s">
        <v>38</v>
      </c>
      <c r="J183" s="175" t="s">
        <v>216</v>
      </c>
      <c r="K183" s="45">
        <v>4</v>
      </c>
      <c r="L183" s="305">
        <v>66</v>
      </c>
      <c r="M183" s="105">
        <f>K183*L183</f>
        <v>264</v>
      </c>
      <c r="N183" s="1"/>
      <c r="O183" s="23" t="s">
        <v>217</v>
      </c>
      <c r="P183" s="35"/>
      <c r="Q183" s="318" t="s">
        <v>520</v>
      </c>
      <c r="R183" s="11">
        <v>46120</v>
      </c>
      <c r="S183" s="67"/>
      <c r="T183" s="303">
        <v>46150</v>
      </c>
      <c r="U183" s="36">
        <v>46153</v>
      </c>
      <c r="V183" s="41"/>
    </row>
    <row r="184" spans="1:22" s="3" customFormat="1" ht="19.649999999999999" customHeight="1" x14ac:dyDescent="0.2">
      <c r="A184" s="129" t="s">
        <v>27</v>
      </c>
      <c r="B184" s="298" t="s">
        <v>512</v>
      </c>
      <c r="C184" s="45">
        <v>0.05</v>
      </c>
      <c r="D184" s="1">
        <f t="shared" si="18"/>
        <v>0.2</v>
      </c>
      <c r="E184" s="45"/>
      <c r="F184" s="201">
        <v>13</v>
      </c>
      <c r="G184" s="98">
        <f t="shared" si="20"/>
        <v>132</v>
      </c>
      <c r="H184" s="134" t="s">
        <v>58</v>
      </c>
      <c r="I184" s="4" t="s">
        <v>38</v>
      </c>
      <c r="J184" s="175" t="s">
        <v>218</v>
      </c>
      <c r="K184" s="45">
        <v>4</v>
      </c>
      <c r="L184" s="305">
        <v>234</v>
      </c>
      <c r="M184" s="105">
        <f>K184*L184</f>
        <v>936</v>
      </c>
      <c r="N184" s="76"/>
      <c r="O184" s="23" t="s">
        <v>219</v>
      </c>
      <c r="P184" s="35"/>
      <c r="Q184" s="318" t="s">
        <v>520</v>
      </c>
      <c r="R184" s="11">
        <v>46120</v>
      </c>
      <c r="S184" s="67"/>
      <c r="T184" s="303">
        <v>46150</v>
      </c>
      <c r="U184" s="36">
        <v>46153</v>
      </c>
      <c r="V184" s="41"/>
    </row>
    <row r="185" spans="1:22" s="3" customFormat="1" ht="19.649999999999999" customHeight="1" x14ac:dyDescent="0.2">
      <c r="A185" s="129" t="s">
        <v>27</v>
      </c>
      <c r="B185" s="298" t="s">
        <v>512</v>
      </c>
      <c r="C185" s="45">
        <v>0.05</v>
      </c>
      <c r="D185" s="1">
        <f t="shared" si="18"/>
        <v>0.30000000000000004</v>
      </c>
      <c r="E185" s="45"/>
      <c r="F185" s="201">
        <v>13</v>
      </c>
      <c r="G185" s="98">
        <f t="shared" si="20"/>
        <v>133</v>
      </c>
      <c r="H185" s="134" t="s">
        <v>58</v>
      </c>
      <c r="I185" s="4" t="s">
        <v>38</v>
      </c>
      <c r="J185" s="175" t="s">
        <v>59</v>
      </c>
      <c r="K185" s="45">
        <v>6</v>
      </c>
      <c r="L185" s="305">
        <v>165</v>
      </c>
      <c r="M185" s="105">
        <f t="shared" ref="M185:M201" si="22">K185*L185</f>
        <v>990</v>
      </c>
      <c r="N185" s="1"/>
      <c r="O185" s="23" t="s">
        <v>60</v>
      </c>
      <c r="P185" s="35"/>
      <c r="Q185" s="318" t="s">
        <v>520</v>
      </c>
      <c r="R185" s="11">
        <v>46120</v>
      </c>
      <c r="S185" s="67"/>
      <c r="T185" s="303">
        <v>46150</v>
      </c>
      <c r="U185" s="36">
        <v>46153</v>
      </c>
      <c r="V185" s="41"/>
    </row>
    <row r="186" spans="1:22" s="3" customFormat="1" ht="19.649999999999999" customHeight="1" x14ac:dyDescent="0.2">
      <c r="A186" s="129" t="s">
        <v>27</v>
      </c>
      <c r="B186" s="298" t="s">
        <v>512</v>
      </c>
      <c r="C186" s="45">
        <v>0.05</v>
      </c>
      <c r="D186" s="1">
        <f t="shared" si="18"/>
        <v>0.15000000000000002</v>
      </c>
      <c r="E186" s="45"/>
      <c r="F186" s="201">
        <v>13</v>
      </c>
      <c r="G186" s="98">
        <f t="shared" si="20"/>
        <v>134</v>
      </c>
      <c r="H186" s="134" t="s">
        <v>58</v>
      </c>
      <c r="I186" s="4" t="s">
        <v>38</v>
      </c>
      <c r="J186" s="175" t="s">
        <v>61</v>
      </c>
      <c r="K186" s="45">
        <v>3</v>
      </c>
      <c r="L186" s="305">
        <v>566</v>
      </c>
      <c r="M186" s="105">
        <f t="shared" si="22"/>
        <v>1698</v>
      </c>
      <c r="N186" s="1"/>
      <c r="O186" s="23" t="s">
        <v>62</v>
      </c>
      <c r="P186" s="35"/>
      <c r="Q186" s="318" t="s">
        <v>520</v>
      </c>
      <c r="R186" s="11">
        <v>46120</v>
      </c>
      <c r="S186" s="67"/>
      <c r="T186" s="303">
        <v>46150</v>
      </c>
      <c r="U186" s="36">
        <v>46153</v>
      </c>
      <c r="V186" s="41"/>
    </row>
    <row r="187" spans="1:22" s="3" customFormat="1" ht="19.649999999999999" customHeight="1" x14ac:dyDescent="0.2">
      <c r="A187" s="129" t="s">
        <v>27</v>
      </c>
      <c r="B187" s="298" t="s">
        <v>512</v>
      </c>
      <c r="C187" s="45">
        <v>0.05</v>
      </c>
      <c r="D187" s="1">
        <f t="shared" si="18"/>
        <v>0.25</v>
      </c>
      <c r="E187" s="45"/>
      <c r="F187" s="201">
        <v>13</v>
      </c>
      <c r="G187" s="98">
        <f t="shared" si="20"/>
        <v>135</v>
      </c>
      <c r="H187" s="134" t="s">
        <v>58</v>
      </c>
      <c r="I187" s="4" t="s">
        <v>38</v>
      </c>
      <c r="J187" s="175" t="s">
        <v>153</v>
      </c>
      <c r="K187" s="45">
        <v>5</v>
      </c>
      <c r="L187" s="305">
        <v>174</v>
      </c>
      <c r="M187" s="105">
        <f t="shared" si="22"/>
        <v>870</v>
      </c>
      <c r="N187" s="1"/>
      <c r="O187" s="23" t="s">
        <v>63</v>
      </c>
      <c r="P187" s="35"/>
      <c r="Q187" s="318" t="s">
        <v>520</v>
      </c>
      <c r="R187" s="11">
        <v>46120</v>
      </c>
      <c r="S187" s="67"/>
      <c r="T187" s="303">
        <v>46150</v>
      </c>
      <c r="U187" s="36">
        <v>46153</v>
      </c>
      <c r="V187" s="41"/>
    </row>
    <row r="188" spans="1:22" s="3" customFormat="1" ht="19.649999999999999" customHeight="1" x14ac:dyDescent="0.2">
      <c r="A188" s="129" t="s">
        <v>27</v>
      </c>
      <c r="B188" s="298" t="s">
        <v>512</v>
      </c>
      <c r="C188" s="45">
        <v>0.01</v>
      </c>
      <c r="D188" s="1">
        <f t="shared" si="18"/>
        <v>0.05</v>
      </c>
      <c r="E188" s="45"/>
      <c r="F188" s="201">
        <v>13</v>
      </c>
      <c r="G188" s="98">
        <f t="shared" si="20"/>
        <v>136</v>
      </c>
      <c r="H188" s="134" t="s">
        <v>58</v>
      </c>
      <c r="I188" s="4" t="s">
        <v>38</v>
      </c>
      <c r="J188" s="175" t="s">
        <v>64</v>
      </c>
      <c r="K188" s="45">
        <v>5</v>
      </c>
      <c r="L188" s="305">
        <v>127</v>
      </c>
      <c r="M188" s="105">
        <f t="shared" si="22"/>
        <v>635</v>
      </c>
      <c r="N188" s="1"/>
      <c r="O188" s="23" t="s">
        <v>65</v>
      </c>
      <c r="P188" s="35"/>
      <c r="Q188" s="318" t="s">
        <v>520</v>
      </c>
      <c r="R188" s="11">
        <v>46120</v>
      </c>
      <c r="S188" s="67"/>
      <c r="T188" s="303">
        <v>46150</v>
      </c>
      <c r="U188" s="36">
        <v>46153</v>
      </c>
      <c r="V188" s="41"/>
    </row>
    <row r="189" spans="1:22" s="3" customFormat="1" ht="19.649999999999999" customHeight="1" x14ac:dyDescent="0.2">
      <c r="A189" s="96" t="s">
        <v>244</v>
      </c>
      <c r="B189" s="298" t="s">
        <v>512</v>
      </c>
      <c r="C189" s="45">
        <v>2.5</v>
      </c>
      <c r="D189" s="1">
        <f t="shared" si="18"/>
        <v>2.5</v>
      </c>
      <c r="E189" s="45"/>
      <c r="F189" s="201">
        <v>13</v>
      </c>
      <c r="G189" s="98">
        <f t="shared" si="20"/>
        <v>137</v>
      </c>
      <c r="H189" s="39" t="s">
        <v>24</v>
      </c>
      <c r="I189" s="39" t="s">
        <v>24</v>
      </c>
      <c r="J189" s="239" t="s">
        <v>154</v>
      </c>
      <c r="K189" s="158">
        <v>1</v>
      </c>
      <c r="L189" s="130">
        <v>6159</v>
      </c>
      <c r="M189" s="151">
        <f t="shared" si="22"/>
        <v>6159</v>
      </c>
      <c r="N189" s="133"/>
      <c r="O189" s="43" t="s">
        <v>386</v>
      </c>
      <c r="P189" s="150"/>
      <c r="Q189" s="318" t="s">
        <v>520</v>
      </c>
      <c r="R189" s="11">
        <v>46120</v>
      </c>
      <c r="S189" s="67"/>
      <c r="T189" s="303">
        <v>46150</v>
      </c>
      <c r="U189" s="36">
        <v>46153</v>
      </c>
      <c r="V189" s="41"/>
    </row>
    <row r="190" spans="1:22" s="3" customFormat="1" ht="19.649999999999999" customHeight="1" x14ac:dyDescent="0.2">
      <c r="A190" s="96" t="s">
        <v>244</v>
      </c>
      <c r="B190" s="298" t="s">
        <v>512</v>
      </c>
      <c r="C190" s="45">
        <v>0.85</v>
      </c>
      <c r="D190" s="1">
        <f t="shared" si="18"/>
        <v>0.85</v>
      </c>
      <c r="E190" s="45"/>
      <c r="F190" s="201">
        <v>13</v>
      </c>
      <c r="G190" s="98">
        <f t="shared" si="20"/>
        <v>138</v>
      </c>
      <c r="H190" s="39" t="s">
        <v>24</v>
      </c>
      <c r="I190" s="39" t="s">
        <v>24</v>
      </c>
      <c r="J190" s="240" t="s">
        <v>155</v>
      </c>
      <c r="K190" s="158">
        <v>1</v>
      </c>
      <c r="L190" s="130">
        <v>2470</v>
      </c>
      <c r="M190" s="151">
        <f t="shared" si="22"/>
        <v>2470</v>
      </c>
      <c r="N190" s="133"/>
      <c r="O190" s="152" t="s">
        <v>384</v>
      </c>
      <c r="P190" s="150"/>
      <c r="Q190" s="318" t="s">
        <v>520</v>
      </c>
      <c r="R190" s="11">
        <v>46120</v>
      </c>
      <c r="S190" s="67"/>
      <c r="T190" s="303">
        <v>46150</v>
      </c>
      <c r="U190" s="36">
        <v>46153</v>
      </c>
      <c r="V190" s="41"/>
    </row>
    <row r="191" spans="1:22" s="3" customFormat="1" ht="19.649999999999999" customHeight="1" x14ac:dyDescent="0.2">
      <c r="A191" s="96" t="s">
        <v>244</v>
      </c>
      <c r="B191" s="298" t="s">
        <v>512</v>
      </c>
      <c r="C191" s="45">
        <v>0.85</v>
      </c>
      <c r="D191" s="1">
        <f t="shared" si="18"/>
        <v>0.85</v>
      </c>
      <c r="E191" s="45"/>
      <c r="F191" s="201">
        <v>13</v>
      </c>
      <c r="G191" s="98">
        <f t="shared" si="20"/>
        <v>139</v>
      </c>
      <c r="H191" s="39" t="s">
        <v>24</v>
      </c>
      <c r="I191" s="39" t="s">
        <v>24</v>
      </c>
      <c r="J191" s="240" t="s">
        <v>382</v>
      </c>
      <c r="K191" s="158">
        <v>1</v>
      </c>
      <c r="L191" s="130">
        <v>2470</v>
      </c>
      <c r="M191" s="151">
        <f t="shared" si="22"/>
        <v>2470</v>
      </c>
      <c r="N191" s="257"/>
      <c r="O191" s="152" t="s">
        <v>383</v>
      </c>
      <c r="P191" s="258" t="s">
        <v>385</v>
      </c>
      <c r="Q191" s="318" t="s">
        <v>520</v>
      </c>
      <c r="R191" s="11">
        <v>46120</v>
      </c>
      <c r="S191" s="67"/>
      <c r="T191" s="303">
        <v>46150</v>
      </c>
      <c r="U191" s="36">
        <v>46153</v>
      </c>
      <c r="V191" s="41"/>
    </row>
    <row r="192" spans="1:22" s="3" customFormat="1" ht="19.649999999999999" customHeight="1" x14ac:dyDescent="0.2">
      <c r="A192" s="129" t="s">
        <v>27</v>
      </c>
      <c r="B192" s="298" t="s">
        <v>512</v>
      </c>
      <c r="C192" s="45">
        <v>0.25</v>
      </c>
      <c r="D192" s="1">
        <f t="shared" si="18"/>
        <v>0.25</v>
      </c>
      <c r="E192" s="45"/>
      <c r="F192" s="201">
        <v>13</v>
      </c>
      <c r="G192" s="98">
        <f t="shared" si="20"/>
        <v>140</v>
      </c>
      <c r="H192" s="4" t="s">
        <v>38</v>
      </c>
      <c r="I192" s="4" t="s">
        <v>38</v>
      </c>
      <c r="J192" s="211" t="s">
        <v>517</v>
      </c>
      <c r="K192" s="157">
        <v>1</v>
      </c>
      <c r="L192" s="305">
        <v>3400</v>
      </c>
      <c r="M192" s="105">
        <f t="shared" si="22"/>
        <v>3400</v>
      </c>
      <c r="N192" s="76"/>
      <c r="O192" s="73" t="s">
        <v>213</v>
      </c>
      <c r="P192" s="255"/>
      <c r="Q192" s="318" t="s">
        <v>520</v>
      </c>
      <c r="R192" s="11">
        <v>46120</v>
      </c>
      <c r="S192" s="67"/>
      <c r="T192" s="303">
        <v>46150</v>
      </c>
      <c r="U192" s="36">
        <v>46153</v>
      </c>
      <c r="V192" s="41"/>
    </row>
    <row r="193" spans="1:22" s="3" customFormat="1" ht="19.649999999999999" customHeight="1" x14ac:dyDescent="0.2">
      <c r="A193" s="96" t="s">
        <v>27</v>
      </c>
      <c r="B193" s="298" t="s">
        <v>512</v>
      </c>
      <c r="C193" s="1">
        <v>0.05</v>
      </c>
      <c r="D193" s="1">
        <f t="shared" si="18"/>
        <v>0.05</v>
      </c>
      <c r="E193" s="1"/>
      <c r="F193" s="201">
        <v>13</v>
      </c>
      <c r="G193" s="98">
        <f t="shared" si="20"/>
        <v>141</v>
      </c>
      <c r="H193" s="4" t="s">
        <v>38</v>
      </c>
      <c r="I193" s="4" t="s">
        <v>38</v>
      </c>
      <c r="J193" s="209" t="s">
        <v>389</v>
      </c>
      <c r="K193" s="161">
        <v>1</v>
      </c>
      <c r="L193" s="207">
        <v>1138</v>
      </c>
      <c r="M193" s="105">
        <f t="shared" si="22"/>
        <v>1138</v>
      </c>
      <c r="N193" s="168"/>
      <c r="O193" s="252" t="s">
        <v>390</v>
      </c>
      <c r="P193" s="256"/>
      <c r="Q193" s="318" t="s">
        <v>520</v>
      </c>
      <c r="R193" s="11">
        <v>46120</v>
      </c>
      <c r="S193" s="67"/>
      <c r="T193" s="303">
        <v>46150</v>
      </c>
      <c r="U193" s="36">
        <v>46153</v>
      </c>
      <c r="V193" s="41"/>
    </row>
    <row r="194" spans="1:22" s="3" customFormat="1" ht="19.649999999999999" customHeight="1" x14ac:dyDescent="0.2">
      <c r="A194" s="96" t="s">
        <v>27</v>
      </c>
      <c r="B194" s="298" t="s">
        <v>512</v>
      </c>
      <c r="C194" s="1">
        <v>0.05</v>
      </c>
      <c r="D194" s="1">
        <f t="shared" si="18"/>
        <v>0.05</v>
      </c>
      <c r="E194" s="1"/>
      <c r="F194" s="201">
        <v>13</v>
      </c>
      <c r="G194" s="98">
        <f t="shared" si="20"/>
        <v>142</v>
      </c>
      <c r="H194" s="4" t="s">
        <v>38</v>
      </c>
      <c r="I194" s="4" t="s">
        <v>38</v>
      </c>
      <c r="J194" s="209" t="s">
        <v>392</v>
      </c>
      <c r="K194" s="161">
        <v>1</v>
      </c>
      <c r="L194" s="207">
        <v>1064</v>
      </c>
      <c r="M194" s="105">
        <f t="shared" si="22"/>
        <v>1064</v>
      </c>
      <c r="N194" s="168"/>
      <c r="O194" s="252" t="s">
        <v>391</v>
      </c>
      <c r="P194" s="256"/>
      <c r="Q194" s="318" t="s">
        <v>520</v>
      </c>
      <c r="R194" s="11">
        <v>46120</v>
      </c>
      <c r="S194" s="67"/>
      <c r="T194" s="303">
        <v>46150</v>
      </c>
      <c r="U194" s="36">
        <v>46153</v>
      </c>
      <c r="V194" s="41"/>
    </row>
    <row r="195" spans="1:22" s="3" customFormat="1" ht="19.649999999999999" customHeight="1" x14ac:dyDescent="0.2">
      <c r="A195" s="96" t="s">
        <v>27</v>
      </c>
      <c r="B195" s="298" t="s">
        <v>512</v>
      </c>
      <c r="C195" s="1">
        <v>0.05</v>
      </c>
      <c r="D195" s="1">
        <f t="shared" si="18"/>
        <v>0.05</v>
      </c>
      <c r="E195" s="1"/>
      <c r="F195" s="201">
        <v>13</v>
      </c>
      <c r="G195" s="98">
        <f t="shared" si="20"/>
        <v>143</v>
      </c>
      <c r="H195" s="4" t="s">
        <v>38</v>
      </c>
      <c r="I195" s="4" t="s">
        <v>38</v>
      </c>
      <c r="J195" s="209" t="s">
        <v>393</v>
      </c>
      <c r="K195" s="161">
        <v>1</v>
      </c>
      <c r="L195" s="207">
        <v>1196</v>
      </c>
      <c r="M195" s="105">
        <f t="shared" si="22"/>
        <v>1196</v>
      </c>
      <c r="N195" s="168"/>
      <c r="O195" s="252" t="s">
        <v>402</v>
      </c>
      <c r="P195" s="256"/>
      <c r="Q195" s="318" t="s">
        <v>520</v>
      </c>
      <c r="R195" s="11">
        <v>46120</v>
      </c>
      <c r="S195" s="67"/>
      <c r="T195" s="303">
        <v>46150</v>
      </c>
      <c r="U195" s="36">
        <v>46153</v>
      </c>
      <c r="V195" s="41"/>
    </row>
    <row r="196" spans="1:22" s="3" customFormat="1" ht="19.649999999999999" customHeight="1" x14ac:dyDescent="0.2">
      <c r="A196" s="96" t="s">
        <v>27</v>
      </c>
      <c r="B196" s="298" t="s">
        <v>512</v>
      </c>
      <c r="C196" s="1">
        <v>0.05</v>
      </c>
      <c r="D196" s="1">
        <f t="shared" si="18"/>
        <v>0.05</v>
      </c>
      <c r="E196" s="1"/>
      <c r="F196" s="201">
        <v>13</v>
      </c>
      <c r="G196" s="98">
        <f t="shared" si="20"/>
        <v>144</v>
      </c>
      <c r="H196" s="4" t="s">
        <v>38</v>
      </c>
      <c r="I196" s="4" t="s">
        <v>38</v>
      </c>
      <c r="J196" s="209" t="s">
        <v>394</v>
      </c>
      <c r="K196" s="161">
        <v>1</v>
      </c>
      <c r="L196" s="207">
        <v>1079</v>
      </c>
      <c r="M196" s="105">
        <f t="shared" si="22"/>
        <v>1079</v>
      </c>
      <c r="N196" s="168"/>
      <c r="O196" s="252" t="s">
        <v>401</v>
      </c>
      <c r="P196" s="256"/>
      <c r="Q196" s="318" t="s">
        <v>520</v>
      </c>
      <c r="R196" s="11">
        <v>46120</v>
      </c>
      <c r="S196" s="67"/>
      <c r="T196" s="303">
        <v>46150</v>
      </c>
      <c r="U196" s="36">
        <v>46153</v>
      </c>
      <c r="V196" s="41"/>
    </row>
    <row r="197" spans="1:22" s="3" customFormat="1" ht="19.649999999999999" customHeight="1" x14ac:dyDescent="0.2">
      <c r="A197" s="96" t="s">
        <v>27</v>
      </c>
      <c r="B197" s="298" t="s">
        <v>512</v>
      </c>
      <c r="C197" s="1">
        <v>0.05</v>
      </c>
      <c r="D197" s="1">
        <f t="shared" si="18"/>
        <v>0.05</v>
      </c>
      <c r="E197" s="1"/>
      <c r="F197" s="201">
        <v>13</v>
      </c>
      <c r="G197" s="98">
        <f t="shared" si="20"/>
        <v>145</v>
      </c>
      <c r="H197" s="4" t="s">
        <v>38</v>
      </c>
      <c r="I197" s="4" t="s">
        <v>38</v>
      </c>
      <c r="J197" s="209" t="s">
        <v>395</v>
      </c>
      <c r="K197" s="161">
        <v>1</v>
      </c>
      <c r="L197" s="207">
        <v>1196</v>
      </c>
      <c r="M197" s="105">
        <f t="shared" si="22"/>
        <v>1196</v>
      </c>
      <c r="N197" s="168"/>
      <c r="O197" s="252" t="s">
        <v>400</v>
      </c>
      <c r="P197" s="256"/>
      <c r="Q197" s="318" t="s">
        <v>520</v>
      </c>
      <c r="R197" s="11">
        <v>46120</v>
      </c>
      <c r="S197" s="67"/>
      <c r="T197" s="303">
        <v>46150</v>
      </c>
      <c r="U197" s="36">
        <v>46153</v>
      </c>
      <c r="V197" s="41"/>
    </row>
    <row r="198" spans="1:22" s="3" customFormat="1" ht="19.649999999999999" customHeight="1" x14ac:dyDescent="0.2">
      <c r="A198" s="96" t="s">
        <v>27</v>
      </c>
      <c r="B198" s="298" t="s">
        <v>512</v>
      </c>
      <c r="C198" s="1">
        <v>0.05</v>
      </c>
      <c r="D198" s="1">
        <f t="shared" si="18"/>
        <v>0.05</v>
      </c>
      <c r="E198" s="1"/>
      <c r="F198" s="201">
        <v>13</v>
      </c>
      <c r="G198" s="98">
        <f t="shared" si="20"/>
        <v>146</v>
      </c>
      <c r="H198" s="4" t="s">
        <v>38</v>
      </c>
      <c r="I198" s="4" t="s">
        <v>38</v>
      </c>
      <c r="J198" s="209" t="s">
        <v>396</v>
      </c>
      <c r="K198" s="161">
        <v>1</v>
      </c>
      <c r="L198" s="207">
        <v>1079</v>
      </c>
      <c r="M198" s="105">
        <f t="shared" si="22"/>
        <v>1079</v>
      </c>
      <c r="N198" s="168"/>
      <c r="O198" s="252" t="s">
        <v>399</v>
      </c>
      <c r="P198" s="256"/>
      <c r="Q198" s="318" t="s">
        <v>520</v>
      </c>
      <c r="R198" s="11">
        <v>46120</v>
      </c>
      <c r="S198" s="67"/>
      <c r="T198" s="303">
        <v>46150</v>
      </c>
      <c r="U198" s="36">
        <v>46153</v>
      </c>
      <c r="V198" s="41"/>
    </row>
    <row r="199" spans="1:22" s="3" customFormat="1" ht="19.649999999999999" customHeight="1" x14ac:dyDescent="0.2">
      <c r="A199" s="96" t="s">
        <v>27</v>
      </c>
      <c r="B199" s="298" t="s">
        <v>512</v>
      </c>
      <c r="C199" s="1">
        <v>0.05</v>
      </c>
      <c r="D199" s="1">
        <f t="shared" si="18"/>
        <v>0.05</v>
      </c>
      <c r="E199" s="1"/>
      <c r="F199" s="201">
        <v>13</v>
      </c>
      <c r="G199" s="98">
        <f t="shared" si="20"/>
        <v>147</v>
      </c>
      <c r="H199" s="4" t="s">
        <v>38</v>
      </c>
      <c r="I199" s="4" t="s">
        <v>38</v>
      </c>
      <c r="J199" s="209" t="s">
        <v>397</v>
      </c>
      <c r="K199" s="161">
        <v>1</v>
      </c>
      <c r="L199" s="207">
        <v>1138</v>
      </c>
      <c r="M199" s="105">
        <f t="shared" si="22"/>
        <v>1138</v>
      </c>
      <c r="N199" s="168"/>
      <c r="O199" s="252" t="s">
        <v>403</v>
      </c>
      <c r="P199" s="256"/>
      <c r="Q199" s="318" t="s">
        <v>520</v>
      </c>
      <c r="R199" s="11">
        <v>46120</v>
      </c>
      <c r="S199" s="67"/>
      <c r="T199" s="303">
        <v>46150</v>
      </c>
      <c r="U199" s="36">
        <v>46153</v>
      </c>
      <c r="V199" s="41"/>
    </row>
    <row r="200" spans="1:22" s="3" customFormat="1" ht="19.649999999999999" customHeight="1" x14ac:dyDescent="0.2">
      <c r="A200" s="96" t="s">
        <v>27</v>
      </c>
      <c r="B200" s="298" t="s">
        <v>512</v>
      </c>
      <c r="C200" s="1">
        <v>0.05</v>
      </c>
      <c r="D200" s="1">
        <f t="shared" si="18"/>
        <v>0.05</v>
      </c>
      <c r="E200" s="1"/>
      <c r="F200" s="201">
        <v>13</v>
      </c>
      <c r="G200" s="98">
        <f t="shared" si="20"/>
        <v>148</v>
      </c>
      <c r="H200" s="4" t="s">
        <v>38</v>
      </c>
      <c r="I200" s="4" t="s">
        <v>38</v>
      </c>
      <c r="J200" s="209" t="s">
        <v>398</v>
      </c>
      <c r="K200" s="161">
        <v>1</v>
      </c>
      <c r="L200" s="207">
        <v>1064</v>
      </c>
      <c r="M200" s="105">
        <f t="shared" si="22"/>
        <v>1064</v>
      </c>
      <c r="N200" s="168"/>
      <c r="O200" s="252" t="s">
        <v>404</v>
      </c>
      <c r="P200" s="256"/>
      <c r="Q200" s="318" t="s">
        <v>520</v>
      </c>
      <c r="R200" s="11">
        <v>46120</v>
      </c>
      <c r="S200" s="67"/>
      <c r="T200" s="303">
        <v>46150</v>
      </c>
      <c r="U200" s="36">
        <v>46153</v>
      </c>
      <c r="V200" s="41"/>
    </row>
    <row r="201" spans="1:22" s="3" customFormat="1" ht="19.649999999999999" customHeight="1" x14ac:dyDescent="0.2">
      <c r="A201" s="96" t="s">
        <v>40</v>
      </c>
      <c r="B201" s="298" t="s">
        <v>512</v>
      </c>
      <c r="C201" s="1">
        <v>0.05</v>
      </c>
      <c r="D201" s="1">
        <v>4</v>
      </c>
      <c r="E201" s="1"/>
      <c r="F201" s="372">
        <v>13</v>
      </c>
      <c r="G201" s="373">
        <f t="shared" si="20"/>
        <v>149</v>
      </c>
      <c r="H201" s="374" t="s">
        <v>24</v>
      </c>
      <c r="I201" s="374" t="s">
        <v>24</v>
      </c>
      <c r="J201" s="375" t="s">
        <v>539</v>
      </c>
      <c r="K201" s="376">
        <v>1</v>
      </c>
      <c r="L201" s="377">
        <v>19600</v>
      </c>
      <c r="M201" s="378">
        <f t="shared" si="22"/>
        <v>19600</v>
      </c>
      <c r="N201" s="379"/>
      <c r="O201" s="380" t="s">
        <v>540</v>
      </c>
      <c r="P201" s="382"/>
      <c r="Q201" s="383" t="s">
        <v>541</v>
      </c>
      <c r="R201" s="68">
        <v>46188</v>
      </c>
      <c r="S201" s="38"/>
      <c r="T201" s="55">
        <v>46197</v>
      </c>
      <c r="U201" s="19">
        <v>46198</v>
      </c>
      <c r="V201" s="41"/>
    </row>
    <row r="202" spans="1:22" s="3" customFormat="1" ht="19.649999999999999" customHeight="1" x14ac:dyDescent="0.2">
      <c r="A202" s="370"/>
      <c r="B202" s="371"/>
      <c r="C202" s="370"/>
      <c r="D202" s="370"/>
      <c r="E202" s="370"/>
      <c r="F202" s="165"/>
      <c r="G202" s="70"/>
      <c r="H202" s="4"/>
      <c r="I202" s="4"/>
      <c r="J202" s="395"/>
      <c r="K202" s="144"/>
      <c r="L202" s="1"/>
      <c r="M202" s="284"/>
      <c r="N202" s="23"/>
      <c r="O202" s="73"/>
      <c r="P202" s="256"/>
      <c r="Q202" s="396"/>
      <c r="R202" s="11"/>
      <c r="S202" s="381"/>
      <c r="T202" s="55"/>
      <c r="U202" s="19"/>
      <c r="V202" s="41"/>
    </row>
    <row r="203" spans="1:22" s="3" customFormat="1" ht="19.649999999999999" customHeight="1" x14ac:dyDescent="0.2">
      <c r="A203"/>
      <c r="B203" s="288"/>
      <c r="C203"/>
      <c r="D203"/>
      <c r="E203"/>
      <c r="F203" s="24"/>
      <c r="G203" s="1"/>
      <c r="H203" s="4"/>
      <c r="I203" s="4"/>
      <c r="J203" s="397">
        <f>SUM(M149:M201)</f>
        <v>190219</v>
      </c>
      <c r="K203" s="397"/>
      <c r="L203" s="397"/>
      <c r="M203" s="397"/>
      <c r="N203" s="80"/>
      <c r="O203" s="23"/>
      <c r="P203" s="398"/>
      <c r="Q203" s="396"/>
      <c r="R203" s="11"/>
      <c r="S203" s="381"/>
      <c r="T203" s="55"/>
      <c r="U203" s="19"/>
      <c r="V203" s="41"/>
    </row>
    <row r="204" spans="1:22" s="3" customFormat="1" ht="19.649999999999999" customHeight="1" x14ac:dyDescent="0.2">
      <c r="B204" s="289"/>
      <c r="F204" s="165"/>
      <c r="G204" s="88"/>
      <c r="H204" s="75"/>
      <c r="I204" s="75"/>
      <c r="J204" s="82"/>
      <c r="K204" s="28"/>
      <c r="L204" s="34"/>
      <c r="M204" s="34"/>
      <c r="N204" s="46"/>
      <c r="O204" s="47"/>
      <c r="P204" s="398"/>
      <c r="Q204" s="396"/>
      <c r="R204" s="11"/>
      <c r="S204" s="381"/>
      <c r="T204" s="55"/>
      <c r="U204" s="19"/>
      <c r="V204" s="41"/>
    </row>
    <row r="205" spans="1:22" s="3" customFormat="1" ht="19.649999999999999" customHeight="1" x14ac:dyDescent="0.2">
      <c r="B205" s="289"/>
      <c r="F205" s="384"/>
      <c r="G205" s="203"/>
      <c r="H205" s="385"/>
      <c r="I205" s="386"/>
      <c r="J205" s="387"/>
      <c r="K205" s="388"/>
      <c r="L205" s="389"/>
      <c r="M205" s="389"/>
      <c r="N205" s="390"/>
      <c r="O205" s="391"/>
      <c r="P205" s="392"/>
      <c r="Q205" s="393"/>
      <c r="R205" s="394"/>
      <c r="S205" s="38"/>
      <c r="T205" s="55"/>
      <c r="U205" s="19"/>
      <c r="V205" s="41"/>
    </row>
    <row r="206" spans="1:22" s="3" customFormat="1" ht="19.649999999999999" customHeight="1" x14ac:dyDescent="0.2">
      <c r="B206" s="289"/>
      <c r="F206" s="165"/>
      <c r="G206" s="88"/>
      <c r="H206" s="95"/>
      <c r="I206" s="75"/>
      <c r="J206" s="82"/>
      <c r="K206" s="28"/>
      <c r="L206" s="34"/>
      <c r="M206" s="34"/>
      <c r="N206" s="46"/>
      <c r="O206" s="47"/>
      <c r="P206" s="44"/>
      <c r="Q206" s="74"/>
      <c r="R206" s="68"/>
      <c r="S206" s="38"/>
      <c r="T206" s="55"/>
      <c r="U206" s="19"/>
      <c r="V206" s="41"/>
    </row>
    <row r="207" spans="1:22" s="3" customFormat="1" ht="19.649999999999999" customHeight="1" x14ac:dyDescent="0.2">
      <c r="B207" s="289"/>
      <c r="F207" s="165"/>
      <c r="G207" s="4"/>
      <c r="H207" s="340" t="s">
        <v>312</v>
      </c>
      <c r="I207" s="341"/>
      <c r="J207" s="342"/>
      <c r="K207" s="138"/>
      <c r="L207" s="52"/>
      <c r="M207" s="80"/>
      <c r="N207" s="94"/>
      <c r="O207" s="73"/>
      <c r="P207" s="35"/>
      <c r="Q207" s="74"/>
      <c r="R207" s="68"/>
      <c r="S207" s="38"/>
      <c r="T207" s="55"/>
      <c r="U207" s="19"/>
      <c r="V207" s="41"/>
    </row>
    <row r="208" spans="1:22" s="3" customFormat="1" ht="19.649999999999999" customHeight="1" x14ac:dyDescent="0.2">
      <c r="A208" s="146" t="s">
        <v>35</v>
      </c>
      <c r="B208" s="299" t="s">
        <v>513</v>
      </c>
      <c r="C208" s="3">
        <v>0.35</v>
      </c>
      <c r="D208" s="1">
        <f t="shared" ref="D208:D216" si="23">+C208*K208</f>
        <v>0.35</v>
      </c>
      <c r="F208" s="282">
        <v>9</v>
      </c>
      <c r="G208" s="60">
        <f>+G201+1</f>
        <v>150</v>
      </c>
      <c r="H208" s="134" t="s">
        <v>37</v>
      </c>
      <c r="I208" s="4" t="s">
        <v>24</v>
      </c>
      <c r="J208" s="211" t="s">
        <v>482</v>
      </c>
      <c r="K208" s="45">
        <v>1</v>
      </c>
      <c r="L208" s="45">
        <v>3716</v>
      </c>
      <c r="M208" s="103">
        <f t="shared" ref="M208:M210" si="24">K208*L208</f>
        <v>3716</v>
      </c>
      <c r="N208" s="76"/>
      <c r="O208" s="23" t="s">
        <v>481</v>
      </c>
      <c r="P208" s="35"/>
      <c r="Q208" s="318" t="s">
        <v>520</v>
      </c>
      <c r="R208" s="11">
        <v>46120</v>
      </c>
      <c r="S208" s="67"/>
      <c r="T208" s="303">
        <v>46150</v>
      </c>
      <c r="U208" s="36">
        <v>46153</v>
      </c>
      <c r="V208" s="41"/>
    </row>
    <row r="209" spans="1:22" s="3" customFormat="1" ht="19.649999999999999" customHeight="1" x14ac:dyDescent="0.2">
      <c r="A209" s="129" t="s">
        <v>27</v>
      </c>
      <c r="B209" s="299" t="s">
        <v>513</v>
      </c>
      <c r="C209" s="162">
        <v>0.05</v>
      </c>
      <c r="D209" s="1">
        <f t="shared" si="23"/>
        <v>0.05</v>
      </c>
      <c r="F209" s="282">
        <v>9</v>
      </c>
      <c r="G209" s="60">
        <f>+G208+1</f>
        <v>151</v>
      </c>
      <c r="H209" s="1" t="s">
        <v>24</v>
      </c>
      <c r="I209" s="1" t="s">
        <v>24</v>
      </c>
      <c r="J209" s="111" t="s">
        <v>125</v>
      </c>
      <c r="K209" s="45">
        <v>1</v>
      </c>
      <c r="L209" s="305">
        <v>1178</v>
      </c>
      <c r="M209" s="139">
        <f>K209*L209</f>
        <v>1178</v>
      </c>
      <c r="N209" s="23"/>
      <c r="O209" s="24" t="s">
        <v>126</v>
      </c>
      <c r="P209" s="35"/>
      <c r="Q209" s="318" t="s">
        <v>520</v>
      </c>
      <c r="R209" s="11">
        <v>46120</v>
      </c>
      <c r="S209" s="67"/>
      <c r="T209" s="303">
        <v>46150</v>
      </c>
      <c r="U209" s="36">
        <v>46153</v>
      </c>
      <c r="V209" s="41"/>
    </row>
    <row r="210" spans="1:22" s="3" customFormat="1" ht="19.649999999999999" customHeight="1" x14ac:dyDescent="0.2">
      <c r="A210" s="129" t="s">
        <v>27</v>
      </c>
      <c r="B210" s="299" t="s">
        <v>513</v>
      </c>
      <c r="C210" s="3">
        <v>5.0000000000000001E-3</v>
      </c>
      <c r="D210" s="1">
        <f t="shared" si="23"/>
        <v>0.01</v>
      </c>
      <c r="F210" s="282">
        <v>9</v>
      </c>
      <c r="G210" s="60">
        <f t="shared" ref="G210" si="25">+G209+1</f>
        <v>152</v>
      </c>
      <c r="H210" s="4" t="s">
        <v>24</v>
      </c>
      <c r="I210" s="4" t="s">
        <v>24</v>
      </c>
      <c r="J210" s="219" t="s">
        <v>28</v>
      </c>
      <c r="K210" s="45">
        <v>2</v>
      </c>
      <c r="L210" s="315">
        <v>83</v>
      </c>
      <c r="M210" s="105">
        <f t="shared" si="24"/>
        <v>166</v>
      </c>
      <c r="N210" s="76"/>
      <c r="O210" s="24" t="s">
        <v>107</v>
      </c>
      <c r="P210" s="35"/>
      <c r="Q210" s="318" t="s">
        <v>520</v>
      </c>
      <c r="R210" s="11">
        <v>46120</v>
      </c>
      <c r="S210" s="67"/>
      <c r="T210" s="303">
        <v>46150</v>
      </c>
      <c r="U210" s="36">
        <v>46153</v>
      </c>
      <c r="V210" s="41"/>
    </row>
    <row r="211" spans="1:22" s="3" customFormat="1" ht="19.649999999999999" customHeight="1" x14ac:dyDescent="0.2">
      <c r="A211" s="129" t="s">
        <v>27</v>
      </c>
      <c r="B211" s="299" t="s">
        <v>513</v>
      </c>
      <c r="C211" s="162">
        <v>5.0000000000000001E-3</v>
      </c>
      <c r="D211" s="1">
        <f t="shared" si="23"/>
        <v>5.0000000000000001E-3</v>
      </c>
      <c r="F211" s="282">
        <v>9</v>
      </c>
      <c r="G211" s="60">
        <f>+G210+1</f>
        <v>153</v>
      </c>
      <c r="H211" s="141" t="s">
        <v>96</v>
      </c>
      <c r="I211" s="142" t="s">
        <v>24</v>
      </c>
      <c r="J211" s="266" t="s">
        <v>454</v>
      </c>
      <c r="K211" s="163">
        <v>1</v>
      </c>
      <c r="L211" s="316">
        <v>157</v>
      </c>
      <c r="M211" s="139">
        <f t="shared" ref="M211:M215" si="26">K211*L211</f>
        <v>157</v>
      </c>
      <c r="N211" s="140"/>
      <c r="O211" s="82" t="s">
        <v>97</v>
      </c>
      <c r="P211" s="35"/>
      <c r="Q211" s="318" t="s">
        <v>520</v>
      </c>
      <c r="R211" s="11">
        <v>46120</v>
      </c>
      <c r="S211" s="67"/>
      <c r="T211" s="303">
        <v>46150</v>
      </c>
      <c r="U211" s="36">
        <v>46153</v>
      </c>
      <c r="V211" s="41"/>
    </row>
    <row r="212" spans="1:22" s="3" customFormat="1" ht="19.649999999999999" customHeight="1" x14ac:dyDescent="0.2">
      <c r="A212" s="129" t="s">
        <v>27</v>
      </c>
      <c r="B212" s="299" t="s">
        <v>513</v>
      </c>
      <c r="C212" s="3">
        <v>5.0000000000000001E-3</v>
      </c>
      <c r="D212" s="1">
        <f t="shared" si="23"/>
        <v>0.01</v>
      </c>
      <c r="F212" s="282">
        <v>9</v>
      </c>
      <c r="G212" s="60">
        <f>+G211+1</f>
        <v>154</v>
      </c>
      <c r="H212" s="4" t="s">
        <v>24</v>
      </c>
      <c r="I212" s="4" t="s">
        <v>24</v>
      </c>
      <c r="J212" s="219" t="s">
        <v>34</v>
      </c>
      <c r="K212" s="45">
        <v>2</v>
      </c>
      <c r="L212" s="315">
        <v>32</v>
      </c>
      <c r="M212" s="105">
        <f t="shared" si="26"/>
        <v>64</v>
      </c>
      <c r="N212" s="76"/>
      <c r="O212" s="24" t="s">
        <v>106</v>
      </c>
      <c r="P212" s="35"/>
      <c r="Q212" s="318" t="s">
        <v>520</v>
      </c>
      <c r="R212" s="11">
        <v>46120</v>
      </c>
      <c r="S212" s="67"/>
      <c r="T212" s="303">
        <v>46150</v>
      </c>
      <c r="U212" s="36">
        <v>46153</v>
      </c>
      <c r="V212" s="41"/>
    </row>
    <row r="213" spans="1:22" s="3" customFormat="1" ht="19.649999999999999" customHeight="1" x14ac:dyDescent="0.2">
      <c r="A213" s="129" t="s">
        <v>27</v>
      </c>
      <c r="B213" s="299" t="s">
        <v>513</v>
      </c>
      <c r="C213" s="162">
        <v>0.01</v>
      </c>
      <c r="D213" s="1">
        <f t="shared" si="23"/>
        <v>0.01</v>
      </c>
      <c r="F213" s="282">
        <v>9</v>
      </c>
      <c r="G213" s="60">
        <f>+G212+1</f>
        <v>155</v>
      </c>
      <c r="H213" s="28" t="s">
        <v>24</v>
      </c>
      <c r="I213" s="28" t="s">
        <v>24</v>
      </c>
      <c r="J213" s="111" t="s">
        <v>127</v>
      </c>
      <c r="K213" s="45">
        <v>1</v>
      </c>
      <c r="L213" s="305">
        <v>346</v>
      </c>
      <c r="M213" s="131">
        <f t="shared" si="26"/>
        <v>346</v>
      </c>
      <c r="N213" s="77"/>
      <c r="O213" s="143" t="s">
        <v>102</v>
      </c>
      <c r="P213" s="35"/>
      <c r="Q213" s="318" t="s">
        <v>520</v>
      </c>
      <c r="R213" s="11">
        <v>46120</v>
      </c>
      <c r="S213" s="67"/>
      <c r="T213" s="303">
        <v>46150</v>
      </c>
      <c r="U213" s="36">
        <v>46153</v>
      </c>
      <c r="V213" s="41"/>
    </row>
    <row r="214" spans="1:22" s="3" customFormat="1" ht="19.649999999999999" customHeight="1" x14ac:dyDescent="0.2">
      <c r="A214" s="129" t="s">
        <v>27</v>
      </c>
      <c r="B214" s="299" t="s">
        <v>513</v>
      </c>
      <c r="C214" s="162">
        <v>0.01</v>
      </c>
      <c r="D214" s="1">
        <f t="shared" si="23"/>
        <v>0.01</v>
      </c>
      <c r="F214" s="282">
        <v>9</v>
      </c>
      <c r="G214" s="60">
        <f>+G213+1</f>
        <v>156</v>
      </c>
      <c r="H214" s="75" t="s">
        <v>24</v>
      </c>
      <c r="I214" s="88" t="s">
        <v>24</v>
      </c>
      <c r="J214" s="266" t="s">
        <v>455</v>
      </c>
      <c r="K214" s="163">
        <v>1</v>
      </c>
      <c r="L214" s="316">
        <v>217</v>
      </c>
      <c r="M214" s="139">
        <f t="shared" si="26"/>
        <v>217</v>
      </c>
      <c r="N214" s="140"/>
      <c r="O214" s="82" t="s">
        <v>128</v>
      </c>
      <c r="P214" s="35"/>
      <c r="Q214" s="318" t="s">
        <v>520</v>
      </c>
      <c r="R214" s="11">
        <v>46120</v>
      </c>
      <c r="S214" s="67"/>
      <c r="T214" s="303">
        <v>46150</v>
      </c>
      <c r="U214" s="36">
        <v>46153</v>
      </c>
      <c r="V214" s="41"/>
    </row>
    <row r="215" spans="1:22" s="3" customFormat="1" ht="19.649999999999999" customHeight="1" x14ac:dyDescent="0.2">
      <c r="A215" s="129" t="s">
        <v>27</v>
      </c>
      <c r="B215" s="299" t="s">
        <v>513</v>
      </c>
      <c r="C215" s="162">
        <v>0.01</v>
      </c>
      <c r="D215" s="1">
        <f t="shared" si="23"/>
        <v>0.04</v>
      </c>
      <c r="F215" s="282">
        <v>9</v>
      </c>
      <c r="G215" s="60">
        <f t="shared" ref="G215:G216" si="27">+G214+1</f>
        <v>157</v>
      </c>
      <c r="H215" s="75" t="s">
        <v>24</v>
      </c>
      <c r="I215" s="88" t="s">
        <v>24</v>
      </c>
      <c r="J215" s="266" t="s">
        <v>456</v>
      </c>
      <c r="K215" s="270">
        <v>4</v>
      </c>
      <c r="L215" s="316">
        <v>388</v>
      </c>
      <c r="M215" s="139">
        <f t="shared" si="26"/>
        <v>1552</v>
      </c>
      <c r="N215" s="140"/>
      <c r="O215" s="82" t="s">
        <v>518</v>
      </c>
      <c r="P215" s="35"/>
      <c r="Q215" s="318" t="s">
        <v>520</v>
      </c>
      <c r="R215" s="11">
        <v>46120</v>
      </c>
      <c r="S215" s="67"/>
      <c r="T215" s="303">
        <v>46150</v>
      </c>
      <c r="U215" s="36">
        <v>46153</v>
      </c>
      <c r="V215" s="41"/>
    </row>
    <row r="216" spans="1:22" s="3" customFormat="1" ht="19.649999999999999" customHeight="1" x14ac:dyDescent="0.2">
      <c r="A216" s="129" t="s">
        <v>27</v>
      </c>
      <c r="B216" s="299" t="s">
        <v>513</v>
      </c>
      <c r="C216" s="162">
        <v>0.01</v>
      </c>
      <c r="D216" s="1">
        <f t="shared" si="23"/>
        <v>0.02</v>
      </c>
      <c r="F216" s="282">
        <v>9</v>
      </c>
      <c r="G216" s="60">
        <f t="shared" si="27"/>
        <v>158</v>
      </c>
      <c r="H216" s="88" t="s">
        <v>24</v>
      </c>
      <c r="I216" s="88" t="s">
        <v>24</v>
      </c>
      <c r="J216" s="192" t="s">
        <v>105</v>
      </c>
      <c r="K216" s="135">
        <v>2</v>
      </c>
      <c r="L216" s="309">
        <v>112</v>
      </c>
      <c r="M216" s="107">
        <f>K216*L216</f>
        <v>224</v>
      </c>
      <c r="N216" s="53"/>
      <c r="O216" s="73" t="s">
        <v>129</v>
      </c>
      <c r="P216" s="35"/>
      <c r="Q216" s="318" t="s">
        <v>520</v>
      </c>
      <c r="R216" s="11">
        <v>46120</v>
      </c>
      <c r="S216" s="67"/>
      <c r="T216" s="303">
        <v>46150</v>
      </c>
      <c r="U216" s="36">
        <v>46153</v>
      </c>
      <c r="V216" s="41"/>
    </row>
    <row r="217" spans="1:22" s="3" customFormat="1" ht="19.649999999999999" customHeight="1" x14ac:dyDescent="0.2">
      <c r="B217" s="289"/>
      <c r="F217" s="165"/>
      <c r="G217" s="4"/>
      <c r="H217" s="88"/>
      <c r="I217" s="88"/>
      <c r="J217" s="23"/>
      <c r="K217" s="144"/>
      <c r="L217" s="1"/>
      <c r="M217" s="29"/>
      <c r="N217" s="76"/>
      <c r="O217" s="73"/>
      <c r="P217" s="35"/>
      <c r="Q217" s="74"/>
      <c r="R217" s="68"/>
      <c r="S217" s="38"/>
      <c r="T217" s="55"/>
      <c r="U217" s="19"/>
      <c r="V217" s="41"/>
    </row>
    <row r="218" spans="1:22" s="3" customFormat="1" ht="19.649999999999999" customHeight="1" x14ac:dyDescent="0.2">
      <c r="B218" s="289"/>
      <c r="D218" s="3" t="s">
        <v>164</v>
      </c>
      <c r="F218" s="165"/>
      <c r="G218" s="4"/>
      <c r="H218" s="4"/>
      <c r="I218" s="4"/>
      <c r="J218" s="122">
        <f>SUM(M208:M216)</f>
        <v>7620</v>
      </c>
      <c r="K218" s="145"/>
      <c r="L218" s="145"/>
      <c r="M218" s="145"/>
      <c r="N218" s="136"/>
      <c r="O218" s="24"/>
      <c r="P218" s="35"/>
      <c r="Q218" s="74"/>
      <c r="R218" s="68"/>
      <c r="S218" s="38"/>
      <c r="T218" s="55"/>
      <c r="U218" s="19"/>
      <c r="V218" s="41"/>
    </row>
    <row r="219" spans="1:22" s="3" customFormat="1" ht="19.649999999999999" customHeight="1" x14ac:dyDescent="0.2">
      <c r="B219" s="289"/>
      <c r="D219" s="114">
        <f>SUM(D15:D218)</f>
        <v>85.6952</v>
      </c>
      <c r="F219" s="165"/>
      <c r="G219" s="88"/>
      <c r="H219" s="95"/>
      <c r="I219" s="75"/>
      <c r="J219" s="82"/>
      <c r="K219" s="28"/>
      <c r="L219" s="34"/>
      <c r="M219" s="34"/>
      <c r="N219" s="46"/>
      <c r="O219" s="47"/>
      <c r="P219" s="44"/>
      <c r="Q219" s="74"/>
      <c r="R219" s="68"/>
      <c r="S219" s="38"/>
      <c r="T219" s="55"/>
      <c r="U219" s="19"/>
      <c r="V219" s="41"/>
    </row>
    <row r="220" spans="1:22" s="3" customFormat="1" ht="19.649999999999999" customHeight="1" x14ac:dyDescent="0.2">
      <c r="B220" s="289"/>
      <c r="D220" s="63" t="s">
        <v>68</v>
      </c>
      <c r="F220" s="165"/>
      <c r="G220" s="88"/>
      <c r="H220" s="95"/>
      <c r="I220" s="75"/>
      <c r="J220" s="82"/>
      <c r="K220" s="28"/>
      <c r="L220" s="34"/>
      <c r="M220" s="34"/>
      <c r="N220" s="46"/>
      <c r="O220" s="47"/>
      <c r="P220" s="44"/>
      <c r="Q220" s="74"/>
      <c r="R220" s="68"/>
      <c r="S220" s="38"/>
      <c r="T220" s="55"/>
      <c r="U220" s="19"/>
      <c r="V220" s="41"/>
    </row>
    <row r="221" spans="1:22" s="3" customFormat="1" ht="19.649999999999999" customHeight="1" x14ac:dyDescent="0.2">
      <c r="B221" s="289"/>
      <c r="F221" s="165"/>
      <c r="G221" s="88"/>
      <c r="H221" s="95"/>
      <c r="I221" s="75"/>
      <c r="J221" s="82"/>
      <c r="K221" s="28"/>
      <c r="L221" s="34"/>
      <c r="M221" s="34"/>
      <c r="N221" s="46"/>
      <c r="O221" s="47"/>
      <c r="P221" s="44"/>
      <c r="Q221" s="74"/>
      <c r="R221" s="68"/>
      <c r="S221" s="38"/>
      <c r="T221" s="55"/>
      <c r="U221" s="19"/>
      <c r="V221" s="41"/>
    </row>
    <row r="222" spans="1:22" s="3" customFormat="1" ht="19.649999999999999" customHeight="1" x14ac:dyDescent="0.2">
      <c r="B222" s="289"/>
      <c r="F222" s="165"/>
      <c r="G222" s="88"/>
      <c r="H222" s="95"/>
      <c r="I222" s="75"/>
      <c r="J222" s="82"/>
      <c r="K222" s="28"/>
      <c r="L222" s="34"/>
      <c r="M222" s="34"/>
      <c r="N222" s="46"/>
      <c r="O222" s="47"/>
      <c r="P222" s="44"/>
      <c r="Q222" s="74"/>
      <c r="R222" s="68"/>
      <c r="S222" s="38"/>
      <c r="T222" s="55"/>
      <c r="U222" s="19"/>
      <c r="V222" s="41"/>
    </row>
    <row r="223" spans="1:22" s="3" customFormat="1" ht="19.649999999999999" customHeight="1" x14ac:dyDescent="0.2">
      <c r="B223" s="289"/>
      <c r="F223" s="165"/>
      <c r="G223" s="115"/>
      <c r="H223" s="343" t="s">
        <v>69</v>
      </c>
      <c r="I223" s="344"/>
      <c r="J223" s="345"/>
      <c r="K223" s="116"/>
      <c r="L223" s="117"/>
      <c r="M223" s="80"/>
      <c r="N223" s="65"/>
      <c r="O223" s="66"/>
      <c r="P223" s="44"/>
      <c r="Q223" s="74"/>
      <c r="R223" s="68"/>
      <c r="S223" s="38"/>
      <c r="T223" s="55"/>
      <c r="U223" s="19"/>
      <c r="V223" s="41"/>
    </row>
    <row r="224" spans="1:22" s="3" customFormat="1" ht="19.649999999999999" customHeight="1" x14ac:dyDescent="0.2">
      <c r="A224" s="126" t="s">
        <v>41</v>
      </c>
      <c r="B224" s="300" t="s">
        <v>514</v>
      </c>
      <c r="C224" s="162"/>
      <c r="D224" s="112">
        <f>0.045*K224</f>
        <v>2.0699999999999998</v>
      </c>
      <c r="E224" s="48"/>
      <c r="F224" s="278">
        <v>15</v>
      </c>
      <c r="G224" s="60">
        <f>+G216+1</f>
        <v>159</v>
      </c>
      <c r="H224" s="118" t="s">
        <v>38</v>
      </c>
      <c r="I224" s="118" t="s">
        <v>38</v>
      </c>
      <c r="J224" s="172" t="s">
        <v>73</v>
      </c>
      <c r="K224" s="164">
        <v>46</v>
      </c>
      <c r="L224" s="119">
        <v>194</v>
      </c>
      <c r="M224" s="202">
        <f t="shared" ref="M224:M229" si="28">K224*L224</f>
        <v>8924</v>
      </c>
      <c r="N224" s="65"/>
      <c r="O224" s="73" t="s">
        <v>74</v>
      </c>
      <c r="P224" s="77" t="s">
        <v>75</v>
      </c>
      <c r="Q224" s="318" t="s">
        <v>520</v>
      </c>
      <c r="R224" s="11">
        <v>46120</v>
      </c>
      <c r="S224" s="67"/>
      <c r="T224" s="303">
        <v>46150</v>
      </c>
      <c r="U224" s="36">
        <v>46153</v>
      </c>
      <c r="V224" s="14"/>
    </row>
    <row r="225" spans="1:22" s="3" customFormat="1" ht="19.649999999999999" customHeight="1" x14ac:dyDescent="0.2">
      <c r="A225" s="126" t="s">
        <v>41</v>
      </c>
      <c r="B225" s="300" t="s">
        <v>514</v>
      </c>
      <c r="C225" s="162"/>
      <c r="D225" s="112">
        <f>0.007*K225</f>
        <v>0.245</v>
      </c>
      <c r="E225" s="48"/>
      <c r="F225" s="278">
        <v>15</v>
      </c>
      <c r="G225" s="60">
        <f t="shared" ref="G225:G247" si="29">+G224+1</f>
        <v>160</v>
      </c>
      <c r="H225" s="118" t="s">
        <v>38</v>
      </c>
      <c r="I225" s="118" t="s">
        <v>38</v>
      </c>
      <c r="J225" s="172" t="s">
        <v>76</v>
      </c>
      <c r="K225" s="164">
        <v>35</v>
      </c>
      <c r="L225" s="119">
        <v>40</v>
      </c>
      <c r="M225" s="202">
        <f t="shared" si="28"/>
        <v>1400</v>
      </c>
      <c r="N225" s="65"/>
      <c r="O225" s="73" t="s">
        <v>77</v>
      </c>
      <c r="P225" s="77" t="s">
        <v>75</v>
      </c>
      <c r="Q225" s="318" t="s">
        <v>520</v>
      </c>
      <c r="R225" s="11">
        <v>46120</v>
      </c>
      <c r="S225" s="67"/>
      <c r="T225" s="303">
        <v>46150</v>
      </c>
      <c r="U225" s="36">
        <v>46153</v>
      </c>
      <c r="V225" s="14"/>
    </row>
    <row r="226" spans="1:22" s="3" customFormat="1" ht="19.649999999999999" customHeight="1" x14ac:dyDescent="0.2">
      <c r="A226" s="126" t="s">
        <v>41</v>
      </c>
      <c r="B226" s="300" t="s">
        <v>514</v>
      </c>
      <c r="C226" s="162"/>
      <c r="D226" s="112">
        <f>0.005*K226</f>
        <v>0.02</v>
      </c>
      <c r="E226" s="48"/>
      <c r="F226" s="278">
        <v>15</v>
      </c>
      <c r="G226" s="60">
        <f t="shared" si="29"/>
        <v>161</v>
      </c>
      <c r="H226" s="118" t="s">
        <v>38</v>
      </c>
      <c r="I226" s="118" t="s">
        <v>38</v>
      </c>
      <c r="J226" s="172" t="s">
        <v>78</v>
      </c>
      <c r="K226" s="164">
        <v>4</v>
      </c>
      <c r="L226" s="119">
        <v>53</v>
      </c>
      <c r="M226" s="202">
        <f t="shared" si="28"/>
        <v>212</v>
      </c>
      <c r="N226" s="65"/>
      <c r="O226" s="73" t="s">
        <v>79</v>
      </c>
      <c r="P226" s="77" t="s">
        <v>75</v>
      </c>
      <c r="Q226" s="318" t="s">
        <v>520</v>
      </c>
      <c r="R226" s="11">
        <v>46120</v>
      </c>
      <c r="S226" s="67"/>
      <c r="T226" s="303">
        <v>46150</v>
      </c>
      <c r="U226" s="36">
        <v>46153</v>
      </c>
      <c r="V226" s="14"/>
    </row>
    <row r="227" spans="1:22" s="3" customFormat="1" ht="19.649999999999999" customHeight="1" x14ac:dyDescent="0.2">
      <c r="A227" s="126" t="s">
        <v>41</v>
      </c>
      <c r="B227" s="300" t="s">
        <v>514</v>
      </c>
      <c r="C227" s="162"/>
      <c r="D227" s="112">
        <f>+(445/1000)*0.9*K227</f>
        <v>0.80100000000000005</v>
      </c>
      <c r="E227" s="48"/>
      <c r="F227" s="278">
        <v>15</v>
      </c>
      <c r="G227" s="60">
        <f>+G226+1</f>
        <v>162</v>
      </c>
      <c r="H227" s="118" t="s">
        <v>38</v>
      </c>
      <c r="I227" s="118" t="s">
        <v>38</v>
      </c>
      <c r="J227" s="172" t="s">
        <v>460</v>
      </c>
      <c r="K227" s="164">
        <v>2</v>
      </c>
      <c r="L227" s="119">
        <v>425</v>
      </c>
      <c r="M227" s="202">
        <f t="shared" si="28"/>
        <v>850</v>
      </c>
      <c r="N227" s="65"/>
      <c r="O227" s="73" t="s">
        <v>80</v>
      </c>
      <c r="P227" s="77" t="s">
        <v>75</v>
      </c>
      <c r="Q227" s="318" t="s">
        <v>520</v>
      </c>
      <c r="R227" s="11">
        <v>46120</v>
      </c>
      <c r="S227" s="67"/>
      <c r="T227" s="303">
        <v>46150</v>
      </c>
      <c r="U227" s="36">
        <v>46153</v>
      </c>
      <c r="V227" s="14"/>
    </row>
    <row r="228" spans="1:22" s="3" customFormat="1" ht="19.649999999999999" customHeight="1" x14ac:dyDescent="0.2">
      <c r="A228" s="126" t="s">
        <v>41</v>
      </c>
      <c r="B228" s="300" t="s">
        <v>514</v>
      </c>
      <c r="C228" s="162"/>
      <c r="D228" s="112">
        <f>+(920/1000)*0.9*K228</f>
        <v>1.6560000000000001</v>
      </c>
      <c r="E228" s="48"/>
      <c r="F228" s="278">
        <v>15</v>
      </c>
      <c r="G228" s="60">
        <f>+G227+1</f>
        <v>163</v>
      </c>
      <c r="H228" s="118" t="s">
        <v>38</v>
      </c>
      <c r="I228" s="118" t="s">
        <v>38</v>
      </c>
      <c r="J228" s="172" t="s">
        <v>461</v>
      </c>
      <c r="K228" s="164">
        <v>2</v>
      </c>
      <c r="L228" s="119">
        <v>1118</v>
      </c>
      <c r="M228" s="202">
        <f t="shared" si="28"/>
        <v>2236</v>
      </c>
      <c r="N228" s="65"/>
      <c r="O228" s="73" t="s">
        <v>80</v>
      </c>
      <c r="P228" s="77" t="s">
        <v>75</v>
      </c>
      <c r="Q228" s="318" t="s">
        <v>520</v>
      </c>
      <c r="R228" s="11">
        <v>46120</v>
      </c>
      <c r="S228" s="67"/>
      <c r="T228" s="303">
        <v>46150</v>
      </c>
      <c r="U228" s="36">
        <v>46153</v>
      </c>
      <c r="V228" s="14"/>
    </row>
    <row r="229" spans="1:22" s="3" customFormat="1" ht="19.649999999999999" customHeight="1" x14ac:dyDescent="0.2">
      <c r="A229" s="126" t="s">
        <v>36</v>
      </c>
      <c r="B229" s="300" t="s">
        <v>514</v>
      </c>
      <c r="C229" s="162"/>
      <c r="D229" s="112">
        <f>+(920/1000)*0.9*K230</f>
        <v>1.6560000000000001</v>
      </c>
      <c r="E229" s="48"/>
      <c r="F229" s="278">
        <v>15</v>
      </c>
      <c r="G229" s="60">
        <f>+G228+1</f>
        <v>164</v>
      </c>
      <c r="H229" s="118" t="s">
        <v>158</v>
      </c>
      <c r="I229" s="118" t="s">
        <v>38</v>
      </c>
      <c r="J229" s="172" t="s">
        <v>462</v>
      </c>
      <c r="K229" s="164">
        <v>5</v>
      </c>
      <c r="L229" s="119">
        <v>881</v>
      </c>
      <c r="M229" s="202">
        <f t="shared" si="28"/>
        <v>4405</v>
      </c>
      <c r="N229" s="2"/>
      <c r="O229" s="73" t="s">
        <v>80</v>
      </c>
      <c r="P229" s="77" t="s">
        <v>75</v>
      </c>
      <c r="Q229" s="318" t="s">
        <v>520</v>
      </c>
      <c r="R229" s="11">
        <v>46120</v>
      </c>
      <c r="S229" s="67"/>
      <c r="T229" s="303">
        <v>46150</v>
      </c>
      <c r="U229" s="36">
        <v>46153</v>
      </c>
      <c r="V229" s="14"/>
    </row>
    <row r="230" spans="1:22" s="3" customFormat="1" ht="19.649999999999999" customHeight="1" x14ac:dyDescent="0.2">
      <c r="A230" s="126" t="s">
        <v>41</v>
      </c>
      <c r="B230" s="300" t="s">
        <v>514</v>
      </c>
      <c r="C230" s="162"/>
      <c r="D230" s="112">
        <f>+(980/1000)*0.9*K230</f>
        <v>1.764</v>
      </c>
      <c r="E230" s="48"/>
      <c r="F230" s="278">
        <v>15</v>
      </c>
      <c r="G230" s="60">
        <f t="shared" si="29"/>
        <v>165</v>
      </c>
      <c r="H230" s="118" t="s">
        <v>38</v>
      </c>
      <c r="I230" s="118" t="s">
        <v>38</v>
      </c>
      <c r="J230" s="172" t="s">
        <v>463</v>
      </c>
      <c r="K230" s="174">
        <v>2</v>
      </c>
      <c r="L230" s="119">
        <v>1178</v>
      </c>
      <c r="M230" s="202">
        <f>K230*L230</f>
        <v>2356</v>
      </c>
      <c r="N230" s="65"/>
      <c r="O230" s="73" t="s">
        <v>80</v>
      </c>
      <c r="P230" s="77" t="s">
        <v>75</v>
      </c>
      <c r="Q230" s="318" t="s">
        <v>520</v>
      </c>
      <c r="R230" s="11">
        <v>46120</v>
      </c>
      <c r="S230" s="67"/>
      <c r="T230" s="303">
        <v>46150</v>
      </c>
      <c r="U230" s="36">
        <v>46153</v>
      </c>
      <c r="V230" s="14"/>
    </row>
    <row r="231" spans="1:22" s="3" customFormat="1" ht="19.649999999999999" customHeight="1" x14ac:dyDescent="0.2">
      <c r="A231" s="126" t="s">
        <v>36</v>
      </c>
      <c r="B231" s="300" t="s">
        <v>514</v>
      </c>
      <c r="C231" s="162"/>
      <c r="D231" s="112">
        <f>+(980/1000)*0.9*K231</f>
        <v>1.764</v>
      </c>
      <c r="E231" s="48"/>
      <c r="F231" s="278">
        <v>15</v>
      </c>
      <c r="G231" s="60">
        <f t="shared" si="29"/>
        <v>166</v>
      </c>
      <c r="H231" s="118" t="s">
        <v>38</v>
      </c>
      <c r="I231" s="118" t="s">
        <v>38</v>
      </c>
      <c r="J231" s="173" t="s">
        <v>464</v>
      </c>
      <c r="K231" s="174">
        <v>2</v>
      </c>
      <c r="L231" s="202">
        <v>940</v>
      </c>
      <c r="M231" s="202">
        <f>K231*L231</f>
        <v>1880</v>
      </c>
      <c r="N231" s="26"/>
      <c r="O231" s="73" t="s">
        <v>80</v>
      </c>
      <c r="P231" s="77" t="s">
        <v>75</v>
      </c>
      <c r="Q231" s="318" t="s">
        <v>520</v>
      </c>
      <c r="R231" s="11">
        <v>46120</v>
      </c>
      <c r="S231" s="67"/>
      <c r="T231" s="303">
        <v>46150</v>
      </c>
      <c r="U231" s="36">
        <v>46153</v>
      </c>
      <c r="V231" s="14"/>
    </row>
    <row r="232" spans="1:22" s="3" customFormat="1" ht="19.649999999999999" customHeight="1" x14ac:dyDescent="0.2">
      <c r="A232" s="126" t="s">
        <v>36</v>
      </c>
      <c r="B232" s="300" t="s">
        <v>514</v>
      </c>
      <c r="C232" s="162"/>
      <c r="D232" s="112">
        <f>+(1040/1000)*0.9*K232</f>
        <v>1.8720000000000001</v>
      </c>
      <c r="E232" s="48"/>
      <c r="F232" s="278">
        <v>15</v>
      </c>
      <c r="G232" s="60">
        <f t="shared" si="29"/>
        <v>167</v>
      </c>
      <c r="H232" s="118" t="s">
        <v>38</v>
      </c>
      <c r="I232" s="118" t="s">
        <v>38</v>
      </c>
      <c r="J232" s="173" t="s">
        <v>465</v>
      </c>
      <c r="K232" s="174">
        <v>2</v>
      </c>
      <c r="L232" s="202">
        <v>2019</v>
      </c>
      <c r="M232" s="202">
        <f>K232*L232</f>
        <v>4038</v>
      </c>
      <c r="N232" s="26"/>
      <c r="O232" s="73" t="s">
        <v>80</v>
      </c>
      <c r="P232" s="77" t="s">
        <v>75</v>
      </c>
      <c r="Q232" s="318" t="s">
        <v>520</v>
      </c>
      <c r="R232" s="11">
        <v>46120</v>
      </c>
      <c r="S232" s="67"/>
      <c r="T232" s="303">
        <v>46150</v>
      </c>
      <c r="U232" s="36">
        <v>46153</v>
      </c>
      <c r="V232" s="14"/>
    </row>
    <row r="233" spans="1:22" s="3" customFormat="1" ht="19.649999999999999" customHeight="1" x14ac:dyDescent="0.2">
      <c r="A233" s="126" t="s">
        <v>41</v>
      </c>
      <c r="B233" s="300" t="s">
        <v>514</v>
      </c>
      <c r="C233" s="162"/>
      <c r="D233" s="112">
        <f>+(1040/1000)*0.9*K233</f>
        <v>2.8080000000000003</v>
      </c>
      <c r="E233" s="48"/>
      <c r="F233" s="278">
        <v>15</v>
      </c>
      <c r="G233" s="60">
        <f t="shared" si="29"/>
        <v>168</v>
      </c>
      <c r="H233" s="118" t="s">
        <v>38</v>
      </c>
      <c r="I233" s="118" t="s">
        <v>38</v>
      </c>
      <c r="J233" s="172" t="s">
        <v>466</v>
      </c>
      <c r="K233" s="164">
        <v>3</v>
      </c>
      <c r="L233" s="119">
        <v>990</v>
      </c>
      <c r="M233" s="202">
        <f t="shared" ref="M233:M245" si="30">K233*L233</f>
        <v>2970</v>
      </c>
      <c r="N233" s="65"/>
      <c r="O233" s="73" t="s">
        <v>80</v>
      </c>
      <c r="P233" s="77" t="s">
        <v>75</v>
      </c>
      <c r="Q233" s="318" t="s">
        <v>520</v>
      </c>
      <c r="R233" s="11">
        <v>46120</v>
      </c>
      <c r="S233" s="67"/>
      <c r="T233" s="303">
        <v>46150</v>
      </c>
      <c r="U233" s="36">
        <v>46153</v>
      </c>
      <c r="V233" s="14"/>
    </row>
    <row r="234" spans="1:22" s="3" customFormat="1" ht="19.649999999999999" customHeight="1" x14ac:dyDescent="0.2">
      <c r="A234" s="126" t="s">
        <v>41</v>
      </c>
      <c r="B234" s="300" t="s">
        <v>514</v>
      </c>
      <c r="C234" s="162"/>
      <c r="D234" s="112">
        <f>0.005*K234</f>
        <v>0.02</v>
      </c>
      <c r="E234" s="48"/>
      <c r="F234" s="278">
        <v>15</v>
      </c>
      <c r="G234" s="60">
        <f>+G233+1</f>
        <v>169</v>
      </c>
      <c r="H234" s="118" t="s">
        <v>38</v>
      </c>
      <c r="I234" s="118" t="s">
        <v>38</v>
      </c>
      <c r="J234" s="172" t="s">
        <v>81</v>
      </c>
      <c r="K234" s="164">
        <v>4</v>
      </c>
      <c r="L234" s="119">
        <v>279</v>
      </c>
      <c r="M234" s="202">
        <f t="shared" si="30"/>
        <v>1116</v>
      </c>
      <c r="N234" s="65"/>
      <c r="O234" s="73" t="s">
        <v>82</v>
      </c>
      <c r="P234" s="77" t="s">
        <v>75</v>
      </c>
      <c r="Q234" s="318" t="s">
        <v>520</v>
      </c>
      <c r="R234" s="11">
        <v>46120</v>
      </c>
      <c r="S234" s="67"/>
      <c r="T234" s="303">
        <v>46150</v>
      </c>
      <c r="U234" s="36">
        <v>46153</v>
      </c>
      <c r="V234" s="14"/>
    </row>
    <row r="235" spans="1:22" s="3" customFormat="1" ht="19.649999999999999" customHeight="1" x14ac:dyDescent="0.2">
      <c r="A235" s="126" t="s">
        <v>41</v>
      </c>
      <c r="B235" s="300" t="s">
        <v>514</v>
      </c>
      <c r="C235" s="162"/>
      <c r="D235" s="112">
        <v>0.02</v>
      </c>
      <c r="E235" s="48"/>
      <c r="F235" s="278">
        <v>15</v>
      </c>
      <c r="G235" s="60">
        <f t="shared" ref="G235:G238" si="31">+G234+1</f>
        <v>170</v>
      </c>
      <c r="H235" s="88" t="s">
        <v>93</v>
      </c>
      <c r="I235" s="88" t="s">
        <v>24</v>
      </c>
      <c r="J235" s="302" t="s">
        <v>516</v>
      </c>
      <c r="K235" s="174">
        <v>8</v>
      </c>
      <c r="L235" s="202">
        <v>48</v>
      </c>
      <c r="M235" s="202">
        <f t="shared" si="30"/>
        <v>384</v>
      </c>
      <c r="N235" s="80"/>
      <c r="O235" s="24" t="s">
        <v>474</v>
      </c>
      <c r="P235" s="23" t="s">
        <v>475</v>
      </c>
      <c r="Q235" s="318" t="s">
        <v>520</v>
      </c>
      <c r="R235" s="11">
        <v>46120</v>
      </c>
      <c r="S235" s="67"/>
      <c r="T235" s="303">
        <v>46150</v>
      </c>
      <c r="U235" s="36">
        <v>46153</v>
      </c>
      <c r="V235" s="14"/>
    </row>
    <row r="236" spans="1:22" s="3" customFormat="1" ht="19.649999999999999" customHeight="1" x14ac:dyDescent="0.2">
      <c r="A236" s="126" t="s">
        <v>36</v>
      </c>
      <c r="B236" s="300" t="s">
        <v>514</v>
      </c>
      <c r="C236" s="162"/>
      <c r="D236" s="112">
        <f>1.172*K236</f>
        <v>4.6879999999999997</v>
      </c>
      <c r="E236" s="48"/>
      <c r="F236" s="278">
        <v>15</v>
      </c>
      <c r="G236" s="60">
        <f t="shared" si="31"/>
        <v>171</v>
      </c>
      <c r="H236" s="118" t="s">
        <v>38</v>
      </c>
      <c r="I236" s="118" t="s">
        <v>38</v>
      </c>
      <c r="J236" s="175" t="s">
        <v>472</v>
      </c>
      <c r="K236" s="164">
        <v>4</v>
      </c>
      <c r="L236" s="260">
        <v>12255</v>
      </c>
      <c r="M236" s="202">
        <f t="shared" si="30"/>
        <v>49020</v>
      </c>
      <c r="N236" s="65"/>
      <c r="O236" s="73" t="s">
        <v>180</v>
      </c>
      <c r="P236" s="77" t="s">
        <v>75</v>
      </c>
      <c r="Q236" s="318" t="s">
        <v>520</v>
      </c>
      <c r="R236" s="11">
        <v>46120</v>
      </c>
      <c r="S236" s="67"/>
      <c r="T236" s="303">
        <v>46150</v>
      </c>
      <c r="U236" s="36">
        <v>46153</v>
      </c>
      <c r="V236" s="14"/>
    </row>
    <row r="237" spans="1:22" s="3" customFormat="1" ht="19.649999999999999" customHeight="1" x14ac:dyDescent="0.2">
      <c r="A237" s="126" t="s">
        <v>36</v>
      </c>
      <c r="B237" s="300" t="s">
        <v>514</v>
      </c>
      <c r="C237" s="162"/>
      <c r="D237" s="112">
        <f>2.09*K237</f>
        <v>8.36</v>
      </c>
      <c r="E237" s="48"/>
      <c r="F237" s="278">
        <v>15</v>
      </c>
      <c r="G237" s="60">
        <f t="shared" si="31"/>
        <v>172</v>
      </c>
      <c r="H237" s="118" t="s">
        <v>38</v>
      </c>
      <c r="I237" s="118" t="s">
        <v>38</v>
      </c>
      <c r="J237" s="175" t="s">
        <v>473</v>
      </c>
      <c r="K237" s="164">
        <v>4</v>
      </c>
      <c r="L237" s="260">
        <v>22630</v>
      </c>
      <c r="M237" s="202">
        <f t="shared" si="30"/>
        <v>90520</v>
      </c>
      <c r="N237" s="65"/>
      <c r="O237" s="73" t="s">
        <v>180</v>
      </c>
      <c r="P237" s="77" t="s">
        <v>75</v>
      </c>
      <c r="Q237" s="318" t="s">
        <v>520</v>
      </c>
      <c r="R237" s="11">
        <v>46120</v>
      </c>
      <c r="S237" s="67"/>
      <c r="T237" s="303">
        <v>46150</v>
      </c>
      <c r="U237" s="36">
        <v>46153</v>
      </c>
      <c r="V237" s="14"/>
    </row>
    <row r="238" spans="1:22" s="3" customFormat="1" ht="19.649999999999999" customHeight="1" x14ac:dyDescent="0.2">
      <c r="A238" s="126" t="s">
        <v>36</v>
      </c>
      <c r="B238" s="300" t="s">
        <v>514</v>
      </c>
      <c r="C238" s="162"/>
      <c r="D238" s="112">
        <f>2.09*K238</f>
        <v>2.09</v>
      </c>
      <c r="E238" s="48"/>
      <c r="F238" s="278">
        <v>15</v>
      </c>
      <c r="G238" s="60">
        <f t="shared" si="31"/>
        <v>173</v>
      </c>
      <c r="H238" s="118" t="s">
        <v>38</v>
      </c>
      <c r="I238" s="118" t="s">
        <v>38</v>
      </c>
      <c r="J238" s="175" t="s">
        <v>471</v>
      </c>
      <c r="K238" s="164">
        <v>1</v>
      </c>
      <c r="L238" s="260">
        <v>18274</v>
      </c>
      <c r="M238" s="202">
        <f t="shared" si="30"/>
        <v>18274</v>
      </c>
      <c r="N238" s="65"/>
      <c r="O238" s="73" t="s">
        <v>180</v>
      </c>
      <c r="P238" s="77" t="s">
        <v>75</v>
      </c>
      <c r="Q238" s="318" t="s">
        <v>520</v>
      </c>
      <c r="R238" s="11">
        <v>46120</v>
      </c>
      <c r="S238" s="67"/>
      <c r="T238" s="303">
        <v>46150</v>
      </c>
      <c r="U238" s="36">
        <v>46153</v>
      </c>
      <c r="V238" s="14"/>
    </row>
    <row r="239" spans="1:22" s="3" customFormat="1" ht="19.649999999999999" customHeight="1" x14ac:dyDescent="0.2">
      <c r="A239" s="126" t="s">
        <v>36</v>
      </c>
      <c r="B239" s="300" t="s">
        <v>514</v>
      </c>
      <c r="C239" s="162"/>
      <c r="D239" s="112">
        <v>3</v>
      </c>
      <c r="E239" s="48"/>
      <c r="F239" s="278">
        <v>15</v>
      </c>
      <c r="G239" s="60">
        <f>+G238+1</f>
        <v>174</v>
      </c>
      <c r="H239" s="4" t="s">
        <v>37</v>
      </c>
      <c r="I239" s="118" t="s">
        <v>38</v>
      </c>
      <c r="J239" s="192" t="s">
        <v>476</v>
      </c>
      <c r="K239" s="164">
        <v>1</v>
      </c>
      <c r="L239" s="119">
        <v>30234</v>
      </c>
      <c r="M239" s="202">
        <f t="shared" si="30"/>
        <v>30234</v>
      </c>
      <c r="N239" s="65"/>
      <c r="O239" s="73" t="s">
        <v>479</v>
      </c>
      <c r="P239" s="77" t="s">
        <v>75</v>
      </c>
      <c r="Q239" s="318" t="s">
        <v>520</v>
      </c>
      <c r="R239" s="11">
        <v>46120</v>
      </c>
      <c r="S239" s="67"/>
      <c r="T239" s="303">
        <v>46150</v>
      </c>
      <c r="U239" s="36">
        <v>46153</v>
      </c>
      <c r="V239" s="14"/>
    </row>
    <row r="240" spans="1:22" s="3" customFormat="1" ht="19.649999999999999" customHeight="1" x14ac:dyDescent="0.2">
      <c r="A240" s="126" t="s">
        <v>41</v>
      </c>
      <c r="B240" s="300" t="s">
        <v>514</v>
      </c>
      <c r="C240" s="162"/>
      <c r="D240" s="1">
        <f t="shared" ref="D240:D241" si="32">0.01*K240</f>
        <v>0.01</v>
      </c>
      <c r="E240" s="48"/>
      <c r="F240" s="278">
        <v>15</v>
      </c>
      <c r="G240" s="60">
        <f>+G239+1</f>
        <v>175</v>
      </c>
      <c r="H240" s="88" t="s">
        <v>24</v>
      </c>
      <c r="I240" s="88" t="s">
        <v>24</v>
      </c>
      <c r="J240" s="192" t="s">
        <v>477</v>
      </c>
      <c r="K240" s="164">
        <v>1</v>
      </c>
      <c r="L240" s="119">
        <v>1782</v>
      </c>
      <c r="M240" s="202">
        <f t="shared" si="30"/>
        <v>1782</v>
      </c>
      <c r="N240" s="73" t="s">
        <v>86</v>
      </c>
      <c r="P240" s="77" t="s">
        <v>85</v>
      </c>
      <c r="Q240" s="318" t="s">
        <v>520</v>
      </c>
      <c r="R240" s="11">
        <v>46120</v>
      </c>
      <c r="S240" s="67"/>
      <c r="T240" s="303">
        <v>46150</v>
      </c>
      <c r="U240" s="36">
        <v>46153</v>
      </c>
      <c r="V240" s="14"/>
    </row>
    <row r="241" spans="1:22" s="3" customFormat="1" ht="19.649999999999999" customHeight="1" x14ac:dyDescent="0.2">
      <c r="A241" s="126" t="s">
        <v>41</v>
      </c>
      <c r="B241" s="300" t="s">
        <v>514</v>
      </c>
      <c r="C241" s="162"/>
      <c r="D241" s="1">
        <f t="shared" si="32"/>
        <v>0.01</v>
      </c>
      <c r="E241" s="48"/>
      <c r="F241" s="278">
        <v>15</v>
      </c>
      <c r="G241" s="60">
        <f>+G240+1</f>
        <v>176</v>
      </c>
      <c r="H241" s="88" t="s">
        <v>24</v>
      </c>
      <c r="I241" s="88" t="s">
        <v>24</v>
      </c>
      <c r="J241" s="192" t="s">
        <v>478</v>
      </c>
      <c r="K241" s="164">
        <v>1</v>
      </c>
      <c r="L241" s="119">
        <v>8415</v>
      </c>
      <c r="M241" s="202">
        <f t="shared" si="30"/>
        <v>8415</v>
      </c>
      <c r="N241" s="2"/>
      <c r="O241" s="73" t="s">
        <v>87</v>
      </c>
      <c r="P241" s="77" t="s">
        <v>85</v>
      </c>
      <c r="Q241" s="318" t="s">
        <v>520</v>
      </c>
      <c r="R241" s="11">
        <v>46120</v>
      </c>
      <c r="S241" s="67"/>
      <c r="T241" s="303">
        <v>46150</v>
      </c>
      <c r="U241" s="36">
        <v>46153</v>
      </c>
      <c r="V241" s="14"/>
    </row>
    <row r="242" spans="1:22" s="3" customFormat="1" ht="19.649999999999999" customHeight="1" x14ac:dyDescent="0.2">
      <c r="A242" s="126" t="s">
        <v>41</v>
      </c>
      <c r="B242" s="300" t="s">
        <v>514</v>
      </c>
      <c r="C242" s="162"/>
      <c r="D242" s="1">
        <f>0.01*K242</f>
        <v>0.04</v>
      </c>
      <c r="E242" s="48"/>
      <c r="F242" s="278">
        <v>15</v>
      </c>
      <c r="G242" s="60">
        <f>+G241+1</f>
        <v>177</v>
      </c>
      <c r="H242" s="88" t="s">
        <v>24</v>
      </c>
      <c r="I242" s="88" t="s">
        <v>24</v>
      </c>
      <c r="J242" s="173" t="s">
        <v>83</v>
      </c>
      <c r="K242" s="174">
        <v>4</v>
      </c>
      <c r="L242" s="202">
        <v>126</v>
      </c>
      <c r="M242" s="202">
        <f t="shared" si="30"/>
        <v>504</v>
      </c>
      <c r="N242" s="80"/>
      <c r="O242" s="24" t="s">
        <v>84</v>
      </c>
      <c r="P242" s="77" t="s">
        <v>85</v>
      </c>
      <c r="Q242" s="318" t="s">
        <v>520</v>
      </c>
      <c r="R242" s="11">
        <v>46120</v>
      </c>
      <c r="S242" s="67"/>
      <c r="T242" s="303">
        <v>46150</v>
      </c>
      <c r="U242" s="36">
        <v>46153</v>
      </c>
      <c r="V242" s="14"/>
    </row>
    <row r="243" spans="1:22" s="3" customFormat="1" ht="19.649999999999999" customHeight="1" x14ac:dyDescent="0.2">
      <c r="A243" s="126" t="s">
        <v>41</v>
      </c>
      <c r="B243" s="300" t="s">
        <v>514</v>
      </c>
      <c r="C243" s="162"/>
      <c r="D243" s="1">
        <f>0.01*K243</f>
        <v>0.04</v>
      </c>
      <c r="E243" s="48"/>
      <c r="F243" s="278">
        <v>15</v>
      </c>
      <c r="G243" s="60">
        <f>+G242+1</f>
        <v>178</v>
      </c>
      <c r="H243" s="118" t="s">
        <v>38</v>
      </c>
      <c r="I243" s="118" t="s">
        <v>38</v>
      </c>
      <c r="J243" s="111" t="s">
        <v>88</v>
      </c>
      <c r="K243" s="119">
        <v>4</v>
      </c>
      <c r="L243" s="111">
        <v>97</v>
      </c>
      <c r="M243" s="202">
        <f t="shared" si="30"/>
        <v>388</v>
      </c>
      <c r="N243" s="2"/>
      <c r="O243" s="73" t="s">
        <v>89</v>
      </c>
      <c r="P243" s="77" t="s">
        <v>85</v>
      </c>
      <c r="Q243" s="318" t="s">
        <v>520</v>
      </c>
      <c r="R243" s="11">
        <v>46120</v>
      </c>
      <c r="S243" s="67"/>
      <c r="T243" s="303">
        <v>46150</v>
      </c>
      <c r="U243" s="36">
        <v>46153</v>
      </c>
      <c r="V243" s="14"/>
    </row>
    <row r="244" spans="1:22" s="3" customFormat="1" ht="19.649999999999999" customHeight="1" x14ac:dyDescent="0.2">
      <c r="A244" s="126" t="s">
        <v>41</v>
      </c>
      <c r="B244" s="300" t="s">
        <v>514</v>
      </c>
      <c r="C244" s="162"/>
      <c r="D244" s="112">
        <f>0.002*K244</f>
        <v>1.6E-2</v>
      </c>
      <c r="E244" s="48"/>
      <c r="F244" s="278">
        <v>15</v>
      </c>
      <c r="G244" s="60">
        <f t="shared" si="29"/>
        <v>179</v>
      </c>
      <c r="H244" s="88" t="s">
        <v>24</v>
      </c>
      <c r="I244" s="88" t="s">
        <v>24</v>
      </c>
      <c r="J244" s="175" t="s">
        <v>72</v>
      </c>
      <c r="K244" s="164">
        <v>8</v>
      </c>
      <c r="L244" s="192">
        <v>99</v>
      </c>
      <c r="M244" s="267">
        <f t="shared" si="30"/>
        <v>792</v>
      </c>
      <c r="N244" s="65"/>
      <c r="O244" s="73" t="s">
        <v>71</v>
      </c>
      <c r="P244" s="77" t="s">
        <v>85</v>
      </c>
      <c r="Q244" s="318" t="s">
        <v>520</v>
      </c>
      <c r="R244" s="11">
        <v>46120</v>
      </c>
      <c r="S244" s="67"/>
      <c r="T244" s="303">
        <v>46150</v>
      </c>
      <c r="U244" s="36">
        <v>46153</v>
      </c>
      <c r="V244" s="14"/>
    </row>
    <row r="245" spans="1:22" s="3" customFormat="1" ht="19.649999999999999" customHeight="1" x14ac:dyDescent="0.2">
      <c r="A245" s="126" t="s">
        <v>41</v>
      </c>
      <c r="B245" s="300" t="s">
        <v>514</v>
      </c>
      <c r="C245" s="162"/>
      <c r="D245" s="112">
        <f>0.003*K245</f>
        <v>1.2E-2</v>
      </c>
      <c r="E245" s="48"/>
      <c r="F245" s="278">
        <v>15</v>
      </c>
      <c r="G245" s="60">
        <f t="shared" si="29"/>
        <v>180</v>
      </c>
      <c r="H245" s="88" t="s">
        <v>24</v>
      </c>
      <c r="I245" s="88" t="s">
        <v>24</v>
      </c>
      <c r="J245" s="175" t="s">
        <v>70</v>
      </c>
      <c r="K245" s="164">
        <v>4</v>
      </c>
      <c r="L245" s="192">
        <v>99</v>
      </c>
      <c r="M245" s="267">
        <f t="shared" si="30"/>
        <v>396</v>
      </c>
      <c r="N245" s="65"/>
      <c r="O245" s="73" t="s">
        <v>71</v>
      </c>
      <c r="P245" s="77" t="s">
        <v>85</v>
      </c>
      <c r="Q245" s="318" t="s">
        <v>520</v>
      </c>
      <c r="R245" s="11">
        <v>46120</v>
      </c>
      <c r="S245" s="67"/>
      <c r="T245" s="303">
        <v>46150</v>
      </c>
      <c r="U245" s="36">
        <v>46153</v>
      </c>
      <c r="V245" s="14"/>
    </row>
    <row r="246" spans="1:22" s="3" customFormat="1" ht="19.649999999999999" customHeight="1" x14ac:dyDescent="0.2">
      <c r="A246" s="126" t="s">
        <v>41</v>
      </c>
      <c r="B246" s="300" t="s">
        <v>514</v>
      </c>
      <c r="C246" s="162"/>
      <c r="D246" s="1">
        <f>0.008*K246</f>
        <v>0.32</v>
      </c>
      <c r="E246" s="48"/>
      <c r="F246" s="278">
        <v>15</v>
      </c>
      <c r="G246" s="60">
        <f t="shared" si="29"/>
        <v>181</v>
      </c>
      <c r="H246" s="118" t="s">
        <v>38</v>
      </c>
      <c r="I246" s="118" t="s">
        <v>38</v>
      </c>
      <c r="J246" s="172" t="s">
        <v>90</v>
      </c>
      <c r="K246" s="164">
        <v>40</v>
      </c>
      <c r="L246" s="119">
        <v>35</v>
      </c>
      <c r="M246" s="202">
        <f>K246*L246</f>
        <v>1400</v>
      </c>
      <c r="N246" s="65"/>
      <c r="O246" s="73" t="s">
        <v>91</v>
      </c>
      <c r="P246" s="77" t="s">
        <v>75</v>
      </c>
      <c r="Q246" s="318" t="s">
        <v>520</v>
      </c>
      <c r="R246" s="11">
        <v>46120</v>
      </c>
      <c r="S246" s="67"/>
      <c r="T246" s="303">
        <v>46150</v>
      </c>
      <c r="U246" s="36">
        <v>46153</v>
      </c>
      <c r="V246" s="14"/>
    </row>
    <row r="247" spans="1:22" s="3" customFormat="1" ht="19.649999999999999" customHeight="1" x14ac:dyDescent="0.2">
      <c r="A247" s="126" t="s">
        <v>41</v>
      </c>
      <c r="B247" s="300" t="s">
        <v>514</v>
      </c>
      <c r="C247" s="162"/>
      <c r="D247" s="1">
        <f>0.008*K247</f>
        <v>0.25600000000000001</v>
      </c>
      <c r="E247" s="48"/>
      <c r="F247" s="278">
        <v>15</v>
      </c>
      <c r="G247" s="60">
        <f t="shared" si="29"/>
        <v>182</v>
      </c>
      <c r="H247" s="118" t="s">
        <v>38</v>
      </c>
      <c r="I247" s="118" t="s">
        <v>38</v>
      </c>
      <c r="J247" s="172" t="s">
        <v>92</v>
      </c>
      <c r="K247" s="164">
        <v>32</v>
      </c>
      <c r="L247" s="119">
        <v>35</v>
      </c>
      <c r="M247" s="202">
        <f>K247*L247</f>
        <v>1120</v>
      </c>
      <c r="N247" s="65"/>
      <c r="O247" s="73" t="s">
        <v>91</v>
      </c>
      <c r="P247" s="77" t="s">
        <v>75</v>
      </c>
      <c r="Q247" s="318" t="s">
        <v>520</v>
      </c>
      <c r="R247" s="11">
        <v>46120</v>
      </c>
      <c r="S247" s="67"/>
      <c r="T247" s="303">
        <v>46150</v>
      </c>
      <c r="U247" s="36">
        <v>46153</v>
      </c>
      <c r="V247" s="14"/>
    </row>
    <row r="248" spans="1:22" s="3" customFormat="1" ht="19.5" customHeight="1" x14ac:dyDescent="0.2">
      <c r="A248" s="126" t="s">
        <v>41</v>
      </c>
      <c r="B248" s="300" t="s">
        <v>514</v>
      </c>
      <c r="C248" s="162"/>
      <c r="D248" s="112">
        <v>2.2000000000000002</v>
      </c>
      <c r="F248" s="278">
        <v>15</v>
      </c>
      <c r="G248" s="60">
        <f>+G247+1</f>
        <v>183</v>
      </c>
      <c r="H248" s="88" t="s">
        <v>24</v>
      </c>
      <c r="I248" s="88" t="s">
        <v>24</v>
      </c>
      <c r="J248" s="173" t="s">
        <v>281</v>
      </c>
      <c r="K248" s="174">
        <v>4</v>
      </c>
      <c r="L248" s="202">
        <v>46</v>
      </c>
      <c r="M248" s="202">
        <f t="shared" ref="M248:M255" si="33">K248*L248</f>
        <v>184</v>
      </c>
      <c r="N248" s="26"/>
      <c r="O248" s="24" t="s">
        <v>282</v>
      </c>
      <c r="P248" s="77" t="s">
        <v>280</v>
      </c>
      <c r="Q248" s="318" t="s">
        <v>520</v>
      </c>
      <c r="R248" s="11">
        <v>46120</v>
      </c>
      <c r="S248" s="67"/>
      <c r="T248" s="303">
        <v>46150</v>
      </c>
      <c r="U248" s="36">
        <v>46153</v>
      </c>
      <c r="V248" s="38"/>
    </row>
    <row r="249" spans="1:22" s="3" customFormat="1" ht="19.5" customHeight="1" x14ac:dyDescent="0.2">
      <c r="A249" s="126" t="s">
        <v>279</v>
      </c>
      <c r="B249" s="300" t="s">
        <v>514</v>
      </c>
      <c r="C249" s="45" t="s">
        <v>283</v>
      </c>
      <c r="D249" s="112">
        <f>+(874/1000)*0.5*K249</f>
        <v>0.874</v>
      </c>
      <c r="F249" s="278">
        <v>15</v>
      </c>
      <c r="G249" s="60">
        <f t="shared" ref="G249:G257" si="34">+G248+1</f>
        <v>184</v>
      </c>
      <c r="H249" s="118" t="s">
        <v>38</v>
      </c>
      <c r="I249" s="118" t="s">
        <v>38</v>
      </c>
      <c r="J249" s="172" t="s">
        <v>459</v>
      </c>
      <c r="K249" s="164">
        <v>2</v>
      </c>
      <c r="L249" s="119">
        <v>772</v>
      </c>
      <c r="M249" s="202">
        <f t="shared" si="33"/>
        <v>1544</v>
      </c>
      <c r="N249" s="2"/>
      <c r="O249" s="73" t="s">
        <v>284</v>
      </c>
      <c r="P249" s="77" t="s">
        <v>280</v>
      </c>
      <c r="Q249" s="318" t="s">
        <v>520</v>
      </c>
      <c r="R249" s="11">
        <v>46120</v>
      </c>
      <c r="S249" s="67"/>
      <c r="T249" s="303">
        <v>46150</v>
      </c>
      <c r="U249" s="36">
        <v>46153</v>
      </c>
      <c r="V249" s="38"/>
    </row>
    <row r="250" spans="1:22" s="3" customFormat="1" ht="19.5" customHeight="1" x14ac:dyDescent="0.2">
      <c r="A250" s="126" t="s">
        <v>279</v>
      </c>
      <c r="B250" s="300" t="s">
        <v>514</v>
      </c>
      <c r="C250" s="45" t="s">
        <v>283</v>
      </c>
      <c r="D250" s="112">
        <f>+(259/1000)*0.5*K250</f>
        <v>0.25900000000000001</v>
      </c>
      <c r="F250" s="278">
        <v>15</v>
      </c>
      <c r="G250" s="60">
        <f t="shared" si="34"/>
        <v>185</v>
      </c>
      <c r="H250" s="118" t="s">
        <v>38</v>
      </c>
      <c r="I250" s="118" t="s">
        <v>38</v>
      </c>
      <c r="J250" s="172" t="s">
        <v>480</v>
      </c>
      <c r="K250" s="164">
        <v>2</v>
      </c>
      <c r="L250" s="119">
        <v>662</v>
      </c>
      <c r="M250" s="202">
        <f t="shared" si="33"/>
        <v>1324</v>
      </c>
      <c r="N250" s="2"/>
      <c r="O250" s="73" t="s">
        <v>284</v>
      </c>
      <c r="P250" s="77" t="s">
        <v>280</v>
      </c>
      <c r="Q250" s="318" t="s">
        <v>520</v>
      </c>
      <c r="R250" s="11">
        <v>46120</v>
      </c>
      <c r="S250" s="67"/>
      <c r="T250" s="303">
        <v>46150</v>
      </c>
      <c r="U250" s="36">
        <v>46153</v>
      </c>
      <c r="V250" s="38"/>
    </row>
    <row r="251" spans="1:22" s="3" customFormat="1" ht="19.5" customHeight="1" x14ac:dyDescent="0.2">
      <c r="A251" s="126" t="s">
        <v>279</v>
      </c>
      <c r="B251" s="300" t="s">
        <v>514</v>
      </c>
      <c r="C251" s="45"/>
      <c r="D251" s="112">
        <v>1.5</v>
      </c>
      <c r="F251" s="278">
        <v>15</v>
      </c>
      <c r="G251" s="60">
        <f t="shared" si="34"/>
        <v>186</v>
      </c>
      <c r="H251" s="118" t="s">
        <v>38</v>
      </c>
      <c r="I251" s="118" t="s">
        <v>38</v>
      </c>
      <c r="J251" s="172" t="s">
        <v>467</v>
      </c>
      <c r="K251" s="164">
        <v>1</v>
      </c>
      <c r="L251" s="119">
        <v>8131</v>
      </c>
      <c r="M251" s="202">
        <f t="shared" si="33"/>
        <v>8131</v>
      </c>
      <c r="N251" s="2"/>
      <c r="O251" s="73" t="s">
        <v>468</v>
      </c>
      <c r="P251" s="77" t="s">
        <v>280</v>
      </c>
      <c r="Q251" s="318" t="s">
        <v>520</v>
      </c>
      <c r="R251" s="11">
        <v>46120</v>
      </c>
      <c r="S251" s="67"/>
      <c r="T251" s="303">
        <v>46150</v>
      </c>
      <c r="U251" s="36">
        <v>46153</v>
      </c>
      <c r="V251" s="38"/>
    </row>
    <row r="252" spans="1:22" s="3" customFormat="1" ht="19.5" customHeight="1" x14ac:dyDescent="0.2">
      <c r="A252" s="126" t="s">
        <v>41</v>
      </c>
      <c r="B252" s="300" t="s">
        <v>514</v>
      </c>
      <c r="C252" s="162"/>
      <c r="D252" s="112">
        <v>0.15</v>
      </c>
      <c r="F252" s="278">
        <v>15</v>
      </c>
      <c r="G252" s="60">
        <f>+G251+1</f>
        <v>187</v>
      </c>
      <c r="H252" s="118" t="s">
        <v>38</v>
      </c>
      <c r="I252" s="118" t="s">
        <v>38</v>
      </c>
      <c r="J252" s="173" t="s">
        <v>285</v>
      </c>
      <c r="K252" s="174">
        <v>1</v>
      </c>
      <c r="L252" s="202">
        <v>1122</v>
      </c>
      <c r="M252" s="202">
        <f t="shared" si="33"/>
        <v>1122</v>
      </c>
      <c r="N252" s="26"/>
      <c r="O252" s="24" t="s">
        <v>286</v>
      </c>
      <c r="P252" s="77" t="s">
        <v>280</v>
      </c>
      <c r="Q252" s="318" t="s">
        <v>520</v>
      </c>
      <c r="R252" s="11">
        <v>46120</v>
      </c>
      <c r="S252" s="67"/>
      <c r="T252" s="303">
        <v>46150</v>
      </c>
      <c r="U252" s="36">
        <v>46153</v>
      </c>
      <c r="V252" s="38"/>
    </row>
    <row r="253" spans="1:22" s="3" customFormat="1" ht="19.5" customHeight="1" x14ac:dyDescent="0.2">
      <c r="A253" s="126" t="s">
        <v>41</v>
      </c>
      <c r="B253" s="300" t="s">
        <v>514</v>
      </c>
      <c r="C253" s="162"/>
      <c r="D253" s="112">
        <v>0.1</v>
      </c>
      <c r="F253" s="278">
        <v>15</v>
      </c>
      <c r="G253" s="60">
        <f t="shared" si="34"/>
        <v>188</v>
      </c>
      <c r="H253" s="118" t="s">
        <v>38</v>
      </c>
      <c r="I253" s="118" t="s">
        <v>38</v>
      </c>
      <c r="J253" s="173" t="s">
        <v>287</v>
      </c>
      <c r="K253" s="174">
        <v>2</v>
      </c>
      <c r="L253" s="202">
        <v>725</v>
      </c>
      <c r="M253" s="202">
        <f t="shared" si="33"/>
        <v>1450</v>
      </c>
      <c r="N253" s="26"/>
      <c r="O253" s="24" t="s">
        <v>288</v>
      </c>
      <c r="P253" s="77" t="s">
        <v>280</v>
      </c>
      <c r="Q253" s="318" t="s">
        <v>520</v>
      </c>
      <c r="R253" s="11">
        <v>46120</v>
      </c>
      <c r="S253" s="67"/>
      <c r="T253" s="303">
        <v>46150</v>
      </c>
      <c r="U253" s="36">
        <v>46153</v>
      </c>
      <c r="V253" s="38"/>
    </row>
    <row r="254" spans="1:22" s="3" customFormat="1" ht="19.5" customHeight="1" x14ac:dyDescent="0.2">
      <c r="A254" s="126" t="s">
        <v>41</v>
      </c>
      <c r="B254" s="300" t="s">
        <v>514</v>
      </c>
      <c r="C254" s="162"/>
      <c r="D254" s="112">
        <v>0.08</v>
      </c>
      <c r="F254" s="278">
        <v>15</v>
      </c>
      <c r="G254" s="60">
        <f t="shared" si="34"/>
        <v>189</v>
      </c>
      <c r="H254" s="118" t="s">
        <v>38</v>
      </c>
      <c r="I254" s="118" t="s">
        <v>38</v>
      </c>
      <c r="J254" s="172" t="s">
        <v>165</v>
      </c>
      <c r="K254" s="164">
        <v>2</v>
      </c>
      <c r="L254" s="119">
        <v>913</v>
      </c>
      <c r="M254" s="202">
        <f t="shared" si="33"/>
        <v>1826</v>
      </c>
      <c r="N254" s="65">
        <v>2</v>
      </c>
      <c r="O254" s="73" t="s">
        <v>166</v>
      </c>
      <c r="P254" s="77"/>
      <c r="Q254" s="318" t="s">
        <v>520</v>
      </c>
      <c r="R254" s="11">
        <v>46120</v>
      </c>
      <c r="S254" s="67"/>
      <c r="T254" s="303">
        <v>46150</v>
      </c>
      <c r="U254" s="36">
        <v>46153</v>
      </c>
      <c r="V254" s="271"/>
    </row>
    <row r="255" spans="1:22" s="3" customFormat="1" ht="19.5" customHeight="1" x14ac:dyDescent="0.2">
      <c r="A255" s="126" t="s">
        <v>41</v>
      </c>
      <c r="B255" s="300" t="s">
        <v>514</v>
      </c>
      <c r="C255" s="162"/>
      <c r="D255" s="112">
        <v>0.05</v>
      </c>
      <c r="F255" s="278">
        <v>15</v>
      </c>
      <c r="G255" s="60">
        <f t="shared" si="34"/>
        <v>190</v>
      </c>
      <c r="H255" s="118" t="s">
        <v>38</v>
      </c>
      <c r="I255" s="118" t="s">
        <v>38</v>
      </c>
      <c r="J255" s="172" t="s">
        <v>167</v>
      </c>
      <c r="K255" s="164">
        <v>1</v>
      </c>
      <c r="L255" s="119">
        <v>1858</v>
      </c>
      <c r="M255" s="202">
        <f t="shared" si="33"/>
        <v>1858</v>
      </c>
      <c r="N255" s="65">
        <v>2</v>
      </c>
      <c r="O255" s="73" t="s">
        <v>168</v>
      </c>
      <c r="P255" s="77"/>
      <c r="Q255" s="318" t="s">
        <v>520</v>
      </c>
      <c r="R255" s="11">
        <v>46120</v>
      </c>
      <c r="S255" s="67"/>
      <c r="T255" s="303">
        <v>46150</v>
      </c>
      <c r="U255" s="36">
        <v>46153</v>
      </c>
      <c r="V255" s="271"/>
    </row>
    <row r="256" spans="1:22" s="3" customFormat="1" ht="19.649999999999999" customHeight="1" x14ac:dyDescent="0.2">
      <c r="A256" s="126" t="s">
        <v>279</v>
      </c>
      <c r="B256" s="300" t="s">
        <v>514</v>
      </c>
      <c r="C256" s="162"/>
      <c r="D256" s="112">
        <v>0.05</v>
      </c>
      <c r="E256" s="48"/>
      <c r="F256" s="278">
        <v>15</v>
      </c>
      <c r="G256" s="60">
        <f t="shared" si="34"/>
        <v>191</v>
      </c>
      <c r="H256" s="88" t="s">
        <v>24</v>
      </c>
      <c r="I256" s="88" t="s">
        <v>24</v>
      </c>
      <c r="J256" s="173" t="s">
        <v>469</v>
      </c>
      <c r="K256" s="174">
        <v>2</v>
      </c>
      <c r="L256" s="202">
        <v>128</v>
      </c>
      <c r="M256" s="202">
        <f>K256*L256</f>
        <v>256</v>
      </c>
      <c r="N256" s="26"/>
      <c r="O256" s="24" t="s">
        <v>169</v>
      </c>
      <c r="P256" s="77" t="s">
        <v>280</v>
      </c>
      <c r="Q256" s="318" t="s">
        <v>520</v>
      </c>
      <c r="R256" s="11">
        <v>46120</v>
      </c>
      <c r="S256" s="67"/>
      <c r="T256" s="303">
        <v>46150</v>
      </c>
      <c r="U256" s="36">
        <v>46153</v>
      </c>
      <c r="V256" s="14"/>
    </row>
    <row r="257" spans="1:22" s="3" customFormat="1" ht="19.649999999999999" customHeight="1" x14ac:dyDescent="0.2">
      <c r="A257" s="126" t="s">
        <v>279</v>
      </c>
      <c r="B257" s="300" t="s">
        <v>514</v>
      </c>
      <c r="C257" s="162"/>
      <c r="D257" s="112">
        <v>0.05</v>
      </c>
      <c r="E257" s="48"/>
      <c r="F257" s="278">
        <v>15</v>
      </c>
      <c r="G257" s="60">
        <f t="shared" si="34"/>
        <v>192</v>
      </c>
      <c r="H257" s="88" t="s">
        <v>24</v>
      </c>
      <c r="I257" s="88" t="s">
        <v>24</v>
      </c>
      <c r="J257" s="173" t="s">
        <v>470</v>
      </c>
      <c r="K257" s="174">
        <v>2</v>
      </c>
      <c r="L257" s="202">
        <v>534</v>
      </c>
      <c r="M257" s="202">
        <f>K257*L257</f>
        <v>1068</v>
      </c>
      <c r="N257" s="26"/>
      <c r="O257" s="24" t="s">
        <v>169</v>
      </c>
      <c r="P257" s="77" t="s">
        <v>280</v>
      </c>
      <c r="Q257" s="318" t="s">
        <v>520</v>
      </c>
      <c r="R257" s="11">
        <v>46120</v>
      </c>
      <c r="S257" s="67"/>
      <c r="T257" s="303">
        <v>46150</v>
      </c>
      <c r="U257" s="36">
        <v>46153</v>
      </c>
      <c r="V257" s="14"/>
    </row>
    <row r="258" spans="1:22" s="3" customFormat="1" ht="19.649999999999999" customHeight="1" x14ac:dyDescent="0.2">
      <c r="A258" s="126" t="s">
        <v>41</v>
      </c>
      <c r="B258" s="300" t="s">
        <v>514</v>
      </c>
      <c r="C258" s="162"/>
      <c r="D258" s="1">
        <f>0.01*K258</f>
        <v>0.04</v>
      </c>
      <c r="E258" s="48"/>
      <c r="F258" s="278">
        <v>15</v>
      </c>
      <c r="G258" s="60">
        <f>+G257+1</f>
        <v>193</v>
      </c>
      <c r="H258" s="88" t="s">
        <v>24</v>
      </c>
      <c r="I258" s="88" t="s">
        <v>24</v>
      </c>
      <c r="J258" s="173" t="s">
        <v>289</v>
      </c>
      <c r="K258" s="174">
        <v>4</v>
      </c>
      <c r="L258" s="202">
        <v>126</v>
      </c>
      <c r="M258" s="202">
        <f>K258*L258</f>
        <v>504</v>
      </c>
      <c r="N258" s="80"/>
      <c r="O258" s="24" t="s">
        <v>290</v>
      </c>
      <c r="P258" s="77" t="s">
        <v>280</v>
      </c>
      <c r="Q258" s="318" t="s">
        <v>520</v>
      </c>
      <c r="R258" s="11">
        <v>46120</v>
      </c>
      <c r="S258" s="67"/>
      <c r="T258" s="303">
        <v>46150</v>
      </c>
      <c r="U258" s="36">
        <v>46153</v>
      </c>
      <c r="V258" s="14"/>
    </row>
    <row r="259" spans="1:22" s="3" customFormat="1" ht="19.649999999999999" customHeight="1" x14ac:dyDescent="0.2">
      <c r="B259" s="289"/>
      <c r="E259" s="48"/>
      <c r="F259" s="1"/>
      <c r="G259" s="4"/>
      <c r="H259" s="118"/>
      <c r="I259" s="118"/>
      <c r="J259" s="23"/>
      <c r="K259" s="120"/>
      <c r="L259" s="27"/>
      <c r="M259" s="80"/>
      <c r="N259" s="2"/>
      <c r="O259" s="73"/>
      <c r="P259" s="23"/>
      <c r="Q259" s="4"/>
      <c r="R259" s="11"/>
      <c r="S259" s="4"/>
      <c r="T259" s="19"/>
      <c r="U259" s="19"/>
      <c r="V259" s="14"/>
    </row>
    <row r="260" spans="1:22" s="3" customFormat="1" ht="19.649999999999999" customHeight="1" x14ac:dyDescent="0.2">
      <c r="B260" s="289"/>
      <c r="D260" s="3" t="s">
        <v>98</v>
      </c>
      <c r="E260" s="48"/>
      <c r="F260" s="1"/>
      <c r="G260" s="78"/>
      <c r="H260" s="78"/>
      <c r="I260" s="78"/>
      <c r="J260" s="23"/>
      <c r="K260" s="113"/>
      <c r="L260" s="117"/>
      <c r="M260" s="80"/>
      <c r="N260" s="65"/>
      <c r="O260" s="66"/>
      <c r="P260" s="77"/>
      <c r="Q260" s="4"/>
      <c r="R260" s="11"/>
      <c r="S260" s="4"/>
      <c r="T260" s="19"/>
      <c r="U260" s="19"/>
      <c r="V260" s="14"/>
    </row>
    <row r="261" spans="1:22" s="3" customFormat="1" ht="19.649999999999999" customHeight="1" x14ac:dyDescent="0.2">
      <c r="B261" s="289"/>
      <c r="D261" s="114">
        <f>SUM(D224:D258)</f>
        <v>38.890999999999984</v>
      </c>
      <c r="E261" s="48"/>
      <c r="F261" s="1"/>
      <c r="G261" s="121"/>
      <c r="H261" s="78"/>
      <c r="I261" s="78"/>
      <c r="J261" s="122">
        <f>SUM(M223:M260)</f>
        <v>252883</v>
      </c>
      <c r="K261" s="113"/>
      <c r="L261" s="117"/>
      <c r="M261" s="80"/>
      <c r="N261" s="65"/>
      <c r="O261" s="66"/>
      <c r="P261" s="77"/>
      <c r="Q261" s="4"/>
      <c r="R261" s="11"/>
      <c r="S261" s="4"/>
      <c r="T261" s="19"/>
      <c r="U261" s="19"/>
      <c r="V261" s="14"/>
    </row>
    <row r="262" spans="1:22" s="3" customFormat="1" ht="19.649999999999999" customHeight="1" x14ac:dyDescent="0.2">
      <c r="B262" s="289"/>
      <c r="D262" s="63" t="s">
        <v>68</v>
      </c>
      <c r="E262" s="48"/>
      <c r="F262" s="1"/>
      <c r="G262" s="78"/>
      <c r="H262" s="78"/>
      <c r="I262" s="78"/>
      <c r="J262" s="23"/>
      <c r="K262" s="113"/>
      <c r="L262" s="117"/>
      <c r="M262" s="80"/>
      <c r="N262" s="65"/>
      <c r="O262" s="66"/>
      <c r="P262" s="77"/>
      <c r="Q262" s="4"/>
      <c r="R262" s="11"/>
      <c r="S262" s="4"/>
      <c r="T262" s="19"/>
      <c r="U262" s="19"/>
      <c r="V262" s="14"/>
    </row>
    <row r="263" spans="1:22" s="3" customFormat="1" ht="19.649999999999999" customHeight="1" x14ac:dyDescent="0.2">
      <c r="B263" s="289"/>
      <c r="D263" s="63"/>
      <c r="E263" s="48"/>
      <c r="F263" s="1"/>
      <c r="G263" s="78"/>
      <c r="H263" s="78"/>
      <c r="I263" s="78"/>
      <c r="J263" s="23"/>
      <c r="K263" s="113"/>
      <c r="L263" s="117"/>
      <c r="M263" s="80"/>
      <c r="N263" s="65"/>
      <c r="O263" s="66"/>
      <c r="P263" s="77"/>
      <c r="Q263" s="4"/>
      <c r="R263" s="11"/>
      <c r="S263" s="4"/>
      <c r="T263" s="19"/>
      <c r="U263" s="19"/>
      <c r="V263" s="14"/>
    </row>
    <row r="264" spans="1:22" s="3" customFormat="1" ht="19.649999999999999" customHeight="1" x14ac:dyDescent="0.2">
      <c r="B264" s="289"/>
      <c r="D264" s="63"/>
      <c r="E264" s="48"/>
      <c r="F264" s="1"/>
      <c r="G264" s="78"/>
      <c r="H264" s="78"/>
      <c r="I264" s="78"/>
      <c r="J264" s="23"/>
      <c r="K264" s="113"/>
      <c r="L264" s="117"/>
      <c r="M264" s="80"/>
      <c r="N264" s="65"/>
      <c r="O264" s="66"/>
      <c r="P264" s="77"/>
      <c r="Q264" s="4"/>
      <c r="R264" s="11"/>
      <c r="S264" s="4"/>
      <c r="T264" s="19"/>
      <c r="U264" s="19"/>
      <c r="V264" s="14"/>
    </row>
    <row r="265" spans="1:22" s="3" customFormat="1" ht="19.649999999999999" customHeight="1" x14ac:dyDescent="0.2">
      <c r="B265" s="289"/>
      <c r="D265" s="63"/>
      <c r="E265" s="48"/>
      <c r="F265" s="1"/>
      <c r="G265" s="78"/>
      <c r="H265" s="343" t="s">
        <v>278</v>
      </c>
      <c r="I265" s="344"/>
      <c r="J265" s="345"/>
      <c r="K265" s="113"/>
      <c r="L265" s="117"/>
      <c r="M265" s="80"/>
      <c r="N265" s="65"/>
      <c r="O265" s="66"/>
      <c r="P265" s="77"/>
      <c r="Q265" s="4"/>
      <c r="R265" s="11"/>
      <c r="S265" s="4"/>
      <c r="T265" s="19"/>
      <c r="U265" s="19"/>
      <c r="V265" s="14"/>
    </row>
    <row r="266" spans="1:22" s="3" customFormat="1" ht="19.649999999999999" customHeight="1" x14ac:dyDescent="0.2">
      <c r="A266" s="126" t="s">
        <v>41</v>
      </c>
      <c r="B266" s="301" t="s">
        <v>515</v>
      </c>
      <c r="C266" s="162"/>
      <c r="D266" s="1">
        <f>0.053*K266</f>
        <v>5.2999999999999999E-2</v>
      </c>
      <c r="E266" s="269"/>
      <c r="F266" s="277">
        <v>16</v>
      </c>
      <c r="G266" s="60">
        <f>+G258+1</f>
        <v>194</v>
      </c>
      <c r="H266" s="118" t="s">
        <v>38</v>
      </c>
      <c r="I266" s="118" t="s">
        <v>38</v>
      </c>
      <c r="J266" s="111" t="s">
        <v>449</v>
      </c>
      <c r="K266" s="119">
        <v>1</v>
      </c>
      <c r="L266" s="111">
        <v>366</v>
      </c>
      <c r="M266" s="202">
        <f>K266*L266</f>
        <v>366</v>
      </c>
      <c r="N266" s="2"/>
      <c r="O266" s="73" t="s">
        <v>450</v>
      </c>
      <c r="P266" s="61"/>
      <c r="Q266" s="318" t="s">
        <v>520</v>
      </c>
      <c r="R266" s="11">
        <v>46120</v>
      </c>
      <c r="S266" s="67"/>
      <c r="T266" s="303">
        <v>46150</v>
      </c>
      <c r="U266" s="36">
        <v>46153</v>
      </c>
      <c r="V266" s="14"/>
    </row>
    <row r="267" spans="1:22" s="3" customFormat="1" ht="19.649999999999999" customHeight="1" x14ac:dyDescent="0.2">
      <c r="A267" s="126" t="s">
        <v>41</v>
      </c>
      <c r="B267" s="301" t="s">
        <v>515</v>
      </c>
      <c r="C267" s="162"/>
      <c r="D267" s="1">
        <f>0.111*K267</f>
        <v>6.66</v>
      </c>
      <c r="E267" s="269"/>
      <c r="F267" s="277">
        <v>16</v>
      </c>
      <c r="G267" s="60">
        <f t="shared" ref="G267:G307" si="35">+G266+1</f>
        <v>195</v>
      </c>
      <c r="H267" s="118" t="s">
        <v>38</v>
      </c>
      <c r="I267" s="118" t="s">
        <v>38</v>
      </c>
      <c r="J267" s="111" t="s">
        <v>291</v>
      </c>
      <c r="K267" s="119">
        <v>60</v>
      </c>
      <c r="L267" s="111">
        <v>520</v>
      </c>
      <c r="M267" s="202">
        <f t="shared" ref="M267:M307" si="36">K267*L267</f>
        <v>31200</v>
      </c>
      <c r="N267" s="2"/>
      <c r="O267" s="73" t="s">
        <v>292</v>
      </c>
      <c r="P267" s="23" t="s">
        <v>293</v>
      </c>
      <c r="Q267" s="318" t="s">
        <v>520</v>
      </c>
      <c r="R267" s="11">
        <v>46120</v>
      </c>
      <c r="S267" s="67"/>
      <c r="T267" s="303">
        <v>46150</v>
      </c>
      <c r="U267" s="36">
        <v>46153</v>
      </c>
      <c r="V267" s="14"/>
    </row>
    <row r="268" spans="1:22" s="3" customFormat="1" ht="19.649999999999999" customHeight="1" x14ac:dyDescent="0.2">
      <c r="A268" s="126" t="s">
        <v>41</v>
      </c>
      <c r="B268" s="301" t="s">
        <v>515</v>
      </c>
      <c r="C268" s="162"/>
      <c r="D268" s="1">
        <f>0.007*K268</f>
        <v>0.17500000000000002</v>
      </c>
      <c r="E268" s="269"/>
      <c r="F268" s="277">
        <v>16</v>
      </c>
      <c r="G268" s="60">
        <f t="shared" si="35"/>
        <v>196</v>
      </c>
      <c r="H268" s="203" t="s">
        <v>24</v>
      </c>
      <c r="I268" s="203" t="s">
        <v>24</v>
      </c>
      <c r="J268" s="259" t="s">
        <v>294</v>
      </c>
      <c r="K268" s="164">
        <v>25</v>
      </c>
      <c r="L268" s="119">
        <v>40</v>
      </c>
      <c r="M268" s="202">
        <f t="shared" si="36"/>
        <v>1000</v>
      </c>
      <c r="N268" s="65"/>
      <c r="O268" s="73" t="s">
        <v>295</v>
      </c>
      <c r="P268" s="23" t="s">
        <v>296</v>
      </c>
      <c r="Q268" s="318" t="s">
        <v>520</v>
      </c>
      <c r="R268" s="11">
        <v>46120</v>
      </c>
      <c r="S268" s="67"/>
      <c r="T268" s="303">
        <v>46150</v>
      </c>
      <c r="U268" s="36">
        <v>46153</v>
      </c>
      <c r="V268" s="14"/>
    </row>
    <row r="269" spans="1:22" s="3" customFormat="1" ht="19.649999999999999" customHeight="1" x14ac:dyDescent="0.2">
      <c r="A269" s="126" t="s">
        <v>41</v>
      </c>
      <c r="B269" s="301" t="s">
        <v>515</v>
      </c>
      <c r="C269" s="162"/>
      <c r="D269" s="1">
        <f>1.95*K269</f>
        <v>7.8</v>
      </c>
      <c r="E269" s="269"/>
      <c r="F269" s="277">
        <v>16</v>
      </c>
      <c r="G269" s="60">
        <f t="shared" si="35"/>
        <v>197</v>
      </c>
      <c r="H269" s="118" t="s">
        <v>38</v>
      </c>
      <c r="I269" s="118" t="s">
        <v>38</v>
      </c>
      <c r="J269" s="111" t="s">
        <v>411</v>
      </c>
      <c r="K269" s="119">
        <v>4</v>
      </c>
      <c r="L269" s="111">
        <v>4941</v>
      </c>
      <c r="M269" s="202">
        <f t="shared" si="36"/>
        <v>19764</v>
      </c>
      <c r="N269" s="2"/>
      <c r="O269" s="73" t="s">
        <v>405</v>
      </c>
      <c r="P269" s="23" t="s">
        <v>293</v>
      </c>
      <c r="Q269" s="318" t="s">
        <v>520</v>
      </c>
      <c r="R269" s="11">
        <v>46120</v>
      </c>
      <c r="S269" s="67"/>
      <c r="T269" s="303">
        <v>46150</v>
      </c>
      <c r="U269" s="36">
        <v>46153</v>
      </c>
      <c r="V269" s="14"/>
    </row>
    <row r="270" spans="1:22" s="3" customFormat="1" ht="19.649999999999999" customHeight="1" x14ac:dyDescent="0.2">
      <c r="A270" s="126" t="s">
        <v>41</v>
      </c>
      <c r="B270" s="301" t="s">
        <v>515</v>
      </c>
      <c r="C270" s="162"/>
      <c r="D270" s="1">
        <f>0.01*K270</f>
        <v>0.04</v>
      </c>
      <c r="E270" s="269"/>
      <c r="F270" s="277">
        <v>16</v>
      </c>
      <c r="G270" s="60">
        <f t="shared" si="35"/>
        <v>198</v>
      </c>
      <c r="H270" s="118" t="s">
        <v>38</v>
      </c>
      <c r="I270" s="118" t="s">
        <v>38</v>
      </c>
      <c r="J270" s="111" t="s">
        <v>297</v>
      </c>
      <c r="K270" s="119">
        <v>4</v>
      </c>
      <c r="L270" s="111">
        <v>118</v>
      </c>
      <c r="M270" s="202">
        <f t="shared" si="36"/>
        <v>472</v>
      </c>
      <c r="N270" s="2"/>
      <c r="O270" s="73" t="s">
        <v>79</v>
      </c>
      <c r="P270" s="23" t="s">
        <v>293</v>
      </c>
      <c r="Q270" s="318" t="s">
        <v>520</v>
      </c>
      <c r="R270" s="11">
        <v>46120</v>
      </c>
      <c r="S270" s="67"/>
      <c r="T270" s="303">
        <v>46150</v>
      </c>
      <c r="U270" s="36">
        <v>46153</v>
      </c>
      <c r="V270" s="14"/>
    </row>
    <row r="271" spans="1:22" s="3" customFormat="1" ht="19.649999999999999" customHeight="1" x14ac:dyDescent="0.2">
      <c r="A271" s="126" t="s">
        <v>41</v>
      </c>
      <c r="B271" s="301" t="s">
        <v>515</v>
      </c>
      <c r="C271" s="162"/>
      <c r="D271" s="1">
        <f>+(448/1000)*2.63*K271</f>
        <v>2.3564799999999999</v>
      </c>
      <c r="E271" s="48"/>
      <c r="F271" s="277">
        <v>16</v>
      </c>
      <c r="G271" s="60">
        <f t="shared" si="35"/>
        <v>199</v>
      </c>
      <c r="H271" s="118" t="s">
        <v>38</v>
      </c>
      <c r="I271" s="118" t="s">
        <v>38</v>
      </c>
      <c r="J271" s="192" t="s">
        <v>406</v>
      </c>
      <c r="K271" s="260">
        <v>2</v>
      </c>
      <c r="L271" s="111">
        <v>1237</v>
      </c>
      <c r="M271" s="202">
        <f t="shared" si="36"/>
        <v>2474</v>
      </c>
      <c r="N271" s="2"/>
      <c r="O271" s="73" t="s">
        <v>407</v>
      </c>
      <c r="P271" s="23" t="s">
        <v>293</v>
      </c>
      <c r="Q271" s="318" t="s">
        <v>520</v>
      </c>
      <c r="R271" s="11">
        <v>46120</v>
      </c>
      <c r="S271" s="67"/>
      <c r="T271" s="303">
        <v>46150</v>
      </c>
      <c r="U271" s="36">
        <v>46153</v>
      </c>
      <c r="V271" s="14"/>
    </row>
    <row r="272" spans="1:22" s="3" customFormat="1" ht="19.649999999999999" customHeight="1" x14ac:dyDescent="0.2">
      <c r="A272" s="126" t="s">
        <v>41</v>
      </c>
      <c r="B272" s="301" t="s">
        <v>515</v>
      </c>
      <c r="C272" s="162"/>
      <c r="D272" s="1">
        <f>+(450/1000)*2.63*K272</f>
        <v>2.367</v>
      </c>
      <c r="E272" s="48"/>
      <c r="F272" s="277">
        <v>16</v>
      </c>
      <c r="G272" s="60">
        <f t="shared" si="35"/>
        <v>200</v>
      </c>
      <c r="H272" s="118" t="s">
        <v>38</v>
      </c>
      <c r="I272" s="118" t="s">
        <v>38</v>
      </c>
      <c r="J272" s="192" t="s">
        <v>408</v>
      </c>
      <c r="K272" s="260">
        <v>2</v>
      </c>
      <c r="L272" s="111">
        <v>1247</v>
      </c>
      <c r="M272" s="202">
        <f t="shared" si="36"/>
        <v>2494</v>
      </c>
      <c r="N272" s="2"/>
      <c r="O272" s="73" t="s">
        <v>298</v>
      </c>
      <c r="P272" s="23" t="s">
        <v>293</v>
      </c>
      <c r="Q272" s="318" t="s">
        <v>520</v>
      </c>
      <c r="R272" s="11">
        <v>46120</v>
      </c>
      <c r="S272" s="67"/>
      <c r="T272" s="303">
        <v>46150</v>
      </c>
      <c r="U272" s="36">
        <v>46153</v>
      </c>
      <c r="V272" s="14"/>
    </row>
    <row r="273" spans="1:22" s="3" customFormat="1" ht="19.649999999999999" customHeight="1" x14ac:dyDescent="0.2">
      <c r="A273" s="126" t="s">
        <v>41</v>
      </c>
      <c r="B273" s="301" t="s">
        <v>515</v>
      </c>
      <c r="C273" s="162"/>
      <c r="D273" s="1">
        <f>+(974/1000)*2.63*K273</f>
        <v>5.12324</v>
      </c>
      <c r="E273" s="48"/>
      <c r="F273" s="277">
        <v>16</v>
      </c>
      <c r="G273" s="60">
        <f t="shared" si="35"/>
        <v>201</v>
      </c>
      <c r="H273" s="118" t="s">
        <v>38</v>
      </c>
      <c r="I273" s="118" t="s">
        <v>38</v>
      </c>
      <c r="J273" s="111" t="s">
        <v>419</v>
      </c>
      <c r="K273" s="119">
        <v>2</v>
      </c>
      <c r="L273" s="111">
        <v>2692</v>
      </c>
      <c r="M273" s="202">
        <f t="shared" si="36"/>
        <v>5384</v>
      </c>
      <c r="N273" s="2"/>
      <c r="O273" s="73" t="s">
        <v>299</v>
      </c>
      <c r="P273" s="23" t="s">
        <v>293</v>
      </c>
      <c r="Q273" s="318" t="s">
        <v>520</v>
      </c>
      <c r="R273" s="11">
        <v>46120</v>
      </c>
      <c r="S273" s="67"/>
      <c r="T273" s="303">
        <v>46150</v>
      </c>
      <c r="U273" s="36">
        <v>46153</v>
      </c>
      <c r="V273" s="14"/>
    </row>
    <row r="274" spans="1:22" s="3" customFormat="1" ht="19.649999999999999" customHeight="1" x14ac:dyDescent="0.2">
      <c r="A274" s="126" t="s">
        <v>41</v>
      </c>
      <c r="B274" s="301" t="s">
        <v>515</v>
      </c>
      <c r="C274" s="162"/>
      <c r="D274" s="1">
        <f>+(980/1000)*2.63*K274</f>
        <v>15.464399999999999</v>
      </c>
      <c r="E274" s="48"/>
      <c r="F274" s="277">
        <v>16</v>
      </c>
      <c r="G274" s="60">
        <f t="shared" si="35"/>
        <v>202</v>
      </c>
      <c r="H274" s="118" t="s">
        <v>38</v>
      </c>
      <c r="I274" s="118" t="s">
        <v>38</v>
      </c>
      <c r="J274" s="111" t="s">
        <v>300</v>
      </c>
      <c r="K274" s="119">
        <v>6</v>
      </c>
      <c r="L274" s="111">
        <v>2712</v>
      </c>
      <c r="M274" s="202">
        <f t="shared" si="36"/>
        <v>16272</v>
      </c>
      <c r="N274" s="2"/>
      <c r="O274" s="73" t="s">
        <v>299</v>
      </c>
      <c r="P274" s="23" t="s">
        <v>293</v>
      </c>
      <c r="Q274" s="318" t="s">
        <v>520</v>
      </c>
      <c r="R274" s="11">
        <v>46120</v>
      </c>
      <c r="S274" s="67"/>
      <c r="T274" s="303">
        <v>46150</v>
      </c>
      <c r="U274" s="36">
        <v>46153</v>
      </c>
      <c r="V274" s="14"/>
    </row>
    <row r="275" spans="1:22" s="3" customFormat="1" ht="19.649999999999999" customHeight="1" x14ac:dyDescent="0.2">
      <c r="A275" s="126" t="s">
        <v>41</v>
      </c>
      <c r="B275" s="301" t="s">
        <v>515</v>
      </c>
      <c r="C275" s="162"/>
      <c r="D275" s="1">
        <f>+(508/1000)*4.31*K275</f>
        <v>8.7579199999999986</v>
      </c>
      <c r="E275" s="48"/>
      <c r="F275" s="277">
        <v>16</v>
      </c>
      <c r="G275" s="60">
        <f t="shared" si="35"/>
        <v>203</v>
      </c>
      <c r="H275" s="118" t="s">
        <v>38</v>
      </c>
      <c r="I275" s="118" t="s">
        <v>38</v>
      </c>
      <c r="J275" s="111" t="s">
        <v>420</v>
      </c>
      <c r="K275" s="119">
        <v>4</v>
      </c>
      <c r="L275" s="111">
        <v>2395</v>
      </c>
      <c r="M275" s="202">
        <f t="shared" si="36"/>
        <v>9580</v>
      </c>
      <c r="N275" s="2"/>
      <c r="O275" s="73" t="s">
        <v>299</v>
      </c>
      <c r="P275" s="23" t="s">
        <v>293</v>
      </c>
      <c r="Q275" s="318" t="s">
        <v>520</v>
      </c>
      <c r="R275" s="11">
        <v>46120</v>
      </c>
      <c r="S275" s="67"/>
      <c r="T275" s="303">
        <v>46150</v>
      </c>
      <c r="U275" s="36">
        <v>46153</v>
      </c>
      <c r="V275" s="14"/>
    </row>
    <row r="276" spans="1:22" s="3" customFormat="1" ht="19.649999999999999" customHeight="1" x14ac:dyDescent="0.2">
      <c r="A276" s="126" t="s">
        <v>41</v>
      </c>
      <c r="B276" s="301" t="s">
        <v>515</v>
      </c>
      <c r="C276" s="162"/>
      <c r="D276" s="1">
        <f>+(860/1000)*4.31*K276</f>
        <v>7.4131999999999989</v>
      </c>
      <c r="E276" s="48"/>
      <c r="F276" s="277">
        <v>16</v>
      </c>
      <c r="G276" s="60">
        <f t="shared" si="35"/>
        <v>204</v>
      </c>
      <c r="H276" s="118" t="s">
        <v>38</v>
      </c>
      <c r="I276" s="118" t="s">
        <v>38</v>
      </c>
      <c r="J276" s="111" t="s">
        <v>421</v>
      </c>
      <c r="K276" s="119">
        <v>2</v>
      </c>
      <c r="L276" s="111">
        <v>4068</v>
      </c>
      <c r="M276" s="202">
        <f t="shared" si="36"/>
        <v>8136</v>
      </c>
      <c r="N276" s="2"/>
      <c r="O276" s="73" t="s">
        <v>299</v>
      </c>
      <c r="P276" s="23" t="s">
        <v>293</v>
      </c>
      <c r="Q276" s="318" t="s">
        <v>520</v>
      </c>
      <c r="R276" s="11">
        <v>46120</v>
      </c>
      <c r="S276" s="67"/>
      <c r="T276" s="303">
        <v>46150</v>
      </c>
      <c r="U276" s="36">
        <v>46153</v>
      </c>
      <c r="V276" s="14"/>
    </row>
    <row r="277" spans="1:22" s="3" customFormat="1" ht="19.649999999999999" customHeight="1" x14ac:dyDescent="0.2">
      <c r="A277" s="126" t="s">
        <v>41</v>
      </c>
      <c r="B277" s="301" t="s">
        <v>515</v>
      </c>
      <c r="C277" s="162"/>
      <c r="D277" s="1">
        <f>+(980/1000)*4.31*K277</f>
        <v>8.4475999999999996</v>
      </c>
      <c r="E277" s="48"/>
      <c r="F277" s="277">
        <v>16</v>
      </c>
      <c r="G277" s="60">
        <f t="shared" si="35"/>
        <v>205</v>
      </c>
      <c r="H277" s="118" t="s">
        <v>38</v>
      </c>
      <c r="I277" s="118" t="s">
        <v>38</v>
      </c>
      <c r="J277" s="111" t="s">
        <v>422</v>
      </c>
      <c r="K277" s="119">
        <v>2</v>
      </c>
      <c r="L277" s="111">
        <v>4633</v>
      </c>
      <c r="M277" s="202">
        <f t="shared" si="36"/>
        <v>9266</v>
      </c>
      <c r="N277" s="2"/>
      <c r="O277" s="73" t="s">
        <v>299</v>
      </c>
      <c r="P277" s="23" t="s">
        <v>293</v>
      </c>
      <c r="Q277" s="318" t="s">
        <v>520</v>
      </c>
      <c r="R277" s="11">
        <v>46120</v>
      </c>
      <c r="S277" s="67"/>
      <c r="T277" s="303">
        <v>46150</v>
      </c>
      <c r="U277" s="36">
        <v>46153</v>
      </c>
      <c r="V277" s="14"/>
    </row>
    <row r="278" spans="1:22" s="3" customFormat="1" ht="19.649999999999999" customHeight="1" x14ac:dyDescent="0.2">
      <c r="A278" s="129" t="s">
        <v>27</v>
      </c>
      <c r="B278" s="301" t="s">
        <v>515</v>
      </c>
      <c r="C278" s="162">
        <v>7.0000000000000007E-2</v>
      </c>
      <c r="D278" s="1">
        <f t="shared" ref="D278:D299" si="37">+C278*K278</f>
        <v>3.6400000000000006</v>
      </c>
      <c r="E278" s="48"/>
      <c r="F278" s="277">
        <v>16</v>
      </c>
      <c r="G278" s="60">
        <f t="shared" si="35"/>
        <v>206</v>
      </c>
      <c r="H278" s="118" t="s">
        <v>38</v>
      </c>
      <c r="I278" s="118" t="s">
        <v>38</v>
      </c>
      <c r="J278" s="111" t="s">
        <v>409</v>
      </c>
      <c r="K278" s="119">
        <v>52</v>
      </c>
      <c r="L278" s="111">
        <v>47</v>
      </c>
      <c r="M278" s="202">
        <f t="shared" si="36"/>
        <v>2444</v>
      </c>
      <c r="N278" s="2"/>
      <c r="O278" s="73" t="s">
        <v>496</v>
      </c>
      <c r="P278" s="23"/>
      <c r="Q278" s="318" t="s">
        <v>520</v>
      </c>
      <c r="R278" s="11">
        <v>46120</v>
      </c>
      <c r="S278" s="67"/>
      <c r="T278" s="303">
        <v>46150</v>
      </c>
      <c r="U278" s="36">
        <v>46153</v>
      </c>
      <c r="V278" s="14"/>
    </row>
    <row r="279" spans="1:22" s="3" customFormat="1" ht="19.649999999999999" customHeight="1" x14ac:dyDescent="0.2">
      <c r="A279" s="129" t="s">
        <v>27</v>
      </c>
      <c r="B279" s="301" t="s">
        <v>515</v>
      </c>
      <c r="C279" s="162">
        <v>2.5000000000000001E-2</v>
      </c>
      <c r="D279" s="1">
        <f t="shared" si="37"/>
        <v>0.625</v>
      </c>
      <c r="E279" s="48"/>
      <c r="F279" s="277">
        <v>16</v>
      </c>
      <c r="G279" s="60">
        <f t="shared" si="35"/>
        <v>207</v>
      </c>
      <c r="H279" s="88" t="s">
        <v>24</v>
      </c>
      <c r="I279" s="88" t="s">
        <v>24</v>
      </c>
      <c r="J279" s="111" t="s">
        <v>410</v>
      </c>
      <c r="K279" s="119">
        <v>25</v>
      </c>
      <c r="L279" s="111">
        <v>23</v>
      </c>
      <c r="M279" s="202">
        <f t="shared" si="36"/>
        <v>575</v>
      </c>
      <c r="N279" s="2"/>
      <c r="O279" s="24" t="s">
        <v>423</v>
      </c>
      <c r="P279" s="23"/>
      <c r="Q279" s="318" t="s">
        <v>520</v>
      </c>
      <c r="R279" s="11">
        <v>46120</v>
      </c>
      <c r="S279" s="67"/>
      <c r="T279" s="303">
        <v>46150</v>
      </c>
      <c r="U279" s="36">
        <v>46153</v>
      </c>
      <c r="V279" s="14"/>
    </row>
    <row r="280" spans="1:22" s="3" customFormat="1" ht="19.649999999999999" customHeight="1" x14ac:dyDescent="0.2">
      <c r="A280" s="126" t="s">
        <v>36</v>
      </c>
      <c r="B280" s="301" t="s">
        <v>515</v>
      </c>
      <c r="C280" s="162">
        <v>3.3</v>
      </c>
      <c r="D280" s="1">
        <f t="shared" si="37"/>
        <v>6.6</v>
      </c>
      <c r="E280" s="48"/>
      <c r="F280" s="277">
        <v>16</v>
      </c>
      <c r="G280" s="60">
        <f t="shared" si="35"/>
        <v>208</v>
      </c>
      <c r="H280" s="60" t="s">
        <v>37</v>
      </c>
      <c r="I280" s="118" t="s">
        <v>38</v>
      </c>
      <c r="J280" s="111" t="s">
        <v>447</v>
      </c>
      <c r="K280" s="119">
        <v>2</v>
      </c>
      <c r="L280" s="111">
        <v>8258</v>
      </c>
      <c r="M280" s="202">
        <f t="shared" si="36"/>
        <v>16516</v>
      </c>
      <c r="N280" s="2"/>
      <c r="O280" s="73" t="s">
        <v>458</v>
      </c>
      <c r="P280" s="23"/>
      <c r="Q280" s="318" t="s">
        <v>520</v>
      </c>
      <c r="R280" s="11">
        <v>46120</v>
      </c>
      <c r="S280" s="67"/>
      <c r="T280" s="303">
        <v>46150</v>
      </c>
      <c r="U280" s="36">
        <v>46153</v>
      </c>
      <c r="V280" s="14"/>
    </row>
    <row r="281" spans="1:22" s="3" customFormat="1" ht="19.649999999999999" customHeight="1" x14ac:dyDescent="0.2">
      <c r="A281" s="129" t="s">
        <v>27</v>
      </c>
      <c r="B281" s="301" t="s">
        <v>515</v>
      </c>
      <c r="C281" s="162">
        <v>2.5000000000000001E-2</v>
      </c>
      <c r="D281" s="1">
        <f t="shared" si="37"/>
        <v>0.2</v>
      </c>
      <c r="E281" s="48"/>
      <c r="F281" s="277">
        <v>16</v>
      </c>
      <c r="G281" s="60">
        <f t="shared" si="35"/>
        <v>209</v>
      </c>
      <c r="H281" s="88" t="s">
        <v>24</v>
      </c>
      <c r="I281" s="88" t="s">
        <v>24</v>
      </c>
      <c r="J281" s="111" t="s">
        <v>413</v>
      </c>
      <c r="K281" s="119">
        <v>8</v>
      </c>
      <c r="L281" s="111">
        <v>27</v>
      </c>
      <c r="M281" s="202">
        <f t="shared" si="36"/>
        <v>216</v>
      </c>
      <c r="N281" s="2"/>
      <c r="O281" s="73" t="s">
        <v>414</v>
      </c>
      <c r="P281" s="23"/>
      <c r="Q281" s="318" t="s">
        <v>520</v>
      </c>
      <c r="R281" s="11">
        <v>46120</v>
      </c>
      <c r="S281" s="67"/>
      <c r="T281" s="303">
        <v>46150</v>
      </c>
      <c r="U281" s="36">
        <v>46153</v>
      </c>
      <c r="V281" s="14"/>
    </row>
    <row r="282" spans="1:22" s="3" customFormat="1" ht="19.649999999999999" customHeight="1" x14ac:dyDescent="0.2">
      <c r="A282" s="126" t="s">
        <v>36</v>
      </c>
      <c r="B282" s="301" t="s">
        <v>515</v>
      </c>
      <c r="C282" s="162">
        <v>0.99</v>
      </c>
      <c r="D282" s="1">
        <f t="shared" si="37"/>
        <v>0.99</v>
      </c>
      <c r="E282" s="48"/>
      <c r="F282" s="277">
        <v>16</v>
      </c>
      <c r="G282" s="60">
        <f t="shared" si="35"/>
        <v>210</v>
      </c>
      <c r="H282" s="60" t="s">
        <v>37</v>
      </c>
      <c r="I282" s="118" t="s">
        <v>38</v>
      </c>
      <c r="J282" s="111" t="s">
        <v>445</v>
      </c>
      <c r="K282" s="119">
        <v>1</v>
      </c>
      <c r="L282" s="111">
        <v>5015</v>
      </c>
      <c r="M282" s="202">
        <f t="shared" si="36"/>
        <v>5015</v>
      </c>
      <c r="N282" s="2"/>
      <c r="O282" s="73" t="s">
        <v>412</v>
      </c>
      <c r="P282" s="23"/>
      <c r="Q282" s="318" t="s">
        <v>520</v>
      </c>
      <c r="R282" s="11">
        <v>46120</v>
      </c>
      <c r="S282" s="67"/>
      <c r="T282" s="303">
        <v>46150</v>
      </c>
      <c r="U282" s="36">
        <v>46153</v>
      </c>
      <c r="V282" s="14"/>
    </row>
    <row r="283" spans="1:22" s="3" customFormat="1" ht="19.649999999999999" customHeight="1" x14ac:dyDescent="0.2">
      <c r="A283" s="126" t="s">
        <v>36</v>
      </c>
      <c r="B283" s="301" t="s">
        <v>515</v>
      </c>
      <c r="C283" s="162">
        <v>6.9260000000000002</v>
      </c>
      <c r="D283" s="1">
        <f t="shared" si="37"/>
        <v>6.9260000000000002</v>
      </c>
      <c r="E283" s="48"/>
      <c r="F283" s="277">
        <v>16</v>
      </c>
      <c r="G283" s="60">
        <f t="shared" si="35"/>
        <v>211</v>
      </c>
      <c r="H283" s="4" t="s">
        <v>37</v>
      </c>
      <c r="I283" s="118" t="s">
        <v>38</v>
      </c>
      <c r="J283" s="111" t="s">
        <v>451</v>
      </c>
      <c r="K283" s="119">
        <v>1</v>
      </c>
      <c r="L283" s="111">
        <v>20680</v>
      </c>
      <c r="M283" s="202">
        <f t="shared" si="36"/>
        <v>20680</v>
      </c>
      <c r="N283" s="2"/>
      <c r="O283" s="73" t="s">
        <v>415</v>
      </c>
      <c r="P283" s="23"/>
      <c r="Q283" s="318" t="s">
        <v>520</v>
      </c>
      <c r="R283" s="11">
        <v>46120</v>
      </c>
      <c r="S283" s="67"/>
      <c r="T283" s="303">
        <v>46150</v>
      </c>
      <c r="U283" s="36">
        <v>46153</v>
      </c>
      <c r="V283" s="14"/>
    </row>
    <row r="284" spans="1:22" s="3" customFormat="1" ht="19.649999999999999" customHeight="1" x14ac:dyDescent="0.2">
      <c r="A284" s="129" t="s">
        <v>27</v>
      </c>
      <c r="B284" s="301" t="s">
        <v>515</v>
      </c>
      <c r="C284" s="162">
        <v>0.15</v>
      </c>
      <c r="D284" s="1">
        <f t="shared" si="37"/>
        <v>0.89999999999999991</v>
      </c>
      <c r="E284" s="48"/>
      <c r="F284" s="277">
        <v>16</v>
      </c>
      <c r="G284" s="60">
        <f t="shared" si="35"/>
        <v>212</v>
      </c>
      <c r="H284" s="88" t="s">
        <v>448</v>
      </c>
      <c r="I284" s="88" t="s">
        <v>24</v>
      </c>
      <c r="J284" s="111" t="s">
        <v>453</v>
      </c>
      <c r="K284" s="119">
        <v>6</v>
      </c>
      <c r="L284" s="111">
        <v>4898</v>
      </c>
      <c r="M284" s="202">
        <f t="shared" si="36"/>
        <v>29388</v>
      </c>
      <c r="N284" s="2"/>
      <c r="O284" s="73"/>
      <c r="P284" s="23"/>
      <c r="Q284" s="318" t="s">
        <v>520</v>
      </c>
      <c r="R284" s="11">
        <v>46120</v>
      </c>
      <c r="S284" s="67"/>
      <c r="T284" s="303">
        <v>46150</v>
      </c>
      <c r="U284" s="36">
        <v>46153</v>
      </c>
      <c r="V284" s="14"/>
    </row>
    <row r="285" spans="1:22" s="3" customFormat="1" ht="19.649999999999999" customHeight="1" x14ac:dyDescent="0.2">
      <c r="A285" s="126" t="s">
        <v>36</v>
      </c>
      <c r="B285" s="301" t="s">
        <v>515</v>
      </c>
      <c r="C285" s="162">
        <v>7.2</v>
      </c>
      <c r="D285" s="1">
        <f t="shared" si="37"/>
        <v>7.2</v>
      </c>
      <c r="E285" s="48"/>
      <c r="F285" s="277">
        <v>16</v>
      </c>
      <c r="G285" s="60">
        <f t="shared" si="35"/>
        <v>213</v>
      </c>
      <c r="H285" s="4" t="s">
        <v>37</v>
      </c>
      <c r="I285" s="118" t="s">
        <v>38</v>
      </c>
      <c r="J285" s="111" t="s">
        <v>452</v>
      </c>
      <c r="K285" s="119">
        <v>1</v>
      </c>
      <c r="L285" s="111">
        <v>19625</v>
      </c>
      <c r="M285" s="202">
        <f t="shared" si="36"/>
        <v>19625</v>
      </c>
      <c r="N285" s="2"/>
      <c r="O285" s="73" t="s">
        <v>416</v>
      </c>
      <c r="P285" s="23"/>
      <c r="Q285" s="318" t="s">
        <v>520</v>
      </c>
      <c r="R285" s="11">
        <v>46120</v>
      </c>
      <c r="S285" s="67"/>
      <c r="T285" s="303">
        <v>46150</v>
      </c>
      <c r="U285" s="36">
        <v>46153</v>
      </c>
      <c r="V285" s="14"/>
    </row>
    <row r="286" spans="1:22" s="3" customFormat="1" ht="19.649999999999999" customHeight="1" x14ac:dyDescent="0.2">
      <c r="A286" s="126" t="s">
        <v>36</v>
      </c>
      <c r="B286" s="301" t="s">
        <v>515</v>
      </c>
      <c r="C286" s="162">
        <v>2.25</v>
      </c>
      <c r="D286" s="1">
        <f t="shared" si="37"/>
        <v>4.5</v>
      </c>
      <c r="E286" s="48"/>
      <c r="F286" s="277">
        <v>16</v>
      </c>
      <c r="G286" s="60">
        <f t="shared" si="35"/>
        <v>214</v>
      </c>
      <c r="H286" s="60" t="s">
        <v>37</v>
      </c>
      <c r="I286" s="118" t="s">
        <v>38</v>
      </c>
      <c r="J286" s="111" t="s">
        <v>446</v>
      </c>
      <c r="K286" s="119">
        <v>2</v>
      </c>
      <c r="L286" s="111">
        <v>6870</v>
      </c>
      <c r="M286" s="202">
        <f t="shared" si="36"/>
        <v>13740</v>
      </c>
      <c r="N286" s="2"/>
      <c r="O286" s="73" t="s">
        <v>417</v>
      </c>
      <c r="P286" s="23"/>
      <c r="Q286" s="318" t="s">
        <v>520</v>
      </c>
      <c r="R286" s="11">
        <v>46120</v>
      </c>
      <c r="S286" s="67"/>
      <c r="T286" s="303">
        <v>46150</v>
      </c>
      <c r="U286" s="36">
        <v>46153</v>
      </c>
      <c r="V286" s="14"/>
    </row>
    <row r="287" spans="1:22" s="3" customFormat="1" ht="19.649999999999999" customHeight="1" x14ac:dyDescent="0.2">
      <c r="A287" s="129" t="s">
        <v>27</v>
      </c>
      <c r="B287" s="301" t="s">
        <v>515</v>
      </c>
      <c r="C287" s="162">
        <v>2.5000000000000001E-2</v>
      </c>
      <c r="D287" s="1">
        <f t="shared" si="37"/>
        <v>0.2</v>
      </c>
      <c r="E287" s="48"/>
      <c r="F287" s="277">
        <v>16</v>
      </c>
      <c r="G287" s="60">
        <f t="shared" si="35"/>
        <v>215</v>
      </c>
      <c r="H287" s="88" t="s">
        <v>24</v>
      </c>
      <c r="I287" s="88" t="s">
        <v>24</v>
      </c>
      <c r="J287" s="111" t="s">
        <v>413</v>
      </c>
      <c r="K287" s="119">
        <v>8</v>
      </c>
      <c r="L287" s="111">
        <v>27</v>
      </c>
      <c r="M287" s="202">
        <f t="shared" si="36"/>
        <v>216</v>
      </c>
      <c r="N287" s="2"/>
      <c r="O287" s="73" t="s">
        <v>414</v>
      </c>
      <c r="P287" s="23"/>
      <c r="Q287" s="318" t="s">
        <v>520</v>
      </c>
      <c r="R287" s="11">
        <v>46120</v>
      </c>
      <c r="S287" s="67"/>
      <c r="T287" s="303">
        <v>46150</v>
      </c>
      <c r="U287" s="36">
        <v>46153</v>
      </c>
      <c r="V287" s="14"/>
    </row>
    <row r="288" spans="1:22" s="3" customFormat="1" ht="19.649999999999999" customHeight="1" x14ac:dyDescent="0.2">
      <c r="A288" s="129" t="s">
        <v>27</v>
      </c>
      <c r="B288" s="301" t="s">
        <v>515</v>
      </c>
      <c r="C288" s="162">
        <v>2.5000000000000001E-2</v>
      </c>
      <c r="D288" s="1">
        <f t="shared" si="37"/>
        <v>0.1</v>
      </c>
      <c r="E288" s="48"/>
      <c r="F288" s="277">
        <v>16</v>
      </c>
      <c r="G288" s="60">
        <f t="shared" si="35"/>
        <v>216</v>
      </c>
      <c r="H288" s="88" t="s">
        <v>24</v>
      </c>
      <c r="I288" s="88" t="s">
        <v>24</v>
      </c>
      <c r="J288" s="111" t="s">
        <v>418</v>
      </c>
      <c r="K288" s="119">
        <v>4</v>
      </c>
      <c r="L288" s="111">
        <v>27</v>
      </c>
      <c r="M288" s="202">
        <f t="shared" si="36"/>
        <v>108</v>
      </c>
      <c r="N288" s="2"/>
      <c r="O288" s="73" t="s">
        <v>414</v>
      </c>
      <c r="P288" s="23"/>
      <c r="Q288" s="318" t="s">
        <v>520</v>
      </c>
      <c r="R288" s="11">
        <v>46120</v>
      </c>
      <c r="S288" s="67"/>
      <c r="T288" s="303">
        <v>46150</v>
      </c>
      <c r="U288" s="36">
        <v>46153</v>
      </c>
      <c r="V288" s="14"/>
    </row>
    <row r="289" spans="1:22" s="3" customFormat="1" ht="19.649999999999999" customHeight="1" x14ac:dyDescent="0.2">
      <c r="A289" s="129" t="s">
        <v>35</v>
      </c>
      <c r="B289" s="301" t="s">
        <v>515</v>
      </c>
      <c r="C289" s="162">
        <v>0.2</v>
      </c>
      <c r="D289" s="1">
        <f t="shared" si="37"/>
        <v>0.4</v>
      </c>
      <c r="E289" s="48"/>
      <c r="F289" s="277">
        <v>16</v>
      </c>
      <c r="G289" s="60">
        <f t="shared" si="35"/>
        <v>217</v>
      </c>
      <c r="H289" s="60" t="s">
        <v>37</v>
      </c>
      <c r="I289" s="118" t="s">
        <v>38</v>
      </c>
      <c r="J289" s="262" t="s">
        <v>438</v>
      </c>
      <c r="K289" s="164">
        <v>2</v>
      </c>
      <c r="L289" s="45">
        <v>2991</v>
      </c>
      <c r="M289" s="202">
        <f t="shared" si="36"/>
        <v>5982</v>
      </c>
      <c r="N289" s="2"/>
      <c r="O289" s="265" t="s">
        <v>424</v>
      </c>
      <c r="P289" s="23"/>
      <c r="Q289" s="318" t="s">
        <v>520</v>
      </c>
      <c r="R289" s="11">
        <v>46120</v>
      </c>
      <c r="S289" s="67"/>
      <c r="T289" s="303">
        <v>46150</v>
      </c>
      <c r="U289" s="36">
        <v>46153</v>
      </c>
      <c r="V289" s="14"/>
    </row>
    <row r="290" spans="1:22" s="3" customFormat="1" ht="19.649999999999999" customHeight="1" x14ac:dyDescent="0.2">
      <c r="A290" s="129" t="s">
        <v>27</v>
      </c>
      <c r="B290" s="301" t="s">
        <v>515</v>
      </c>
      <c r="C290" s="162">
        <v>0.01</v>
      </c>
      <c r="D290" s="1">
        <f t="shared" si="37"/>
        <v>0.1</v>
      </c>
      <c r="E290" s="48"/>
      <c r="F290" s="277">
        <v>16</v>
      </c>
      <c r="G290" s="60">
        <f t="shared" si="35"/>
        <v>218</v>
      </c>
      <c r="H290" s="88" t="s">
        <v>38</v>
      </c>
      <c r="I290" s="88" t="s">
        <v>38</v>
      </c>
      <c r="J290" s="263" t="s">
        <v>425</v>
      </c>
      <c r="K290" s="261">
        <v>10</v>
      </c>
      <c r="L290" s="45">
        <v>15</v>
      </c>
      <c r="M290" s="202">
        <f t="shared" si="36"/>
        <v>150</v>
      </c>
      <c r="N290" s="76"/>
      <c r="O290" s="23" t="s">
        <v>426</v>
      </c>
      <c r="P290" s="23"/>
      <c r="Q290" s="318" t="s">
        <v>520</v>
      </c>
      <c r="R290" s="11">
        <v>46120</v>
      </c>
      <c r="S290" s="67"/>
      <c r="T290" s="303">
        <v>46150</v>
      </c>
      <c r="U290" s="36">
        <v>46153</v>
      </c>
      <c r="V290" s="14"/>
    </row>
    <row r="291" spans="1:22" s="3" customFormat="1" ht="19.649999999999999" customHeight="1" x14ac:dyDescent="0.2">
      <c r="A291" s="129" t="s">
        <v>27</v>
      </c>
      <c r="B291" s="301" t="s">
        <v>515</v>
      </c>
      <c r="C291" s="162">
        <v>0.01</v>
      </c>
      <c r="D291" s="1">
        <f t="shared" si="37"/>
        <v>0.04</v>
      </c>
      <c r="E291" s="48"/>
      <c r="F291" s="277">
        <v>16</v>
      </c>
      <c r="G291" s="60">
        <f t="shared" si="35"/>
        <v>219</v>
      </c>
      <c r="H291" s="88" t="s">
        <v>38</v>
      </c>
      <c r="I291" s="88" t="s">
        <v>38</v>
      </c>
      <c r="J291" s="263" t="s">
        <v>428</v>
      </c>
      <c r="K291" s="261">
        <v>4</v>
      </c>
      <c r="L291" s="45">
        <v>93</v>
      </c>
      <c r="M291" s="202">
        <f t="shared" si="36"/>
        <v>372</v>
      </c>
      <c r="N291" s="76"/>
      <c r="O291" s="264" t="s">
        <v>429</v>
      </c>
      <c r="P291" s="23"/>
      <c r="Q291" s="318" t="s">
        <v>520</v>
      </c>
      <c r="R291" s="11">
        <v>46120</v>
      </c>
      <c r="S291" s="67"/>
      <c r="T291" s="303">
        <v>46150</v>
      </c>
      <c r="U291" s="36">
        <v>46153</v>
      </c>
      <c r="V291" s="14"/>
    </row>
    <row r="292" spans="1:22" s="3" customFormat="1" ht="19.649999999999999" customHeight="1" x14ac:dyDescent="0.2">
      <c r="A292" s="129" t="s">
        <v>35</v>
      </c>
      <c r="B292" s="301" t="s">
        <v>515</v>
      </c>
      <c r="C292" s="162">
        <v>0.5</v>
      </c>
      <c r="D292" s="1">
        <f t="shared" si="37"/>
        <v>1</v>
      </c>
      <c r="E292" s="48"/>
      <c r="F292" s="277">
        <v>16</v>
      </c>
      <c r="G292" s="60">
        <f t="shared" si="35"/>
        <v>220</v>
      </c>
      <c r="H292" s="60" t="s">
        <v>37</v>
      </c>
      <c r="I292" s="118" t="s">
        <v>38</v>
      </c>
      <c r="J292" s="262" t="s">
        <v>439</v>
      </c>
      <c r="K292" s="164">
        <v>2</v>
      </c>
      <c r="L292" s="45">
        <v>3135</v>
      </c>
      <c r="M292" s="202">
        <f t="shared" si="36"/>
        <v>6270</v>
      </c>
      <c r="N292" s="2"/>
      <c r="O292" s="73" t="s">
        <v>430</v>
      </c>
      <c r="P292" s="23"/>
      <c r="Q292" s="318" t="s">
        <v>520</v>
      </c>
      <c r="R292" s="11">
        <v>46120</v>
      </c>
      <c r="S292" s="67"/>
      <c r="T292" s="303">
        <v>46150</v>
      </c>
      <c r="U292" s="36">
        <v>46153</v>
      </c>
      <c r="V292" s="14"/>
    </row>
    <row r="293" spans="1:22" s="3" customFormat="1" ht="19.649999999999999" customHeight="1" x14ac:dyDescent="0.2">
      <c r="A293" s="129" t="s">
        <v>27</v>
      </c>
      <c r="B293" s="301" t="s">
        <v>515</v>
      </c>
      <c r="C293" s="162">
        <v>0.01</v>
      </c>
      <c r="D293" s="1">
        <f t="shared" si="37"/>
        <v>0.1</v>
      </c>
      <c r="E293" s="48"/>
      <c r="F293" s="277">
        <v>16</v>
      </c>
      <c r="G293" s="60">
        <f t="shared" si="35"/>
        <v>221</v>
      </c>
      <c r="H293" s="88" t="s">
        <v>38</v>
      </c>
      <c r="I293" s="88" t="s">
        <v>38</v>
      </c>
      <c r="J293" s="192" t="s">
        <v>431</v>
      </c>
      <c r="K293" s="164">
        <v>10</v>
      </c>
      <c r="L293" s="100">
        <v>14</v>
      </c>
      <c r="M293" s="202">
        <f t="shared" si="36"/>
        <v>140</v>
      </c>
      <c r="N293" s="53"/>
      <c r="O293" s="73" t="s">
        <v>432</v>
      </c>
      <c r="P293" s="23"/>
      <c r="Q293" s="318" t="s">
        <v>520</v>
      </c>
      <c r="R293" s="11">
        <v>46120</v>
      </c>
      <c r="S293" s="67"/>
      <c r="T293" s="303">
        <v>46150</v>
      </c>
      <c r="U293" s="36">
        <v>46153</v>
      </c>
      <c r="V293" s="14"/>
    </row>
    <row r="294" spans="1:22" s="3" customFormat="1" ht="19.649999999999999" customHeight="1" x14ac:dyDescent="0.2">
      <c r="A294" s="129" t="s">
        <v>27</v>
      </c>
      <c r="B294" s="301" t="s">
        <v>515</v>
      </c>
      <c r="C294" s="162">
        <v>0.01</v>
      </c>
      <c r="D294" s="1">
        <f t="shared" si="37"/>
        <v>0.18</v>
      </c>
      <c r="E294" s="48"/>
      <c r="F294" s="277">
        <v>16</v>
      </c>
      <c r="G294" s="60">
        <f t="shared" si="35"/>
        <v>222</v>
      </c>
      <c r="H294" s="88" t="s">
        <v>38</v>
      </c>
      <c r="I294" s="88" t="s">
        <v>38</v>
      </c>
      <c r="J294" s="192" t="s">
        <v>433</v>
      </c>
      <c r="K294" s="164">
        <v>18</v>
      </c>
      <c r="L294" s="100">
        <v>93</v>
      </c>
      <c r="M294" s="202">
        <f t="shared" si="36"/>
        <v>1674</v>
      </c>
      <c r="N294" s="53"/>
      <c r="O294" s="73" t="s">
        <v>434</v>
      </c>
      <c r="P294" s="23"/>
      <c r="Q294" s="318" t="s">
        <v>520</v>
      </c>
      <c r="R294" s="11">
        <v>46120</v>
      </c>
      <c r="S294" s="67"/>
      <c r="T294" s="303">
        <v>46150</v>
      </c>
      <c r="U294" s="36">
        <v>46153</v>
      </c>
      <c r="V294" s="14"/>
    </row>
    <row r="295" spans="1:22" s="3" customFormat="1" ht="19.649999999999999" customHeight="1" x14ac:dyDescent="0.2">
      <c r="A295" s="129" t="s">
        <v>27</v>
      </c>
      <c r="B295" s="301" t="s">
        <v>515</v>
      </c>
      <c r="C295" s="162">
        <v>0.01</v>
      </c>
      <c r="D295" s="1">
        <f t="shared" si="37"/>
        <v>0.06</v>
      </c>
      <c r="E295" s="48"/>
      <c r="F295" s="277">
        <v>16</v>
      </c>
      <c r="G295" s="60">
        <f t="shared" si="35"/>
        <v>223</v>
      </c>
      <c r="H295" s="88" t="s">
        <v>38</v>
      </c>
      <c r="I295" s="88" t="s">
        <v>38</v>
      </c>
      <c r="J295" s="192" t="s">
        <v>273</v>
      </c>
      <c r="K295" s="164">
        <v>6</v>
      </c>
      <c r="L295" s="100">
        <v>81</v>
      </c>
      <c r="M295" s="202">
        <f t="shared" si="36"/>
        <v>486</v>
      </c>
      <c r="N295" s="53"/>
      <c r="O295" s="73" t="s">
        <v>435</v>
      </c>
      <c r="P295" s="23"/>
      <c r="Q295" s="318" t="s">
        <v>520</v>
      </c>
      <c r="R295" s="11">
        <v>46120</v>
      </c>
      <c r="S295" s="67"/>
      <c r="T295" s="303">
        <v>46150</v>
      </c>
      <c r="U295" s="36">
        <v>46153</v>
      </c>
      <c r="V295" s="14"/>
    </row>
    <row r="296" spans="1:22" s="3" customFormat="1" ht="19.649999999999999" customHeight="1" x14ac:dyDescent="0.2">
      <c r="A296" s="129" t="s">
        <v>437</v>
      </c>
      <c r="B296" s="301" t="s">
        <v>515</v>
      </c>
      <c r="C296" s="162">
        <v>0.5</v>
      </c>
      <c r="D296" s="1">
        <f t="shared" si="37"/>
        <v>1</v>
      </c>
      <c r="E296" s="48"/>
      <c r="F296" s="277">
        <v>16</v>
      </c>
      <c r="G296" s="60">
        <f t="shared" si="35"/>
        <v>224</v>
      </c>
      <c r="H296" s="60" t="s">
        <v>37</v>
      </c>
      <c r="I296" s="118" t="s">
        <v>38</v>
      </c>
      <c r="J296" s="263" t="s">
        <v>440</v>
      </c>
      <c r="K296" s="261">
        <v>2</v>
      </c>
      <c r="L296" s="45">
        <v>6438</v>
      </c>
      <c r="M296" s="202">
        <f t="shared" si="36"/>
        <v>12876</v>
      </c>
      <c r="N296" s="76"/>
      <c r="O296" s="73" t="s">
        <v>436</v>
      </c>
      <c r="P296" s="23"/>
      <c r="Q296" s="318" t="s">
        <v>520</v>
      </c>
      <c r="R296" s="11">
        <v>46120</v>
      </c>
      <c r="S296" s="67"/>
      <c r="T296" s="303">
        <v>46150</v>
      </c>
      <c r="U296" s="36">
        <v>46153</v>
      </c>
      <c r="V296" s="14"/>
    </row>
    <row r="297" spans="1:22" s="3" customFormat="1" ht="19.649999999999999" customHeight="1" x14ac:dyDescent="0.2">
      <c r="A297" s="126" t="s">
        <v>36</v>
      </c>
      <c r="B297" s="301" t="s">
        <v>515</v>
      </c>
      <c r="C297" s="162">
        <v>0.25</v>
      </c>
      <c r="D297" s="1">
        <f t="shared" si="37"/>
        <v>0.25</v>
      </c>
      <c r="E297" s="48"/>
      <c r="F297" s="277">
        <v>16</v>
      </c>
      <c r="G297" s="60">
        <f t="shared" si="35"/>
        <v>225</v>
      </c>
      <c r="H297" s="60" t="s">
        <v>37</v>
      </c>
      <c r="I297" s="118" t="s">
        <v>38</v>
      </c>
      <c r="J297" s="172" t="s">
        <v>444</v>
      </c>
      <c r="K297" s="164">
        <v>1</v>
      </c>
      <c r="L297" s="119">
        <v>3380</v>
      </c>
      <c r="M297" s="202">
        <f t="shared" si="36"/>
        <v>3380</v>
      </c>
      <c r="N297" s="2"/>
      <c r="O297" s="73" t="s">
        <v>441</v>
      </c>
      <c r="P297" s="23"/>
      <c r="Q297" s="318" t="s">
        <v>520</v>
      </c>
      <c r="R297" s="11">
        <v>46120</v>
      </c>
      <c r="S297" s="67"/>
      <c r="T297" s="303">
        <v>46150</v>
      </c>
      <c r="U297" s="36">
        <v>46153</v>
      </c>
      <c r="V297" s="14"/>
    </row>
    <row r="298" spans="1:22" s="3" customFormat="1" ht="19.649999999999999" customHeight="1" x14ac:dyDescent="0.2">
      <c r="A298" s="129" t="s">
        <v>27</v>
      </c>
      <c r="B298" s="301" t="s">
        <v>515</v>
      </c>
      <c r="C298" s="162">
        <v>0.05</v>
      </c>
      <c r="D298" s="1">
        <f t="shared" si="37"/>
        <v>0.1</v>
      </c>
      <c r="E298" s="48"/>
      <c r="F298" s="277">
        <v>16</v>
      </c>
      <c r="G298" s="60">
        <f t="shared" si="35"/>
        <v>226</v>
      </c>
      <c r="H298" s="88" t="s">
        <v>24</v>
      </c>
      <c r="I298" s="88" t="s">
        <v>24</v>
      </c>
      <c r="J298" s="173" t="s">
        <v>442</v>
      </c>
      <c r="K298" s="174">
        <v>2</v>
      </c>
      <c r="L298" s="267">
        <v>118</v>
      </c>
      <c r="M298" s="267">
        <f t="shared" si="36"/>
        <v>236</v>
      </c>
      <c r="N298" s="81"/>
      <c r="O298" s="73" t="s">
        <v>443</v>
      </c>
      <c r="P298" s="23"/>
      <c r="Q298" s="318" t="s">
        <v>520</v>
      </c>
      <c r="R298" s="11">
        <v>46120</v>
      </c>
      <c r="S298" s="67"/>
      <c r="T298" s="303">
        <v>46150</v>
      </c>
      <c r="U298" s="36">
        <v>46153</v>
      </c>
      <c r="V298" s="14"/>
    </row>
    <row r="299" spans="1:22" s="3" customFormat="1" ht="19.649999999999999" customHeight="1" x14ac:dyDescent="0.2">
      <c r="A299" s="129" t="s">
        <v>27</v>
      </c>
      <c r="B299" s="301" t="s">
        <v>515</v>
      </c>
      <c r="C299" s="162">
        <v>0.05</v>
      </c>
      <c r="D299" s="1">
        <f t="shared" si="37"/>
        <v>0.05</v>
      </c>
      <c r="E299" s="48"/>
      <c r="F299" s="277">
        <v>16</v>
      </c>
      <c r="G299" s="60">
        <f t="shared" si="35"/>
        <v>227</v>
      </c>
      <c r="H299" s="88" t="s">
        <v>24</v>
      </c>
      <c r="I299" s="88" t="s">
        <v>24</v>
      </c>
      <c r="J299" s="266" t="s">
        <v>483</v>
      </c>
      <c r="K299" s="174">
        <v>1</v>
      </c>
      <c r="L299" s="267">
        <v>463</v>
      </c>
      <c r="M299" s="267">
        <f t="shared" si="36"/>
        <v>463</v>
      </c>
      <c r="N299" s="272"/>
      <c r="O299" s="273" t="s">
        <v>484</v>
      </c>
      <c r="P299" s="23"/>
      <c r="Q299" s="318" t="s">
        <v>520</v>
      </c>
      <c r="R299" s="11">
        <v>46120</v>
      </c>
      <c r="S299" s="67"/>
      <c r="T299" s="303">
        <v>46150</v>
      </c>
      <c r="U299" s="36">
        <v>46153</v>
      </c>
      <c r="V299" s="14"/>
    </row>
    <row r="300" spans="1:22" s="3" customFormat="1" ht="19.649999999999999" customHeight="1" x14ac:dyDescent="0.2">
      <c r="A300" s="126" t="s">
        <v>41</v>
      </c>
      <c r="B300" s="301" t="s">
        <v>515</v>
      </c>
      <c r="C300" s="162"/>
      <c r="D300" s="1">
        <v>0.05</v>
      </c>
      <c r="E300" s="48"/>
      <c r="F300" s="279">
        <v>14</v>
      </c>
      <c r="G300" s="60">
        <f t="shared" si="35"/>
        <v>228</v>
      </c>
      <c r="H300" s="88" t="s">
        <v>24</v>
      </c>
      <c r="I300" s="88" t="s">
        <v>24</v>
      </c>
      <c r="J300" s="266" t="s">
        <v>95</v>
      </c>
      <c r="K300" s="119">
        <v>3</v>
      </c>
      <c r="L300" s="204">
        <v>158</v>
      </c>
      <c r="M300" s="204">
        <f t="shared" si="36"/>
        <v>474</v>
      </c>
      <c r="N300" s="2"/>
      <c r="O300" s="76" t="s">
        <v>302</v>
      </c>
      <c r="P300" s="23" t="s">
        <v>301</v>
      </c>
      <c r="Q300" s="318" t="s">
        <v>520</v>
      </c>
      <c r="R300" s="11">
        <v>46120</v>
      </c>
      <c r="S300" s="67"/>
      <c r="T300" s="303">
        <v>46150</v>
      </c>
      <c r="U300" s="36">
        <v>46153</v>
      </c>
      <c r="V300" s="14"/>
    </row>
    <row r="301" spans="1:22" s="3" customFormat="1" ht="19.649999999999999" customHeight="1" x14ac:dyDescent="0.2">
      <c r="A301" s="126" t="s">
        <v>36</v>
      </c>
      <c r="B301" s="301" t="s">
        <v>515</v>
      </c>
      <c r="C301" s="162"/>
      <c r="D301" s="1">
        <f>0.025*K301</f>
        <v>2.5000000000000001E-2</v>
      </c>
      <c r="E301" s="48"/>
      <c r="F301" s="279">
        <v>14</v>
      </c>
      <c r="G301" s="60">
        <f t="shared" si="35"/>
        <v>229</v>
      </c>
      <c r="H301" s="88" t="s">
        <v>24</v>
      </c>
      <c r="I301" s="88" t="s">
        <v>24</v>
      </c>
      <c r="J301" s="173" t="s">
        <v>303</v>
      </c>
      <c r="K301" s="174">
        <v>1</v>
      </c>
      <c r="L301" s="202">
        <v>1019</v>
      </c>
      <c r="M301" s="202">
        <f t="shared" si="36"/>
        <v>1019</v>
      </c>
      <c r="N301" s="26"/>
      <c r="O301" s="24" t="s">
        <v>304</v>
      </c>
      <c r="P301" s="23" t="s">
        <v>301</v>
      </c>
      <c r="Q301" s="318" t="s">
        <v>520</v>
      </c>
      <c r="R301" s="11">
        <v>46120</v>
      </c>
      <c r="S301" s="67"/>
      <c r="T301" s="303">
        <v>46150</v>
      </c>
      <c r="U301" s="36">
        <v>46153</v>
      </c>
      <c r="V301" s="14"/>
    </row>
    <row r="302" spans="1:22" s="3" customFormat="1" ht="19.649999999999999" customHeight="1" x14ac:dyDescent="0.2">
      <c r="A302" s="126" t="s">
        <v>41</v>
      </c>
      <c r="B302" s="301" t="s">
        <v>515</v>
      </c>
      <c r="C302" s="162"/>
      <c r="D302" s="1">
        <v>0.04</v>
      </c>
      <c r="E302" s="30"/>
      <c r="F302" s="279">
        <v>14</v>
      </c>
      <c r="G302" s="60">
        <f t="shared" si="35"/>
        <v>230</v>
      </c>
      <c r="H302" s="28" t="s">
        <v>96</v>
      </c>
      <c r="I302" s="88" t="s">
        <v>24</v>
      </c>
      <c r="J302" s="266" t="s">
        <v>305</v>
      </c>
      <c r="K302" s="119">
        <v>2</v>
      </c>
      <c r="L302" s="204">
        <v>1039</v>
      </c>
      <c r="M302" s="204">
        <f t="shared" si="36"/>
        <v>2078</v>
      </c>
      <c r="N302" s="2"/>
      <c r="O302" s="76" t="s">
        <v>97</v>
      </c>
      <c r="P302" s="23" t="s">
        <v>301</v>
      </c>
      <c r="Q302" s="318" t="s">
        <v>520</v>
      </c>
      <c r="R302" s="11">
        <v>46120</v>
      </c>
      <c r="S302" s="67"/>
      <c r="T302" s="303">
        <v>46150</v>
      </c>
      <c r="U302" s="36">
        <v>46153</v>
      </c>
      <c r="V302" s="14"/>
    </row>
    <row r="303" spans="1:22" s="3" customFormat="1" ht="18" customHeight="1" x14ac:dyDescent="0.2">
      <c r="A303" s="126" t="s">
        <v>41</v>
      </c>
      <c r="B303" s="301" t="s">
        <v>515</v>
      </c>
      <c r="C303" s="162"/>
      <c r="D303" s="1">
        <f>0.005*K303</f>
        <v>0.01</v>
      </c>
      <c r="E303" s="30"/>
      <c r="F303" s="279">
        <v>14</v>
      </c>
      <c r="G303" s="60">
        <f t="shared" si="35"/>
        <v>231</v>
      </c>
      <c r="H303" s="118" t="s">
        <v>38</v>
      </c>
      <c r="I303" s="118" t="s">
        <v>38</v>
      </c>
      <c r="J303" s="111" t="s">
        <v>187</v>
      </c>
      <c r="K303" s="119">
        <v>2</v>
      </c>
      <c r="L303" s="111">
        <v>81</v>
      </c>
      <c r="M303" s="202">
        <f t="shared" si="36"/>
        <v>162</v>
      </c>
      <c r="N303" s="2"/>
      <c r="O303" s="73" t="s">
        <v>89</v>
      </c>
      <c r="P303" s="23" t="s">
        <v>301</v>
      </c>
      <c r="Q303" s="318" t="s">
        <v>520</v>
      </c>
      <c r="R303" s="11">
        <v>46120</v>
      </c>
      <c r="S303" s="67"/>
      <c r="T303" s="303">
        <v>46150</v>
      </c>
      <c r="U303" s="36">
        <v>46153</v>
      </c>
      <c r="V303" s="14"/>
    </row>
    <row r="304" spans="1:22" s="3" customFormat="1" ht="19.649999999999999" customHeight="1" x14ac:dyDescent="0.2">
      <c r="A304" s="126" t="s">
        <v>41</v>
      </c>
      <c r="B304" s="301" t="s">
        <v>515</v>
      </c>
      <c r="C304" s="45">
        <v>1</v>
      </c>
      <c r="D304" s="1">
        <f>+C304*K304</f>
        <v>2</v>
      </c>
      <c r="E304" s="45"/>
      <c r="F304" s="277">
        <v>16</v>
      </c>
      <c r="G304" s="60">
        <f t="shared" si="35"/>
        <v>232</v>
      </c>
      <c r="H304" s="62" t="s">
        <v>306</v>
      </c>
      <c r="I304" s="62" t="s">
        <v>24</v>
      </c>
      <c r="J304" s="173" t="s">
        <v>51</v>
      </c>
      <c r="K304" s="208">
        <v>2</v>
      </c>
      <c r="L304" s="217">
        <v>1611</v>
      </c>
      <c r="M304" s="268">
        <f t="shared" si="36"/>
        <v>3222</v>
      </c>
      <c r="N304" s="205"/>
      <c r="O304" s="206" t="s">
        <v>307</v>
      </c>
      <c r="P304" s="44"/>
      <c r="Q304" s="318" t="s">
        <v>520</v>
      </c>
      <c r="R304" s="11">
        <v>46120</v>
      </c>
      <c r="S304" s="67"/>
      <c r="T304" s="303">
        <v>46150</v>
      </c>
      <c r="U304" s="36">
        <v>46153</v>
      </c>
      <c r="V304" s="41"/>
    </row>
    <row r="305" spans="1:22" s="3" customFormat="1" ht="19.649999999999999" customHeight="1" x14ac:dyDescent="0.2">
      <c r="A305" s="126" t="s">
        <v>41</v>
      </c>
      <c r="B305" s="301" t="s">
        <v>515</v>
      </c>
      <c r="C305" s="96"/>
      <c r="D305" s="92">
        <v>0.05</v>
      </c>
      <c r="E305" s="96"/>
      <c r="F305" s="277">
        <v>16</v>
      </c>
      <c r="G305" s="60">
        <f t="shared" si="35"/>
        <v>233</v>
      </c>
      <c r="H305" s="4" t="s">
        <v>310</v>
      </c>
      <c r="I305" s="4" t="s">
        <v>24</v>
      </c>
      <c r="J305" s="175">
        <v>620704006</v>
      </c>
      <c r="K305" s="100">
        <v>20</v>
      </c>
      <c r="L305" s="130">
        <v>36</v>
      </c>
      <c r="M305" s="103">
        <f t="shared" si="36"/>
        <v>720</v>
      </c>
      <c r="N305" s="26"/>
      <c r="O305" s="24" t="s">
        <v>311</v>
      </c>
      <c r="P305" s="23" t="s">
        <v>309</v>
      </c>
      <c r="Q305" s="318" t="s">
        <v>520</v>
      </c>
      <c r="R305" s="11">
        <v>46120</v>
      </c>
      <c r="S305" s="67"/>
      <c r="T305" s="303">
        <v>46150</v>
      </c>
      <c r="U305" s="36">
        <v>46153</v>
      </c>
      <c r="V305" s="41"/>
    </row>
    <row r="306" spans="1:22" ht="19.649999999999999" customHeight="1" x14ac:dyDescent="0.2">
      <c r="A306" s="126" t="s">
        <v>41</v>
      </c>
      <c r="B306" s="301" t="s">
        <v>515</v>
      </c>
      <c r="C306" s="162"/>
      <c r="D306" s="1">
        <f>0.01*K306</f>
        <v>0.01</v>
      </c>
      <c r="E306" s="30"/>
      <c r="F306" s="277">
        <v>16</v>
      </c>
      <c r="G306" s="60">
        <f t="shared" si="35"/>
        <v>234</v>
      </c>
      <c r="H306" s="88" t="s">
        <v>24</v>
      </c>
      <c r="I306" s="88" t="s">
        <v>24</v>
      </c>
      <c r="J306" s="219" t="s">
        <v>100</v>
      </c>
      <c r="K306" s="119">
        <v>1</v>
      </c>
      <c r="L306" s="105">
        <v>1280</v>
      </c>
      <c r="M306" s="103">
        <f t="shared" si="36"/>
        <v>1280</v>
      </c>
      <c r="N306" s="2"/>
      <c r="O306" s="47" t="s">
        <v>101</v>
      </c>
      <c r="P306" s="77"/>
      <c r="Q306" s="318" t="s">
        <v>520</v>
      </c>
      <c r="R306" s="11">
        <v>46120</v>
      </c>
      <c r="S306" s="67"/>
      <c r="T306" s="303">
        <v>46150</v>
      </c>
      <c r="U306" s="36">
        <v>46153</v>
      </c>
      <c r="V306" s="14"/>
    </row>
    <row r="307" spans="1:22" s="3" customFormat="1" ht="19.649999999999999" customHeight="1" x14ac:dyDescent="0.2">
      <c r="A307" s="126" t="s">
        <v>279</v>
      </c>
      <c r="B307" s="301" t="s">
        <v>515</v>
      </c>
      <c r="C307" s="162">
        <v>0.05</v>
      </c>
      <c r="D307" s="1">
        <f>+C307*K307</f>
        <v>0.1</v>
      </c>
      <c r="E307" s="30"/>
      <c r="F307" s="279">
        <v>14</v>
      </c>
      <c r="G307" s="60">
        <f t="shared" si="35"/>
        <v>235</v>
      </c>
      <c r="H307" s="285" t="s">
        <v>96</v>
      </c>
      <c r="I307" s="286" t="s">
        <v>24</v>
      </c>
      <c r="J307" s="240" t="s">
        <v>503</v>
      </c>
      <c r="K307" s="249">
        <v>2</v>
      </c>
      <c r="L307" s="110">
        <v>517</v>
      </c>
      <c r="M307" s="317">
        <f t="shared" si="36"/>
        <v>1034</v>
      </c>
      <c r="N307" s="183"/>
      <c r="O307" s="287" t="s">
        <v>504</v>
      </c>
      <c r="P307" s="77"/>
      <c r="Q307" s="318" t="s">
        <v>520</v>
      </c>
      <c r="R307" s="11">
        <v>46120</v>
      </c>
      <c r="S307" s="67"/>
      <c r="T307" s="303">
        <v>46150</v>
      </c>
      <c r="U307" s="36">
        <v>46153</v>
      </c>
      <c r="V307" s="14"/>
    </row>
    <row r="308" spans="1:22" s="3" customFormat="1" ht="19.649999999999999" customHeight="1" x14ac:dyDescent="0.2">
      <c r="B308" s="289"/>
      <c r="D308" s="63"/>
      <c r="E308" s="48"/>
      <c r="F308" s="1"/>
      <c r="G308" s="78"/>
      <c r="H308" s="78"/>
      <c r="I308" s="78"/>
      <c r="J308" s="23"/>
      <c r="K308" s="113"/>
      <c r="L308" s="117"/>
      <c r="M308" s="80"/>
      <c r="N308" s="65"/>
      <c r="O308" s="66"/>
      <c r="P308" s="77"/>
      <c r="Q308" s="4"/>
      <c r="R308" s="11"/>
      <c r="S308" s="4"/>
      <c r="T308" s="19"/>
      <c r="U308" s="19"/>
      <c r="V308" s="14"/>
    </row>
    <row r="309" spans="1:22" s="3" customFormat="1" ht="19.649999999999999" customHeight="1" x14ac:dyDescent="0.2">
      <c r="B309" s="289"/>
      <c r="D309" s="63"/>
      <c r="E309" s="48"/>
      <c r="F309" s="1"/>
      <c r="G309" s="78"/>
      <c r="H309" s="78"/>
      <c r="I309" s="78"/>
      <c r="J309" s="23"/>
      <c r="K309" s="113"/>
      <c r="L309" s="117"/>
      <c r="M309" s="80"/>
      <c r="N309" s="65"/>
      <c r="O309" s="66"/>
      <c r="P309" s="77"/>
      <c r="Q309" s="4"/>
      <c r="R309" s="11"/>
      <c r="S309" s="4"/>
      <c r="T309" s="19"/>
      <c r="U309" s="19"/>
      <c r="V309" s="14"/>
    </row>
    <row r="310" spans="1:22" x14ac:dyDescent="0.2">
      <c r="D310" s="1"/>
      <c r="G310" s="4"/>
      <c r="H310" s="88"/>
      <c r="I310" s="88"/>
      <c r="J310" s="23"/>
      <c r="K310" s="120"/>
      <c r="L310" s="27"/>
      <c r="M310" s="80"/>
      <c r="N310" s="65"/>
      <c r="O310" s="73"/>
      <c r="P310" s="77"/>
    </row>
    <row r="311" spans="1:22" x14ac:dyDescent="0.2">
      <c r="D311" s="1"/>
      <c r="G311" s="4"/>
      <c r="H311" s="4"/>
      <c r="I311" s="4"/>
      <c r="J311" s="123"/>
      <c r="K311" s="120"/>
      <c r="L311" s="27"/>
      <c r="M311" s="80"/>
      <c r="N311" s="65"/>
      <c r="O311" s="47"/>
      <c r="P311" s="77"/>
    </row>
    <row r="312" spans="1:22" ht="19.2" x14ac:dyDescent="0.2">
      <c r="D312" s="3" t="s">
        <v>94</v>
      </c>
      <c r="G312" s="78"/>
      <c r="H312" s="78"/>
      <c r="I312" s="78"/>
      <c r="J312" s="122">
        <f>SUM(M266:M312)</f>
        <v>256949</v>
      </c>
      <c r="K312" s="113"/>
      <c r="L312" s="117"/>
      <c r="M312" s="80"/>
      <c r="N312" s="65"/>
      <c r="O312" s="66"/>
      <c r="P312" s="77"/>
    </row>
    <row r="313" spans="1:22" s="3" customFormat="1" x14ac:dyDescent="0.2">
      <c r="A313"/>
      <c r="B313" s="288"/>
      <c r="C313"/>
      <c r="D313" s="114">
        <f>SUM(D266:D312)</f>
        <v>102.10384000000001</v>
      </c>
      <c r="E313"/>
      <c r="F313"/>
      <c r="G313" s="121"/>
      <c r="H313" s="78"/>
      <c r="I313" s="78"/>
      <c r="J313" s="79"/>
      <c r="K313" s="113"/>
      <c r="L313" s="117"/>
      <c r="M313" s="80"/>
      <c r="N313" s="65"/>
      <c r="O313" s="66"/>
      <c r="P313" s="77"/>
      <c r="R313" s="10"/>
      <c r="S313"/>
      <c r="T313" s="8"/>
      <c r="U313" s="12"/>
      <c r="V313" s="13"/>
    </row>
    <row r="314" spans="1:22" s="3" customFormat="1" x14ac:dyDescent="0.2">
      <c r="A314"/>
      <c r="B314" s="288"/>
      <c r="C314"/>
      <c r="D314" s="63" t="s">
        <v>68</v>
      </c>
      <c r="E314"/>
      <c r="F314"/>
      <c r="G314" s="78"/>
      <c r="H314" s="78"/>
      <c r="I314" s="78"/>
      <c r="J314" s="123"/>
      <c r="K314" s="113"/>
      <c r="L314" s="117"/>
      <c r="M314" s="80"/>
      <c r="N314" s="65"/>
      <c r="O314" s="66"/>
      <c r="P314" s="77"/>
      <c r="R314" s="10"/>
      <c r="S314"/>
      <c r="T314" s="8"/>
      <c r="U314" s="12"/>
      <c r="V314" s="13"/>
    </row>
    <row r="315" spans="1:22" s="3" customFormat="1" x14ac:dyDescent="0.2">
      <c r="A315"/>
      <c r="B315" s="288"/>
      <c r="C315"/>
      <c r="E315"/>
      <c r="F315"/>
      <c r="G315" s="78"/>
      <c r="H315" s="78"/>
      <c r="I315" s="78"/>
      <c r="J315" s="123"/>
      <c r="K315" s="113"/>
      <c r="L315" s="117"/>
      <c r="M315" s="80"/>
      <c r="N315" s="65"/>
      <c r="O315" s="66"/>
      <c r="P315" s="77"/>
      <c r="R315" s="10"/>
      <c r="S315"/>
      <c r="T315" s="8"/>
      <c r="U315" s="12"/>
      <c r="V315" s="13"/>
    </row>
    <row r="316" spans="1:22" s="3" customFormat="1" x14ac:dyDescent="0.2">
      <c r="A316"/>
      <c r="B316" s="288"/>
      <c r="C316"/>
      <c r="E316"/>
      <c r="F316"/>
      <c r="G316" s="78"/>
      <c r="H316" s="78"/>
      <c r="I316" s="78"/>
      <c r="J316" s="123"/>
      <c r="K316" s="113"/>
      <c r="L316" s="117"/>
      <c r="M316" s="80"/>
      <c r="N316" s="65"/>
      <c r="O316" s="66"/>
      <c r="P316" s="77"/>
      <c r="R316" s="10"/>
      <c r="S316"/>
      <c r="T316" s="8"/>
      <c r="U316" s="12"/>
      <c r="V316" s="13"/>
    </row>
    <row r="317" spans="1:22" s="3" customFormat="1" x14ac:dyDescent="0.2">
      <c r="A317"/>
      <c r="B317" s="288"/>
      <c r="C317"/>
      <c r="E317"/>
      <c r="F317"/>
      <c r="G317" s="78"/>
      <c r="H317" s="78"/>
      <c r="I317" s="78"/>
      <c r="J317" s="123"/>
      <c r="K317" s="113"/>
      <c r="L317" s="117"/>
      <c r="M317" s="80"/>
      <c r="N317" s="65"/>
      <c r="O317" s="66"/>
      <c r="P317" s="77"/>
      <c r="R317" s="10"/>
      <c r="S317"/>
      <c r="T317" s="8"/>
      <c r="U317" s="12"/>
      <c r="V317" s="13"/>
    </row>
    <row r="318" spans="1:22" s="3" customFormat="1" ht="13.8" thickBot="1" x14ac:dyDescent="0.25">
      <c r="A318"/>
      <c r="B318" s="288"/>
      <c r="C318"/>
      <c r="D318" s="3" t="s">
        <v>99</v>
      </c>
      <c r="E318"/>
      <c r="F318"/>
      <c r="G318" s="78"/>
      <c r="H318" s="78"/>
      <c r="I318" s="78"/>
      <c r="J318" s="123"/>
      <c r="K318" s="113"/>
      <c r="L318" s="117"/>
      <c r="M318" s="80"/>
      <c r="N318" s="65"/>
      <c r="O318" s="66"/>
      <c r="P318" s="77"/>
      <c r="R318" s="10"/>
      <c r="S318"/>
      <c r="T318" s="8"/>
      <c r="U318" s="12"/>
      <c r="V318" s="13"/>
    </row>
    <row r="319" spans="1:22" s="3" customFormat="1" ht="13.8" thickBot="1" x14ac:dyDescent="0.25">
      <c r="A319"/>
      <c r="B319" s="288"/>
      <c r="C319"/>
      <c r="D319" s="124" t="e">
        <f>+D219+D261+D12+D313</f>
        <v>#REF!</v>
      </c>
      <c r="E319"/>
      <c r="F319"/>
      <c r="G319" s="121"/>
      <c r="H319" s="78"/>
      <c r="I319" s="78"/>
      <c r="J319" s="123"/>
      <c r="K319" s="113"/>
      <c r="L319" s="117"/>
      <c r="M319" s="80"/>
      <c r="N319" s="65"/>
      <c r="O319" s="66"/>
      <c r="P319" s="77"/>
      <c r="R319" s="10"/>
      <c r="S319"/>
      <c r="T319" s="8"/>
      <c r="U319" s="12"/>
      <c r="V319" s="13"/>
    </row>
    <row r="320" spans="1:22" s="3" customFormat="1" x14ac:dyDescent="0.2">
      <c r="A320"/>
      <c r="B320" s="288"/>
      <c r="C320"/>
      <c r="D320" s="63" t="s">
        <v>68</v>
      </c>
      <c r="E320"/>
      <c r="F320"/>
      <c r="G320" s="78"/>
      <c r="H320" s="78"/>
      <c r="I320" s="78"/>
      <c r="J320" s="123"/>
      <c r="K320" s="113"/>
      <c r="L320" s="117"/>
      <c r="M320" s="80"/>
      <c r="N320" s="65"/>
      <c r="O320" s="66"/>
      <c r="P320" s="77"/>
      <c r="R320" s="10"/>
      <c r="S320"/>
      <c r="T320" s="8"/>
      <c r="U320" s="12"/>
      <c r="V320" s="13"/>
    </row>
    <row r="321" spans="1:22" s="3" customFormat="1" x14ac:dyDescent="0.2">
      <c r="A321"/>
      <c r="B321" s="288"/>
      <c r="C321"/>
      <c r="E321"/>
      <c r="F321"/>
      <c r="G321" s="78"/>
      <c r="H321" s="78"/>
      <c r="I321" s="78"/>
      <c r="J321" s="123"/>
      <c r="K321" s="113"/>
      <c r="L321" s="117"/>
      <c r="M321" s="80"/>
      <c r="N321" s="65"/>
      <c r="O321" s="66"/>
      <c r="P321" s="77"/>
      <c r="R321" s="10"/>
      <c r="S321"/>
      <c r="T321" s="8"/>
      <c r="U321" s="12"/>
      <c r="V321" s="13"/>
    </row>
    <row r="322" spans="1:22" s="3" customFormat="1" x14ac:dyDescent="0.2">
      <c r="A322"/>
      <c r="B322" s="288"/>
      <c r="C322"/>
      <c r="E322"/>
      <c r="F322"/>
      <c r="G322" s="78"/>
      <c r="H322" s="78"/>
      <c r="I322" s="78"/>
      <c r="J322" s="123"/>
      <c r="K322" s="113"/>
      <c r="L322" s="117"/>
      <c r="M322" s="80"/>
      <c r="N322" s="65"/>
      <c r="O322" s="66"/>
      <c r="P322" s="77"/>
      <c r="R322" s="10"/>
      <c r="S322"/>
      <c r="T322" s="8"/>
      <c r="U322" s="12"/>
      <c r="V322" s="13"/>
    </row>
  </sheetData>
  <autoFilter ref="G9:T309" xr:uid="{00000000-0009-0000-0000-000000000000}"/>
  <mergeCells count="21">
    <mergeCell ref="O4:P5"/>
    <mergeCell ref="G5:I5"/>
    <mergeCell ref="L5:M6"/>
    <mergeCell ref="G6:I6"/>
    <mergeCell ref="G14:J14"/>
    <mergeCell ref="J39:M39"/>
    <mergeCell ref="H61:J61"/>
    <mergeCell ref="G2:I2"/>
    <mergeCell ref="L2:N2"/>
    <mergeCell ref="G3:I3"/>
    <mergeCell ref="G4:I4"/>
    <mergeCell ref="J203:M203"/>
    <mergeCell ref="H207:J207"/>
    <mergeCell ref="H223:J223"/>
    <mergeCell ref="H265:J265"/>
    <mergeCell ref="J87:M87"/>
    <mergeCell ref="G90:J90"/>
    <mergeCell ref="J122:M122"/>
    <mergeCell ref="G126:J126"/>
    <mergeCell ref="J144:M144"/>
    <mergeCell ref="G148:J148"/>
  </mergeCells>
  <phoneticPr fontId="16"/>
  <dataValidations disablePrompts="1" count="2">
    <dataValidation imeMode="hiragana" allowBlank="1" showInputMessage="1" showErrorMessage="1" sqref="P20 P37 O51:O52 O64 O290" xr:uid="{EEF02B7E-D503-4A5B-99E3-8A9D3493907E}"/>
    <dataValidation allowBlank="1" showInputMessage="1" showErrorMessage="1" sqref="O39" xr:uid="{7E495523-3D64-485D-A6F9-B891549FE24D}"/>
  </dataValidations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36394-8E3E-49E9-9F1B-38C903996DC7}">
  <dimension ref="J4:M29"/>
  <sheetViews>
    <sheetView workbookViewId="0">
      <selection activeCell="J20" sqref="J20"/>
    </sheetView>
  </sheetViews>
  <sheetFormatPr defaultRowHeight="13.2" x14ac:dyDescent="0.2"/>
  <sheetData>
    <row r="4" spans="10:13" x14ac:dyDescent="0.2">
      <c r="J4">
        <v>7.2</v>
      </c>
      <c r="M4">
        <v>1395</v>
      </c>
    </row>
    <row r="5" spans="10:13" x14ac:dyDescent="0.2">
      <c r="J5">
        <v>0.24</v>
      </c>
      <c r="M5">
        <v>1398</v>
      </c>
    </row>
    <row r="6" spans="10:13" x14ac:dyDescent="0.2">
      <c r="J6">
        <v>0.8</v>
      </c>
      <c r="M6">
        <v>12300</v>
      </c>
    </row>
    <row r="7" spans="10:13" x14ac:dyDescent="0.2">
      <c r="J7">
        <v>0.98399999999999999</v>
      </c>
      <c r="M7">
        <v>1956</v>
      </c>
    </row>
    <row r="8" spans="10:13" x14ac:dyDescent="0.2">
      <c r="J8">
        <v>1.9279999999999999</v>
      </c>
      <c r="M8">
        <v>113</v>
      </c>
    </row>
    <row r="9" spans="10:13" x14ac:dyDescent="0.2">
      <c r="J9">
        <v>0.08</v>
      </c>
      <c r="M9">
        <v>568</v>
      </c>
    </row>
    <row r="10" spans="10:13" x14ac:dyDescent="0.2">
      <c r="J10">
        <v>2.7200000000000002E-2</v>
      </c>
      <c r="M10">
        <v>10120</v>
      </c>
    </row>
    <row r="11" spans="10:13" x14ac:dyDescent="0.2">
      <c r="J11">
        <v>3.4</v>
      </c>
      <c r="M11">
        <v>80</v>
      </c>
    </row>
    <row r="12" spans="10:13" x14ac:dyDescent="0.2">
      <c r="J12">
        <v>0.24</v>
      </c>
      <c r="M12">
        <v>374</v>
      </c>
    </row>
    <row r="13" spans="10:13" x14ac:dyDescent="0.2">
      <c r="J13">
        <v>3.6000000000000004E-2</v>
      </c>
      <c r="M13">
        <v>480</v>
      </c>
    </row>
    <row r="14" spans="10:13" x14ac:dyDescent="0.2">
      <c r="J14">
        <v>0.18</v>
      </c>
      <c r="M14">
        <v>81</v>
      </c>
    </row>
    <row r="15" spans="10:13" x14ac:dyDescent="0.2">
      <c r="J15">
        <v>3.6000000000000004E-2</v>
      </c>
      <c r="M15">
        <v>421</v>
      </c>
    </row>
    <row r="16" spans="10:13" x14ac:dyDescent="0.2">
      <c r="J16">
        <v>0.192</v>
      </c>
      <c r="M16">
        <v>56</v>
      </c>
    </row>
    <row r="17" spans="10:13" x14ac:dyDescent="0.2">
      <c r="J17">
        <v>6.4000000000000001E-2</v>
      </c>
      <c r="M17">
        <v>22040</v>
      </c>
    </row>
    <row r="18" spans="10:13" x14ac:dyDescent="0.2">
      <c r="J18">
        <v>0.33600000000000002</v>
      </c>
      <c r="M18">
        <v>156</v>
      </c>
    </row>
    <row r="19" spans="10:13" x14ac:dyDescent="0.2">
      <c r="J19">
        <v>0.68</v>
      </c>
      <c r="M19">
        <v>240</v>
      </c>
    </row>
    <row r="20" spans="10:13" x14ac:dyDescent="0.2">
      <c r="J20">
        <f>SUM(J4:J19)</f>
        <v>16.423200000000001</v>
      </c>
      <c r="M20">
        <v>113</v>
      </c>
    </row>
    <row r="21" spans="10:13" x14ac:dyDescent="0.2">
      <c r="M21">
        <v>67</v>
      </c>
    </row>
    <row r="22" spans="10:13" x14ac:dyDescent="0.2">
      <c r="M22">
        <v>210</v>
      </c>
    </row>
    <row r="23" spans="10:13" x14ac:dyDescent="0.2">
      <c r="M23">
        <v>11996</v>
      </c>
    </row>
    <row r="24" spans="10:13" x14ac:dyDescent="0.2">
      <c r="M24">
        <v>1044</v>
      </c>
    </row>
    <row r="25" spans="10:13" x14ac:dyDescent="0.2">
      <c r="M25">
        <v>975</v>
      </c>
    </row>
    <row r="26" spans="10:13" x14ac:dyDescent="0.2">
      <c r="M26">
        <v>462</v>
      </c>
    </row>
    <row r="27" spans="10:13" x14ac:dyDescent="0.2">
      <c r="M27">
        <v>720</v>
      </c>
    </row>
    <row r="29" spans="10:13" x14ac:dyDescent="0.2">
      <c r="M29">
        <f>SUM(M4:M28)</f>
        <v>67365</v>
      </c>
    </row>
  </sheetData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SETB0312-A01③JR4604 20260408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秀昭</dc:creator>
  <cp:lastModifiedBy>齋藤 秀昭</cp:lastModifiedBy>
  <cp:lastPrinted>2018-06-15T01:25:43Z</cp:lastPrinted>
  <dcterms:created xsi:type="dcterms:W3CDTF">2011-12-13T06:48:43Z</dcterms:created>
  <dcterms:modified xsi:type="dcterms:W3CDTF">2026-06-15T09:47:59Z</dcterms:modified>
</cp:coreProperties>
</file>