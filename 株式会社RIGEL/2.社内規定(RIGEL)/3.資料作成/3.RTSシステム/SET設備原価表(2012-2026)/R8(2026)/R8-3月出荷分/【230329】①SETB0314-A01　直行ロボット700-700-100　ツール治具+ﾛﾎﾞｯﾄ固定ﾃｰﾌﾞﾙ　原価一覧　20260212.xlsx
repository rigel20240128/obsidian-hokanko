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-saito\Desktop\SETB0314-A01　宮嶋氏　20260109\"/>
    </mc:Choice>
  </mc:AlternateContent>
  <xr:revisionPtr revIDLastSave="0" documentId="13_ncr:1_{91C3B3A8-7B75-4A2E-BDCD-539E959B1A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原価一覧 (20260212) ① 発注" sheetId="22" r:id="rId1"/>
    <sheet name="Sheet2" sheetId="2" r:id="rId2"/>
    <sheet name="Sheet3" sheetId="3" r:id="rId3"/>
  </sheets>
  <definedNames>
    <definedName name="_xlnm._FilterDatabase" localSheetId="0" hidden="1">'原価一覧 (20260212) ① 発注'!$D$8:$Q$104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4" i="22" l="1"/>
  <c r="J53" i="22"/>
  <c r="J100" i="22"/>
  <c r="J99" i="22"/>
  <c r="J98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18" i="22"/>
  <c r="J17" i="22"/>
  <c r="J16" i="22"/>
  <c r="J15" i="22"/>
  <c r="J14" i="22"/>
  <c r="J13" i="22"/>
  <c r="D13" i="22"/>
  <c r="D14" i="22" s="1"/>
  <c r="D15" i="22" s="1"/>
  <c r="D16" i="22" s="1"/>
  <c r="D17" i="22" s="1"/>
  <c r="D18" i="22" s="1"/>
  <c r="D25" i="22" s="1"/>
  <c r="D26" i="22" s="1"/>
  <c r="D27" i="22" s="1"/>
  <c r="D28" i="22" s="1"/>
  <c r="D29" i="22" s="1"/>
  <c r="D30" i="22" s="1"/>
  <c r="D31" i="22" s="1"/>
  <c r="D32" i="22" s="1"/>
  <c r="D33" i="22" s="1"/>
  <c r="D34" i="22" s="1"/>
  <c r="J12" i="22"/>
  <c r="L2" i="22" l="1"/>
  <c r="G57" i="22"/>
  <c r="D35" i="22"/>
  <c r="G20" i="22"/>
  <c r="D36" i="22" l="1"/>
  <c r="D37" i="22" s="1"/>
  <c r="D38" i="22" s="1"/>
  <c r="D39" i="22" l="1"/>
  <c r="D40" i="22" s="1"/>
  <c r="D41" i="22" l="1"/>
  <c r="D42" i="22" l="1"/>
  <c r="D43" i="22" l="1"/>
  <c r="D44" i="22" s="1"/>
  <c r="D45" i="22" l="1"/>
  <c r="D46" i="22" s="1"/>
  <c r="D47" i="22" s="1"/>
  <c r="D48" i="22" s="1"/>
  <c r="D49" i="22" s="1"/>
  <c r="D50" i="22" l="1"/>
  <c r="D51" i="22" l="1"/>
  <c r="D52" i="22" s="1"/>
  <c r="D53" i="22" s="1"/>
  <c r="D54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齋藤 秀昭</author>
  </authors>
  <commentList>
    <comment ref="M12" authorId="0" shapeId="0" xr:uid="{1AF928C7-A111-4E8E-ADC9-6151039BDE2C}">
      <text>
        <r>
          <rPr>
            <b/>
            <sz val="9"/>
            <color indexed="81"/>
            <rFont val="MS P ゴシック"/>
            <family val="3"/>
            <charset val="128"/>
          </rPr>
          <t>齋藤 秀昭:</t>
        </r>
        <r>
          <rPr>
            <sz val="9"/>
            <color indexed="81"/>
            <rFont val="MS P ゴシック"/>
            <family val="3"/>
            <charset val="128"/>
          </rPr>
          <t xml:space="preserve">
宮嶋様、大水様
より出荷場所指定
が指示されるので
転送お願い致しと増す。
</t>
        </r>
      </text>
    </comment>
  </commentList>
</comments>
</file>

<file path=xl/sharedStrings.xml><?xml version="1.0" encoding="utf-8"?>
<sst xmlns="http://schemas.openxmlformats.org/spreadsheetml/2006/main" count="303" uniqueCount="105">
  <si>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</si>
  <si>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</si>
  <si>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</si>
  <si>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</si>
  <si>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</si>
  <si>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</si>
  <si>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</si>
  <si>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</si>
  <si>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</si>
  <si>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</si>
  <si>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</si>
  <si>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</si>
  <si>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</si>
  <si>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</si>
  <si>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</si>
  <si>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</si>
  <si>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</si>
  <si>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</si>
  <si>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</si>
  <si>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</si>
  <si>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</si>
  <si>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</si>
  <si>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</si>
  <si>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設計費</t>
  </si>
  <si>
    <t>組立調整費</t>
  </si>
  <si>
    <t>ミスミ</t>
    <phoneticPr fontId="11"/>
  </si>
  <si>
    <t>meviy</t>
    <phoneticPr fontId="11"/>
  </si>
  <si>
    <t>3日目</t>
    <rPh sb="1" eb="2">
      <t>ヒ</t>
    </rPh>
    <rPh sb="2" eb="3">
      <t>メ</t>
    </rPh>
    <phoneticPr fontId="11"/>
  </si>
  <si>
    <t>1日目</t>
    <rPh sb="1" eb="2">
      <t>ヒ</t>
    </rPh>
    <rPh sb="2" eb="3">
      <t>メ</t>
    </rPh>
    <phoneticPr fontId="11"/>
  </si>
  <si>
    <t>8日目</t>
    <rPh sb="1" eb="2">
      <t>ヒ</t>
    </rPh>
    <rPh sb="2" eb="3">
      <t>メ</t>
    </rPh>
    <phoneticPr fontId="11"/>
  </si>
  <si>
    <t>出荷依頼項目NO.</t>
    <rPh sb="0" eb="4">
      <t>シュッカイライ</t>
    </rPh>
    <rPh sb="4" eb="6">
      <t>コウモク</t>
    </rPh>
    <phoneticPr fontId="10"/>
  </si>
  <si>
    <t>福島</t>
    <rPh sb="0" eb="2">
      <t>フクシマ</t>
    </rPh>
    <phoneticPr fontId="10"/>
  </si>
  <si>
    <t>Ｎo.【202839】</t>
    <phoneticPr fontId="10"/>
  </si>
  <si>
    <t>PEW池田電機様　(阪本（株））</t>
    <rPh sb="10" eb="12">
      <t>サカモト</t>
    </rPh>
    <rPh sb="12" eb="15">
      <t>カブ</t>
    </rPh>
    <phoneticPr fontId="10"/>
  </si>
  <si>
    <t>①</t>
    <phoneticPr fontId="10"/>
  </si>
  <si>
    <t>運送費</t>
    <phoneticPr fontId="10"/>
  </si>
  <si>
    <t>SETB0314-A01　直行ロボット700-700-100　ﾛﾎﾞｯﾄ固定ﾃｰﾌﾞﾙ　原価一覧　20260114</t>
    <phoneticPr fontId="10"/>
  </si>
  <si>
    <t>図面NO.　SETB-0314-A01</t>
    <rPh sb="0" eb="2">
      <t>ズメン</t>
    </rPh>
    <phoneticPr fontId="10"/>
  </si>
  <si>
    <t>宮嶋</t>
    <rPh sb="0" eb="2">
      <t>ミヤジマ</t>
    </rPh>
    <phoneticPr fontId="10"/>
  </si>
  <si>
    <t>SETB0314-Y01　ﾂｰﾙ板</t>
  </si>
  <si>
    <t>MVBLK-AMW-4EF-XGN9S</t>
    <phoneticPr fontId="10"/>
  </si>
  <si>
    <t>MS3-10</t>
    <phoneticPr fontId="10"/>
  </si>
  <si>
    <t>pj601</t>
  </si>
  <si>
    <t xml:space="preserve">SCB4-10 </t>
    <phoneticPr fontId="10"/>
  </si>
  <si>
    <t>六角穴付ボルト</t>
    <phoneticPr fontId="10"/>
  </si>
  <si>
    <t>SCB4-12</t>
    <phoneticPr fontId="10"/>
  </si>
  <si>
    <t>SCB4-14</t>
    <phoneticPr fontId="10"/>
  </si>
  <si>
    <t>ﾛﾎﾞｯﾄ固定ﾃｰﾌﾞﾙユニット</t>
    <rPh sb="5" eb="7">
      <t>コテイ</t>
    </rPh>
    <phoneticPr fontId="10"/>
  </si>
  <si>
    <t>HBLFTD6-C-SSP</t>
  </si>
  <si>
    <t>HBLSD6-P-SSP</t>
  </si>
  <si>
    <t>HCBR6</t>
    <phoneticPr fontId="10"/>
  </si>
  <si>
    <t>HFS6-6060-411-SC</t>
    <phoneticPr fontId="10"/>
  </si>
  <si>
    <t>HFS6-6060-1040</t>
    <phoneticPr fontId="10"/>
  </si>
  <si>
    <t>HFS6-6060-1240</t>
    <phoneticPr fontId="10"/>
  </si>
  <si>
    <t>HFC6-6060-S</t>
    <phoneticPr fontId="10"/>
  </si>
  <si>
    <t>HFS6-60120-190</t>
  </si>
  <si>
    <t>HFS6-60120-240</t>
    <phoneticPr fontId="10"/>
  </si>
  <si>
    <t>HFSG6-6060-1154</t>
    <phoneticPr fontId="10"/>
  </si>
  <si>
    <t>PYA4H-188-117-5-F166-G95-P5</t>
    <phoneticPr fontId="10"/>
  </si>
  <si>
    <t>SFB5-10</t>
    <phoneticPr fontId="10"/>
  </si>
  <si>
    <t>PYA4H-238-117-5-F216-G95-P5</t>
    <phoneticPr fontId="10"/>
  </si>
  <si>
    <t>PYA6H-409-188-5-F193.5-G166-P5</t>
    <phoneticPr fontId="10"/>
  </si>
  <si>
    <t>SFB5-15</t>
    <phoneticPr fontId="10"/>
  </si>
  <si>
    <t>PYA6H-409-238-5-F193.5-G216-P5</t>
    <phoneticPr fontId="10"/>
  </si>
  <si>
    <t>FBAS5-62-15</t>
    <phoneticPr fontId="10"/>
  </si>
  <si>
    <t>HNTP6-5</t>
    <phoneticPr fontId="10"/>
  </si>
  <si>
    <t xml:space="preserve">SCB5-10 </t>
    <phoneticPr fontId="10"/>
  </si>
  <si>
    <t>SCB5-12</t>
    <phoneticPr fontId="10"/>
  </si>
  <si>
    <t xml:space="preserve">SBCB4-6  </t>
    <phoneticPr fontId="10"/>
  </si>
  <si>
    <t>六角穴付ボタンボルト</t>
    <phoneticPr fontId="10"/>
  </si>
  <si>
    <t>SETB0314-X02　ﾛﾎﾞｯﾄ固定天板　右側</t>
    <rPh sb="23" eb="24">
      <t>ミギ</t>
    </rPh>
    <phoneticPr fontId="10"/>
  </si>
  <si>
    <t>SETB0314-Z01　ﾛﾎﾞｯﾄﾃｰﾌﾞﾙ天板</t>
    <phoneticPr fontId="10"/>
  </si>
  <si>
    <t>MVSHM-3N03004-4EF-6CC8L</t>
    <phoneticPr fontId="10"/>
  </si>
  <si>
    <t xml:space="preserve">	三好キカイ</t>
    <phoneticPr fontId="11"/>
  </si>
  <si>
    <t>PIPS13-2.5-65</t>
    <phoneticPr fontId="10"/>
  </si>
  <si>
    <t>ﾊﾟｲﾌﾟ PIPS</t>
    <phoneticPr fontId="10"/>
  </si>
  <si>
    <t>ﾏﾙ ｽｲﾁｮｸｱﾅﾋﾀﾞﾘﾌｧｲ12_20</t>
    <phoneticPr fontId="10"/>
  </si>
  <si>
    <t>ｱﾙﾐﾌﾞﾗｹｯﾄｻﾞｲ</t>
  </si>
  <si>
    <t>ｶﾊﾞｰﾄﾘﾂｹｶﾝﾚﾝﾌﾞﾋﾝ</t>
    <phoneticPr fontId="10"/>
  </si>
  <si>
    <t>ｱﾙﾐﾌﾚｰﾑｻﾞｲ</t>
    <phoneticPr fontId="10"/>
  </si>
  <si>
    <t>PET (PYA) ｱﾅｶｺｳﾂｷ</t>
    <phoneticPr fontId="10"/>
  </si>
  <si>
    <t>ｾﾞﾝﾁｮｳｼﾃｲﾛｯｶｸｱﾅﾂｷﾎﾞﾙﾄ FBAS</t>
    <phoneticPr fontId="10"/>
  </si>
  <si>
    <t>ﾛｯｶｸｱﾅﾂｷﾎﾞﾙﾄ(SCB)</t>
    <phoneticPr fontId="10"/>
  </si>
  <si>
    <r>
      <t>SETB0314-X01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rFont val="ＭＳ Ｐゴシック"/>
        <family val="3"/>
        <charset val="128"/>
        <scheme val="minor"/>
      </rPr>
      <t>　ﾛﾎﾞｯﾄ固定天板　左側</t>
    </r>
    <phoneticPr fontId="10"/>
  </si>
  <si>
    <r>
      <t>SETB0314-Z02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rFont val="ＭＳ Ｐゴシック"/>
        <family val="3"/>
        <charset val="128"/>
        <scheme val="minor"/>
      </rPr>
      <t>　ｹｰﾌﾞﾙﾍﾞｱｽﾃｲ</t>
    </r>
    <phoneticPr fontId="10"/>
  </si>
  <si>
    <t>MVSHM-3N03006-4FA-FJXHK</t>
    <phoneticPr fontId="10"/>
  </si>
  <si>
    <t>MVBLK-AMW-4FA-NREXE</t>
    <phoneticPr fontId="10"/>
  </si>
  <si>
    <t>17日目</t>
    <rPh sb="2" eb="3">
      <t>ヒ</t>
    </rPh>
    <rPh sb="3" eb="4">
      <t>メ</t>
    </rPh>
    <phoneticPr fontId="11"/>
  </si>
  <si>
    <t>MVBLK-AMW-4FA-8KYBX</t>
    <phoneticPr fontId="10"/>
  </si>
  <si>
    <t>ﾛｯｶｸｱﾅﾂｷｻﾗﾎﾞﾙﾄ(SFB)　8個</t>
    <rPh sb="21" eb="22">
      <t>コ</t>
    </rPh>
    <phoneticPr fontId="10"/>
  </si>
  <si>
    <t>ﾛｯｶｸｱﾅﾂｷｻﾗﾎﾞﾙﾄ(SFB)　　16個</t>
    <phoneticPr fontId="10"/>
  </si>
  <si>
    <t>ノックピン　ストレート　　6個</t>
    <rPh sb="14" eb="15">
      <t>コ</t>
    </rPh>
    <phoneticPr fontId="10"/>
  </si>
  <si>
    <t>ｱﾙﾐﾌﾚｰﾑﾖｳﾊﾞﾈﾅｯﾄ　　12個</t>
    <rPh sb="19" eb="20">
      <t>コ</t>
    </rPh>
    <phoneticPr fontId="10"/>
  </si>
  <si>
    <t>Ｎo.230329</t>
    <phoneticPr fontId="10"/>
  </si>
  <si>
    <t>ﾌﾚｰﾑｷｬｯﾌﾟ (HFC)　　12個</t>
    <rPh sb="19" eb="20">
      <t>コ</t>
    </rPh>
    <phoneticPr fontId="10"/>
  </si>
  <si>
    <t>六角穴付ボルト　　　9個</t>
    <phoneticPr fontId="10"/>
  </si>
  <si>
    <t>AB24CEB6D4</t>
    <phoneticPr fontId="10"/>
  </si>
  <si>
    <t>三協化成産業株式会社（株式会社ナベル）</t>
    <phoneticPr fontId="10"/>
  </si>
  <si>
    <t>HFS6-60120-179</t>
    <phoneticPr fontId="10"/>
  </si>
  <si>
    <t xml:space="preserve">
AB24CF8FEB</t>
    <phoneticPr fontId="10"/>
  </si>
  <si>
    <t>SHBLBSL6</t>
    <phoneticPr fontId="10"/>
  </si>
  <si>
    <t>６シリーズ（溝幅８ｍｍ）　３０・６０角アルミフレーム用ブラインドブラケット</t>
    <phoneticPr fontId="10"/>
  </si>
  <si>
    <t>NO.230329-1 H-SAITOU</t>
    <phoneticPr fontId="10"/>
  </si>
  <si>
    <t>NO.230329-2 H-SAITOU</t>
    <phoneticPr fontId="10"/>
  </si>
  <si>
    <r>
      <t>HFS6-60120-176</t>
    </r>
    <r>
      <rPr>
        <b/>
        <sz val="11"/>
        <color rgb="FFFF0000"/>
        <rFont val="ＭＳ Ｐゴシック"/>
        <family val="3"/>
        <charset val="128"/>
        <scheme val="minor"/>
      </rPr>
      <t>⇒次回は発注しない</t>
    </r>
    <rPh sb="15" eb="17">
      <t>ジカイ</t>
    </rPh>
    <rPh sb="18" eb="20">
      <t>ハッチュウ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</si>
</sst>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4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theme="10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1"/>
      <color theme="9" tint="-0.249977111117893"/>
      <name val="ＭＳ Ｐゴシック"/>
      <family val="3"/>
      <charset val="128"/>
    </font>
    <font>
      <sz val="10"/>
      <color rgb="FF020024"/>
      <name val="Arial"/>
      <family val="2"/>
    </font>
    <font>
      <b/>
      <sz val="11"/>
      <color rgb="FFFF0000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color rgb="FF00B050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99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</cellStyleXfs>
  <cellXfs count="11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2">
      <alignment vertical="center"/>
    </xf>
    <xf numFmtId="3" fontId="9" fillId="0" borderId="8" xfId="3" applyNumberFormat="1" applyBorder="1" applyAlignment="1">
      <alignment horizontal="center" vertical="center"/>
    </xf>
    <xf numFmtId="0" fontId="9" fillId="0" borderId="10" xfId="3" applyBorder="1" applyAlignment="1">
      <alignment horizontal="center" vertical="center"/>
    </xf>
    <xf numFmtId="0" fontId="9" fillId="0" borderId="8" xfId="3" applyBorder="1" applyAlignment="1">
      <alignment horizontal="center" vertical="center"/>
    </xf>
    <xf numFmtId="49" fontId="9" fillId="0" borderId="8" xfId="3" applyNumberFormat="1" applyBorder="1" applyAlignment="1">
      <alignment horizontal="left" vertical="center"/>
    </xf>
    <xf numFmtId="3" fontId="9" fillId="0" borderId="13" xfId="3" applyNumberFormat="1" applyBorder="1" applyAlignment="1">
      <alignment horizontal="center" vertical="center"/>
    </xf>
    <xf numFmtId="0" fontId="9" fillId="0" borderId="8" xfId="3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38" fontId="9" fillId="0" borderId="8" xfId="3" applyNumberFormat="1" applyBorder="1" applyAlignment="1">
      <alignment horizontal="center" vertical="center"/>
    </xf>
    <xf numFmtId="176" fontId="9" fillId="0" borderId="8" xfId="3" applyNumberFormat="1" applyBorder="1" applyAlignment="1">
      <alignment horizontal="center" vertical="center"/>
    </xf>
    <xf numFmtId="176" fontId="9" fillId="0" borderId="8" xfId="3" applyNumberFormat="1" applyBorder="1">
      <alignment vertical="center"/>
    </xf>
    <xf numFmtId="0" fontId="9" fillId="7" borderId="8" xfId="3" applyFill="1" applyBorder="1" applyAlignment="1">
      <alignment horizontal="center" vertical="center"/>
    </xf>
    <xf numFmtId="3" fontId="9" fillId="7" borderId="8" xfId="3" applyNumberFormat="1" applyFill="1" applyBorder="1" applyAlignment="1">
      <alignment horizontal="center" vertical="center"/>
    </xf>
    <xf numFmtId="0" fontId="9" fillId="0" borderId="0" xfId="3">
      <alignment vertical="center"/>
    </xf>
    <xf numFmtId="177" fontId="9" fillId="0" borderId="0" xfId="3" applyNumberFormat="1" applyAlignment="1">
      <alignment horizontal="center" vertical="center"/>
    </xf>
    <xf numFmtId="0" fontId="9" fillId="0" borderId="0" xfId="3" applyAlignment="1">
      <alignment horizontal="center" vertical="center"/>
    </xf>
    <xf numFmtId="0" fontId="9" fillId="0" borderId="0" xfId="3" applyAlignment="1">
      <alignment horizontal="right" vertical="center"/>
    </xf>
    <xf numFmtId="0" fontId="9" fillId="0" borderId="1" xfId="3" applyBorder="1" applyAlignment="1">
      <alignment horizontal="left" vertical="center"/>
    </xf>
    <xf numFmtId="176" fontId="9" fillId="0" borderId="1" xfId="3" applyNumberFormat="1" applyBorder="1">
      <alignment vertical="center"/>
    </xf>
    <xf numFmtId="3" fontId="9" fillId="0" borderId="1" xfId="3" applyNumberFormat="1" applyBorder="1" applyAlignment="1">
      <alignment horizontal="center" vertical="center"/>
    </xf>
    <xf numFmtId="0" fontId="9" fillId="0" borderId="1" xfId="3" applyBorder="1" applyAlignment="1">
      <alignment horizontal="center" vertical="center"/>
    </xf>
    <xf numFmtId="177" fontId="9" fillId="0" borderId="1" xfId="3" applyNumberFormat="1" applyBorder="1" applyAlignment="1">
      <alignment horizontal="center" vertical="center"/>
    </xf>
    <xf numFmtId="0" fontId="9" fillId="0" borderId="1" xfId="3" applyBorder="1">
      <alignment vertical="center"/>
    </xf>
    <xf numFmtId="0" fontId="9" fillId="0" borderId="1" xfId="3" applyBorder="1" applyAlignment="1">
      <alignment horizontal="center" vertical="center" shrinkToFit="1"/>
    </xf>
    <xf numFmtId="176" fontId="9" fillId="0" borderId="1" xfId="3" applyNumberFormat="1" applyBorder="1" applyAlignment="1"/>
    <xf numFmtId="176" fontId="9" fillId="0" borderId="1" xfId="3" applyNumberFormat="1" applyBorder="1" applyAlignment="1">
      <alignment horizontal="center" vertical="center"/>
    </xf>
    <xf numFmtId="0" fontId="9" fillId="0" borderId="1" xfId="3" applyBorder="1" applyAlignment="1">
      <alignment vertical="center" shrinkToFit="1"/>
    </xf>
    <xf numFmtId="179" fontId="9" fillId="0" borderId="1" xfId="3" applyNumberFormat="1" applyBorder="1" applyAlignment="1">
      <alignment horizontal="center" vertical="center"/>
    </xf>
    <xf numFmtId="0" fontId="5" fillId="0" borderId="1" xfId="3" applyFont="1" applyBorder="1" applyAlignment="1">
      <alignment horizontal="left" vertical="center"/>
    </xf>
    <xf numFmtId="0" fontId="9" fillId="0" borderId="6" xfId="3" applyBorder="1" applyAlignment="1">
      <alignment horizontal="center" vertical="center"/>
    </xf>
    <xf numFmtId="0" fontId="2" fillId="6" borderId="8" xfId="3" applyFont="1" applyFill="1" applyBorder="1" applyAlignment="1">
      <alignment horizontal="center" vertical="center"/>
    </xf>
    <xf numFmtId="178" fontId="9" fillId="0" borderId="1" xfId="3" applyNumberFormat="1" applyBorder="1" applyAlignment="1">
      <alignment horizontal="center" vertical="center"/>
    </xf>
    <xf numFmtId="0" fontId="9" fillId="0" borderId="2" xfId="3" applyBorder="1" applyAlignment="1">
      <alignment horizontal="center" vertical="center"/>
    </xf>
    <xf numFmtId="176" fontId="9" fillId="0" borderId="3" xfId="3" applyNumberForma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176" fontId="7" fillId="0" borderId="8" xfId="3" applyNumberFormat="1" applyFont="1" applyBorder="1">
      <alignment vertical="center"/>
    </xf>
    <xf numFmtId="178" fontId="9" fillId="0" borderId="8" xfId="3" applyNumberFormat="1" applyBorder="1" applyAlignment="1">
      <alignment horizontal="center" vertical="center"/>
    </xf>
    <xf numFmtId="56" fontId="9" fillId="0" borderId="8" xfId="3" applyNumberFormat="1" applyBorder="1" applyAlignment="1">
      <alignment horizontal="center" vertical="center"/>
    </xf>
    <xf numFmtId="0" fontId="13" fillId="0" borderId="8" xfId="3" applyFont="1" applyBorder="1">
      <alignment vertical="center"/>
    </xf>
    <xf numFmtId="0" fontId="2" fillId="0" borderId="8" xfId="3" applyFont="1" applyBorder="1" applyAlignment="1">
      <alignment horizontal="center" vertical="center"/>
    </xf>
    <xf numFmtId="0" fontId="13" fillId="0" borderId="10" xfId="3" applyFont="1" applyBorder="1" applyAlignment="1">
      <alignment horizontal="center" vertical="center"/>
    </xf>
    <xf numFmtId="0" fontId="9" fillId="0" borderId="8" xfId="3" applyBorder="1" applyAlignment="1">
      <alignment horizontal="left" vertical="center" shrinkToFit="1"/>
    </xf>
    <xf numFmtId="0" fontId="9" fillId="0" borderId="6" xfId="3" applyBorder="1" applyAlignment="1">
      <alignment vertical="center" shrinkToFit="1"/>
    </xf>
    <xf numFmtId="0" fontId="9" fillId="0" borderId="13" xfId="3" applyBorder="1" applyAlignment="1">
      <alignment horizontal="center" vertical="center"/>
    </xf>
    <xf numFmtId="180" fontId="13" fillId="0" borderId="13" xfId="3" applyNumberFormat="1" applyFont="1" applyBorder="1" applyAlignment="1">
      <alignment horizontal="center" vertical="center"/>
    </xf>
    <xf numFmtId="176" fontId="14" fillId="0" borderId="13" xfId="3" applyNumberFormat="1" applyFont="1" applyBorder="1" applyAlignment="1">
      <alignment horizontal="center" vertical="center"/>
    </xf>
    <xf numFmtId="0" fontId="13" fillId="0" borderId="8" xfId="3" applyFont="1" applyBorder="1" applyAlignment="1">
      <alignment horizontal="left" vertical="center"/>
    </xf>
    <xf numFmtId="176" fontId="9" fillId="0" borderId="11" xfId="3" applyNumberFormat="1" applyBorder="1" applyAlignment="1"/>
    <xf numFmtId="176" fontId="7" fillId="0" borderId="8" xfId="3" applyNumberFormat="1" applyFont="1" applyBorder="1" applyAlignment="1">
      <alignment horizontal="center" vertical="center"/>
    </xf>
    <xf numFmtId="3" fontId="9" fillId="0" borderId="14" xfId="3" applyNumberForma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7" fillId="0" borderId="13" xfId="3" applyNumberFormat="1" applyFont="1" applyBorder="1" applyAlignment="1">
      <alignment horizontal="center" vertical="center"/>
    </xf>
    <xf numFmtId="176" fontId="9" fillId="0" borderId="7" xfId="3" applyNumberFormat="1" applyBorder="1">
      <alignment vertical="center"/>
    </xf>
    <xf numFmtId="3" fontId="9" fillId="0" borderId="9" xfId="3" applyNumberFormat="1" applyBorder="1" applyAlignment="1">
      <alignment horizontal="center" vertical="center"/>
    </xf>
    <xf numFmtId="176" fontId="9" fillId="0" borderId="5" xfId="3" applyNumberFormat="1" applyBorder="1" applyAlignment="1"/>
    <xf numFmtId="176" fontId="14" fillId="4" borderId="7" xfId="3" applyNumberFormat="1" applyFont="1" applyFill="1" applyBorder="1" applyAlignment="1">
      <alignment horizontal="center" vertical="center"/>
    </xf>
    <xf numFmtId="177" fontId="9" fillId="0" borderId="4" xfId="3" applyNumberFormat="1" applyBorder="1" applyAlignment="1">
      <alignment horizontal="center" vertical="center"/>
    </xf>
    <xf numFmtId="0" fontId="9" fillId="0" borderId="3" xfId="3" applyBorder="1" applyAlignment="1">
      <alignment horizontal="center" vertical="center" shrinkToFit="1"/>
    </xf>
    <xf numFmtId="0" fontId="5" fillId="0" borderId="5" xfId="3" applyFont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9" fillId="7" borderId="12" xfId="3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9" fillId="0" borderId="1" xfId="3" applyBorder="1" applyAlignment="1">
      <alignment horizontal="left" vertical="center" shrinkToFit="1"/>
    </xf>
    <xf numFmtId="3" fontId="9" fillId="0" borderId="5" xfId="3" applyNumberFormat="1" applyBorder="1" applyAlignment="1">
      <alignment horizontal="center" vertical="center"/>
    </xf>
    <xf numFmtId="3" fontId="9" fillId="0" borderId="2" xfId="3" applyNumberFormat="1" applyBorder="1" applyAlignment="1">
      <alignment horizontal="center" vertical="center"/>
    </xf>
    <xf numFmtId="3" fontId="9" fillId="0" borderId="6" xfId="3" applyNumberFormat="1" applyBorder="1" applyAlignment="1">
      <alignment horizontal="center" vertical="center"/>
    </xf>
    <xf numFmtId="177" fontId="3" fillId="0" borderId="1" xfId="3" applyNumberFormat="1" applyFont="1" applyBorder="1" applyAlignment="1">
      <alignment horizontal="center" vertical="center"/>
    </xf>
    <xf numFmtId="0" fontId="9" fillId="0" borderId="0" xfId="3" applyAlignment="1">
      <alignment vertical="center" wrapText="1"/>
    </xf>
    <xf numFmtId="0" fontId="3" fillId="0" borderId="1" xfId="3" applyFont="1" applyBorder="1" applyAlignment="1">
      <alignment horizontal="center" vertical="center"/>
    </xf>
    <xf numFmtId="176" fontId="4" fillId="0" borderId="1" xfId="3" applyNumberFormat="1" applyFont="1" applyBorder="1">
      <alignment vertical="center"/>
    </xf>
    <xf numFmtId="0" fontId="8" fillId="0" borderId="1" xfId="3" applyFont="1" applyBorder="1" applyAlignment="1">
      <alignment horizontal="center" vertical="center"/>
    </xf>
    <xf numFmtId="179" fontId="9" fillId="0" borderId="6" xfId="3" applyNumberFormat="1" applyBorder="1" applyAlignment="1">
      <alignment horizontal="center" vertical="center"/>
    </xf>
    <xf numFmtId="0" fontId="9" fillId="0" borderId="8" xfId="3" applyBorder="1" applyAlignment="1">
      <alignment horizontal="center" vertical="center" shrinkToFit="1"/>
    </xf>
    <xf numFmtId="0" fontId="9" fillId="0" borderId="2" xfId="3" applyBorder="1" applyAlignment="1">
      <alignment vertical="center" shrinkToFit="1"/>
    </xf>
    <xf numFmtId="56" fontId="9" fillId="0" borderId="12" xfId="3" applyNumberFormat="1" applyBorder="1" applyAlignment="1">
      <alignment horizontal="center" vertical="center"/>
    </xf>
    <xf numFmtId="0" fontId="16" fillId="0" borderId="10" xfId="2" applyFont="1" applyBorder="1">
      <alignment vertical="center"/>
    </xf>
    <xf numFmtId="0" fontId="9" fillId="0" borderId="5" xfId="3" applyBorder="1" applyAlignment="1">
      <alignment vertical="center" shrinkToFit="1"/>
    </xf>
    <xf numFmtId="0" fontId="9" fillId="0" borderId="10" xfId="3" applyBorder="1" applyAlignment="1">
      <alignment vertical="center" shrinkToFit="1"/>
    </xf>
    <xf numFmtId="0" fontId="9" fillId="0" borderId="9" xfId="3" applyBorder="1" applyAlignment="1">
      <alignment horizontal="center" vertical="center"/>
    </xf>
    <xf numFmtId="0" fontId="13" fillId="8" borderId="8" xfId="3" applyFont="1" applyFill="1" applyBorder="1" applyAlignment="1">
      <alignment horizontal="center" vertical="center"/>
    </xf>
    <xf numFmtId="0" fontId="9" fillId="8" borderId="8" xfId="3" applyFill="1" applyBorder="1" applyAlignment="1">
      <alignment horizontal="center" vertical="center"/>
    </xf>
    <xf numFmtId="38" fontId="9" fillId="8" borderId="8" xfId="3" applyNumberFormat="1" applyFill="1" applyBorder="1" applyAlignment="1">
      <alignment horizontal="center" vertical="center"/>
    </xf>
    <xf numFmtId="49" fontId="9" fillId="8" borderId="8" xfId="3" applyNumberFormat="1" applyFill="1" applyBorder="1" applyAlignment="1">
      <alignment horizontal="left" vertical="center"/>
    </xf>
    <xf numFmtId="3" fontId="9" fillId="0" borderId="7" xfId="3" applyNumberFormat="1" applyBorder="1" applyAlignment="1">
      <alignment horizontal="center" vertical="center"/>
    </xf>
    <xf numFmtId="0" fontId="13" fillId="8" borderId="8" xfId="3" applyFont="1" applyFill="1" applyBorder="1" applyAlignment="1">
      <alignment horizontal="left" vertical="center"/>
    </xf>
    <xf numFmtId="3" fontId="13" fillId="0" borderId="8" xfId="3" applyNumberFormat="1" applyFont="1" applyBorder="1" applyAlignment="1">
      <alignment horizontal="center" vertical="center"/>
    </xf>
    <xf numFmtId="0" fontId="5" fillId="0" borderId="9" xfId="3" applyFont="1" applyBorder="1" applyAlignment="1">
      <alignment horizontal="left" vertical="center"/>
    </xf>
    <xf numFmtId="0" fontId="19" fillId="0" borderId="8" xfId="0" applyFont="1" applyBorder="1">
      <alignment vertical="center"/>
    </xf>
    <xf numFmtId="0" fontId="13" fillId="9" borderId="8" xfId="3" applyFont="1" applyFill="1" applyBorder="1" applyAlignment="1">
      <alignment horizontal="center" vertical="center"/>
    </xf>
    <xf numFmtId="0" fontId="9" fillId="10" borderId="12" xfId="3" applyFill="1" applyBorder="1" applyAlignment="1">
      <alignment horizontal="center" vertical="center"/>
    </xf>
    <xf numFmtId="38" fontId="9" fillId="11" borderId="8" xfId="3" applyNumberFormat="1" applyFill="1" applyBorder="1" applyAlignment="1">
      <alignment horizontal="center" vertical="center"/>
    </xf>
    <xf numFmtId="0" fontId="13" fillId="11" borderId="8" xfId="3" applyFont="1" applyFill="1" applyBorder="1" applyAlignment="1">
      <alignment horizontal="center" vertical="center"/>
    </xf>
    <xf numFmtId="0" fontId="13" fillId="8" borderId="10" xfId="3" applyFont="1" applyFill="1" applyBorder="1" applyAlignment="1">
      <alignment horizontal="center" vertical="center"/>
    </xf>
    <xf numFmtId="0" fontId="18" fillId="0" borderId="8" xfId="3" applyFont="1" applyBorder="1" applyAlignment="1">
      <alignment vertical="center" wrapText="1"/>
    </xf>
    <xf numFmtId="0" fontId="9" fillId="0" borderId="11" xfId="3" applyBorder="1" applyAlignment="1">
      <alignment horizontal="center" vertical="center"/>
    </xf>
    <xf numFmtId="0" fontId="13" fillId="11" borderId="8" xfId="3" applyFont="1" applyFill="1" applyBorder="1" applyAlignment="1">
      <alignment horizontal="left" vertical="center"/>
    </xf>
    <xf numFmtId="0" fontId="13" fillId="11" borderId="10" xfId="3" applyFont="1" applyFill="1" applyBorder="1" applyAlignment="1">
      <alignment horizontal="center" vertical="center"/>
    </xf>
    <xf numFmtId="0" fontId="9" fillId="0" borderId="15" xfId="3" applyBorder="1" applyAlignment="1">
      <alignment vertical="center" shrinkToFit="1"/>
    </xf>
    <xf numFmtId="0" fontId="23" fillId="0" borderId="8" xfId="3" applyFont="1" applyBorder="1">
      <alignment vertical="center"/>
    </xf>
    <xf numFmtId="0" fontId="9" fillId="0" borderId="0" xfId="3" applyAlignment="1">
      <alignment vertical="center" shrinkToFit="1"/>
    </xf>
    <xf numFmtId="0" fontId="9" fillId="7" borderId="12" xfId="3" applyFill="1" applyBorder="1" applyAlignment="1">
      <alignment horizontal="center" vertical="center" shrinkToFit="1"/>
    </xf>
    <xf numFmtId="0" fontId="3" fillId="2" borderId="2" xfId="3" applyFont="1" applyFill="1" applyBorder="1" applyAlignment="1">
      <alignment horizontal="center"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176" fontId="7" fillId="0" borderId="2" xfId="3" applyNumberFormat="1" applyFont="1" applyBorder="1" applyAlignment="1">
      <alignment horizontal="center" vertical="center"/>
    </xf>
    <xf numFmtId="176" fontId="7" fillId="0" borderId="5" xfId="3" applyNumberFormat="1" applyFont="1" applyBorder="1" applyAlignment="1">
      <alignment horizontal="center" vertical="center"/>
    </xf>
    <xf numFmtId="176" fontId="7" fillId="0" borderId="6" xfId="3" applyNumberFormat="1" applyFont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0" fontId="4" fillId="3" borderId="5" xfId="3" applyFont="1" applyFill="1" applyBorder="1" applyAlignment="1">
      <alignment horizontal="center" vertical="center"/>
    </xf>
    <xf numFmtId="0" fontId="4" fillId="3" borderId="6" xfId="3" applyFont="1" applyFill="1" applyBorder="1" applyAlignment="1">
      <alignment horizontal="center" vertical="center"/>
    </xf>
    <xf numFmtId="0" fontId="9" fillId="0" borderId="0" xfId="3" applyAlignment="1">
      <alignment horizontal="center" vertical="center" wrapText="1"/>
    </xf>
    <xf numFmtId="0" fontId="17" fillId="0" borderId="8" xfId="3" applyFont="1" applyBorder="1" applyAlignment="1">
      <alignment horizontal="center" vertical="center" wrapText="1"/>
    </xf>
    <xf numFmtId="0" fontId="15" fillId="0" borderId="0" xfId="3" applyFont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9A47-DDA1-47BD-92C5-5AEB6D210920}">
  <sheetPr>
    <tabColor rgb="FF00B0F0"/>
  </sheetPr>
  <dimension ref="A2:S104"/>
  <sheetViews>
    <sheetView tabSelected="1" zoomScale="85" zoomScaleNormal="85" workbookViewId="0">
      <pane xSplit="12" ySplit="8" topLeftCell="M9" activePane="bottomRight" state="frozen"/>
      <selection pane="topRight" activeCell="L1" sqref="L1"/>
      <selection pane="bottomLeft" activeCell="A9" sqref="A9"/>
      <selection pane="bottomRight" activeCell="I46" sqref="I46"/>
    </sheetView>
  </sheetViews>
  <sheetFormatPr defaultColWidth="11.77734375" defaultRowHeight="13.5" customHeight="1"/>
  <cols>
    <col min="1" max="1" width="10.6640625" style="17" customWidth="1"/>
    <col min="2" max="2" width="14.5546875" style="17" customWidth="1"/>
    <col min="3" max="3" width="12.44140625" style="17" customWidth="1"/>
    <col min="4" max="4" width="6.21875" style="19" customWidth="1"/>
    <col min="5" max="5" width="11" style="17" customWidth="1"/>
    <col min="6" max="6" width="9.5546875" style="17" customWidth="1"/>
    <col min="7" max="7" width="57.88671875" style="17" customWidth="1"/>
    <col min="8" max="8" width="10.77734375" style="19" customWidth="1"/>
    <col min="9" max="10" width="12.109375" style="19" customWidth="1"/>
    <col min="11" max="11" width="7.109375" style="20" customWidth="1"/>
    <col min="12" max="12" width="43.88671875" style="17" customWidth="1"/>
    <col min="13" max="13" width="21" style="17" customWidth="1"/>
    <col min="14" max="14" width="20.77734375" style="19" customWidth="1"/>
    <col min="15" max="15" width="12" style="19" customWidth="1"/>
    <col min="16" max="16" width="11.5546875" style="17" customWidth="1"/>
    <col min="17" max="17" width="16.33203125" style="19" customWidth="1"/>
    <col min="18" max="18" width="17.88671875" style="18" customWidth="1"/>
    <col min="19" max="19" width="19.33203125" style="18" customWidth="1"/>
    <col min="20" max="16384" width="11.77734375" style="17"/>
  </cols>
  <sheetData>
    <row r="2" spans="1:19" ht="20.100000000000001" customHeight="1">
      <c r="D2" s="112" t="s">
        <v>0</v>
      </c>
      <c r="E2" s="112"/>
      <c r="F2" s="112"/>
      <c r="G2" s="75" t="s">
        <v>97</v>
      </c>
      <c r="I2" s="113" t="s">
        <v>1</v>
      </c>
      <c r="J2" s="114"/>
      <c r="K2" s="115"/>
      <c r="L2" s="74">
        <f>SUM(J:J)</f>
        <v>328782</v>
      </c>
    </row>
    <row r="3" spans="1:19" ht="20.100000000000001" customHeight="1">
      <c r="D3" s="112" t="s">
        <v>2</v>
      </c>
      <c r="E3" s="112"/>
      <c r="F3" s="112"/>
      <c r="G3" s="73" t="s">
        <v>38</v>
      </c>
    </row>
    <row r="4" spans="1:19" ht="20.100000000000001" customHeight="1">
      <c r="D4" s="112" t="s">
        <v>3</v>
      </c>
      <c r="E4" s="112"/>
      <c r="F4" s="112"/>
      <c r="G4" s="73" t="s">
        <v>93</v>
      </c>
      <c r="I4" s="72"/>
      <c r="J4" s="116" t="s">
        <v>36</v>
      </c>
      <c r="K4" s="116"/>
      <c r="L4" s="116"/>
    </row>
    <row r="5" spans="1:19" ht="20.100000000000001" customHeight="1">
      <c r="D5" s="112" t="s">
        <v>4</v>
      </c>
      <c r="E5" s="112"/>
      <c r="F5" s="112"/>
      <c r="G5" s="71">
        <v>46091</v>
      </c>
      <c r="I5" s="117" t="s">
        <v>34</v>
      </c>
      <c r="J5" s="116"/>
      <c r="K5" s="116"/>
      <c r="L5" s="116"/>
    </row>
    <row r="6" spans="1:19" ht="20.100000000000001" customHeight="1">
      <c r="D6" s="112" t="s">
        <v>5</v>
      </c>
      <c r="E6" s="112"/>
      <c r="F6" s="112"/>
      <c r="G6" s="71">
        <v>46092</v>
      </c>
      <c r="I6" s="117"/>
      <c r="J6" s="118" t="s">
        <v>37</v>
      </c>
      <c r="K6" s="118"/>
      <c r="L6" s="118"/>
    </row>
    <row r="8" spans="1:19" s="19" customFormat="1" ht="19.5" customHeight="1">
      <c r="C8" s="43" t="s">
        <v>30</v>
      </c>
      <c r="D8" s="70" t="s">
        <v>6</v>
      </c>
      <c r="E8" s="23" t="s">
        <v>7</v>
      </c>
      <c r="F8" s="23" t="s">
        <v>8</v>
      </c>
      <c r="G8" s="24" t="s">
        <v>9</v>
      </c>
      <c r="H8" s="24" t="s">
        <v>10</v>
      </c>
      <c r="I8" s="24" t="s">
        <v>11</v>
      </c>
      <c r="J8" s="36" t="s">
        <v>12</v>
      </c>
      <c r="K8" s="36" t="s">
        <v>13</v>
      </c>
      <c r="L8" s="24" t="s">
        <v>14</v>
      </c>
      <c r="M8" s="24" t="s">
        <v>15</v>
      </c>
      <c r="N8" s="24" t="s">
        <v>16</v>
      </c>
      <c r="O8" s="31" t="s">
        <v>17</v>
      </c>
      <c r="P8" s="23" t="s">
        <v>18</v>
      </c>
      <c r="Q8" s="24" t="s">
        <v>19</v>
      </c>
      <c r="R8" s="31" t="s">
        <v>20</v>
      </c>
      <c r="S8" s="25" t="s">
        <v>21</v>
      </c>
    </row>
    <row r="9" spans="1:19" s="19" customFormat="1" ht="19.5" customHeight="1">
      <c r="D9" s="69"/>
      <c r="E9" s="68"/>
      <c r="F9" s="68"/>
      <c r="G9" s="46"/>
      <c r="H9" s="29"/>
      <c r="I9" s="29"/>
      <c r="J9" s="29"/>
      <c r="K9" s="28"/>
      <c r="L9" s="67"/>
      <c r="M9" s="24"/>
      <c r="N9" s="83"/>
      <c r="O9" s="31"/>
      <c r="P9" s="23"/>
      <c r="Q9" s="24"/>
      <c r="R9" s="31"/>
      <c r="S9" s="25"/>
    </row>
    <row r="10" spans="1:19" s="19" customFormat="1" ht="19.5" customHeight="1">
      <c r="D10" s="69"/>
      <c r="E10" s="68"/>
      <c r="F10" s="68"/>
      <c r="G10" s="46"/>
      <c r="H10" s="29"/>
      <c r="I10" s="29"/>
      <c r="J10" s="29"/>
      <c r="K10" s="28"/>
      <c r="L10" s="67"/>
      <c r="M10" s="36"/>
      <c r="N10" s="7"/>
      <c r="O10" s="76"/>
      <c r="P10" s="23"/>
      <c r="Q10" s="24"/>
      <c r="R10" s="31"/>
      <c r="S10" s="25"/>
    </row>
    <row r="11" spans="1:19" ht="18" customHeight="1">
      <c r="D11" s="106" t="s">
        <v>22</v>
      </c>
      <c r="E11" s="107"/>
      <c r="F11" s="107"/>
      <c r="G11" s="108"/>
      <c r="H11" s="66"/>
      <c r="I11" s="66"/>
      <c r="J11" s="29"/>
      <c r="K11" s="28"/>
      <c r="L11" s="32"/>
      <c r="M11" s="78"/>
      <c r="N11" s="77"/>
      <c r="O11" s="76"/>
      <c r="P11" s="25"/>
      <c r="Q11" s="25"/>
      <c r="R11" s="31"/>
      <c r="S11" s="35"/>
    </row>
    <row r="12" spans="1:19" ht="18" customHeight="1">
      <c r="A12" s="65" t="s">
        <v>29</v>
      </c>
      <c r="B12" s="105" t="s">
        <v>102</v>
      </c>
      <c r="C12" s="43"/>
      <c r="D12" s="63">
        <v>1</v>
      </c>
      <c r="E12" s="16" t="s">
        <v>26</v>
      </c>
      <c r="F12" s="90" t="s">
        <v>25</v>
      </c>
      <c r="G12" s="89" t="s">
        <v>40</v>
      </c>
      <c r="H12" s="84">
        <v>1</v>
      </c>
      <c r="I12" s="84">
        <v>16392</v>
      </c>
      <c r="J12" s="97">
        <f>H12*I12</f>
        <v>16392</v>
      </c>
      <c r="K12" s="44"/>
      <c r="L12" s="50" t="s">
        <v>39</v>
      </c>
      <c r="M12" s="82"/>
      <c r="N12" s="98" t="s">
        <v>96</v>
      </c>
      <c r="O12" s="79">
        <v>46065</v>
      </c>
      <c r="P12" s="10"/>
      <c r="Q12" s="41">
        <v>46091</v>
      </c>
      <c r="R12" s="31">
        <v>46092</v>
      </c>
      <c r="S12" s="40"/>
    </row>
    <row r="13" spans="1:19" ht="18" customHeight="1">
      <c r="A13" s="15" t="s">
        <v>28</v>
      </c>
      <c r="B13" s="105" t="s">
        <v>102</v>
      </c>
      <c r="C13" s="43"/>
      <c r="D13" s="63">
        <f>D12+1</f>
        <v>2</v>
      </c>
      <c r="E13" s="90" t="s">
        <v>25</v>
      </c>
      <c r="F13" s="90" t="s">
        <v>25</v>
      </c>
      <c r="G13" s="87" t="s">
        <v>41</v>
      </c>
      <c r="H13" s="85">
        <v>33</v>
      </c>
      <c r="I13" s="95">
        <v>22</v>
      </c>
      <c r="J13" s="97">
        <f t="shared" ref="J13:J18" si="0">H13*I13</f>
        <v>726</v>
      </c>
      <c r="K13" s="6"/>
      <c r="L13" s="45" t="s">
        <v>91</v>
      </c>
      <c r="M13" s="4"/>
      <c r="N13" s="98" t="s">
        <v>96</v>
      </c>
      <c r="O13" s="79">
        <v>46065</v>
      </c>
      <c r="P13" s="10"/>
      <c r="Q13" s="41">
        <v>46091</v>
      </c>
      <c r="R13" s="31">
        <v>46092</v>
      </c>
      <c r="S13" s="40"/>
    </row>
    <row r="14" spans="1:19" ht="18" customHeight="1">
      <c r="A14" s="65" t="s">
        <v>27</v>
      </c>
      <c r="B14" s="105" t="s">
        <v>102</v>
      </c>
      <c r="C14" s="43"/>
      <c r="D14" s="63">
        <f>D13+1</f>
        <v>3</v>
      </c>
      <c r="E14" s="90" t="s">
        <v>25</v>
      </c>
      <c r="F14" s="90" t="s">
        <v>25</v>
      </c>
      <c r="G14" s="87" t="s">
        <v>74</v>
      </c>
      <c r="H14" s="85">
        <v>1</v>
      </c>
      <c r="I14" s="86">
        <v>623</v>
      </c>
      <c r="J14" s="97">
        <f t="shared" si="0"/>
        <v>623</v>
      </c>
      <c r="K14" s="6"/>
      <c r="L14" s="45" t="s">
        <v>75</v>
      </c>
      <c r="M14" s="80"/>
      <c r="N14" s="98" t="s">
        <v>96</v>
      </c>
      <c r="O14" s="79">
        <v>46065</v>
      </c>
      <c r="P14" s="10"/>
      <c r="Q14" s="41">
        <v>46091</v>
      </c>
      <c r="R14" s="31">
        <v>46092</v>
      </c>
      <c r="S14" s="40"/>
    </row>
    <row r="15" spans="1:19" ht="18" customHeight="1">
      <c r="A15" s="15" t="s">
        <v>28</v>
      </c>
      <c r="B15" s="105" t="s">
        <v>102</v>
      </c>
      <c r="C15" s="43"/>
      <c r="D15" s="63">
        <f t="shared" ref="D15:D18" si="1">D14+1</f>
        <v>4</v>
      </c>
      <c r="E15" s="90" t="s">
        <v>73</v>
      </c>
      <c r="F15" s="90" t="s">
        <v>25</v>
      </c>
      <c r="G15" s="87" t="s">
        <v>42</v>
      </c>
      <c r="H15" s="85">
        <v>1</v>
      </c>
      <c r="I15" s="86">
        <v>1820</v>
      </c>
      <c r="J15" s="97">
        <f t="shared" si="0"/>
        <v>1820</v>
      </c>
      <c r="K15" s="6"/>
      <c r="L15" s="45" t="s">
        <v>76</v>
      </c>
      <c r="M15" s="80"/>
      <c r="N15" s="98" t="s">
        <v>96</v>
      </c>
      <c r="O15" s="79">
        <v>46065</v>
      </c>
      <c r="P15" s="10"/>
      <c r="Q15" s="41">
        <v>46091</v>
      </c>
      <c r="R15" s="31">
        <v>46092</v>
      </c>
      <c r="S15" s="40"/>
    </row>
    <row r="16" spans="1:19" ht="18" customHeight="1">
      <c r="A16" s="15" t="s">
        <v>28</v>
      </c>
      <c r="B16" s="105" t="s">
        <v>102</v>
      </c>
      <c r="C16" s="43"/>
      <c r="D16" s="63">
        <f t="shared" si="1"/>
        <v>5</v>
      </c>
      <c r="E16" s="90" t="s">
        <v>25</v>
      </c>
      <c r="F16" s="90" t="s">
        <v>25</v>
      </c>
      <c r="G16" s="87" t="s">
        <v>43</v>
      </c>
      <c r="H16" s="85">
        <v>4</v>
      </c>
      <c r="I16" s="86">
        <v>112</v>
      </c>
      <c r="J16" s="97">
        <f t="shared" si="0"/>
        <v>448</v>
      </c>
      <c r="K16" s="6"/>
      <c r="L16" s="45" t="s">
        <v>44</v>
      </c>
      <c r="M16" s="80"/>
      <c r="N16" s="98" t="s">
        <v>96</v>
      </c>
      <c r="O16" s="79">
        <v>46065</v>
      </c>
      <c r="P16" s="10"/>
      <c r="Q16" s="41">
        <v>46091</v>
      </c>
      <c r="R16" s="31">
        <v>46092</v>
      </c>
      <c r="S16" s="40"/>
    </row>
    <row r="17" spans="1:19" ht="18" customHeight="1">
      <c r="A17" s="15" t="s">
        <v>28</v>
      </c>
      <c r="B17" s="105" t="s">
        <v>102</v>
      </c>
      <c r="C17" s="43"/>
      <c r="D17" s="63">
        <f t="shared" si="1"/>
        <v>6</v>
      </c>
      <c r="E17" s="90" t="s">
        <v>25</v>
      </c>
      <c r="F17" s="90" t="s">
        <v>25</v>
      </c>
      <c r="G17" s="87" t="s">
        <v>45</v>
      </c>
      <c r="H17" s="85">
        <v>4</v>
      </c>
      <c r="I17" s="86">
        <v>120</v>
      </c>
      <c r="J17" s="97">
        <f t="shared" si="0"/>
        <v>480</v>
      </c>
      <c r="K17" s="6"/>
      <c r="L17" s="45" t="s">
        <v>44</v>
      </c>
      <c r="M17" s="80"/>
      <c r="N17" s="98" t="s">
        <v>96</v>
      </c>
      <c r="O17" s="79">
        <v>46065</v>
      </c>
      <c r="P17" s="10"/>
      <c r="Q17" s="41">
        <v>46091</v>
      </c>
      <c r="R17" s="31">
        <v>46092</v>
      </c>
      <c r="S17" s="40"/>
    </row>
    <row r="18" spans="1:19" ht="18" customHeight="1">
      <c r="A18" s="15" t="s">
        <v>28</v>
      </c>
      <c r="B18" s="105" t="s">
        <v>102</v>
      </c>
      <c r="C18" s="43"/>
      <c r="D18" s="63">
        <f t="shared" si="1"/>
        <v>7</v>
      </c>
      <c r="E18" s="90" t="s">
        <v>25</v>
      </c>
      <c r="F18" s="90" t="s">
        <v>25</v>
      </c>
      <c r="G18" s="87" t="s">
        <v>46</v>
      </c>
      <c r="H18" s="85">
        <v>1</v>
      </c>
      <c r="I18" s="86">
        <v>120</v>
      </c>
      <c r="J18" s="97">
        <f t="shared" si="0"/>
        <v>120</v>
      </c>
      <c r="K18" s="6"/>
      <c r="L18" s="45" t="s">
        <v>44</v>
      </c>
      <c r="M18" s="80"/>
      <c r="N18" s="98" t="s">
        <v>96</v>
      </c>
      <c r="O18" s="79">
        <v>46065</v>
      </c>
      <c r="P18" s="10"/>
      <c r="Q18" s="41">
        <v>46091</v>
      </c>
      <c r="R18" s="31">
        <v>46092</v>
      </c>
      <c r="S18" s="40"/>
    </row>
    <row r="19" spans="1:19" ht="18" customHeight="1">
      <c r="A19" s="7"/>
      <c r="B19" s="7"/>
      <c r="C19" s="43"/>
      <c r="D19" s="64"/>
      <c r="E19" s="5"/>
      <c r="F19" s="5"/>
      <c r="G19" s="8"/>
      <c r="H19" s="7"/>
      <c r="I19" s="12"/>
      <c r="J19" s="12"/>
      <c r="K19" s="6"/>
      <c r="L19" s="45"/>
      <c r="M19" s="80"/>
      <c r="N19" s="77"/>
      <c r="O19" s="79"/>
      <c r="P19" s="60"/>
      <c r="Q19" s="41"/>
      <c r="R19" s="41"/>
      <c r="S19" s="40"/>
    </row>
    <row r="20" spans="1:19" ht="18" customHeight="1">
      <c r="A20" s="7"/>
      <c r="B20" s="7"/>
      <c r="C20" s="43"/>
      <c r="D20" s="54"/>
      <c r="E20" s="23"/>
      <c r="F20" s="22"/>
      <c r="G20" s="59">
        <f>SUM(J12:J19)</f>
        <v>20609</v>
      </c>
      <c r="H20" s="39"/>
      <c r="I20" s="39"/>
      <c r="J20" s="39"/>
      <c r="K20" s="58"/>
      <c r="L20" s="21"/>
      <c r="M20" s="78"/>
      <c r="N20" s="77"/>
      <c r="O20" s="76"/>
      <c r="P20" s="25"/>
      <c r="Q20" s="25"/>
      <c r="R20" s="31"/>
      <c r="S20" s="35"/>
    </row>
    <row r="21" spans="1:19" ht="18" customHeight="1">
      <c r="A21" s="7"/>
      <c r="B21" s="7"/>
      <c r="C21" s="43"/>
      <c r="D21" s="54"/>
      <c r="E21" s="57"/>
      <c r="F21" s="56"/>
      <c r="G21" s="55"/>
      <c r="H21" s="55"/>
      <c r="I21" s="55"/>
      <c r="J21" s="55"/>
      <c r="K21" s="58"/>
      <c r="L21" s="21"/>
      <c r="M21" s="78"/>
      <c r="N21" s="77"/>
      <c r="O21" s="76"/>
      <c r="P21" s="25"/>
      <c r="Q21" s="25"/>
      <c r="R21" s="31"/>
      <c r="S21" s="35"/>
    </row>
    <row r="22" spans="1:19" ht="18" customHeight="1">
      <c r="A22" s="7"/>
      <c r="B22" s="7"/>
      <c r="C22" s="43"/>
      <c r="D22" s="54"/>
      <c r="E22" s="88"/>
      <c r="F22" s="56"/>
      <c r="G22" s="55"/>
      <c r="H22" s="55"/>
      <c r="I22" s="55"/>
      <c r="J22" s="55"/>
      <c r="K22" s="58"/>
      <c r="L22" s="21"/>
      <c r="M22" s="81"/>
      <c r="N22" s="77"/>
      <c r="O22" s="76"/>
      <c r="P22" s="25"/>
      <c r="Q22" s="25"/>
      <c r="R22" s="31"/>
      <c r="S22" s="35"/>
    </row>
    <row r="23" spans="1:19" ht="18" customHeight="1">
      <c r="A23" s="7"/>
      <c r="B23" s="7"/>
      <c r="C23" s="43"/>
      <c r="D23" s="54"/>
      <c r="E23" s="88"/>
      <c r="F23" s="56"/>
      <c r="G23" s="55"/>
      <c r="H23" s="55"/>
      <c r="I23" s="55"/>
      <c r="J23" s="55"/>
      <c r="K23" s="58"/>
      <c r="L23" s="21"/>
      <c r="M23" s="81"/>
      <c r="N23" s="77"/>
      <c r="O23" s="76"/>
      <c r="P23" s="25"/>
      <c r="Q23" s="25"/>
      <c r="R23" s="31"/>
      <c r="S23" s="35"/>
    </row>
    <row r="24" spans="1:19" ht="18" customHeight="1">
      <c r="B24" s="10"/>
      <c r="D24" s="106" t="s">
        <v>47</v>
      </c>
      <c r="E24" s="107"/>
      <c r="F24" s="107"/>
      <c r="G24" s="108"/>
      <c r="H24" s="66"/>
      <c r="I24" s="66"/>
      <c r="J24" s="29"/>
      <c r="K24" s="28"/>
      <c r="L24" s="91"/>
      <c r="M24" s="78"/>
      <c r="N24" s="77"/>
      <c r="O24" s="76"/>
      <c r="P24" s="25"/>
      <c r="Q24" s="25"/>
      <c r="R24" s="31"/>
      <c r="S24" s="35"/>
    </row>
    <row r="25" spans="1:19" ht="18" customHeight="1">
      <c r="A25" s="65" t="s">
        <v>28</v>
      </c>
      <c r="B25" s="105" t="s">
        <v>103</v>
      </c>
      <c r="C25" s="43"/>
      <c r="D25" s="63">
        <f>D18+1</f>
        <v>8</v>
      </c>
      <c r="E25" s="90" t="s">
        <v>25</v>
      </c>
      <c r="F25" s="90" t="s">
        <v>25</v>
      </c>
      <c r="G25" s="89" t="s">
        <v>48</v>
      </c>
      <c r="H25" s="84">
        <v>64</v>
      </c>
      <c r="I25" s="84">
        <v>594</v>
      </c>
      <c r="J25" s="97">
        <f>H25*I25</f>
        <v>38016</v>
      </c>
      <c r="K25" s="44"/>
      <c r="L25" s="92" t="s">
        <v>77</v>
      </c>
      <c r="M25" s="81"/>
      <c r="N25" s="98" t="s">
        <v>96</v>
      </c>
      <c r="O25" s="79">
        <v>46065</v>
      </c>
      <c r="P25" s="10"/>
      <c r="Q25" s="41">
        <v>46091</v>
      </c>
      <c r="R25" s="31">
        <v>46092</v>
      </c>
      <c r="S25" s="40"/>
    </row>
    <row r="26" spans="1:19" ht="18" customHeight="1">
      <c r="A26" s="15" t="s">
        <v>28</v>
      </c>
      <c r="B26" s="105" t="s">
        <v>103</v>
      </c>
      <c r="C26" s="43"/>
      <c r="D26" s="63">
        <f t="shared" ref="D26:D54" si="2">D25+1</f>
        <v>9</v>
      </c>
      <c r="E26" s="90" t="s">
        <v>25</v>
      </c>
      <c r="F26" s="90" t="s">
        <v>25</v>
      </c>
      <c r="G26" s="89" t="s">
        <v>49</v>
      </c>
      <c r="H26" s="84">
        <v>8</v>
      </c>
      <c r="I26" s="84">
        <v>388</v>
      </c>
      <c r="J26" s="97">
        <f t="shared" ref="J26:J54" si="3">H26*I26</f>
        <v>3104</v>
      </c>
      <c r="K26" s="44"/>
      <c r="L26" s="50" t="s">
        <v>78</v>
      </c>
      <c r="M26" s="78"/>
      <c r="N26" s="98" t="s">
        <v>96</v>
      </c>
      <c r="O26" s="79">
        <v>46065</v>
      </c>
      <c r="P26" s="10"/>
      <c r="Q26" s="41">
        <v>46091</v>
      </c>
      <c r="R26" s="31">
        <v>46092</v>
      </c>
      <c r="S26" s="40"/>
    </row>
    <row r="27" spans="1:19" ht="18" customHeight="1">
      <c r="A27" s="15" t="s">
        <v>28</v>
      </c>
      <c r="B27" s="105" t="s">
        <v>103</v>
      </c>
      <c r="C27" s="43"/>
      <c r="D27" s="63">
        <f t="shared" si="2"/>
        <v>10</v>
      </c>
      <c r="E27" s="90" t="s">
        <v>25</v>
      </c>
      <c r="F27" s="90" t="s">
        <v>25</v>
      </c>
      <c r="G27" s="89" t="s">
        <v>50</v>
      </c>
      <c r="H27" s="84">
        <v>16</v>
      </c>
      <c r="I27" s="84">
        <v>40</v>
      </c>
      <c r="J27" s="97">
        <f t="shared" si="3"/>
        <v>640</v>
      </c>
      <c r="K27" s="44"/>
      <c r="L27" s="50" t="s">
        <v>79</v>
      </c>
      <c r="M27" s="78"/>
      <c r="N27" s="98" t="s">
        <v>96</v>
      </c>
      <c r="O27" s="79">
        <v>46065</v>
      </c>
      <c r="P27" s="10"/>
      <c r="Q27" s="41">
        <v>46091</v>
      </c>
      <c r="R27" s="31">
        <v>46092</v>
      </c>
      <c r="S27" s="40"/>
    </row>
    <row r="28" spans="1:19" ht="18" customHeight="1">
      <c r="A28" s="15" t="s">
        <v>28</v>
      </c>
      <c r="B28" s="105" t="s">
        <v>103</v>
      </c>
      <c r="C28" s="43"/>
      <c r="D28" s="63">
        <f t="shared" si="2"/>
        <v>11</v>
      </c>
      <c r="E28" s="90" t="s">
        <v>25</v>
      </c>
      <c r="F28" s="90" t="s">
        <v>25</v>
      </c>
      <c r="G28" s="89" t="s">
        <v>51</v>
      </c>
      <c r="H28" s="84">
        <v>6</v>
      </c>
      <c r="I28" s="84">
        <v>1999</v>
      </c>
      <c r="J28" s="97">
        <f t="shared" si="3"/>
        <v>11994</v>
      </c>
      <c r="K28" s="44"/>
      <c r="L28" s="50" t="s">
        <v>79</v>
      </c>
      <c r="M28" s="78"/>
      <c r="N28" s="98" t="s">
        <v>96</v>
      </c>
      <c r="O28" s="79">
        <v>46065</v>
      </c>
      <c r="P28" s="10"/>
      <c r="Q28" s="41">
        <v>46091</v>
      </c>
      <c r="R28" s="31">
        <v>46092</v>
      </c>
      <c r="S28" s="40"/>
    </row>
    <row r="29" spans="1:19" ht="18" customHeight="1">
      <c r="A29" s="15" t="s">
        <v>28</v>
      </c>
      <c r="B29" s="105" t="s">
        <v>103</v>
      </c>
      <c r="C29" s="43"/>
      <c r="D29" s="63">
        <f t="shared" si="2"/>
        <v>12</v>
      </c>
      <c r="E29" s="90" t="s">
        <v>25</v>
      </c>
      <c r="F29" s="90" t="s">
        <v>25</v>
      </c>
      <c r="G29" s="89" t="s">
        <v>52</v>
      </c>
      <c r="H29" s="84">
        <v>1</v>
      </c>
      <c r="I29" s="84">
        <v>2880</v>
      </c>
      <c r="J29" s="97">
        <f t="shared" si="3"/>
        <v>2880</v>
      </c>
      <c r="K29" s="44"/>
      <c r="L29" s="50" t="s">
        <v>79</v>
      </c>
      <c r="M29" s="78"/>
      <c r="N29" s="98" t="s">
        <v>96</v>
      </c>
      <c r="O29" s="79">
        <v>46065</v>
      </c>
      <c r="P29" s="10"/>
      <c r="Q29" s="41">
        <v>46091</v>
      </c>
      <c r="R29" s="31">
        <v>46092</v>
      </c>
      <c r="S29" s="40"/>
    </row>
    <row r="30" spans="1:19" ht="18" customHeight="1">
      <c r="A30" s="15" t="s">
        <v>28</v>
      </c>
      <c r="B30" s="105" t="s">
        <v>103</v>
      </c>
      <c r="C30" s="43"/>
      <c r="D30" s="63">
        <f t="shared" si="2"/>
        <v>13</v>
      </c>
      <c r="E30" s="90" t="s">
        <v>25</v>
      </c>
      <c r="F30" s="90" t="s">
        <v>25</v>
      </c>
      <c r="G30" s="89" t="s">
        <v>53</v>
      </c>
      <c r="H30" s="84">
        <v>2</v>
      </c>
      <c r="I30" s="84">
        <v>3435</v>
      </c>
      <c r="J30" s="97">
        <f t="shared" si="3"/>
        <v>6870</v>
      </c>
      <c r="K30" s="44"/>
      <c r="L30" s="50" t="s">
        <v>79</v>
      </c>
      <c r="M30" s="78"/>
      <c r="N30" s="98" t="s">
        <v>96</v>
      </c>
      <c r="O30" s="79">
        <v>46065</v>
      </c>
      <c r="P30" s="10"/>
      <c r="Q30" s="41">
        <v>46091</v>
      </c>
      <c r="R30" s="31">
        <v>46092</v>
      </c>
      <c r="S30" s="40"/>
    </row>
    <row r="31" spans="1:19" ht="18" customHeight="1">
      <c r="A31" s="15" t="s">
        <v>28</v>
      </c>
      <c r="B31" s="105" t="s">
        <v>103</v>
      </c>
      <c r="C31" s="43"/>
      <c r="D31" s="63">
        <f t="shared" si="2"/>
        <v>14</v>
      </c>
      <c r="E31" s="90" t="s">
        <v>25</v>
      </c>
      <c r="F31" s="90" t="s">
        <v>25</v>
      </c>
      <c r="G31" s="89" t="s">
        <v>104</v>
      </c>
      <c r="H31" s="84">
        <v>6</v>
      </c>
      <c r="I31" s="84">
        <v>1584</v>
      </c>
      <c r="J31" s="97">
        <f t="shared" si="3"/>
        <v>9504</v>
      </c>
      <c r="K31" s="44"/>
      <c r="L31" s="50" t="s">
        <v>79</v>
      </c>
      <c r="M31" s="78"/>
      <c r="N31" s="98" t="s">
        <v>96</v>
      </c>
      <c r="O31" s="79">
        <v>46065</v>
      </c>
      <c r="P31" s="10"/>
      <c r="Q31" s="41">
        <v>46091</v>
      </c>
      <c r="R31" s="31">
        <v>46092</v>
      </c>
      <c r="S31" s="40"/>
    </row>
    <row r="32" spans="1:19" ht="18" customHeight="1">
      <c r="A32" s="15" t="s">
        <v>28</v>
      </c>
      <c r="B32" s="105" t="s">
        <v>103</v>
      </c>
      <c r="C32" s="43"/>
      <c r="D32" s="63">
        <f t="shared" si="2"/>
        <v>15</v>
      </c>
      <c r="E32" s="90" t="s">
        <v>25</v>
      </c>
      <c r="F32" s="90" t="s">
        <v>25</v>
      </c>
      <c r="G32" s="89" t="s">
        <v>54</v>
      </c>
      <c r="H32" s="84">
        <v>20</v>
      </c>
      <c r="I32" s="84">
        <v>118</v>
      </c>
      <c r="J32" s="97">
        <f t="shared" si="3"/>
        <v>2360</v>
      </c>
      <c r="K32" s="44"/>
      <c r="L32" s="50" t="s">
        <v>94</v>
      </c>
      <c r="M32" s="78"/>
      <c r="N32" s="98" t="s">
        <v>96</v>
      </c>
      <c r="O32" s="79">
        <v>46065</v>
      </c>
      <c r="P32" s="10"/>
      <c r="Q32" s="41">
        <v>46091</v>
      </c>
      <c r="R32" s="31">
        <v>46092</v>
      </c>
      <c r="S32" s="40"/>
    </row>
    <row r="33" spans="1:19" ht="18" customHeight="1">
      <c r="A33" s="15" t="s">
        <v>28</v>
      </c>
      <c r="B33" s="105" t="s">
        <v>103</v>
      </c>
      <c r="C33" s="43"/>
      <c r="D33" s="63">
        <f t="shared" si="2"/>
        <v>16</v>
      </c>
      <c r="E33" s="90" t="s">
        <v>25</v>
      </c>
      <c r="F33" s="90" t="s">
        <v>25</v>
      </c>
      <c r="G33" s="89" t="s">
        <v>55</v>
      </c>
      <c r="H33" s="84">
        <v>4</v>
      </c>
      <c r="I33" s="84">
        <v>1584</v>
      </c>
      <c r="J33" s="97">
        <f t="shared" si="3"/>
        <v>6336</v>
      </c>
      <c r="K33" s="44"/>
      <c r="L33" s="50" t="s">
        <v>79</v>
      </c>
      <c r="M33" s="78"/>
      <c r="N33" s="98" t="s">
        <v>96</v>
      </c>
      <c r="O33" s="79">
        <v>46065</v>
      </c>
      <c r="P33" s="10"/>
      <c r="Q33" s="41">
        <v>46091</v>
      </c>
      <c r="R33" s="31">
        <v>46092</v>
      </c>
      <c r="S33" s="40"/>
    </row>
    <row r="34" spans="1:19" ht="18" customHeight="1">
      <c r="A34" s="15" t="s">
        <v>28</v>
      </c>
      <c r="B34" s="105" t="s">
        <v>103</v>
      </c>
      <c r="C34" s="43"/>
      <c r="D34" s="63">
        <f>D33+1</f>
        <v>17</v>
      </c>
      <c r="E34" s="90" t="s">
        <v>25</v>
      </c>
      <c r="F34" s="90" t="s">
        <v>25</v>
      </c>
      <c r="G34" s="89" t="s">
        <v>56</v>
      </c>
      <c r="H34" s="84">
        <v>4</v>
      </c>
      <c r="I34" s="84">
        <v>1584</v>
      </c>
      <c r="J34" s="97">
        <f t="shared" si="3"/>
        <v>6336</v>
      </c>
      <c r="K34" s="44"/>
      <c r="L34" s="50" t="s">
        <v>79</v>
      </c>
      <c r="M34" s="78"/>
      <c r="N34" s="98" t="s">
        <v>96</v>
      </c>
      <c r="O34" s="79">
        <v>46065</v>
      </c>
      <c r="P34" s="10"/>
      <c r="Q34" s="41">
        <v>46091</v>
      </c>
      <c r="R34" s="31">
        <v>46092</v>
      </c>
      <c r="S34" s="40"/>
    </row>
    <row r="35" spans="1:19" ht="18" customHeight="1">
      <c r="A35" s="15" t="s">
        <v>28</v>
      </c>
      <c r="B35" s="105" t="s">
        <v>103</v>
      </c>
      <c r="C35" s="43"/>
      <c r="D35" s="63">
        <f t="shared" si="2"/>
        <v>18</v>
      </c>
      <c r="E35" s="90" t="s">
        <v>25</v>
      </c>
      <c r="F35" s="90" t="s">
        <v>25</v>
      </c>
      <c r="G35" s="89" t="s">
        <v>57</v>
      </c>
      <c r="H35" s="84">
        <v>2</v>
      </c>
      <c r="I35" s="84">
        <v>5454</v>
      </c>
      <c r="J35" s="97">
        <f t="shared" si="3"/>
        <v>10908</v>
      </c>
      <c r="K35" s="44"/>
      <c r="L35" s="50" t="s">
        <v>79</v>
      </c>
      <c r="M35" s="78"/>
      <c r="N35" s="98" t="s">
        <v>96</v>
      </c>
      <c r="O35" s="79">
        <v>46065</v>
      </c>
      <c r="P35" s="10"/>
      <c r="Q35" s="41">
        <v>46091</v>
      </c>
      <c r="R35" s="31">
        <v>46092</v>
      </c>
      <c r="S35" s="40"/>
    </row>
    <row r="36" spans="1:19" ht="18" customHeight="1">
      <c r="A36" s="15" t="s">
        <v>27</v>
      </c>
      <c r="B36" s="105" t="s">
        <v>103</v>
      </c>
      <c r="C36" s="43"/>
      <c r="D36" s="63">
        <f>D35+1</f>
        <v>19</v>
      </c>
      <c r="E36" s="90" t="s">
        <v>25</v>
      </c>
      <c r="F36" s="90" t="s">
        <v>25</v>
      </c>
      <c r="G36" s="89" t="s">
        <v>58</v>
      </c>
      <c r="H36" s="84">
        <v>4</v>
      </c>
      <c r="I36" s="84">
        <v>1171</v>
      </c>
      <c r="J36" s="97">
        <f t="shared" si="3"/>
        <v>4684</v>
      </c>
      <c r="K36" s="44"/>
      <c r="L36" s="50" t="s">
        <v>80</v>
      </c>
      <c r="M36" s="78"/>
      <c r="N36" s="98" t="s">
        <v>96</v>
      </c>
      <c r="O36" s="79">
        <v>46065</v>
      </c>
      <c r="P36" s="10"/>
      <c r="Q36" s="41">
        <v>46091</v>
      </c>
      <c r="R36" s="31">
        <v>46092</v>
      </c>
      <c r="S36" s="40"/>
    </row>
    <row r="37" spans="1:19" ht="18" customHeight="1">
      <c r="A37" s="15" t="s">
        <v>28</v>
      </c>
      <c r="B37" s="105" t="s">
        <v>103</v>
      </c>
      <c r="C37" s="43"/>
      <c r="D37" s="63">
        <f t="shared" si="2"/>
        <v>20</v>
      </c>
      <c r="E37" s="90" t="s">
        <v>25</v>
      </c>
      <c r="F37" s="90" t="s">
        <v>25</v>
      </c>
      <c r="G37" s="89" t="s">
        <v>59</v>
      </c>
      <c r="H37" s="84">
        <v>81</v>
      </c>
      <c r="I37" s="96">
        <v>18</v>
      </c>
      <c r="J37" s="97">
        <f t="shared" si="3"/>
        <v>1458</v>
      </c>
      <c r="K37" s="44"/>
      <c r="L37" s="50" t="s">
        <v>90</v>
      </c>
      <c r="M37" s="78"/>
      <c r="N37" s="98" t="s">
        <v>96</v>
      </c>
      <c r="O37" s="79">
        <v>46065</v>
      </c>
      <c r="P37" s="10"/>
      <c r="Q37" s="41">
        <v>46091</v>
      </c>
      <c r="R37" s="31">
        <v>46092</v>
      </c>
      <c r="S37" s="40"/>
    </row>
    <row r="38" spans="1:19" ht="18" customHeight="1">
      <c r="A38" s="15" t="s">
        <v>27</v>
      </c>
      <c r="B38" s="105" t="s">
        <v>103</v>
      </c>
      <c r="C38" s="43"/>
      <c r="D38" s="63">
        <f t="shared" si="2"/>
        <v>21</v>
      </c>
      <c r="E38" s="90" t="s">
        <v>25</v>
      </c>
      <c r="F38" s="90" t="s">
        <v>25</v>
      </c>
      <c r="G38" s="89" t="s">
        <v>60</v>
      </c>
      <c r="H38" s="84">
        <v>4</v>
      </c>
      <c r="I38" s="84">
        <v>1222</v>
      </c>
      <c r="J38" s="97">
        <f t="shared" si="3"/>
        <v>4888</v>
      </c>
      <c r="K38" s="44"/>
      <c r="L38" s="50" t="s">
        <v>80</v>
      </c>
      <c r="M38" s="78"/>
      <c r="N38" s="98" t="s">
        <v>96</v>
      </c>
      <c r="O38" s="79">
        <v>46065</v>
      </c>
      <c r="P38" s="10"/>
      <c r="Q38" s="41">
        <v>46091</v>
      </c>
      <c r="R38" s="31">
        <v>46092</v>
      </c>
      <c r="S38" s="40"/>
    </row>
    <row r="39" spans="1:19" ht="18" customHeight="1">
      <c r="A39" s="15" t="s">
        <v>27</v>
      </c>
      <c r="B39" s="105" t="s">
        <v>103</v>
      </c>
      <c r="C39" s="43"/>
      <c r="D39" s="63">
        <f>D38+1</f>
        <v>22</v>
      </c>
      <c r="E39" s="90" t="s">
        <v>25</v>
      </c>
      <c r="F39" s="90" t="s">
        <v>25</v>
      </c>
      <c r="G39" s="89" t="s">
        <v>61</v>
      </c>
      <c r="H39" s="84">
        <v>4</v>
      </c>
      <c r="I39" s="84">
        <v>2596</v>
      </c>
      <c r="J39" s="97">
        <f t="shared" si="3"/>
        <v>10384</v>
      </c>
      <c r="K39" s="44"/>
      <c r="L39" s="50" t="s">
        <v>80</v>
      </c>
      <c r="M39" s="78"/>
      <c r="N39" s="98" t="s">
        <v>96</v>
      </c>
      <c r="O39" s="79">
        <v>46065</v>
      </c>
      <c r="P39" s="10"/>
      <c r="Q39" s="41">
        <v>46091</v>
      </c>
      <c r="R39" s="31">
        <v>46092</v>
      </c>
      <c r="S39" s="40"/>
    </row>
    <row r="40" spans="1:19" ht="18" customHeight="1">
      <c r="A40" s="15" t="s">
        <v>28</v>
      </c>
      <c r="B40" s="105" t="s">
        <v>103</v>
      </c>
      <c r="C40" s="43"/>
      <c r="D40" s="63">
        <f>D39+1</f>
        <v>23</v>
      </c>
      <c r="E40" s="90" t="s">
        <v>25</v>
      </c>
      <c r="F40" s="90" t="s">
        <v>25</v>
      </c>
      <c r="G40" s="89" t="s">
        <v>62</v>
      </c>
      <c r="H40" s="84">
        <v>16</v>
      </c>
      <c r="I40" s="96">
        <v>55</v>
      </c>
      <c r="J40" s="97">
        <f t="shared" si="3"/>
        <v>880</v>
      </c>
      <c r="K40" s="44"/>
      <c r="L40" s="50" t="s">
        <v>89</v>
      </c>
      <c r="M40" s="78"/>
      <c r="N40" s="98" t="s">
        <v>96</v>
      </c>
      <c r="O40" s="79">
        <v>46065</v>
      </c>
      <c r="P40" s="10"/>
      <c r="Q40" s="41">
        <v>46091</v>
      </c>
      <c r="R40" s="31">
        <v>46092</v>
      </c>
      <c r="S40" s="40"/>
    </row>
    <row r="41" spans="1:19" ht="18" customHeight="1">
      <c r="A41" s="15" t="s">
        <v>27</v>
      </c>
      <c r="B41" s="105" t="s">
        <v>103</v>
      </c>
      <c r="C41" s="43"/>
      <c r="D41" s="63">
        <f t="shared" si="2"/>
        <v>24</v>
      </c>
      <c r="E41" s="90" t="s">
        <v>25</v>
      </c>
      <c r="F41" s="90" t="s">
        <v>25</v>
      </c>
      <c r="G41" s="89" t="s">
        <v>63</v>
      </c>
      <c r="H41" s="84">
        <v>4</v>
      </c>
      <c r="I41" s="84">
        <v>2688</v>
      </c>
      <c r="J41" s="97">
        <f t="shared" si="3"/>
        <v>10752</v>
      </c>
      <c r="K41" s="44"/>
      <c r="L41" s="50" t="s">
        <v>80</v>
      </c>
      <c r="M41" s="78"/>
      <c r="N41" s="98" t="s">
        <v>96</v>
      </c>
      <c r="O41" s="79">
        <v>46065</v>
      </c>
      <c r="P41" s="10"/>
      <c r="Q41" s="41">
        <v>46091</v>
      </c>
      <c r="R41" s="31">
        <v>46092</v>
      </c>
      <c r="S41" s="40"/>
    </row>
    <row r="42" spans="1:19" ht="18" customHeight="1">
      <c r="A42" s="94" t="s">
        <v>87</v>
      </c>
      <c r="B42" s="105" t="s">
        <v>103</v>
      </c>
      <c r="C42" s="43"/>
      <c r="D42" s="63">
        <f>D41+1</f>
        <v>25</v>
      </c>
      <c r="E42" s="16" t="s">
        <v>26</v>
      </c>
      <c r="F42" s="90" t="s">
        <v>25</v>
      </c>
      <c r="G42" s="89" t="s">
        <v>88</v>
      </c>
      <c r="H42" s="84">
        <v>1</v>
      </c>
      <c r="I42" s="93">
        <v>46981</v>
      </c>
      <c r="J42" s="97">
        <f t="shared" si="3"/>
        <v>46981</v>
      </c>
      <c r="K42" s="44"/>
      <c r="L42" s="50" t="s">
        <v>83</v>
      </c>
      <c r="M42" s="78"/>
      <c r="N42" s="98" t="s">
        <v>96</v>
      </c>
      <c r="O42" s="79">
        <v>46065</v>
      </c>
      <c r="P42" s="10"/>
      <c r="Q42" s="41">
        <v>46091</v>
      </c>
      <c r="R42" s="31">
        <v>46092</v>
      </c>
      <c r="S42" s="40"/>
    </row>
    <row r="43" spans="1:19" ht="18" customHeight="1">
      <c r="A43" s="15" t="s">
        <v>28</v>
      </c>
      <c r="B43" s="105" t="s">
        <v>103</v>
      </c>
      <c r="C43" s="43"/>
      <c r="D43" s="63">
        <f t="shared" si="2"/>
        <v>26</v>
      </c>
      <c r="E43" s="90" t="s">
        <v>25</v>
      </c>
      <c r="F43" s="90" t="s">
        <v>25</v>
      </c>
      <c r="G43" s="89" t="s">
        <v>64</v>
      </c>
      <c r="H43" s="84">
        <v>4</v>
      </c>
      <c r="I43" s="84">
        <v>1118</v>
      </c>
      <c r="J43" s="97">
        <f t="shared" si="3"/>
        <v>4472</v>
      </c>
      <c r="K43" s="44"/>
      <c r="L43" s="50" t="s">
        <v>81</v>
      </c>
      <c r="M43" s="78"/>
      <c r="N43" s="98" t="s">
        <v>96</v>
      </c>
      <c r="O43" s="79">
        <v>46065</v>
      </c>
      <c r="P43" s="10"/>
      <c r="Q43" s="41">
        <v>46091</v>
      </c>
      <c r="R43" s="31">
        <v>46092</v>
      </c>
      <c r="S43" s="40"/>
    </row>
    <row r="44" spans="1:19" ht="18" customHeight="1">
      <c r="A44" s="15" t="s">
        <v>28</v>
      </c>
      <c r="B44" s="105" t="s">
        <v>103</v>
      </c>
      <c r="C44" s="43"/>
      <c r="D44" s="63">
        <f t="shared" si="2"/>
        <v>27</v>
      </c>
      <c r="E44" s="90" t="s">
        <v>25</v>
      </c>
      <c r="F44" s="90" t="s">
        <v>25</v>
      </c>
      <c r="G44" s="89" t="s">
        <v>65</v>
      </c>
      <c r="H44" s="84">
        <v>39</v>
      </c>
      <c r="I44" s="84">
        <v>42</v>
      </c>
      <c r="J44" s="97">
        <f t="shared" si="3"/>
        <v>1638</v>
      </c>
      <c r="K44" s="44"/>
      <c r="L44" s="50" t="s">
        <v>92</v>
      </c>
      <c r="M44" s="78"/>
      <c r="N44" s="98" t="s">
        <v>96</v>
      </c>
      <c r="O44" s="79">
        <v>46065</v>
      </c>
      <c r="P44" s="10"/>
      <c r="Q44" s="41">
        <v>46091</v>
      </c>
      <c r="R44" s="31">
        <v>46092</v>
      </c>
      <c r="S44" s="40"/>
    </row>
    <row r="45" spans="1:19" ht="18" customHeight="1">
      <c r="A45" s="15" t="s">
        <v>28</v>
      </c>
      <c r="B45" s="105" t="s">
        <v>103</v>
      </c>
      <c r="C45" s="43"/>
      <c r="D45" s="63">
        <f>D44+1</f>
        <v>28</v>
      </c>
      <c r="E45" s="90" t="s">
        <v>25</v>
      </c>
      <c r="F45" s="90" t="s">
        <v>25</v>
      </c>
      <c r="G45" s="89" t="s">
        <v>66</v>
      </c>
      <c r="H45" s="84">
        <v>18</v>
      </c>
      <c r="I45" s="84">
        <v>14</v>
      </c>
      <c r="J45" s="97">
        <f t="shared" si="3"/>
        <v>252</v>
      </c>
      <c r="K45" s="44"/>
      <c r="L45" s="50" t="s">
        <v>95</v>
      </c>
      <c r="M45" s="78"/>
      <c r="N45" s="98" t="s">
        <v>96</v>
      </c>
      <c r="O45" s="79">
        <v>46065</v>
      </c>
      <c r="P45" s="10"/>
      <c r="Q45" s="41">
        <v>46091</v>
      </c>
      <c r="R45" s="31">
        <v>46092</v>
      </c>
      <c r="S45" s="40"/>
    </row>
    <row r="46" spans="1:19" ht="18" customHeight="1">
      <c r="A46" s="15" t="s">
        <v>28</v>
      </c>
      <c r="B46" s="105" t="s">
        <v>103</v>
      </c>
      <c r="C46" s="43"/>
      <c r="D46" s="63">
        <f t="shared" si="2"/>
        <v>29</v>
      </c>
      <c r="E46" s="90" t="s">
        <v>25</v>
      </c>
      <c r="F46" s="90" t="s">
        <v>25</v>
      </c>
      <c r="G46" s="89" t="s">
        <v>67</v>
      </c>
      <c r="H46" s="84">
        <v>12</v>
      </c>
      <c r="I46" s="84">
        <v>14</v>
      </c>
      <c r="J46" s="97">
        <f t="shared" si="3"/>
        <v>168</v>
      </c>
      <c r="K46" s="44"/>
      <c r="L46" s="50" t="s">
        <v>82</v>
      </c>
      <c r="M46" s="78"/>
      <c r="N46" s="98" t="s">
        <v>96</v>
      </c>
      <c r="O46" s="79">
        <v>46065</v>
      </c>
      <c r="P46" s="10"/>
      <c r="Q46" s="41">
        <v>46091</v>
      </c>
      <c r="R46" s="31">
        <v>46092</v>
      </c>
      <c r="S46" s="40"/>
    </row>
    <row r="47" spans="1:19" ht="18" customHeight="1">
      <c r="A47" s="94" t="s">
        <v>87</v>
      </c>
      <c r="B47" s="105" t="s">
        <v>103</v>
      </c>
      <c r="C47" s="43"/>
      <c r="D47" s="63">
        <f t="shared" si="2"/>
        <v>30</v>
      </c>
      <c r="E47" s="16" t="s">
        <v>26</v>
      </c>
      <c r="F47" s="90" t="s">
        <v>25</v>
      </c>
      <c r="G47" s="89" t="s">
        <v>86</v>
      </c>
      <c r="H47" s="84">
        <v>1</v>
      </c>
      <c r="I47" s="93">
        <v>44738</v>
      </c>
      <c r="J47" s="97">
        <f t="shared" si="3"/>
        <v>44738</v>
      </c>
      <c r="K47" s="44"/>
      <c r="L47" s="50" t="s">
        <v>70</v>
      </c>
      <c r="M47" s="78"/>
      <c r="N47" s="98" t="s">
        <v>96</v>
      </c>
      <c r="O47" s="79">
        <v>46065</v>
      </c>
      <c r="P47" s="10"/>
      <c r="Q47" s="41">
        <v>46091</v>
      </c>
      <c r="R47" s="31">
        <v>46092</v>
      </c>
      <c r="S47" s="40"/>
    </row>
    <row r="48" spans="1:19" ht="18" customHeight="1">
      <c r="A48" s="15" t="s">
        <v>28</v>
      </c>
      <c r="B48" s="105" t="s">
        <v>103</v>
      </c>
      <c r="C48" s="43"/>
      <c r="D48" s="63">
        <f t="shared" si="2"/>
        <v>31</v>
      </c>
      <c r="E48" s="90" t="s">
        <v>25</v>
      </c>
      <c r="F48" s="90" t="s">
        <v>25</v>
      </c>
      <c r="G48" s="89" t="s">
        <v>64</v>
      </c>
      <c r="H48" s="84">
        <v>4</v>
      </c>
      <c r="I48" s="84">
        <v>1118</v>
      </c>
      <c r="J48" s="97">
        <f t="shared" si="3"/>
        <v>4472</v>
      </c>
      <c r="K48" s="44"/>
      <c r="L48" s="50" t="s">
        <v>81</v>
      </c>
      <c r="M48" s="78"/>
      <c r="N48" s="98" t="s">
        <v>96</v>
      </c>
      <c r="O48" s="79">
        <v>46065</v>
      </c>
      <c r="P48" s="10"/>
      <c r="Q48" s="41">
        <v>46091</v>
      </c>
      <c r="R48" s="31">
        <v>46092</v>
      </c>
      <c r="S48" s="40"/>
    </row>
    <row r="49" spans="1:19" ht="18" customHeight="1">
      <c r="A49" s="15" t="s">
        <v>28</v>
      </c>
      <c r="B49" s="105" t="s">
        <v>103</v>
      </c>
      <c r="C49" s="43"/>
      <c r="D49" s="63">
        <f>D48+1</f>
        <v>32</v>
      </c>
      <c r="E49" s="90" t="s">
        <v>25</v>
      </c>
      <c r="F49" s="90" t="s">
        <v>25</v>
      </c>
      <c r="G49" s="89" t="s">
        <v>67</v>
      </c>
      <c r="H49" s="84">
        <v>12</v>
      </c>
      <c r="I49" s="84">
        <v>14</v>
      </c>
      <c r="J49" s="97">
        <f t="shared" si="3"/>
        <v>168</v>
      </c>
      <c r="K49" s="44"/>
      <c r="L49" s="50" t="s">
        <v>82</v>
      </c>
      <c r="M49" s="78"/>
      <c r="N49" s="98" t="s">
        <v>96</v>
      </c>
      <c r="O49" s="79">
        <v>46065</v>
      </c>
      <c r="P49" s="10"/>
      <c r="Q49" s="41">
        <v>46091</v>
      </c>
      <c r="R49" s="31">
        <v>46092</v>
      </c>
      <c r="S49" s="40"/>
    </row>
    <row r="50" spans="1:19" ht="18" customHeight="1">
      <c r="A50" s="65" t="s">
        <v>27</v>
      </c>
      <c r="B50" s="105" t="s">
        <v>103</v>
      </c>
      <c r="C50" s="43"/>
      <c r="D50" s="63">
        <f>D49+1</f>
        <v>33</v>
      </c>
      <c r="E50" s="16" t="s">
        <v>26</v>
      </c>
      <c r="F50" s="90" t="s">
        <v>25</v>
      </c>
      <c r="G50" s="89" t="s">
        <v>72</v>
      </c>
      <c r="H50" s="84">
        <v>1</v>
      </c>
      <c r="I50" s="84">
        <v>53335</v>
      </c>
      <c r="J50" s="97">
        <f t="shared" si="3"/>
        <v>53335</v>
      </c>
      <c r="K50" s="44"/>
      <c r="L50" s="50" t="s">
        <v>71</v>
      </c>
      <c r="M50" s="78"/>
      <c r="N50" s="98" t="s">
        <v>96</v>
      </c>
      <c r="O50" s="79">
        <v>46065</v>
      </c>
      <c r="P50" s="10"/>
      <c r="Q50" s="41">
        <v>46091</v>
      </c>
      <c r="R50" s="31">
        <v>46092</v>
      </c>
      <c r="S50" s="40"/>
    </row>
    <row r="51" spans="1:19" ht="18" customHeight="1">
      <c r="A51" s="65" t="s">
        <v>27</v>
      </c>
      <c r="B51" s="105" t="s">
        <v>103</v>
      </c>
      <c r="C51" s="43"/>
      <c r="D51" s="63">
        <f>D50+1</f>
        <v>34</v>
      </c>
      <c r="E51" s="16" t="s">
        <v>26</v>
      </c>
      <c r="F51" s="90" t="s">
        <v>25</v>
      </c>
      <c r="G51" s="89" t="s">
        <v>85</v>
      </c>
      <c r="H51" s="84">
        <v>1</v>
      </c>
      <c r="I51" s="93">
        <v>7191</v>
      </c>
      <c r="J51" s="97">
        <f t="shared" si="3"/>
        <v>7191</v>
      </c>
      <c r="K51" s="44"/>
      <c r="L51" s="50" t="s">
        <v>84</v>
      </c>
      <c r="M51" s="78"/>
      <c r="N51" s="98" t="s">
        <v>96</v>
      </c>
      <c r="O51" s="79">
        <v>46065</v>
      </c>
      <c r="P51" s="10"/>
      <c r="Q51" s="41">
        <v>46091</v>
      </c>
      <c r="R51" s="31">
        <v>46092</v>
      </c>
      <c r="S51" s="40"/>
    </row>
    <row r="52" spans="1:19" ht="18" customHeight="1">
      <c r="A52" s="15" t="s">
        <v>28</v>
      </c>
      <c r="B52" s="105" t="s">
        <v>103</v>
      </c>
      <c r="C52" s="43"/>
      <c r="D52" s="63">
        <f t="shared" si="2"/>
        <v>35</v>
      </c>
      <c r="E52" s="90" t="s">
        <v>25</v>
      </c>
      <c r="F52" s="90" t="s">
        <v>25</v>
      </c>
      <c r="G52" s="89" t="s">
        <v>68</v>
      </c>
      <c r="H52" s="84">
        <v>4</v>
      </c>
      <c r="I52" s="84">
        <v>14</v>
      </c>
      <c r="J52" s="97">
        <f t="shared" si="3"/>
        <v>56</v>
      </c>
      <c r="K52" s="44"/>
      <c r="L52" s="50" t="s">
        <v>69</v>
      </c>
      <c r="M52" s="78"/>
      <c r="N52" s="98" t="s">
        <v>96</v>
      </c>
      <c r="O52" s="79">
        <v>46065</v>
      </c>
      <c r="P52" s="10"/>
      <c r="Q52" s="41">
        <v>46091</v>
      </c>
      <c r="R52" s="31">
        <v>46092</v>
      </c>
      <c r="S52" s="40"/>
    </row>
    <row r="53" spans="1:19" ht="18" customHeight="1">
      <c r="A53" s="15" t="s">
        <v>28</v>
      </c>
      <c r="B53" s="105" t="s">
        <v>103</v>
      </c>
      <c r="C53" s="43"/>
      <c r="D53" s="63">
        <f t="shared" si="2"/>
        <v>36</v>
      </c>
      <c r="E53" s="90" t="s">
        <v>25</v>
      </c>
      <c r="F53" s="90" t="s">
        <v>25</v>
      </c>
      <c r="G53" s="100" t="s">
        <v>98</v>
      </c>
      <c r="H53" s="96">
        <v>6</v>
      </c>
      <c r="I53" s="96">
        <v>1584</v>
      </c>
      <c r="J53" s="101">
        <f t="shared" si="3"/>
        <v>9504</v>
      </c>
      <c r="K53" s="44"/>
      <c r="L53" s="50" t="s">
        <v>79</v>
      </c>
      <c r="M53" s="102"/>
      <c r="N53" s="103" t="s">
        <v>99</v>
      </c>
      <c r="O53" s="79">
        <v>46066</v>
      </c>
      <c r="P53" s="10"/>
      <c r="Q53" s="41">
        <v>46091</v>
      </c>
      <c r="R53" s="31">
        <v>46092</v>
      </c>
      <c r="S53" s="40"/>
    </row>
    <row r="54" spans="1:19" ht="18" customHeight="1">
      <c r="A54" s="15" t="s">
        <v>28</v>
      </c>
      <c r="B54" s="105" t="s">
        <v>103</v>
      </c>
      <c r="C54" s="43"/>
      <c r="D54" s="63">
        <f t="shared" si="2"/>
        <v>37</v>
      </c>
      <c r="E54" s="90" t="s">
        <v>25</v>
      </c>
      <c r="F54" s="90" t="s">
        <v>25</v>
      </c>
      <c r="G54" s="100" t="s">
        <v>100</v>
      </c>
      <c r="H54" s="96">
        <v>12</v>
      </c>
      <c r="I54" s="96">
        <v>267</v>
      </c>
      <c r="J54" s="101">
        <f t="shared" si="3"/>
        <v>3204</v>
      </c>
      <c r="K54" s="44"/>
      <c r="L54" s="50" t="s">
        <v>101</v>
      </c>
      <c r="M54" s="104"/>
      <c r="N54" s="103" t="s">
        <v>99</v>
      </c>
      <c r="O54" s="79">
        <v>46066</v>
      </c>
      <c r="P54" s="10"/>
      <c r="Q54" s="41">
        <v>46091</v>
      </c>
      <c r="R54" s="31">
        <v>46092</v>
      </c>
      <c r="S54" s="40"/>
    </row>
    <row r="55" spans="1:19" ht="18" customHeight="1">
      <c r="A55" s="7"/>
      <c r="B55" s="7"/>
      <c r="C55" s="43"/>
      <c r="D55" s="62"/>
      <c r="E55" s="5"/>
      <c r="F55" s="5"/>
      <c r="G55" s="8"/>
      <c r="H55" s="7"/>
      <c r="I55" s="12"/>
      <c r="J55" s="12"/>
      <c r="K55" s="99"/>
      <c r="L55" s="45"/>
      <c r="M55" s="80"/>
      <c r="N55" s="77"/>
      <c r="O55" s="79"/>
      <c r="P55" s="60"/>
      <c r="Q55" s="41"/>
      <c r="R55" s="31"/>
      <c r="S55" s="40"/>
    </row>
    <row r="56" spans="1:19" ht="17.399999999999999" customHeight="1">
      <c r="A56" s="7"/>
      <c r="B56" s="7"/>
      <c r="C56" s="43"/>
      <c r="D56" s="62"/>
      <c r="E56" s="7"/>
      <c r="F56" s="7"/>
      <c r="G56" s="8"/>
      <c r="H56" s="7"/>
      <c r="I56" s="12"/>
      <c r="J56" s="13"/>
      <c r="K56" s="51"/>
      <c r="L56" s="45"/>
      <c r="M56" s="82"/>
      <c r="N56" s="77"/>
      <c r="O56" s="79"/>
      <c r="P56" s="60"/>
      <c r="Q56" s="41"/>
      <c r="R56" s="31"/>
      <c r="S56" s="40"/>
    </row>
    <row r="57" spans="1:19" ht="18" customHeight="1">
      <c r="A57" s="7"/>
      <c r="B57" s="7"/>
      <c r="C57" s="43"/>
      <c r="D57" s="54"/>
      <c r="E57" s="23"/>
      <c r="F57" s="22"/>
      <c r="G57" s="59">
        <f>SUM(J25:J56)</f>
        <v>308173</v>
      </c>
      <c r="H57" s="39"/>
      <c r="I57" s="39"/>
      <c r="J57" s="39"/>
      <c r="K57" s="58"/>
      <c r="L57" s="21"/>
      <c r="M57" s="78"/>
      <c r="N57" s="77"/>
      <c r="O57" s="76"/>
      <c r="P57" s="25"/>
      <c r="Q57" s="25"/>
      <c r="R57" s="31"/>
      <c r="S57" s="35"/>
    </row>
    <row r="58" spans="1:19" ht="18" customHeight="1">
      <c r="A58" s="7"/>
      <c r="B58" s="7"/>
      <c r="C58" s="43"/>
      <c r="D58" s="54"/>
      <c r="E58" s="88"/>
      <c r="F58" s="56"/>
      <c r="G58" s="55"/>
      <c r="H58" s="55"/>
      <c r="I58" s="55"/>
      <c r="J58" s="55"/>
      <c r="K58" s="58"/>
      <c r="L58" s="21"/>
      <c r="M58" s="81"/>
      <c r="N58" s="77"/>
      <c r="O58" s="76"/>
      <c r="P58" s="25"/>
      <c r="Q58" s="25"/>
      <c r="R58" s="31"/>
      <c r="S58" s="35"/>
    </row>
    <row r="59" spans="1:19" ht="18" customHeight="1">
      <c r="A59" s="7"/>
      <c r="B59" s="7"/>
      <c r="C59" s="43"/>
      <c r="D59" s="54"/>
      <c r="E59" s="88"/>
      <c r="F59" s="56"/>
      <c r="G59" s="55"/>
      <c r="H59" s="55"/>
      <c r="I59" s="55"/>
      <c r="J59" s="55"/>
      <c r="K59" s="58"/>
      <c r="L59" s="21"/>
      <c r="M59" s="81"/>
      <c r="N59" s="77"/>
      <c r="O59" s="76"/>
      <c r="P59" s="25"/>
      <c r="Q59" s="25"/>
      <c r="R59" s="31"/>
      <c r="S59" s="35"/>
    </row>
    <row r="60" spans="1:19" ht="18" customHeight="1">
      <c r="A60" s="7"/>
      <c r="B60" s="7"/>
      <c r="C60" s="43"/>
      <c r="D60" s="54"/>
      <c r="E60" s="88"/>
      <c r="F60" s="56"/>
      <c r="G60" s="55"/>
      <c r="H60" s="55"/>
      <c r="I60" s="55"/>
      <c r="J60" s="55"/>
      <c r="K60" s="58"/>
      <c r="L60" s="21"/>
      <c r="M60" s="81"/>
      <c r="N60" s="77"/>
      <c r="O60" s="76"/>
      <c r="P60" s="25"/>
      <c r="Q60" s="25"/>
      <c r="R60" s="31"/>
      <c r="S60" s="35"/>
    </row>
    <row r="61" spans="1:19" ht="18" customHeight="1">
      <c r="A61" s="7"/>
      <c r="B61" s="7"/>
      <c r="C61" s="43"/>
      <c r="D61" s="54"/>
      <c r="E61" s="88"/>
      <c r="F61" s="56"/>
      <c r="G61" s="55"/>
      <c r="H61" s="55"/>
      <c r="I61" s="55"/>
      <c r="J61" s="55"/>
      <c r="K61" s="58"/>
      <c r="L61" s="21"/>
      <c r="M61" s="81"/>
      <c r="N61" s="77"/>
      <c r="O61" s="76"/>
      <c r="P61" s="25"/>
      <c r="Q61" s="25"/>
      <c r="R61" s="31"/>
      <c r="S61" s="35"/>
    </row>
    <row r="62" spans="1:19" ht="18" customHeight="1">
      <c r="A62" s="7"/>
      <c r="B62" s="7"/>
      <c r="C62" s="43"/>
      <c r="D62" s="54"/>
      <c r="E62" s="88"/>
      <c r="F62" s="56"/>
      <c r="G62" s="55"/>
      <c r="H62" s="55"/>
      <c r="I62" s="55"/>
      <c r="J62" s="55"/>
      <c r="K62" s="58"/>
      <c r="L62" s="21"/>
      <c r="M62" s="81"/>
      <c r="N62" s="77"/>
      <c r="O62" s="76"/>
      <c r="P62" s="25"/>
      <c r="Q62" s="25"/>
      <c r="R62" s="31"/>
      <c r="S62" s="35"/>
    </row>
    <row r="63" spans="1:19" ht="18" customHeight="1">
      <c r="A63" s="7"/>
      <c r="B63" s="7"/>
      <c r="C63" s="43"/>
      <c r="D63" s="54"/>
      <c r="E63" s="88"/>
      <c r="F63" s="56"/>
      <c r="G63" s="55"/>
      <c r="H63" s="55"/>
      <c r="I63" s="55"/>
      <c r="J63" s="55"/>
      <c r="K63" s="58"/>
      <c r="L63" s="21"/>
      <c r="M63" s="81"/>
      <c r="N63" s="77"/>
      <c r="O63" s="76"/>
      <c r="P63" s="25"/>
      <c r="Q63" s="25"/>
      <c r="R63" s="31"/>
      <c r="S63" s="35"/>
    </row>
    <row r="64" spans="1:19" ht="18" customHeight="1">
      <c r="A64" s="7"/>
      <c r="B64" s="7"/>
      <c r="C64" s="43"/>
      <c r="D64" s="54"/>
      <c r="E64" s="88"/>
      <c r="F64" s="56"/>
      <c r="G64" s="55"/>
      <c r="H64" s="55"/>
      <c r="I64" s="55"/>
      <c r="J64" s="55"/>
      <c r="K64" s="58"/>
      <c r="L64" s="21"/>
      <c r="M64" s="81"/>
      <c r="N64" s="77"/>
      <c r="O64" s="76"/>
      <c r="P64" s="25"/>
      <c r="Q64" s="25"/>
      <c r="R64" s="31"/>
      <c r="S64" s="35"/>
    </row>
    <row r="65" spans="1:19" ht="18" customHeight="1">
      <c r="A65" s="7"/>
      <c r="B65" s="7"/>
      <c r="C65" s="43"/>
      <c r="D65" s="54"/>
      <c r="E65" s="88"/>
      <c r="F65" s="56"/>
      <c r="G65" s="55"/>
      <c r="H65" s="55"/>
      <c r="I65" s="55"/>
      <c r="J65" s="55"/>
      <c r="K65" s="58"/>
      <c r="L65" s="21"/>
      <c r="M65" s="81"/>
      <c r="N65" s="77"/>
      <c r="O65" s="76"/>
      <c r="P65" s="25"/>
      <c r="Q65" s="25"/>
      <c r="R65" s="31"/>
      <c r="S65" s="35"/>
    </row>
    <row r="66" spans="1:19" ht="18" customHeight="1">
      <c r="A66" s="7"/>
      <c r="B66" s="7"/>
      <c r="C66" s="43"/>
      <c r="D66" s="54"/>
      <c r="E66" s="88"/>
      <c r="F66" s="56"/>
      <c r="G66" s="55"/>
      <c r="H66" s="55"/>
      <c r="I66" s="55"/>
      <c r="J66" s="55"/>
      <c r="K66" s="58"/>
      <c r="L66" s="21"/>
      <c r="M66" s="81"/>
      <c r="N66" s="77"/>
      <c r="O66" s="76"/>
      <c r="P66" s="25"/>
      <c r="Q66" s="25"/>
      <c r="R66" s="31"/>
      <c r="S66" s="35"/>
    </row>
    <row r="67" spans="1:19" ht="18" customHeight="1">
      <c r="A67" s="7"/>
      <c r="B67" s="7"/>
      <c r="C67" s="43"/>
      <c r="D67" s="54"/>
      <c r="E67" s="88"/>
      <c r="F67" s="56"/>
      <c r="G67" s="55"/>
      <c r="H67" s="55"/>
      <c r="I67" s="55"/>
      <c r="J67" s="55"/>
      <c r="K67" s="58"/>
      <c r="L67" s="21"/>
      <c r="M67" s="81"/>
      <c r="N67" s="77"/>
      <c r="O67" s="76"/>
      <c r="P67" s="25"/>
      <c r="Q67" s="25"/>
      <c r="R67" s="31"/>
      <c r="S67" s="35"/>
    </row>
    <row r="68" spans="1:19" ht="18" customHeight="1">
      <c r="A68" s="7"/>
      <c r="B68" s="7"/>
      <c r="C68" s="43"/>
      <c r="D68" s="54"/>
      <c r="E68" s="88"/>
      <c r="F68" s="56"/>
      <c r="G68" s="55"/>
      <c r="H68" s="55"/>
      <c r="I68" s="55"/>
      <c r="J68" s="55"/>
      <c r="K68" s="58"/>
      <c r="L68" s="21"/>
      <c r="M68" s="81"/>
      <c r="N68" s="77"/>
      <c r="O68" s="76"/>
      <c r="P68" s="25"/>
      <c r="Q68" s="25"/>
      <c r="R68" s="31"/>
      <c r="S68" s="35"/>
    </row>
    <row r="69" spans="1:19" ht="18" customHeight="1">
      <c r="A69" s="7"/>
      <c r="B69" s="7"/>
      <c r="C69" s="43"/>
      <c r="D69" s="54"/>
      <c r="E69" s="88"/>
      <c r="F69" s="56"/>
      <c r="G69" s="55"/>
      <c r="H69" s="55"/>
      <c r="I69" s="55"/>
      <c r="J69" s="55"/>
      <c r="K69" s="58"/>
      <c r="L69" s="21"/>
      <c r="M69" s="81"/>
      <c r="N69" s="77"/>
      <c r="O69" s="76"/>
      <c r="P69" s="25"/>
      <c r="Q69" s="25"/>
      <c r="R69" s="31"/>
      <c r="S69" s="35"/>
    </row>
    <row r="70" spans="1:19" ht="18" customHeight="1">
      <c r="A70" s="7"/>
      <c r="B70" s="7"/>
      <c r="C70" s="43"/>
      <c r="D70" s="54"/>
      <c r="E70" s="88"/>
      <c r="F70" s="56"/>
      <c r="G70" s="55"/>
      <c r="H70" s="55"/>
      <c r="I70" s="55"/>
      <c r="J70" s="55"/>
      <c r="K70" s="58"/>
      <c r="L70" s="21"/>
      <c r="M70" s="81"/>
      <c r="N70" s="77"/>
      <c r="O70" s="76"/>
      <c r="P70" s="25"/>
      <c r="Q70" s="25"/>
      <c r="R70" s="31"/>
      <c r="S70" s="35"/>
    </row>
    <row r="71" spans="1:19" ht="18" customHeight="1">
      <c r="A71" s="7"/>
      <c r="B71" s="7"/>
      <c r="C71" s="43"/>
      <c r="D71" s="54"/>
      <c r="E71" s="88"/>
      <c r="F71" s="56"/>
      <c r="G71" s="55"/>
      <c r="H71" s="55"/>
      <c r="I71" s="55"/>
      <c r="J71" s="55"/>
      <c r="K71" s="58"/>
      <c r="L71" s="21"/>
      <c r="M71" s="81"/>
      <c r="N71" s="77"/>
      <c r="O71" s="76"/>
      <c r="P71" s="25"/>
      <c r="Q71" s="25"/>
      <c r="R71" s="31"/>
      <c r="S71" s="35"/>
    </row>
    <row r="72" spans="1:19" ht="18" customHeight="1">
      <c r="A72" s="7"/>
      <c r="B72" s="7"/>
      <c r="C72" s="43"/>
      <c r="D72" s="54"/>
      <c r="E72" s="88"/>
      <c r="F72" s="56"/>
      <c r="G72" s="55"/>
      <c r="H72" s="55"/>
      <c r="I72" s="55"/>
      <c r="J72" s="55"/>
      <c r="K72" s="58"/>
      <c r="L72" s="21"/>
      <c r="M72" s="81"/>
      <c r="N72" s="77"/>
      <c r="O72" s="76"/>
      <c r="P72" s="25"/>
      <c r="Q72" s="25"/>
      <c r="R72" s="31"/>
      <c r="S72" s="35"/>
    </row>
    <row r="73" spans="1:19" ht="18" customHeight="1">
      <c r="A73" s="7"/>
      <c r="B73" s="7"/>
      <c r="C73" s="43"/>
      <c r="D73" s="54"/>
      <c r="E73" s="88"/>
      <c r="F73" s="56"/>
      <c r="G73" s="55"/>
      <c r="H73" s="55"/>
      <c r="I73" s="55"/>
      <c r="J73" s="55"/>
      <c r="K73" s="58"/>
      <c r="L73" s="21"/>
      <c r="M73" s="81"/>
      <c r="N73" s="77"/>
      <c r="O73" s="76"/>
      <c r="P73" s="25"/>
      <c r="Q73" s="25"/>
      <c r="R73" s="31"/>
      <c r="S73" s="35"/>
    </row>
    <row r="74" spans="1:19" ht="18" customHeight="1">
      <c r="A74" s="7"/>
      <c r="B74" s="7"/>
      <c r="C74" s="43"/>
      <c r="D74" s="54"/>
      <c r="E74" s="88"/>
      <c r="F74" s="56"/>
      <c r="G74" s="55"/>
      <c r="H74" s="55"/>
      <c r="I74" s="55"/>
      <c r="J74" s="55"/>
      <c r="K74" s="58"/>
      <c r="L74" s="21"/>
      <c r="M74" s="81"/>
      <c r="N74" s="77"/>
      <c r="O74" s="76"/>
      <c r="P74" s="25"/>
      <c r="Q74" s="25"/>
      <c r="R74" s="31"/>
      <c r="S74" s="35"/>
    </row>
    <row r="75" spans="1:19" ht="18" customHeight="1">
      <c r="A75" s="7"/>
      <c r="B75" s="7"/>
      <c r="C75" s="43"/>
      <c r="D75" s="54"/>
      <c r="E75" s="88"/>
      <c r="F75" s="56"/>
      <c r="G75" s="55"/>
      <c r="H75" s="55"/>
      <c r="I75" s="55"/>
      <c r="J75" s="55"/>
      <c r="K75" s="58"/>
      <c r="L75" s="21"/>
      <c r="M75" s="81"/>
      <c r="N75" s="77"/>
      <c r="O75" s="76"/>
      <c r="P75" s="25"/>
      <c r="Q75" s="25"/>
      <c r="R75" s="31"/>
      <c r="S75" s="35"/>
    </row>
    <row r="76" spans="1:19" ht="18" customHeight="1">
      <c r="A76" s="7"/>
      <c r="B76" s="7"/>
      <c r="C76" s="43"/>
      <c r="D76" s="54"/>
      <c r="E76" s="88"/>
      <c r="F76" s="56"/>
      <c r="G76" s="55"/>
      <c r="H76" s="55"/>
      <c r="I76" s="55"/>
      <c r="J76" s="55"/>
      <c r="K76" s="58"/>
      <c r="L76" s="21"/>
      <c r="M76" s="81"/>
      <c r="N76" s="77"/>
      <c r="O76" s="76"/>
      <c r="P76" s="25"/>
      <c r="Q76" s="25"/>
      <c r="R76" s="31"/>
      <c r="S76" s="35"/>
    </row>
    <row r="77" spans="1:19" ht="18" customHeight="1">
      <c r="A77" s="7"/>
      <c r="B77" s="7"/>
      <c r="C77" s="43"/>
      <c r="D77" s="54"/>
      <c r="E77" s="88"/>
      <c r="F77" s="56"/>
      <c r="G77" s="55"/>
      <c r="H77" s="55"/>
      <c r="I77" s="55"/>
      <c r="J77" s="55"/>
      <c r="K77" s="58"/>
      <c r="L77" s="21"/>
      <c r="M77" s="81"/>
      <c r="N77" s="77"/>
      <c r="O77" s="76"/>
      <c r="P77" s="25"/>
      <c r="Q77" s="25"/>
      <c r="R77" s="31"/>
      <c r="S77" s="35"/>
    </row>
    <row r="78" spans="1:19" ht="18" customHeight="1">
      <c r="A78" s="7"/>
      <c r="B78" s="7"/>
      <c r="C78" s="43"/>
      <c r="D78" s="54"/>
      <c r="E78" s="88"/>
      <c r="F78" s="56"/>
      <c r="G78" s="55"/>
      <c r="H78" s="55"/>
      <c r="I78" s="55"/>
      <c r="J78" s="55"/>
      <c r="K78" s="58"/>
      <c r="L78" s="21"/>
      <c r="M78" s="81"/>
      <c r="N78" s="77"/>
      <c r="O78" s="76"/>
      <c r="P78" s="25"/>
      <c r="Q78" s="25"/>
      <c r="R78" s="31"/>
      <c r="S78" s="35"/>
    </row>
    <row r="79" spans="1:19" ht="18" customHeight="1">
      <c r="A79" s="7"/>
      <c r="B79" s="7"/>
      <c r="C79" s="43"/>
      <c r="D79" s="54"/>
      <c r="E79" s="88"/>
      <c r="F79" s="56"/>
      <c r="G79" s="55"/>
      <c r="H79" s="55"/>
      <c r="I79" s="55"/>
      <c r="J79" s="55"/>
      <c r="K79" s="58"/>
      <c r="L79" s="21"/>
      <c r="M79" s="81"/>
      <c r="N79" s="77"/>
      <c r="O79" s="76"/>
      <c r="P79" s="25"/>
      <c r="Q79" s="25"/>
      <c r="R79" s="31"/>
      <c r="S79" s="35"/>
    </row>
    <row r="80" spans="1:19" ht="18" customHeight="1">
      <c r="A80" s="7"/>
      <c r="B80" s="7"/>
      <c r="C80" s="43"/>
      <c r="D80" s="54"/>
      <c r="E80" s="88"/>
      <c r="F80" s="56"/>
      <c r="G80" s="55"/>
      <c r="H80" s="55"/>
      <c r="I80" s="55"/>
      <c r="J80" s="55"/>
      <c r="K80" s="58"/>
      <c r="L80" s="21"/>
      <c r="M80" s="81"/>
      <c r="N80" s="77"/>
      <c r="O80" s="76"/>
      <c r="P80" s="25"/>
      <c r="Q80" s="25"/>
      <c r="R80" s="31"/>
      <c r="S80" s="35"/>
    </row>
    <row r="81" spans="1:19" ht="18" customHeight="1">
      <c r="A81" s="7"/>
      <c r="B81" s="7"/>
      <c r="C81" s="43"/>
      <c r="D81" s="54"/>
      <c r="E81" s="88"/>
      <c r="F81" s="56"/>
      <c r="G81" s="55"/>
      <c r="H81" s="55"/>
      <c r="I81" s="55"/>
      <c r="J81" s="55"/>
      <c r="K81" s="58"/>
      <c r="L81" s="21"/>
      <c r="M81" s="81"/>
      <c r="N81" s="77"/>
      <c r="O81" s="76"/>
      <c r="P81" s="25"/>
      <c r="Q81" s="25"/>
      <c r="R81" s="31"/>
      <c r="S81" s="35"/>
    </row>
    <row r="82" spans="1:19" ht="18" customHeight="1">
      <c r="A82" s="7"/>
      <c r="B82" s="7"/>
      <c r="C82" s="43"/>
      <c r="D82" s="54"/>
      <c r="E82" s="88"/>
      <c r="F82" s="56"/>
      <c r="G82" s="55"/>
      <c r="H82" s="55"/>
      <c r="I82" s="55"/>
      <c r="J82" s="55"/>
      <c r="K82" s="58"/>
      <c r="L82" s="21"/>
      <c r="M82" s="81"/>
      <c r="N82" s="77"/>
      <c r="O82" s="76"/>
      <c r="P82" s="25"/>
      <c r="Q82" s="25"/>
      <c r="R82" s="31"/>
      <c r="S82" s="35"/>
    </row>
    <row r="83" spans="1:19" ht="18" customHeight="1">
      <c r="A83" s="7"/>
      <c r="B83" s="7"/>
      <c r="C83" s="43"/>
      <c r="D83" s="54"/>
      <c r="E83" s="88"/>
      <c r="F83" s="56"/>
      <c r="G83" s="55"/>
      <c r="H83" s="55"/>
      <c r="I83" s="55"/>
      <c r="J83" s="55"/>
      <c r="K83" s="58"/>
      <c r="L83" s="21"/>
      <c r="M83" s="81"/>
      <c r="N83" s="77"/>
      <c r="O83" s="76"/>
      <c r="P83" s="25"/>
      <c r="Q83" s="25"/>
      <c r="R83" s="31"/>
      <c r="S83" s="35"/>
    </row>
    <row r="84" spans="1:19" ht="18" customHeight="1">
      <c r="A84" s="7"/>
      <c r="B84" s="7"/>
      <c r="C84" s="43"/>
      <c r="D84" s="54"/>
      <c r="E84" s="88"/>
      <c r="F84" s="56"/>
      <c r="G84" s="55"/>
      <c r="H84" s="55"/>
      <c r="I84" s="55"/>
      <c r="J84" s="55"/>
      <c r="K84" s="58"/>
      <c r="L84" s="21"/>
      <c r="M84" s="81"/>
      <c r="N84" s="77"/>
      <c r="O84" s="76"/>
      <c r="P84" s="25"/>
      <c r="Q84" s="25"/>
      <c r="R84" s="31"/>
      <c r="S84" s="35"/>
    </row>
    <row r="85" spans="1:19" ht="18" customHeight="1">
      <c r="A85" s="7"/>
      <c r="B85" s="7"/>
      <c r="C85" s="43"/>
      <c r="D85" s="54"/>
      <c r="E85" s="88"/>
      <c r="F85" s="56"/>
      <c r="G85" s="55"/>
      <c r="H85" s="55"/>
      <c r="I85" s="55"/>
      <c r="J85" s="55"/>
      <c r="K85" s="58"/>
      <c r="L85" s="21"/>
      <c r="M85" s="81"/>
      <c r="N85" s="77"/>
      <c r="O85" s="76"/>
      <c r="P85" s="25"/>
      <c r="Q85" s="25"/>
      <c r="R85" s="31"/>
      <c r="S85" s="35"/>
    </row>
    <row r="86" spans="1:19" ht="18" customHeight="1">
      <c r="A86" s="7"/>
      <c r="B86" s="7"/>
      <c r="C86" s="43"/>
      <c r="D86" s="54"/>
      <c r="E86" s="88"/>
      <c r="F86" s="56"/>
      <c r="G86" s="55"/>
      <c r="H86" s="55"/>
      <c r="I86" s="55"/>
      <c r="J86" s="55"/>
      <c r="K86" s="58"/>
      <c r="L86" s="21"/>
      <c r="M86" s="81"/>
      <c r="N86" s="77"/>
      <c r="O86" s="76"/>
      <c r="P86" s="25"/>
      <c r="Q86" s="25"/>
      <c r="R86" s="31"/>
      <c r="S86" s="35"/>
    </row>
    <row r="87" spans="1:19" ht="18" customHeight="1">
      <c r="A87" s="7"/>
      <c r="B87" s="7"/>
      <c r="C87" s="43"/>
      <c r="D87" s="54"/>
      <c r="E87" s="88"/>
      <c r="F87" s="56"/>
      <c r="G87" s="55"/>
      <c r="H87" s="55"/>
      <c r="I87" s="55"/>
      <c r="J87" s="55"/>
      <c r="K87" s="58"/>
      <c r="L87" s="21"/>
      <c r="M87" s="81"/>
      <c r="N87" s="77"/>
      <c r="O87" s="76"/>
      <c r="P87" s="25"/>
      <c r="Q87" s="25"/>
      <c r="R87" s="31"/>
      <c r="S87" s="35"/>
    </row>
    <row r="88" spans="1:19" ht="18" customHeight="1">
      <c r="A88" s="7"/>
      <c r="B88" s="7"/>
      <c r="C88" s="43"/>
      <c r="D88" s="54"/>
      <c r="E88" s="88"/>
      <c r="F88" s="56"/>
      <c r="G88" s="55"/>
      <c r="H88" s="55"/>
      <c r="I88" s="55"/>
      <c r="J88" s="55"/>
      <c r="K88" s="58"/>
      <c r="L88" s="21"/>
      <c r="M88" s="81"/>
      <c r="N88" s="77"/>
      <c r="O88" s="76"/>
      <c r="P88" s="25"/>
      <c r="Q88" s="25"/>
      <c r="R88" s="31"/>
      <c r="S88" s="35"/>
    </row>
    <row r="89" spans="1:19" ht="18" customHeight="1">
      <c r="A89" s="7"/>
      <c r="B89" s="7"/>
      <c r="C89" s="43"/>
      <c r="D89" s="54"/>
      <c r="E89" s="88"/>
      <c r="F89" s="56"/>
      <c r="G89" s="55"/>
      <c r="H89" s="55"/>
      <c r="I89" s="55"/>
      <c r="J89" s="55"/>
      <c r="K89" s="58"/>
      <c r="L89" s="21"/>
      <c r="M89" s="81"/>
      <c r="N89" s="77"/>
      <c r="O89" s="76"/>
      <c r="P89" s="25"/>
      <c r="Q89" s="25"/>
      <c r="R89" s="31"/>
      <c r="S89" s="35"/>
    </row>
    <row r="90" spans="1:19" ht="18" customHeight="1">
      <c r="A90" s="7"/>
      <c r="B90" s="7"/>
      <c r="C90" s="43"/>
      <c r="D90" s="54"/>
      <c r="E90" s="88"/>
      <c r="F90" s="56"/>
      <c r="G90" s="55"/>
      <c r="H90" s="55"/>
      <c r="I90" s="55"/>
      <c r="J90" s="55"/>
      <c r="K90" s="58"/>
      <c r="L90" s="21"/>
      <c r="M90" s="81"/>
      <c r="N90" s="77"/>
      <c r="O90" s="76"/>
      <c r="P90" s="25"/>
      <c r="Q90" s="25"/>
      <c r="R90" s="31"/>
      <c r="S90" s="35"/>
    </row>
    <row r="91" spans="1:19" ht="18" customHeight="1">
      <c r="A91" s="7"/>
      <c r="B91" s="7"/>
      <c r="C91" s="43"/>
      <c r="D91" s="54"/>
      <c r="E91" s="88"/>
      <c r="F91" s="56"/>
      <c r="G91" s="55"/>
      <c r="H91" s="55"/>
      <c r="I91" s="55"/>
      <c r="J91" s="55"/>
      <c r="K91" s="58"/>
      <c r="L91" s="21"/>
      <c r="M91" s="81"/>
      <c r="N91" s="77"/>
      <c r="O91" s="76"/>
      <c r="P91" s="25"/>
      <c r="Q91" s="25"/>
      <c r="R91" s="31"/>
      <c r="S91" s="35"/>
    </row>
    <row r="92" spans="1:19" ht="18" customHeight="1">
      <c r="A92" s="7"/>
      <c r="B92" s="7"/>
      <c r="C92" s="43"/>
      <c r="D92" s="54"/>
      <c r="E92" s="88"/>
      <c r="F92" s="56"/>
      <c r="G92" s="55"/>
      <c r="H92" s="55"/>
      <c r="I92" s="55"/>
      <c r="J92" s="55"/>
      <c r="K92" s="58"/>
      <c r="L92" s="21"/>
      <c r="M92" s="81"/>
      <c r="N92" s="77"/>
      <c r="O92" s="76"/>
      <c r="P92" s="25"/>
      <c r="Q92" s="25"/>
      <c r="R92" s="31"/>
      <c r="S92" s="35"/>
    </row>
    <row r="93" spans="1:19" ht="18" customHeight="1">
      <c r="A93" s="7"/>
      <c r="B93" s="7"/>
      <c r="C93" s="43"/>
      <c r="D93" s="54"/>
      <c r="E93" s="88"/>
      <c r="F93" s="56"/>
      <c r="G93" s="55"/>
      <c r="H93" s="55"/>
      <c r="I93" s="55"/>
      <c r="J93" s="55"/>
      <c r="K93" s="58"/>
      <c r="L93" s="21"/>
      <c r="M93" s="81"/>
      <c r="N93" s="77"/>
      <c r="O93" s="76"/>
      <c r="P93" s="25"/>
      <c r="Q93" s="25"/>
      <c r="R93" s="31"/>
      <c r="S93" s="35"/>
    </row>
    <row r="94" spans="1:19" ht="18" customHeight="1">
      <c r="A94" s="7"/>
      <c r="B94" s="7"/>
      <c r="C94" s="43"/>
      <c r="D94" s="54"/>
      <c r="E94" s="53"/>
      <c r="F94" s="14"/>
      <c r="G94" s="52"/>
      <c r="H94" s="52"/>
      <c r="I94" s="52"/>
      <c r="J94" s="52"/>
      <c r="K94" s="58"/>
      <c r="L94" s="21"/>
      <c r="M94" s="81"/>
      <c r="N94" s="77"/>
      <c r="O94" s="76"/>
      <c r="P94" s="25"/>
      <c r="Q94" s="25"/>
      <c r="R94" s="31"/>
      <c r="S94" s="35"/>
    </row>
    <row r="95" spans="1:19" ht="18" customHeight="1">
      <c r="A95" s="7"/>
      <c r="B95" s="7"/>
      <c r="C95" s="43"/>
      <c r="D95" s="7"/>
      <c r="E95" s="9"/>
      <c r="F95" s="9"/>
      <c r="G95" s="49"/>
      <c r="H95" s="48"/>
      <c r="I95" s="47"/>
      <c r="J95" s="13"/>
      <c r="K95" s="7"/>
      <c r="L95" s="42"/>
      <c r="M95" s="81"/>
      <c r="N95" s="77"/>
      <c r="O95" s="76"/>
      <c r="P95" s="25"/>
      <c r="Q95" s="25"/>
      <c r="R95" s="31"/>
      <c r="S95" s="35"/>
    </row>
    <row r="96" spans="1:19" ht="18" customHeight="1">
      <c r="A96" s="7"/>
      <c r="B96" s="7"/>
      <c r="C96" s="43"/>
      <c r="D96" s="7"/>
      <c r="E96" s="9"/>
      <c r="F96" s="9"/>
      <c r="G96" s="49"/>
      <c r="H96" s="48"/>
      <c r="I96" s="47"/>
      <c r="J96" s="13"/>
      <c r="K96" s="7"/>
      <c r="L96" s="42"/>
      <c r="M96" s="81"/>
      <c r="N96" s="77"/>
      <c r="O96" s="76"/>
      <c r="P96" s="25"/>
      <c r="Q96" s="25"/>
      <c r="R96" s="31"/>
      <c r="S96" s="35"/>
    </row>
    <row r="97" spans="3:19" ht="18" customHeight="1">
      <c r="D97" s="24"/>
      <c r="E97" s="23"/>
      <c r="F97" s="23"/>
      <c r="G97" s="32"/>
      <c r="H97" s="38"/>
      <c r="I97" s="38"/>
      <c r="J97" s="37"/>
      <c r="K97" s="36"/>
      <c r="L97" s="32"/>
      <c r="M97" s="30"/>
      <c r="N97" s="61"/>
      <c r="O97" s="31"/>
      <c r="P97" s="25"/>
      <c r="Q97" s="25"/>
      <c r="R97" s="31"/>
      <c r="S97" s="35"/>
    </row>
    <row r="98" spans="3:19" ht="18" customHeight="1">
      <c r="D98" s="24"/>
      <c r="E98" s="24"/>
      <c r="F98" s="24"/>
      <c r="G98" s="30" t="s">
        <v>35</v>
      </c>
      <c r="H98" s="29"/>
      <c r="I98" s="29"/>
      <c r="J98" s="29">
        <f>H98*I98</f>
        <v>0</v>
      </c>
      <c r="K98" s="28"/>
      <c r="L98" s="32" t="s">
        <v>23</v>
      </c>
      <c r="M98" s="26"/>
      <c r="N98" s="24"/>
      <c r="O98" s="31"/>
      <c r="P98" s="26"/>
      <c r="Q98" s="24"/>
      <c r="R98" s="31"/>
      <c r="S98" s="35"/>
    </row>
    <row r="99" spans="3:19" ht="18" customHeight="1">
      <c r="C99" s="34">
        <v>4</v>
      </c>
      <c r="D99" s="33"/>
      <c r="E99" s="23"/>
      <c r="F99" s="23"/>
      <c r="G99" s="30" t="s">
        <v>23</v>
      </c>
      <c r="H99" s="29"/>
      <c r="I99" s="29">
        <v>5000</v>
      </c>
      <c r="J99" s="29">
        <f>H99*I99</f>
        <v>0</v>
      </c>
      <c r="K99" s="28"/>
      <c r="L99" s="32" t="s">
        <v>24</v>
      </c>
      <c r="M99" s="26"/>
      <c r="N99" s="24"/>
      <c r="O99" s="31"/>
      <c r="P99" s="26"/>
      <c r="Q99" s="24"/>
      <c r="R99" s="31"/>
      <c r="S99" s="25"/>
    </row>
    <row r="100" spans="3:19" ht="18" customHeight="1">
      <c r="D100" s="24"/>
      <c r="E100" s="23"/>
      <c r="F100" s="23"/>
      <c r="G100" s="30" t="s">
        <v>24</v>
      </c>
      <c r="H100" s="29"/>
      <c r="I100" s="29"/>
      <c r="J100" s="29">
        <f>H100*I100</f>
        <v>0</v>
      </c>
      <c r="K100" s="28"/>
      <c r="L100" s="27"/>
      <c r="M100" s="26"/>
      <c r="N100" s="24"/>
      <c r="O100" s="24"/>
      <c r="P100" s="26"/>
      <c r="Q100" s="24"/>
      <c r="R100" s="25"/>
      <c r="S100" s="25"/>
    </row>
    <row r="101" spans="3:19" ht="18" customHeight="1">
      <c r="D101" s="24"/>
      <c r="E101" s="23"/>
      <c r="F101" s="23"/>
      <c r="G101" s="109"/>
      <c r="H101" s="110"/>
      <c r="I101" s="110"/>
      <c r="J101" s="111"/>
      <c r="K101" s="22"/>
      <c r="L101" s="21"/>
    </row>
    <row r="102" spans="3:19" ht="18" customHeight="1"/>
    <row r="103" spans="3:19" ht="18" customHeight="1"/>
    <row r="104" spans="3:19" ht="18" customHeight="1"/>
  </sheetData>
  <autoFilter ref="D8:Q104" xr:uid="{00000000-0009-0000-0000-000003000000}"/>
  <mergeCells count="12">
    <mergeCell ref="D11:G11"/>
    <mergeCell ref="D24:G24"/>
    <mergeCell ref="G101:J101"/>
    <mergeCell ref="D2:F2"/>
    <mergeCell ref="I2:K2"/>
    <mergeCell ref="D3:F3"/>
    <mergeCell ref="D4:F4"/>
    <mergeCell ref="J4:L5"/>
    <mergeCell ref="D5:F5"/>
    <mergeCell ref="I5:I6"/>
    <mergeCell ref="D6:F6"/>
    <mergeCell ref="J6:L6"/>
  </mergeCells>
  <phoneticPr fontId="10"/>
  <dataValidations count="1">
    <dataValidation allowBlank="1" showInputMessage="1" showErrorMessage="1" sqref="L20:L23 L57:L94" xr:uid="{205C38DE-4D54-4754-B7D0-843ADF2E4509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140" zoomScaleNormal="100" zoomScaleSheetLayoutView="140" workbookViewId="0">
      <selection activeCell="C21" sqref="C21"/>
    </sheetView>
  </sheetViews>
  <sheetFormatPr defaultColWidth="11.6640625" defaultRowHeight="13.5" customHeight="1"/>
  <cols>
    <col min="1" max="1" width="12.109375" bestFit="1" customWidth="1"/>
    <col min="2" max="2" width="31.44140625" bestFit="1" customWidth="1"/>
  </cols>
  <sheetData>
    <row r="1" spans="1:2" ht="13.5" customHeight="1">
      <c r="A1" s="11" t="s">
        <v>0</v>
      </c>
      <c r="B1" s="3" t="s">
        <v>33</v>
      </c>
    </row>
    <row r="2" spans="1:2" ht="13.5" customHeight="1">
      <c r="A2" s="11" t="s">
        <v>2</v>
      </c>
      <c r="B2" s="1" t="s">
        <v>31</v>
      </c>
    </row>
    <row r="3" spans="1:2" ht="13.5" customHeight="1">
      <c r="A3" s="11" t="s">
        <v>3</v>
      </c>
      <c r="B3" s="1" t="s">
        <v>32</v>
      </c>
    </row>
    <row r="4" spans="1:2" ht="13.5" customHeight="1">
      <c r="A4" s="11" t="s">
        <v>4</v>
      </c>
      <c r="B4" s="2">
        <v>44972</v>
      </c>
    </row>
    <row r="5" spans="1:2" ht="13.5" customHeight="1">
      <c r="A5" s="11" t="s">
        <v>5</v>
      </c>
      <c r="B5" s="2">
        <v>44975</v>
      </c>
    </row>
  </sheetData>
  <phoneticPr fontId="10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287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7734375" defaultRowHeight="13.5" customHeight="1"/>
  <sheetData/>
  <phoneticPr fontId="10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(20260212) ① 発注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cp:lastPrinted>2023-01-13T04:52:35Z</cp:lastPrinted>
  <dcterms:created xsi:type="dcterms:W3CDTF">2016-05-16T08:05:24Z</dcterms:created>
  <dcterms:modified xsi:type="dcterms:W3CDTF">2026-02-13T00:44:20Z</dcterms:modified>
</cp:coreProperties>
</file>