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D2D9BC7-F039-4D9A-94C9-E749BAC639B6}" xr6:coauthVersionLast="47" xr6:coauthVersionMax="47" xr10:uidLastSave="{00000000-0000-0000-0000-000000000000}"/>
  <bookViews>
    <workbookView xWindow="-120" yWindow="-120" windowWidth="29040" windowHeight="15720" xr2:uid="{8BB87D5E-A9B8-4A3F-9997-B4B972EF253B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J2" i="1" l="1"/>
</calcChain>
</file>

<file path=xl/sharedStrings.xml><?xml version="1.0" encoding="utf-8"?>
<sst xmlns="http://schemas.openxmlformats.org/spreadsheetml/2006/main" count="189" uniqueCount="97">
  <si>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</si>
  <si>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</si>
  <si>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</si>
  <si>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</si>
  <si>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</si>
  <si>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</si>
  <si>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</si>
  <si>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</si>
  <si>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</si>
  <si>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</si>
  <si>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</si>
  <si>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</si>
  <si>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</si>
  <si>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</si>
  <si>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</si>
  <si>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</si>
  <si>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</si>
  <si>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</si>
  <si>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</si>
  <si>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</si>
  <si>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</si>
  <si>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</si>
  <si>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発注願います</t>
    <rPh sb="0" eb="3">
      <t>ハッチュウネガ</t>
    </rPh>
    <phoneticPr fontId="1"/>
  </si>
  <si>
    <t>エアブラウン（丸和電子化学）</t>
    <rPh sb="7" eb="13">
      <t>マルワデンシカガク</t>
    </rPh>
    <phoneticPr fontId="1"/>
  </si>
  <si>
    <t>田中</t>
    <rPh sb="0" eb="2">
      <t>タナカ</t>
    </rPh>
    <phoneticPr fontId="1"/>
  </si>
  <si>
    <t>SE08F-30-048-27</t>
  </si>
  <si>
    <t>■SETA0297-Z01-A(ｹｰﾌﾞﾙﾍﾞｱﾍﾞｰｽ)</t>
  </si>
  <si>
    <t>■SETA0297-Z02-A(ｹｰﾌﾞﾙﾍﾞｱﾌﾟﾚｰﾄ)</t>
  </si>
  <si>
    <t>SFBJ3-4</t>
  </si>
  <si>
    <t>BDJS4-10</t>
  </si>
  <si>
    <t>MISUMI</t>
    <phoneticPr fontId="1"/>
  </si>
  <si>
    <t>AZD-K</t>
  </si>
  <si>
    <t>AZM46AK-FC20DA</t>
  </si>
  <si>
    <t>CC030VZR2</t>
    <phoneticPr fontId="1"/>
  </si>
  <si>
    <t>ｵﾘｴﾝﾀﾙﾓｰﾀｰ</t>
    <phoneticPr fontId="1"/>
  </si>
  <si>
    <t>ｵﾘﾑﾍﾞｸｽﾀ</t>
    <phoneticPr fontId="1"/>
  </si>
  <si>
    <t>KCC7-18600-210226-405</t>
  </si>
  <si>
    <t>MWS-MDR50-HT50</t>
  </si>
  <si>
    <t>DCLS-D17-V10-H22-T1.5-L5.5</t>
  </si>
  <si>
    <t>FL6903ZZ</t>
  </si>
  <si>
    <t>FWS-D15-V6-T2.0</t>
  </si>
  <si>
    <t>SCB4-45</t>
  </si>
  <si>
    <t>■SETA0297-Y01-A(ｼｬﾌﾄｸﾗﾝﾌﾟ)</t>
  </si>
  <si>
    <t>■SETA0297-Y02-A（ﾂｰﾙﾌﾟﾚｰﾄ)</t>
  </si>
  <si>
    <t>■SETA0297-Y03-A（ﾊﾞﾙﾌﾞﾎﾙﾀﾞ)</t>
  </si>
  <si>
    <t>■SETA0297-Y04-A（ﾎﾙﾀﾞ)</t>
  </si>
  <si>
    <t>8
I/O-MT</t>
    <phoneticPr fontId="1"/>
  </si>
  <si>
    <t>CHNS4</t>
  </si>
  <si>
    <t>CSPCSA-SUS-M4-6</t>
  </si>
  <si>
    <t>FNT3</t>
  </si>
  <si>
    <t>STXS100</t>
  </si>
  <si>
    <t>■SETA0297-P01-A(ｶｯﾌﾟﾍﾞｰｽ)</t>
  </si>
  <si>
    <t>■SETA0297-P02-A(容器受け)</t>
    <phoneticPr fontId="1"/>
  </si>
  <si>
    <t>■SETA0297-P03-A(容器受け)</t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</si>
  <si>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</si>
  <si>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</si>
  <si>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10
漬け置き・捨て打ちｶｯﾌﾟ</t>
    <rPh sb="4" eb="5">
      <t>ツ</t>
    </rPh>
    <rPh sb="6" eb="7">
      <t>オ</t>
    </rPh>
    <rPh sb="9" eb="10">
      <t>ス</t>
    </rPh>
    <rPh sb="11" eb="12">
      <t>ウ</t>
    </rPh>
    <phoneticPr fontId="1"/>
  </si>
  <si>
    <t>7
ｹｰﾌﾞﾙﾍﾞｱ</t>
    <phoneticPr fontId="1"/>
  </si>
  <si>
    <t>MVSHM-3N02052-4EW-7C2UW</t>
  </si>
  <si>
    <t>MVSHM-3N01552-4EW-WXFBY</t>
  </si>
  <si>
    <t>MVBLK-AMW-4EW-667BX</t>
  </si>
  <si>
    <t>MVSHM-3N02052-4EW-MNBLU</t>
  </si>
  <si>
    <t>MVSHM-3N02050-4EW-GJS75</t>
  </si>
  <si>
    <t>MVBLK-AMW-4EW-EA85N</t>
  </si>
  <si>
    <t>MVBLK-AMW-4EW-MRYT1</t>
  </si>
  <si>
    <t>MVBLK-AMW-4EW-FCEHJ</t>
  </si>
  <si>
    <t>MVBLK-AMW-4EW-DJWBW</t>
  </si>
  <si>
    <t>Web発注済</t>
    <rPh sb="3" eb="6">
      <t>ハッチュウスミ</t>
    </rPh>
    <phoneticPr fontId="1"/>
  </si>
  <si>
    <t>ﾏﾙｴﾑ</t>
    <phoneticPr fontId="1"/>
  </si>
  <si>
    <t>石鍋</t>
    <rPh sb="0" eb="2">
      <t>イシナベ</t>
    </rPh>
    <phoneticPr fontId="1"/>
  </si>
  <si>
    <t>5-079-04</t>
  </si>
  <si>
    <t>ﾐﾆｶｯﾌﾟ(30ml)</t>
  </si>
  <si>
    <t>SE08F ｹｰﾌﾞﾙｷｬﾘｱ</t>
  </si>
  <si>
    <t>ﾊﾞｲﾝﾄﾞｺﾈｼﾞ(BDJS)</t>
  </si>
  <si>
    <t>ｼﾞｭｳｼﾞｱﾅﾂｷｻﾞﾗｺﾈｼﾞ-ﾀﾝﾋﾟﾝﾊﾝﾊﾞｲ-</t>
  </si>
  <si>
    <t>KBXS100-100</t>
  </si>
  <si>
    <t>CSHSM-SUS-M3-5</t>
  </si>
  <si>
    <t>NEDUL-PT-JS-9-3</t>
  </si>
  <si>
    <t>ﾛｯｶｸｱﾅﾂｷﾎﾞﾙﾄ(SCB)</t>
  </si>
  <si>
    <t>ﾌﾘｰﾜｯｼｬ (FWS)</t>
  </si>
  <si>
    <t>ﾍﾞｱﾘﾝｸﾞ FL6__Z</t>
  </si>
  <si>
    <t>ｷﾝｿﾞｸｽﾍﾟｰｻ(DCLS)</t>
  </si>
  <si>
    <t>ﾈｼﾞﾍﾝｶﾝｼｷﾀﾝｼﾀﾞｲ</t>
  </si>
  <si>
    <t>ﾄｸﾁｭｳﾊｰﾈｽ</t>
  </si>
  <si>
    <t>ﾎﾞｯｸｽﾖｳｽﾃSTXS</t>
  </si>
  <si>
    <t>ｷﾝｿﾞｸﾎﾞｯｸｽKBXS</t>
  </si>
  <si>
    <t>ﾌｸﾛﾅｯﾄ</t>
  </si>
  <si>
    <t>ｼﾞｭｳｼﾞｱﾅﾂｷｺﾈｼﾞ</t>
  </si>
  <si>
    <t>FASTENING</t>
  </si>
  <si>
    <t>ﾁｮｳﾅｯﾄ</t>
  </si>
  <si>
    <t>Dｻﾌﾞﾊｰﾈｽ(ﾏﾙ)</t>
  </si>
  <si>
    <t>見積取得後発注願います</t>
    <rPh sb="0" eb="5">
      <t>ミツモリシュトクゴ</t>
    </rPh>
    <rPh sb="5" eb="8">
      <t>ハッチュウネガ</t>
    </rPh>
    <phoneticPr fontId="1"/>
  </si>
  <si>
    <t>ﾄﾞﾗｲﾊﾞ</t>
    <phoneticPr fontId="1"/>
  </si>
  <si>
    <t>ﾓｰﾀｰ</t>
    <phoneticPr fontId="1"/>
  </si>
  <si>
    <t>ｹｰﾌﾞﾙ</t>
    <phoneticPr fontId="1"/>
  </si>
  <si>
    <t>見積№2184521</t>
    <rPh sb="0" eb="2">
      <t>ミツモリ</t>
    </rPh>
    <phoneticPr fontId="1"/>
  </si>
  <si>
    <t>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</si>
</sst>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5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0" fillId="0" borderId="3" xfId="0" applyNumberFormat="1" applyBorder="1">
      <alignment vertical="center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46E-B438-4D05-B82A-9A06F4E4FA83}">
  <dimension ref="B2:Q42"/>
  <sheetViews>
    <sheetView tabSelected="1" zoomScale="70" zoomScaleNormal="70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Q17" sqref="Q17"/>
    </sheetView>
  </sheetViews>
  <sheetFormatPr defaultRowHeight="13.5" x14ac:dyDescent="0.15"/>
  <cols>
    <col min="1" max="1" width="2.625" customWidth="1"/>
    <col min="2" max="2" width="22" style="3" customWidth="1"/>
    <col min="3" max="4" width="20.625" customWidth="1"/>
    <col min="5" max="5" width="40.625" customWidth="1"/>
    <col min="6" max="6" width="6.25" style="3" customWidth="1"/>
    <col min="7" max="8" width="9.875" bestFit="1" customWidth="1"/>
    <col min="9" max="9" width="13.5" style="8" bestFit="1" customWidth="1"/>
    <col min="10" max="10" width="44.625" bestFit="1" customWidth="1"/>
    <col min="11" max="11" width="15.125" bestFit="1" customWidth="1"/>
    <col min="12" max="12" width="24.625" style="3" bestFit="1" customWidth="1"/>
    <col min="13" max="13" width="13.75" style="11" customWidth="1"/>
    <col min="14" max="14" width="6.375" customWidth="1"/>
    <col min="15" max="15" width="13.25" style="8" customWidth="1"/>
    <col min="16" max="16" width="14.5" style="13" customWidth="1"/>
    <col min="17" max="17" width="15.625" style="14" customWidth="1"/>
  </cols>
  <sheetData>
    <row r="2" spans="2:17" ht="20.100000000000001" customHeight="1" x14ac:dyDescent="0.15">
      <c r="B2" s="29" t="s">
        <v>11</v>
      </c>
      <c r="C2" s="29"/>
      <c r="D2" s="29"/>
      <c r="E2" s="9" t="s">
        <v>23</v>
      </c>
      <c r="G2" s="30" t="s">
        <v>15</v>
      </c>
      <c r="H2" s="31"/>
      <c r="I2" s="32"/>
      <c r="J2" s="7">
        <f>SUM(H:H)</f>
        <v>323861</v>
      </c>
    </row>
    <row r="3" spans="2:17" ht="20.100000000000001" customHeight="1" x14ac:dyDescent="0.15">
      <c r="B3" s="29" t="s">
        <v>10</v>
      </c>
      <c r="C3" s="29"/>
      <c r="D3" s="29"/>
      <c r="E3" s="5" t="s">
        <v>24</v>
      </c>
    </row>
    <row r="4" spans="2:17" ht="20.100000000000001" customHeight="1" x14ac:dyDescent="0.15">
      <c r="B4" s="29" t="s">
        <v>12</v>
      </c>
      <c r="C4" s="29"/>
      <c r="D4" s="29"/>
      <c r="E4" s="5">
        <v>228944</v>
      </c>
    </row>
    <row r="5" spans="2:17" ht="20.100000000000001" customHeight="1" x14ac:dyDescent="0.15">
      <c r="B5" s="29" t="s">
        <v>13</v>
      </c>
      <c r="C5" s="29"/>
      <c r="D5" s="29"/>
      <c r="E5" s="6">
        <v>46062</v>
      </c>
    </row>
    <row r="6" spans="2:17" ht="20.100000000000001" customHeight="1" x14ac:dyDescent="0.15">
      <c r="B6" s="29" t="s">
        <v>14</v>
      </c>
      <c r="C6" s="29"/>
      <c r="D6" s="29"/>
      <c r="E6" s="6">
        <v>46139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12" t="s">
        <v>20</v>
      </c>
      <c r="Q8" s="15" t="s">
        <v>21</v>
      </c>
    </row>
    <row r="9" spans="2:17" s="3" customFormat="1" ht="19.5" customHeight="1" x14ac:dyDescent="0.15">
      <c r="B9" s="24" t="s">
        <v>57</v>
      </c>
      <c r="C9" s="4" t="s">
        <v>30</v>
      </c>
      <c r="D9" s="4" t="s">
        <v>30</v>
      </c>
      <c r="E9" s="10" t="s">
        <v>25</v>
      </c>
      <c r="F9" s="1">
        <v>1</v>
      </c>
      <c r="G9" s="10">
        <v>4490</v>
      </c>
      <c r="H9" s="17">
        <f t="shared" ref="H9:H40" si="0">F9*G9</f>
        <v>4490</v>
      </c>
      <c r="I9" s="1"/>
      <c r="J9" s="10" t="s">
        <v>72</v>
      </c>
      <c r="K9" s="19"/>
      <c r="L9" s="1" t="s">
        <v>67</v>
      </c>
      <c r="M9" s="12">
        <v>46050</v>
      </c>
      <c r="N9" s="4"/>
      <c r="O9" s="18"/>
      <c r="P9" s="12">
        <v>46062</v>
      </c>
      <c r="Q9" s="15"/>
    </row>
    <row r="10" spans="2:17" s="3" customFormat="1" ht="19.5" customHeight="1" x14ac:dyDescent="0.15">
      <c r="B10" s="27"/>
      <c r="C10" s="4" t="s">
        <v>30</v>
      </c>
      <c r="D10" s="4" t="s">
        <v>30</v>
      </c>
      <c r="E10" s="10" t="s">
        <v>59</v>
      </c>
      <c r="F10" s="1">
        <v>1</v>
      </c>
      <c r="G10" s="10">
        <v>8648</v>
      </c>
      <c r="H10" s="17">
        <f t="shared" si="0"/>
        <v>8648</v>
      </c>
      <c r="I10" s="1"/>
      <c r="J10" s="10" t="s">
        <v>26</v>
      </c>
      <c r="K10" s="19"/>
      <c r="L10" s="1" t="s">
        <v>67</v>
      </c>
      <c r="M10" s="12">
        <v>46050</v>
      </c>
      <c r="N10" s="4"/>
      <c r="O10" s="18"/>
      <c r="P10" s="12">
        <v>46062</v>
      </c>
      <c r="Q10" s="15"/>
    </row>
    <row r="11" spans="2:17" s="3" customFormat="1" ht="19.5" customHeight="1" x14ac:dyDescent="0.15">
      <c r="B11" s="27"/>
      <c r="C11" s="4" t="s">
        <v>30</v>
      </c>
      <c r="D11" s="4" t="s">
        <v>30</v>
      </c>
      <c r="E11" s="10" t="s">
        <v>58</v>
      </c>
      <c r="F11" s="1">
        <v>1</v>
      </c>
      <c r="G11" s="10">
        <v>3750</v>
      </c>
      <c r="H11" s="17">
        <f t="shared" si="0"/>
        <v>3750</v>
      </c>
      <c r="I11" s="1"/>
      <c r="J11" s="10" t="s">
        <v>27</v>
      </c>
      <c r="K11" s="19"/>
      <c r="L11" s="1" t="s">
        <v>67</v>
      </c>
      <c r="M11" s="12">
        <v>46050</v>
      </c>
      <c r="N11" s="4"/>
      <c r="O11" s="18"/>
      <c r="P11" s="12">
        <v>46062</v>
      </c>
      <c r="Q11" s="15"/>
    </row>
    <row r="12" spans="2:17" s="3" customFormat="1" ht="19.5" customHeight="1" x14ac:dyDescent="0.15">
      <c r="B12" s="27"/>
      <c r="C12" s="4" t="s">
        <v>30</v>
      </c>
      <c r="D12" s="4" t="s">
        <v>30</v>
      </c>
      <c r="E12" s="10" t="s">
        <v>28</v>
      </c>
      <c r="F12" s="1">
        <v>8</v>
      </c>
      <c r="G12" s="10">
        <v>90</v>
      </c>
      <c r="H12" s="17">
        <f t="shared" si="0"/>
        <v>720</v>
      </c>
      <c r="I12" s="1"/>
      <c r="J12" s="10" t="s">
        <v>74</v>
      </c>
      <c r="K12" s="19"/>
      <c r="L12" s="1" t="s">
        <v>67</v>
      </c>
      <c r="M12" s="12">
        <v>46050</v>
      </c>
      <c r="N12" s="4"/>
      <c r="O12" s="18"/>
      <c r="P12" s="12">
        <v>46062</v>
      </c>
      <c r="Q12" s="15"/>
    </row>
    <row r="13" spans="2:17" s="3" customFormat="1" ht="19.5" customHeight="1" x14ac:dyDescent="0.15">
      <c r="B13" s="28"/>
      <c r="C13" s="4" t="s">
        <v>30</v>
      </c>
      <c r="D13" s="4" t="s">
        <v>30</v>
      </c>
      <c r="E13" s="10" t="s">
        <v>29</v>
      </c>
      <c r="F13" s="1">
        <v>2</v>
      </c>
      <c r="G13" s="10">
        <v>92</v>
      </c>
      <c r="H13" s="17">
        <f t="shared" si="0"/>
        <v>184</v>
      </c>
      <c r="I13" s="1"/>
      <c r="J13" s="10" t="s">
        <v>73</v>
      </c>
      <c r="K13" s="19"/>
      <c r="L13" s="1" t="s">
        <v>67</v>
      </c>
      <c r="M13" s="12">
        <v>46050</v>
      </c>
      <c r="N13" s="4"/>
      <c r="O13" s="18"/>
      <c r="P13" s="12">
        <v>46062</v>
      </c>
      <c r="Q13" s="15"/>
    </row>
    <row r="14" spans="2:17" s="3" customFormat="1" ht="19.5" customHeight="1" x14ac:dyDescent="0.15">
      <c r="B14" s="24" t="s">
        <v>46</v>
      </c>
      <c r="C14" s="4" t="s">
        <v>34</v>
      </c>
      <c r="D14" s="4" t="s">
        <v>35</v>
      </c>
      <c r="E14" s="10" t="s">
        <v>31</v>
      </c>
      <c r="F14" s="1">
        <v>1</v>
      </c>
      <c r="G14" s="10">
        <v>32960</v>
      </c>
      <c r="H14" s="17">
        <f t="shared" si="0"/>
        <v>32960</v>
      </c>
      <c r="I14" s="1"/>
      <c r="J14" s="10" t="s">
        <v>92</v>
      </c>
      <c r="K14" s="19" t="s">
        <v>95</v>
      </c>
      <c r="L14" s="20" t="s">
        <v>91</v>
      </c>
      <c r="M14" s="12">
        <v>46052</v>
      </c>
      <c r="N14" s="4"/>
      <c r="O14" s="18">
        <v>46063</v>
      </c>
      <c r="P14" s="12">
        <v>46070</v>
      </c>
      <c r="Q14" s="15">
        <v>46070</v>
      </c>
    </row>
    <row r="15" spans="2:17" s="3" customFormat="1" ht="19.5" customHeight="1" x14ac:dyDescent="0.15">
      <c r="B15" s="25"/>
      <c r="C15" s="4" t="s">
        <v>34</v>
      </c>
      <c r="D15" s="4" t="s">
        <v>35</v>
      </c>
      <c r="E15" s="22" t="s">
        <v>32</v>
      </c>
      <c r="F15" s="1">
        <v>1</v>
      </c>
      <c r="G15" s="16">
        <v>50000</v>
      </c>
      <c r="H15" s="17">
        <f t="shared" si="0"/>
        <v>50000</v>
      </c>
      <c r="I15" s="1"/>
      <c r="J15" s="10" t="s">
        <v>93</v>
      </c>
      <c r="K15" s="19" t="s">
        <v>95</v>
      </c>
      <c r="L15" s="20" t="s">
        <v>91</v>
      </c>
      <c r="M15" s="12">
        <v>46052</v>
      </c>
      <c r="N15" s="4"/>
      <c r="O15" s="18">
        <v>46063</v>
      </c>
      <c r="P15" s="12">
        <v>46070</v>
      </c>
      <c r="Q15" s="15">
        <v>46070</v>
      </c>
    </row>
    <row r="16" spans="2:17" s="3" customFormat="1" ht="19.5" customHeight="1" x14ac:dyDescent="0.15">
      <c r="B16" s="25"/>
      <c r="C16" s="4" t="s">
        <v>34</v>
      </c>
      <c r="D16" s="4" t="s">
        <v>35</v>
      </c>
      <c r="E16" s="10" t="s">
        <v>33</v>
      </c>
      <c r="F16" s="1">
        <v>1</v>
      </c>
      <c r="G16" s="10">
        <v>8960</v>
      </c>
      <c r="H16" s="17">
        <f t="shared" si="0"/>
        <v>8960</v>
      </c>
      <c r="I16" s="1"/>
      <c r="J16" s="10" t="s">
        <v>94</v>
      </c>
      <c r="K16" s="19" t="s">
        <v>95</v>
      </c>
      <c r="L16" s="20" t="s">
        <v>91</v>
      </c>
      <c r="M16" s="12">
        <v>46052</v>
      </c>
      <c r="N16" s="4"/>
      <c r="O16" s="18">
        <v>46063</v>
      </c>
      <c r="P16" s="12">
        <v>46070</v>
      </c>
      <c r="Q16" s="15">
        <v>46070</v>
      </c>
    </row>
    <row r="17" spans="2:17" s="3" customFormat="1" ht="19.5" customHeight="1" x14ac:dyDescent="0.15">
      <c r="B17" s="25"/>
      <c r="C17" s="4" t="s">
        <v>30</v>
      </c>
      <c r="D17" s="4" t="s">
        <v>30</v>
      </c>
      <c r="E17" s="10" t="s">
        <v>25</v>
      </c>
      <c r="F17" s="1">
        <v>1</v>
      </c>
      <c r="G17" s="10">
        <v>4490</v>
      </c>
      <c r="H17" s="17">
        <f t="shared" si="0"/>
        <v>4490</v>
      </c>
      <c r="I17" s="1"/>
      <c r="J17" s="10" t="s">
        <v>72</v>
      </c>
      <c r="K17" s="19"/>
      <c r="L17" s="1" t="s">
        <v>67</v>
      </c>
      <c r="M17" s="12">
        <v>46050</v>
      </c>
      <c r="N17" s="4"/>
      <c r="O17" s="18"/>
      <c r="P17" s="12">
        <v>46062</v>
      </c>
      <c r="Q17" s="15" t="s">
        <v>96</v>
      </c>
    </row>
    <row r="18" spans="2:17" s="3" customFormat="1" ht="19.5" customHeight="1" x14ac:dyDescent="0.15">
      <c r="B18" s="25"/>
      <c r="C18" s="4" t="s">
        <v>30</v>
      </c>
      <c r="D18" s="4" t="s">
        <v>30</v>
      </c>
      <c r="E18" s="10" t="s">
        <v>36</v>
      </c>
      <c r="F18" s="1">
        <v>1</v>
      </c>
      <c r="G18" s="10">
        <v>19600</v>
      </c>
      <c r="H18" s="17">
        <f t="shared" si="0"/>
        <v>19600</v>
      </c>
      <c r="I18" s="1"/>
      <c r="J18" s="10" t="s">
        <v>83</v>
      </c>
      <c r="K18" s="19"/>
      <c r="L18" s="1" t="s">
        <v>67</v>
      </c>
      <c r="M18" s="12">
        <v>46050</v>
      </c>
      <c r="N18" s="4"/>
      <c r="O18" s="18"/>
      <c r="P18" s="12">
        <v>46062</v>
      </c>
      <c r="Q18" s="15"/>
    </row>
    <row r="19" spans="2:17" s="3" customFormat="1" ht="19.5" customHeight="1" x14ac:dyDescent="0.15">
      <c r="B19" s="25"/>
      <c r="C19" s="4" t="s">
        <v>30</v>
      </c>
      <c r="D19" s="4" t="s">
        <v>30</v>
      </c>
      <c r="E19" s="10" t="s">
        <v>37</v>
      </c>
      <c r="F19" s="1">
        <v>1</v>
      </c>
      <c r="G19" s="10">
        <v>6201</v>
      </c>
      <c r="H19" s="17">
        <f t="shared" si="0"/>
        <v>6201</v>
      </c>
      <c r="I19" s="1"/>
      <c r="J19" s="10" t="s">
        <v>82</v>
      </c>
      <c r="K19" s="19"/>
      <c r="L19" s="1" t="s">
        <v>67</v>
      </c>
      <c r="M19" s="12">
        <v>46050</v>
      </c>
      <c r="N19" s="4"/>
      <c r="O19" s="18"/>
      <c r="P19" s="12">
        <v>46062</v>
      </c>
      <c r="Q19" s="15"/>
    </row>
    <row r="20" spans="2:17" s="3" customFormat="1" ht="19.5" customHeight="1" x14ac:dyDescent="0.15">
      <c r="B20" s="25"/>
      <c r="C20" s="4" t="s">
        <v>30</v>
      </c>
      <c r="D20" s="4" t="s">
        <v>30</v>
      </c>
      <c r="E20" s="10" t="s">
        <v>38</v>
      </c>
      <c r="F20" s="1">
        <v>1</v>
      </c>
      <c r="G20" s="10">
        <v>1290</v>
      </c>
      <c r="H20" s="17">
        <f t="shared" si="0"/>
        <v>1290</v>
      </c>
      <c r="I20" s="1"/>
      <c r="J20" s="10" t="s">
        <v>81</v>
      </c>
      <c r="K20" s="19"/>
      <c r="L20" s="1" t="s">
        <v>67</v>
      </c>
      <c r="M20" s="12">
        <v>46050</v>
      </c>
      <c r="N20" s="4"/>
      <c r="O20" s="18"/>
      <c r="P20" s="12">
        <v>46062</v>
      </c>
      <c r="Q20" s="15"/>
    </row>
    <row r="21" spans="2:17" s="3" customFormat="1" ht="19.5" customHeight="1" x14ac:dyDescent="0.15">
      <c r="B21" s="25"/>
      <c r="C21" s="4" t="s">
        <v>30</v>
      </c>
      <c r="D21" s="4" t="s">
        <v>30</v>
      </c>
      <c r="E21" s="10" t="s">
        <v>39</v>
      </c>
      <c r="F21" s="1">
        <v>1</v>
      </c>
      <c r="G21" s="10">
        <v>1950</v>
      </c>
      <c r="H21" s="17">
        <f t="shared" si="0"/>
        <v>1950</v>
      </c>
      <c r="I21" s="1"/>
      <c r="J21" s="10" t="s">
        <v>80</v>
      </c>
      <c r="K21" s="19"/>
      <c r="L21" s="1" t="s">
        <v>67</v>
      </c>
      <c r="M21" s="12">
        <v>46050</v>
      </c>
      <c r="N21" s="4"/>
      <c r="O21" s="18"/>
      <c r="P21" s="12">
        <v>46062</v>
      </c>
      <c r="Q21" s="15"/>
    </row>
    <row r="22" spans="2:17" s="3" customFormat="1" ht="19.5" customHeight="1" x14ac:dyDescent="0.15">
      <c r="B22" s="25"/>
      <c r="C22" s="4" t="s">
        <v>30</v>
      </c>
      <c r="D22" s="4" t="s">
        <v>30</v>
      </c>
      <c r="E22" s="10" t="s">
        <v>40</v>
      </c>
      <c r="F22" s="1">
        <v>1</v>
      </c>
      <c r="G22" s="10">
        <v>380</v>
      </c>
      <c r="H22" s="17">
        <f t="shared" si="0"/>
        <v>380</v>
      </c>
      <c r="I22" s="1"/>
      <c r="J22" s="10" t="s">
        <v>79</v>
      </c>
      <c r="K22" s="1"/>
      <c r="L22" s="1" t="s">
        <v>67</v>
      </c>
      <c r="M22" s="12">
        <v>46050</v>
      </c>
      <c r="N22" s="4"/>
      <c r="O22" s="1"/>
      <c r="P22" s="12">
        <v>46062</v>
      </c>
      <c r="Q22" s="15"/>
    </row>
    <row r="23" spans="2:17" s="3" customFormat="1" ht="19.5" customHeight="1" x14ac:dyDescent="0.15">
      <c r="B23" s="25"/>
      <c r="C23" s="4" t="s">
        <v>30</v>
      </c>
      <c r="D23" s="4" t="s">
        <v>30</v>
      </c>
      <c r="E23" s="10" t="s">
        <v>41</v>
      </c>
      <c r="F23" s="1">
        <v>4</v>
      </c>
      <c r="G23" s="10">
        <v>284</v>
      </c>
      <c r="H23" s="17">
        <f t="shared" si="0"/>
        <v>1136</v>
      </c>
      <c r="I23" s="1"/>
      <c r="J23" s="10" t="s">
        <v>78</v>
      </c>
      <c r="K23" s="19"/>
      <c r="L23" s="1" t="s">
        <v>67</v>
      </c>
      <c r="M23" s="12">
        <v>46050</v>
      </c>
      <c r="N23" s="4"/>
      <c r="O23" s="18"/>
      <c r="P23" s="12">
        <v>46062</v>
      </c>
      <c r="Q23" s="15"/>
    </row>
    <row r="24" spans="2:17" s="3" customFormat="1" ht="19.5" customHeight="1" x14ac:dyDescent="0.15">
      <c r="B24" s="25"/>
      <c r="C24" s="4" t="s">
        <v>30</v>
      </c>
      <c r="D24" s="4" t="s">
        <v>30</v>
      </c>
      <c r="E24" s="10" t="s">
        <v>63</v>
      </c>
      <c r="F24" s="1">
        <v>1</v>
      </c>
      <c r="G24" s="10">
        <v>8040</v>
      </c>
      <c r="H24" s="17">
        <f t="shared" si="0"/>
        <v>8040</v>
      </c>
      <c r="I24" s="1"/>
      <c r="J24" s="10" t="s">
        <v>42</v>
      </c>
      <c r="K24" s="1"/>
      <c r="L24" s="1" t="s">
        <v>67</v>
      </c>
      <c r="M24" s="12">
        <v>46050</v>
      </c>
      <c r="N24" s="4"/>
      <c r="O24" s="1"/>
      <c r="P24" s="12">
        <v>46062</v>
      </c>
      <c r="Q24" s="15"/>
    </row>
    <row r="25" spans="2:17" s="3" customFormat="1" ht="19.5" customHeight="1" x14ac:dyDescent="0.15">
      <c r="B25" s="25"/>
      <c r="C25" s="4" t="s">
        <v>30</v>
      </c>
      <c r="D25" s="4" t="s">
        <v>30</v>
      </c>
      <c r="E25" s="10" t="s">
        <v>64</v>
      </c>
      <c r="F25" s="1">
        <v>1</v>
      </c>
      <c r="G25" s="10">
        <v>6327</v>
      </c>
      <c r="H25" s="17">
        <f t="shared" si="0"/>
        <v>6327</v>
      </c>
      <c r="I25" s="1"/>
      <c r="J25" s="10" t="s">
        <v>43</v>
      </c>
      <c r="K25" s="19"/>
      <c r="L25" s="1" t="s">
        <v>67</v>
      </c>
      <c r="M25" s="12">
        <v>46050</v>
      </c>
      <c r="N25" s="4"/>
      <c r="O25" s="18"/>
      <c r="P25" s="12">
        <v>46062</v>
      </c>
      <c r="Q25" s="15"/>
    </row>
    <row r="26" spans="2:17" s="3" customFormat="1" ht="19.5" customHeight="1" x14ac:dyDescent="0.15">
      <c r="B26" s="25"/>
      <c r="C26" s="4" t="s">
        <v>30</v>
      </c>
      <c r="D26" s="4" t="s">
        <v>30</v>
      </c>
      <c r="E26" s="10" t="s">
        <v>65</v>
      </c>
      <c r="F26" s="1">
        <v>1</v>
      </c>
      <c r="G26" s="10">
        <v>5007</v>
      </c>
      <c r="H26" s="17">
        <f t="shared" si="0"/>
        <v>5007</v>
      </c>
      <c r="I26" s="1"/>
      <c r="J26" s="10" t="s">
        <v>44</v>
      </c>
      <c r="K26" s="19"/>
      <c r="L26" s="1" t="s">
        <v>67</v>
      </c>
      <c r="M26" s="12">
        <v>46050</v>
      </c>
      <c r="N26" s="4"/>
      <c r="O26" s="18"/>
      <c r="P26" s="12">
        <v>46062</v>
      </c>
      <c r="Q26" s="15"/>
    </row>
    <row r="27" spans="2:17" s="3" customFormat="1" ht="19.5" customHeight="1" x14ac:dyDescent="0.15">
      <c r="B27" s="25"/>
      <c r="C27" s="4" t="s">
        <v>30</v>
      </c>
      <c r="D27" s="4" t="s">
        <v>30</v>
      </c>
      <c r="E27" s="10" t="s">
        <v>66</v>
      </c>
      <c r="F27" s="1">
        <v>1</v>
      </c>
      <c r="G27" s="10">
        <v>5525</v>
      </c>
      <c r="H27" s="17">
        <f t="shared" si="0"/>
        <v>5525</v>
      </c>
      <c r="I27" s="1"/>
      <c r="J27" s="10" t="s">
        <v>45</v>
      </c>
      <c r="K27" s="19"/>
      <c r="L27" s="1" t="s">
        <v>67</v>
      </c>
      <c r="M27" s="12">
        <v>46050</v>
      </c>
      <c r="N27" s="4"/>
      <c r="O27" s="18"/>
      <c r="P27" s="12">
        <v>46062</v>
      </c>
      <c r="Q27" s="15"/>
    </row>
    <row r="28" spans="2:17" s="3" customFormat="1" ht="19.5" customHeight="1" x14ac:dyDescent="0.15">
      <c r="B28" s="26"/>
      <c r="C28" s="4" t="s">
        <v>30</v>
      </c>
      <c r="D28" s="4" t="s">
        <v>30</v>
      </c>
      <c r="E28" s="10" t="s">
        <v>77</v>
      </c>
      <c r="F28" s="1">
        <v>1</v>
      </c>
      <c r="G28" s="10">
        <v>3548</v>
      </c>
      <c r="H28" s="17">
        <f t="shared" si="0"/>
        <v>3548</v>
      </c>
      <c r="I28" s="1"/>
      <c r="J28" s="10" t="s">
        <v>90</v>
      </c>
      <c r="K28" s="19"/>
      <c r="L28" s="1" t="s">
        <v>67</v>
      </c>
      <c r="M28" s="12">
        <v>46050</v>
      </c>
      <c r="N28" s="4"/>
      <c r="O28" s="18"/>
      <c r="P28" s="12">
        <v>46062</v>
      </c>
      <c r="Q28" s="15"/>
    </row>
    <row r="29" spans="2:17" s="3" customFormat="1" ht="19.5" customHeight="1" x14ac:dyDescent="0.15">
      <c r="B29" s="24" t="s">
        <v>56</v>
      </c>
      <c r="C29" s="4" t="s">
        <v>30</v>
      </c>
      <c r="D29" s="4" t="s">
        <v>30</v>
      </c>
      <c r="E29" s="10" t="s">
        <v>47</v>
      </c>
      <c r="F29" s="1">
        <v>1</v>
      </c>
      <c r="G29" s="10">
        <v>84</v>
      </c>
      <c r="H29" s="17">
        <f t="shared" si="0"/>
        <v>84</v>
      </c>
      <c r="I29" s="1"/>
      <c r="J29" s="10" t="s">
        <v>89</v>
      </c>
      <c r="K29" s="19"/>
      <c r="L29" s="1" t="s">
        <v>67</v>
      </c>
      <c r="M29" s="12">
        <v>46050</v>
      </c>
      <c r="N29" s="4"/>
      <c r="O29" s="18"/>
      <c r="P29" s="12">
        <v>46062</v>
      </c>
      <c r="Q29" s="15"/>
    </row>
    <row r="30" spans="2:17" s="3" customFormat="1" ht="19.5" customHeight="1" x14ac:dyDescent="0.15">
      <c r="B30" s="25"/>
      <c r="C30" s="4" t="s">
        <v>30</v>
      </c>
      <c r="D30" s="4" t="s">
        <v>30</v>
      </c>
      <c r="E30" s="10" t="s">
        <v>76</v>
      </c>
      <c r="F30" s="1">
        <v>2</v>
      </c>
      <c r="G30" s="10">
        <v>219</v>
      </c>
      <c r="H30" s="17">
        <f t="shared" si="0"/>
        <v>438</v>
      </c>
      <c r="I30" s="1"/>
      <c r="J30" s="10" t="s">
        <v>88</v>
      </c>
      <c r="K30" s="19"/>
      <c r="L30" s="1" t="s">
        <v>67</v>
      </c>
      <c r="M30" s="12">
        <v>46050</v>
      </c>
      <c r="N30" s="4"/>
      <c r="O30" s="18"/>
      <c r="P30" s="12">
        <v>46062</v>
      </c>
      <c r="Q30" s="15"/>
    </row>
    <row r="31" spans="2:17" s="3" customFormat="1" ht="19.5" customHeight="1" x14ac:dyDescent="0.15">
      <c r="B31" s="25"/>
      <c r="C31" s="4" t="s">
        <v>30</v>
      </c>
      <c r="D31" s="4" t="s">
        <v>30</v>
      </c>
      <c r="E31" s="10" t="s">
        <v>48</v>
      </c>
      <c r="F31" s="1">
        <v>2</v>
      </c>
      <c r="G31" s="10">
        <v>223</v>
      </c>
      <c r="H31" s="17">
        <f t="shared" si="0"/>
        <v>446</v>
      </c>
      <c r="I31" s="1"/>
      <c r="J31" s="10" t="s">
        <v>87</v>
      </c>
      <c r="K31" s="19"/>
      <c r="L31" s="1" t="s">
        <v>67</v>
      </c>
      <c r="M31" s="12">
        <v>46050</v>
      </c>
      <c r="N31" s="4"/>
      <c r="O31" s="18"/>
      <c r="P31" s="12">
        <v>46062</v>
      </c>
      <c r="Q31" s="15"/>
    </row>
    <row r="32" spans="2:17" s="3" customFormat="1" ht="19.5" customHeight="1" x14ac:dyDescent="0.15">
      <c r="B32" s="25"/>
      <c r="C32" s="4" t="s">
        <v>30</v>
      </c>
      <c r="D32" s="4" t="s">
        <v>30</v>
      </c>
      <c r="E32" s="10" t="s">
        <v>49</v>
      </c>
      <c r="F32" s="1">
        <v>2</v>
      </c>
      <c r="G32" s="10">
        <v>52</v>
      </c>
      <c r="H32" s="17">
        <f t="shared" si="0"/>
        <v>104</v>
      </c>
      <c r="I32" s="1"/>
      <c r="J32" s="10" t="s">
        <v>86</v>
      </c>
      <c r="K32" s="19"/>
      <c r="L32" s="1" t="s">
        <v>67</v>
      </c>
      <c r="M32" s="12">
        <v>46050</v>
      </c>
      <c r="N32" s="4"/>
      <c r="O32" s="18"/>
      <c r="P32" s="12">
        <v>46062</v>
      </c>
      <c r="Q32" s="15"/>
    </row>
    <row r="33" spans="2:17" s="3" customFormat="1" ht="19.5" customHeight="1" x14ac:dyDescent="0.15">
      <c r="B33" s="25"/>
      <c r="C33" s="4" t="s">
        <v>30</v>
      </c>
      <c r="D33" s="4" t="s">
        <v>30</v>
      </c>
      <c r="E33" s="10" t="s">
        <v>75</v>
      </c>
      <c r="F33" s="1">
        <v>1</v>
      </c>
      <c r="G33" s="10">
        <v>6050</v>
      </c>
      <c r="H33" s="17">
        <f t="shared" si="0"/>
        <v>6050</v>
      </c>
      <c r="I33" s="1"/>
      <c r="J33" s="10" t="s">
        <v>85</v>
      </c>
      <c r="K33" s="19"/>
      <c r="L33" s="1" t="s">
        <v>67</v>
      </c>
      <c r="M33" s="12">
        <v>46050</v>
      </c>
      <c r="N33" s="4"/>
      <c r="O33" s="18"/>
      <c r="P33" s="12">
        <v>46062</v>
      </c>
      <c r="Q33" s="15"/>
    </row>
    <row r="34" spans="2:17" s="3" customFormat="1" ht="19.5" customHeight="1" x14ac:dyDescent="0.15">
      <c r="B34" s="25"/>
      <c r="C34" s="4" t="s">
        <v>30</v>
      </c>
      <c r="D34" s="4" t="s">
        <v>30</v>
      </c>
      <c r="E34" s="10" t="s">
        <v>50</v>
      </c>
      <c r="F34" s="1">
        <v>1</v>
      </c>
      <c r="G34" s="10">
        <v>2244</v>
      </c>
      <c r="H34" s="17">
        <f t="shared" si="0"/>
        <v>2244</v>
      </c>
      <c r="I34" s="1"/>
      <c r="J34" s="10" t="s">
        <v>84</v>
      </c>
      <c r="K34" s="19"/>
      <c r="L34" s="1" t="s">
        <v>67</v>
      </c>
      <c r="M34" s="12">
        <v>46050</v>
      </c>
      <c r="N34" s="4"/>
      <c r="O34" s="18"/>
      <c r="P34" s="12">
        <v>46062</v>
      </c>
      <c r="Q34" s="15"/>
    </row>
    <row r="35" spans="2:17" s="3" customFormat="1" ht="19.5" customHeight="1" x14ac:dyDescent="0.15">
      <c r="B35" s="25"/>
      <c r="C35" s="4" t="s">
        <v>30</v>
      </c>
      <c r="D35" s="4" t="s">
        <v>30</v>
      </c>
      <c r="E35" s="10" t="s">
        <v>60</v>
      </c>
      <c r="F35" s="1">
        <v>1</v>
      </c>
      <c r="G35" s="10">
        <v>7673</v>
      </c>
      <c r="H35" s="17">
        <f t="shared" si="0"/>
        <v>7673</v>
      </c>
      <c r="I35" s="1"/>
      <c r="J35" s="10" t="s">
        <v>51</v>
      </c>
      <c r="K35" s="19"/>
      <c r="L35" s="1" t="s">
        <v>67</v>
      </c>
      <c r="M35" s="12">
        <v>46050</v>
      </c>
      <c r="N35" s="4"/>
      <c r="O35" s="18"/>
      <c r="P35" s="12">
        <v>46062</v>
      </c>
      <c r="Q35" s="15"/>
    </row>
    <row r="36" spans="2:17" s="3" customFormat="1" ht="19.5" customHeight="1" x14ac:dyDescent="0.15">
      <c r="B36" s="25"/>
      <c r="C36" s="4" t="s">
        <v>30</v>
      </c>
      <c r="D36" s="4" t="s">
        <v>30</v>
      </c>
      <c r="E36" s="10" t="s">
        <v>61</v>
      </c>
      <c r="F36" s="1">
        <v>1</v>
      </c>
      <c r="G36" s="10">
        <v>2729</v>
      </c>
      <c r="H36" s="17">
        <f t="shared" si="0"/>
        <v>2729</v>
      </c>
      <c r="I36" s="1"/>
      <c r="J36" s="10" t="s">
        <v>52</v>
      </c>
      <c r="K36" s="19"/>
      <c r="L36" s="1" t="s">
        <v>67</v>
      </c>
      <c r="M36" s="12">
        <v>46050</v>
      </c>
      <c r="N36" s="4"/>
      <c r="O36" s="18"/>
      <c r="P36" s="12">
        <v>46062</v>
      </c>
      <c r="Q36" s="15"/>
    </row>
    <row r="37" spans="2:17" s="3" customFormat="1" ht="19.5" customHeight="1" x14ac:dyDescent="0.15">
      <c r="B37" s="25"/>
      <c r="C37" s="4" t="s">
        <v>30</v>
      </c>
      <c r="D37" s="4" t="s">
        <v>30</v>
      </c>
      <c r="E37" s="10" t="s">
        <v>62</v>
      </c>
      <c r="F37" s="1">
        <v>1</v>
      </c>
      <c r="G37" s="10">
        <v>3647</v>
      </c>
      <c r="H37" s="17">
        <f t="shared" si="0"/>
        <v>3647</v>
      </c>
      <c r="I37" s="1"/>
      <c r="J37" s="10" t="s">
        <v>53</v>
      </c>
      <c r="K37" s="19"/>
      <c r="L37" s="1" t="s">
        <v>67</v>
      </c>
      <c r="M37" s="12">
        <v>46050</v>
      </c>
      <c r="N37" s="4"/>
      <c r="O37" s="18"/>
      <c r="P37" s="12">
        <v>46062</v>
      </c>
      <c r="Q37" s="15"/>
    </row>
    <row r="38" spans="2:17" s="3" customFormat="1" ht="19.5" customHeight="1" x14ac:dyDescent="0.15">
      <c r="B38" s="26"/>
      <c r="C38" s="4" t="s">
        <v>68</v>
      </c>
      <c r="D38" s="4" t="s">
        <v>69</v>
      </c>
      <c r="E38" s="10" t="s">
        <v>70</v>
      </c>
      <c r="F38" s="1">
        <v>1</v>
      </c>
      <c r="G38" s="10">
        <v>2240</v>
      </c>
      <c r="H38" s="17">
        <f t="shared" si="0"/>
        <v>2240</v>
      </c>
      <c r="I38" s="1"/>
      <c r="J38" s="10" t="s">
        <v>71</v>
      </c>
      <c r="K38" s="19"/>
      <c r="L38" s="20" t="s">
        <v>22</v>
      </c>
      <c r="M38" s="12">
        <v>46052</v>
      </c>
      <c r="N38" s="4"/>
      <c r="O38" s="18">
        <v>46063</v>
      </c>
      <c r="P38" s="12">
        <v>46063</v>
      </c>
      <c r="Q38" s="15">
        <v>46059</v>
      </c>
    </row>
    <row r="39" spans="2:17" s="3" customFormat="1" ht="19.5" customHeight="1" x14ac:dyDescent="0.15">
      <c r="B39" s="23">
        <v>11</v>
      </c>
      <c r="C39" s="4" t="s">
        <v>30</v>
      </c>
      <c r="D39" s="4" t="s">
        <v>30</v>
      </c>
      <c r="E39" s="10" t="s">
        <v>54</v>
      </c>
      <c r="F39" s="1">
        <v>20</v>
      </c>
      <c r="G39" s="10">
        <v>5000</v>
      </c>
      <c r="H39" s="17">
        <f t="shared" si="0"/>
        <v>100000</v>
      </c>
      <c r="I39" s="1"/>
      <c r="J39" s="10" t="s">
        <v>54</v>
      </c>
      <c r="K39" s="19"/>
      <c r="L39" s="20"/>
      <c r="M39" s="12"/>
      <c r="N39" s="4"/>
      <c r="O39" s="18"/>
      <c r="P39" s="12"/>
      <c r="Q39" s="15"/>
    </row>
    <row r="40" spans="2:17" s="3" customFormat="1" ht="19.5" customHeight="1" x14ac:dyDescent="0.15">
      <c r="B40" s="23"/>
      <c r="C40" s="4" t="s">
        <v>30</v>
      </c>
      <c r="D40" s="4" t="s">
        <v>30</v>
      </c>
      <c r="E40" s="10" t="s">
        <v>55</v>
      </c>
      <c r="F40" s="1">
        <v>5</v>
      </c>
      <c r="G40" s="10">
        <v>5000</v>
      </c>
      <c r="H40" s="17">
        <f t="shared" si="0"/>
        <v>25000</v>
      </c>
      <c r="I40" s="2"/>
      <c r="J40" s="10" t="s">
        <v>55</v>
      </c>
      <c r="K40" s="19"/>
      <c r="L40" s="20"/>
      <c r="M40" s="12"/>
      <c r="N40" s="4"/>
      <c r="O40" s="18"/>
      <c r="P40" s="12"/>
      <c r="Q40" s="15"/>
    </row>
    <row r="41" spans="2:17" s="3" customFormat="1" ht="19.5" customHeight="1" x14ac:dyDescent="0.15">
      <c r="B41" s="21"/>
      <c r="C41" s="4"/>
      <c r="D41" s="4"/>
      <c r="E41" s="4"/>
      <c r="F41" s="1"/>
      <c r="G41" s="16"/>
      <c r="H41" s="17"/>
      <c r="I41" s="2"/>
      <c r="J41" s="10"/>
      <c r="K41" s="1"/>
      <c r="L41" s="1"/>
      <c r="M41" s="12"/>
      <c r="N41" s="4"/>
      <c r="O41" s="1"/>
      <c r="P41" s="12"/>
      <c r="Q41" s="15"/>
    </row>
    <row r="42" spans="2:17" ht="19.5" customHeight="1" x14ac:dyDescent="0.15"/>
  </sheetData>
  <autoFilter ref="B8:O14" xr:uid="{5445119D-ED0C-46E2-9EF8-E1C0F6663E51}"/>
  <mergeCells count="10">
    <mergeCell ref="G2:I2"/>
    <mergeCell ref="B2:D2"/>
    <mergeCell ref="B3:D3"/>
    <mergeCell ref="B4:D4"/>
    <mergeCell ref="B5:D5"/>
    <mergeCell ref="B39:B40"/>
    <mergeCell ref="B14:B28"/>
    <mergeCell ref="B9:B13"/>
    <mergeCell ref="B6:D6"/>
    <mergeCell ref="B29:B38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20D8-C2AF-4F99-BE7A-37361DF21D07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15BA-4A34-416C-A11B-69381202487B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2026-02-17T03:50:34Z</dcterms:modified>
</cp:coreProperties>
</file>