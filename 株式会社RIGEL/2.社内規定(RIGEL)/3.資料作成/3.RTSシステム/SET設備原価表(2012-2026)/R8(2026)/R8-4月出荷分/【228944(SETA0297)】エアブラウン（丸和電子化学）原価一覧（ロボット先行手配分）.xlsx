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7AED8D84-A788-4E5B-B15F-57041177E020}" xr6:coauthVersionLast="47" xr6:coauthVersionMax="47" xr10:uidLastSave="{00000000-0000-0000-0000-000000000000}"/>
  <bookViews>
    <workbookView xWindow="-110" yWindow="-110" windowWidth="38620" windowHeight="21100" xr2:uid="{8BB87D5E-A9B8-4A3F-9997-B4B972EF253B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Sheet1!$B$8:$O$14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1" l="1"/>
  <c r="H10" i="1"/>
  <c r="H11" i="1"/>
  <c r="H12" i="1"/>
  <c r="H13" i="1"/>
  <c r="H14" i="1"/>
  <c r="J2" i="1" l="1"/>
</calcChain>
</file>

<file path=xl/sharedStrings.xml><?xml version="1.0" encoding="utf-8"?>
<sst xmlns="http://schemas.openxmlformats.org/spreadsheetml/2006/main" count="60" uniqueCount="33">
  <si>
    <t>数量</t>
  </si>
  <si>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</si>
  <si>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</si>
  <si>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</si>
  <si>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</si>
  <si>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</si>
  <si>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</si>
  <si>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</si>
  <si>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</si>
  <si>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</si>
  <si>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</si>
  <si>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</si>
  <si>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</si>
  <si>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</si>
  <si>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</si>
  <si>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</si>
  <si>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</si>
  <si>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</si>
  <si>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</si>
  <si>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</si>
  <si>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</si>
  <si>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</si>
  <si>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発注願います</t>
    <rPh sb="0" eb="3">
      <t>ハッチュウネガ</t>
    </rPh>
    <phoneticPr fontId="1"/>
  </si>
  <si>
    <t>エアブラウン（丸和電子化学）</t>
    <rPh sb="7" eb="13">
      <t>マルワデンシカガク</t>
    </rPh>
    <phoneticPr fontId="1"/>
  </si>
  <si>
    <t>田中</t>
    <rPh sb="0" eb="2">
      <t>タナカ</t>
    </rPh>
    <phoneticPr fontId="1"/>
  </si>
  <si>
    <t>JR3404N-BJ</t>
    <phoneticPr fontId="1"/>
  </si>
  <si>
    <t>荷造り運賃</t>
    <rPh sb="0" eb="2">
      <t>ニヅク</t>
    </rPh>
    <rPh sb="3" eb="5">
      <t>ウンチン</t>
    </rPh>
    <phoneticPr fontId="1"/>
  </si>
  <si>
    <t>フィールドバス（Ethernet/IP）増設費用</t>
  </si>
  <si>
    <t>柱嵩上げ費用（特殊） *100mm嵩上げ OH=450mm</t>
  </si>
  <si>
    <t>ティーチングペンダントⅡ(2m)非常停止SW無</t>
  </si>
  <si>
    <t>PCソフト　JR C-PointsⅡ</t>
  </si>
  <si>
    <t>JANOME</t>
    <phoneticPr fontId="1"/>
  </si>
  <si>
    <t>名古屋貨物着2/27</t>
    <rPh sb="0" eb="5">
      <t>ナゴヤカモツ</t>
    </rPh>
    <rPh sb="5" eb="6">
      <t>チャク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</si>
</sst>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</numFmts>
  <fonts count="7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4" fillId="0" borderId="1" xfId="0" applyFont="1" applyBorder="1" applyAlignment="1">
      <alignment horizontal="center" vertical="center" shrinkToFit="1"/>
    </xf>
    <xf numFmtId="0" fontId="0" fillId="0" borderId="1" xfId="0" applyBorder="1">
      <alignment vertical="center"/>
    </xf>
    <xf numFmtId="179" fontId="0" fillId="0" borderId="0" xfId="0" applyNumberFormat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0" fillId="0" borderId="1" xfId="0" applyNumberFormat="1" applyBorder="1" applyAlignment="1">
      <alignment horizontal="center" vertical="center"/>
    </xf>
    <xf numFmtId="38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38" fontId="0" fillId="0" borderId="1" xfId="0" applyNumberFormat="1" applyBorder="1">
      <alignment vertical="center"/>
    </xf>
    <xf numFmtId="56" fontId="6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 wrapText="1"/>
    </xf>
    <xf numFmtId="3" fontId="0" fillId="0" borderId="4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BF46E-B438-4D05-B82A-9A06F4E4FA83}">
  <dimension ref="B2:Q16"/>
  <sheetViews>
    <sheetView tabSelected="1" zoomScale="85" zoomScaleNormal="85" workbookViewId="0">
      <pane xSplit="10" ySplit="8" topLeftCell="K9" activePane="bottomRight" state="frozen"/>
      <selection pane="topRight" activeCell="K1" sqref="K1"/>
      <selection pane="bottomLeft" activeCell="A9" sqref="A9"/>
      <selection pane="bottomRight" activeCell="Q22" sqref="Q22"/>
    </sheetView>
  </sheetViews>
  <sheetFormatPr defaultRowHeight="13" x14ac:dyDescent="0.2"/>
  <cols>
    <col min="1" max="1" width="2.6328125" customWidth="1"/>
    <col min="2" max="2" width="22" style="3" customWidth="1"/>
    <col min="3" max="4" width="20.6328125" customWidth="1"/>
    <col min="5" max="5" width="40.6328125" customWidth="1"/>
    <col min="6" max="6" width="6.26953125" style="3" customWidth="1"/>
    <col min="7" max="8" width="9.90625" bestFit="1" customWidth="1"/>
    <col min="9" max="9" width="13.453125" style="8" bestFit="1" customWidth="1"/>
    <col min="10" max="10" width="44.6328125" bestFit="1" customWidth="1"/>
    <col min="11" max="11" width="11.36328125" customWidth="1"/>
    <col min="12" max="12" width="20.6328125" style="3" customWidth="1"/>
    <col min="13" max="13" width="13.7265625" style="11" customWidth="1"/>
    <col min="14" max="14" width="6.36328125" customWidth="1"/>
    <col min="15" max="15" width="13.26953125" style="8" customWidth="1"/>
    <col min="16" max="16" width="18.6328125" style="13" bestFit="1" customWidth="1"/>
    <col min="17" max="17" width="15.6328125" style="14" customWidth="1"/>
  </cols>
  <sheetData>
    <row r="2" spans="2:17" ht="20.149999999999999" customHeight="1" x14ac:dyDescent="0.2">
      <c r="B2" s="26" t="s">
        <v>11</v>
      </c>
      <c r="C2" s="26"/>
      <c r="D2" s="26"/>
      <c r="E2" s="9" t="s">
        <v>23</v>
      </c>
      <c r="G2" s="27" t="s">
        <v>15</v>
      </c>
      <c r="H2" s="28"/>
      <c r="I2" s="29"/>
      <c r="J2" s="7">
        <f>SUM(H:H)</f>
        <v>1075000</v>
      </c>
    </row>
    <row r="3" spans="2:17" ht="20.149999999999999" customHeight="1" x14ac:dyDescent="0.2">
      <c r="B3" s="26" t="s">
        <v>10</v>
      </c>
      <c r="C3" s="26"/>
      <c r="D3" s="26"/>
      <c r="E3" s="5" t="s">
        <v>24</v>
      </c>
    </row>
    <row r="4" spans="2:17" ht="20.149999999999999" customHeight="1" x14ac:dyDescent="0.2">
      <c r="B4" s="26" t="s">
        <v>12</v>
      </c>
      <c r="C4" s="26"/>
      <c r="D4" s="26"/>
      <c r="E4" s="5">
        <v>228944</v>
      </c>
    </row>
    <row r="5" spans="2:17" ht="20.149999999999999" customHeight="1" x14ac:dyDescent="0.2">
      <c r="B5" s="26" t="s">
        <v>13</v>
      </c>
      <c r="C5" s="26"/>
      <c r="D5" s="26"/>
      <c r="E5" s="6">
        <v>46081</v>
      </c>
    </row>
    <row r="6" spans="2:17" ht="20.149999999999999" customHeight="1" x14ac:dyDescent="0.2">
      <c r="B6" s="26" t="s">
        <v>14</v>
      </c>
      <c r="C6" s="26"/>
      <c r="D6" s="26"/>
      <c r="E6" s="6">
        <v>46139</v>
      </c>
    </row>
    <row r="8" spans="2:17" s="3" customFormat="1" ht="19.75" customHeight="1" x14ac:dyDescent="0.2">
      <c r="B8" s="4" t="s">
        <v>4</v>
      </c>
      <c r="C8" s="4" t="s">
        <v>9</v>
      </c>
      <c r="D8" s="4" t="s">
        <v>5</v>
      </c>
      <c r="E8" s="1" t="s">
        <v>8</v>
      </c>
      <c r="F8" s="1" t="s">
        <v>0</v>
      </c>
      <c r="G8" s="1" t="s">
        <v>1</v>
      </c>
      <c r="H8" s="2" t="s">
        <v>2</v>
      </c>
      <c r="I8" s="2" t="s">
        <v>18</v>
      </c>
      <c r="J8" s="1" t="s">
        <v>3</v>
      </c>
      <c r="K8" s="1" t="s">
        <v>17</v>
      </c>
      <c r="L8" s="1" t="s">
        <v>16</v>
      </c>
      <c r="M8" s="12" t="s">
        <v>6</v>
      </c>
      <c r="N8" s="4" t="s">
        <v>19</v>
      </c>
      <c r="O8" s="1" t="s">
        <v>7</v>
      </c>
      <c r="P8" s="12" t="s">
        <v>20</v>
      </c>
      <c r="Q8" s="15" t="s">
        <v>21</v>
      </c>
    </row>
    <row r="9" spans="2:17" s="3" customFormat="1" ht="19.5" customHeight="1" x14ac:dyDescent="0.2">
      <c r="B9" s="24">
        <v>1</v>
      </c>
      <c r="C9" s="4" t="s">
        <v>31</v>
      </c>
      <c r="D9" s="4" t="s">
        <v>31</v>
      </c>
      <c r="E9" s="10" t="s">
        <v>25</v>
      </c>
      <c r="F9" s="1">
        <v>1</v>
      </c>
      <c r="G9" s="17">
        <v>882000</v>
      </c>
      <c r="H9" s="18">
        <f t="shared" ref="H9:H14" si="0">F9*G9</f>
        <v>882000</v>
      </c>
      <c r="I9" s="2"/>
      <c r="J9" s="10" t="s">
        <v>25</v>
      </c>
      <c r="K9" s="20"/>
      <c r="L9" s="21" t="s">
        <v>22</v>
      </c>
      <c r="M9" s="12">
        <v>46002</v>
      </c>
      <c r="N9" s="4"/>
      <c r="O9" s="19">
        <v>45716</v>
      </c>
      <c r="P9" s="12" t="s">
        <v>32</v>
      </c>
      <c r="Q9" s="15"/>
    </row>
    <row r="10" spans="2:17" s="3" customFormat="1" ht="19.5" customHeight="1" x14ac:dyDescent="0.2">
      <c r="B10" s="25"/>
      <c r="C10" s="4" t="s">
        <v>31</v>
      </c>
      <c r="D10" s="4" t="s">
        <v>31</v>
      </c>
      <c r="E10" s="10" t="s">
        <v>26</v>
      </c>
      <c r="F10" s="1">
        <v>1</v>
      </c>
      <c r="G10" s="10">
        <v>12000</v>
      </c>
      <c r="H10" s="18">
        <f t="shared" si="0"/>
        <v>12000</v>
      </c>
      <c r="I10" s="2"/>
      <c r="J10" s="10" t="s">
        <v>26</v>
      </c>
      <c r="K10" s="20"/>
      <c r="L10" s="21" t="s">
        <v>22</v>
      </c>
      <c r="M10" s="12">
        <v>46002</v>
      </c>
      <c r="N10" s="4"/>
      <c r="O10" s="19">
        <v>45716</v>
      </c>
      <c r="P10" s="12" t="s">
        <v>32</v>
      </c>
      <c r="Q10" s="15"/>
    </row>
    <row r="11" spans="2:17" s="3" customFormat="1" ht="19.5" customHeight="1" x14ac:dyDescent="0.2">
      <c r="B11" s="23">
        <v>4</v>
      </c>
      <c r="C11" s="4" t="s">
        <v>31</v>
      </c>
      <c r="D11" s="4" t="s">
        <v>31</v>
      </c>
      <c r="E11" s="10" t="s">
        <v>27</v>
      </c>
      <c r="F11" s="1">
        <v>1</v>
      </c>
      <c r="G11" s="10">
        <v>62000</v>
      </c>
      <c r="H11" s="18">
        <f t="shared" si="0"/>
        <v>62000</v>
      </c>
      <c r="I11" s="2"/>
      <c r="J11" s="10" t="s">
        <v>27</v>
      </c>
      <c r="K11" s="20"/>
      <c r="L11" s="21" t="s">
        <v>22</v>
      </c>
      <c r="M11" s="12">
        <v>46002</v>
      </c>
      <c r="N11" s="4"/>
      <c r="O11" s="19">
        <v>45716</v>
      </c>
      <c r="P11" s="12" t="s">
        <v>32</v>
      </c>
      <c r="Q11" s="15"/>
    </row>
    <row r="12" spans="2:17" s="3" customFormat="1" ht="19.5" customHeight="1" x14ac:dyDescent="0.2">
      <c r="B12" s="23">
        <v>2</v>
      </c>
      <c r="C12" s="4" t="s">
        <v>31</v>
      </c>
      <c r="D12" s="4" t="s">
        <v>31</v>
      </c>
      <c r="E12" s="10" t="s">
        <v>28</v>
      </c>
      <c r="F12" s="1">
        <v>1</v>
      </c>
      <c r="G12" s="10">
        <v>31000</v>
      </c>
      <c r="H12" s="18">
        <f t="shared" si="0"/>
        <v>31000</v>
      </c>
      <c r="I12" s="2"/>
      <c r="J12" s="10" t="s">
        <v>28</v>
      </c>
      <c r="K12" s="20"/>
      <c r="L12" s="21" t="s">
        <v>22</v>
      </c>
      <c r="M12" s="12">
        <v>46002</v>
      </c>
      <c r="N12" s="4"/>
      <c r="O12" s="19">
        <v>45716</v>
      </c>
      <c r="P12" s="12" t="s">
        <v>32</v>
      </c>
      <c r="Q12" s="15"/>
    </row>
    <row r="13" spans="2:17" s="3" customFormat="1" ht="19.5" customHeight="1" x14ac:dyDescent="0.2">
      <c r="B13" s="4">
        <v>3</v>
      </c>
      <c r="C13" s="4" t="s">
        <v>31</v>
      </c>
      <c r="D13" s="4" t="s">
        <v>31</v>
      </c>
      <c r="E13" s="10" t="s">
        <v>29</v>
      </c>
      <c r="F13" s="1">
        <v>1</v>
      </c>
      <c r="G13" s="10">
        <v>50000</v>
      </c>
      <c r="H13" s="18">
        <f t="shared" si="0"/>
        <v>50000</v>
      </c>
      <c r="I13" s="2"/>
      <c r="J13" s="10" t="s">
        <v>29</v>
      </c>
      <c r="K13" s="20"/>
      <c r="L13" s="21" t="s">
        <v>22</v>
      </c>
      <c r="M13" s="12">
        <v>46002</v>
      </c>
      <c r="N13" s="4"/>
      <c r="O13" s="19">
        <v>45716</v>
      </c>
      <c r="P13" s="12" t="s">
        <v>32</v>
      </c>
      <c r="Q13" s="15"/>
    </row>
    <row r="14" spans="2:17" s="3" customFormat="1" ht="19.5" customHeight="1" x14ac:dyDescent="0.2">
      <c r="B14" s="4">
        <v>5</v>
      </c>
      <c r="C14" s="4" t="s">
        <v>31</v>
      </c>
      <c r="D14" s="4" t="s">
        <v>31</v>
      </c>
      <c r="E14" s="10" t="s">
        <v>30</v>
      </c>
      <c r="F14" s="1">
        <v>1</v>
      </c>
      <c r="G14" s="10">
        <v>38000</v>
      </c>
      <c r="H14" s="18">
        <f t="shared" si="0"/>
        <v>38000</v>
      </c>
      <c r="I14" s="2"/>
      <c r="J14" s="10" t="s">
        <v>30</v>
      </c>
      <c r="K14" s="20"/>
      <c r="L14" s="21" t="s">
        <v>22</v>
      </c>
      <c r="M14" s="12">
        <v>46002</v>
      </c>
      <c r="N14" s="4"/>
      <c r="O14" s="19">
        <v>45716</v>
      </c>
      <c r="P14" s="12" t="s">
        <v>32</v>
      </c>
      <c r="Q14" s="15"/>
    </row>
    <row r="15" spans="2:17" s="3" customFormat="1" ht="19.5" customHeight="1" x14ac:dyDescent="0.2">
      <c r="B15" s="22"/>
      <c r="C15" s="4"/>
      <c r="D15" s="4"/>
      <c r="E15" s="4"/>
      <c r="F15" s="1"/>
      <c r="G15" s="16"/>
      <c r="H15" s="18"/>
      <c r="I15" s="2"/>
      <c r="J15" s="10"/>
      <c r="K15" s="1"/>
      <c r="L15" s="1"/>
      <c r="M15" s="12"/>
      <c r="N15" s="4"/>
      <c r="O15" s="1"/>
      <c r="P15" s="12"/>
      <c r="Q15" s="15"/>
    </row>
    <row r="16" spans="2:17" ht="19.5" customHeight="1" x14ac:dyDescent="0.2"/>
  </sheetData>
  <autoFilter ref="B8:O14" xr:uid="{5445119D-ED0C-46E2-9EF8-E1C0F6663E51}"/>
  <mergeCells count="7">
    <mergeCell ref="B9:B10"/>
    <mergeCell ref="B6:D6"/>
    <mergeCell ref="G2:I2"/>
    <mergeCell ref="B2:D2"/>
    <mergeCell ref="B3:D3"/>
    <mergeCell ref="B4:D4"/>
    <mergeCell ref="B5:D5"/>
  </mergeCells>
  <phoneticPr fontId="1"/>
  <pageMargins left="0.2" right="0.2" top="0.36" bottom="0.41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D20D8-C2AF-4F99-BE7A-37361DF21D07}">
  <dimension ref="A1"/>
  <sheetViews>
    <sheetView topLeftCell="A7" workbookViewId="0">
      <selection activeCell="D7" sqref="D7:D57"/>
    </sheetView>
  </sheetViews>
  <sheetFormatPr defaultRowHeight="13" x14ac:dyDescent="0.2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615BA-4A34-416C-A11B-69381202487B}">
  <dimension ref="A1"/>
  <sheetViews>
    <sheetView workbookViewId="0"/>
  </sheetViews>
  <sheetFormatPr defaultRowHeight="13" x14ac:dyDescent="0.2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松丸Ｍ</cp:lastModifiedBy>
  <cp:lastPrinted>2012-01-12T04:44:33Z</cp:lastPrinted>
  <dcterms:created xsi:type="dcterms:W3CDTF">2011-12-13T06:48:43Z</dcterms:created>
  <dcterms:modified xsi:type="dcterms:W3CDTF">2026-01-08T01:47:42Z</dcterms:modified>
</cp:coreProperties>
</file>