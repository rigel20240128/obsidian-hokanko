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70" yWindow="105" windowWidth="15480" windowHeight="11640"/>
  </bookViews>
  <sheets>
    <sheet name="Sheet1" sheetId="1" r:id="rId1"/>
    <sheet name="Sheet2" sheetId="2" r:id="rId2"/>
    <sheet name="Sheet3" sheetId="3" r:id="rId3"/>
    <sheet name="Sheet1 ()" sheetId="4" r:id="rId4"/>
  </sheets>
  <definedNames>
    <definedName name="_xlnm._FilterDatabase" localSheetId="0" hidden="1">Sheet1!$B$10:$O$255</definedName>
    <definedName name="_xlnm._FilterDatabase" localSheetId="3" hidden="1">'Sheet1 ()'!$B$10:$O$255</definedName>
  </definedNames>
  <calcPr calcId="145621"/>
</workbook>
</file>

<file path=xl/calcChain.xml><?xml version="1.0" encoding="utf-8"?>
<calcChain xmlns="http://schemas.openxmlformats.org/spreadsheetml/2006/main">
  <c r="H80" i="4" l="1"/>
  <c r="H75" i="4"/>
  <c r="H74" i="4"/>
  <c r="H73" i="4"/>
  <c r="H72" i="4"/>
  <c r="H67" i="4"/>
  <c r="H65" i="4"/>
  <c r="H64" i="4"/>
  <c r="E81" i="4" s="1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E62" i="4" s="1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E44" i="4" s="1"/>
  <c r="H19" i="4"/>
  <c r="H16" i="4"/>
  <c r="H14" i="4"/>
  <c r="H13" i="4"/>
  <c r="H12" i="4"/>
  <c r="H11" i="4"/>
  <c r="J2" i="4" s="1"/>
  <c r="J4" i="4"/>
  <c r="E17" i="4" l="1"/>
  <c r="H75" i="1"/>
  <c r="H42" i="1"/>
  <c r="H41" i="1"/>
  <c r="H40" i="1"/>
  <c r="H39" i="1"/>
  <c r="H29" i="1"/>
  <c r="H28" i="1"/>
  <c r="H27" i="1"/>
  <c r="H26" i="1"/>
  <c r="H25" i="1"/>
  <c r="H61" i="1" l="1"/>
  <c r="H43" i="1"/>
  <c r="H60" i="1"/>
  <c r="H59" i="1"/>
  <c r="H58" i="1"/>
  <c r="H53" i="1"/>
  <c r="H38" i="1"/>
  <c r="H57" i="1"/>
  <c r="H55" i="1"/>
  <c r="H56" i="1"/>
  <c r="H54" i="1"/>
  <c r="H52" i="1"/>
  <c r="H51" i="1"/>
  <c r="H50" i="1"/>
  <c r="H49" i="1"/>
  <c r="H48" i="1"/>
  <c r="H47" i="1"/>
  <c r="H46" i="1"/>
  <c r="H32" i="1"/>
  <c r="H34" i="1"/>
  <c r="H33" i="1"/>
  <c r="H35" i="1"/>
  <c r="H22" i="1"/>
  <c r="H23" i="1"/>
  <c r="H24" i="1"/>
  <c r="H80" i="1"/>
  <c r="H74" i="1"/>
  <c r="H73" i="1"/>
  <c r="H72" i="1"/>
  <c r="H12" i="1"/>
  <c r="H67" i="1"/>
  <c r="H65" i="1"/>
  <c r="H64" i="1"/>
  <c r="H20" i="1"/>
  <c r="H21" i="1"/>
  <c r="H13" i="1"/>
  <c r="H19" i="1"/>
  <c r="H37" i="1"/>
  <c r="H36" i="1"/>
  <c r="H31" i="1"/>
  <c r="H30" i="1"/>
  <c r="H16" i="1"/>
  <c r="H11" i="1"/>
  <c r="J4" i="1" l="1"/>
  <c r="E62" i="1"/>
  <c r="E44" i="1"/>
  <c r="E81" i="1"/>
  <c r="E17" i="1"/>
  <c r="J2" i="1"/>
</calcChain>
</file>

<file path=xl/sharedStrings.xml><?xml version="1.0" encoding="utf-8"?>
<sst xmlns="http://schemas.openxmlformats.org/spreadsheetml/2006/main" count="600" uniqueCount="169">
  <si>
    <t>数量</t>
  </si>
  <si>
    <t>単価</t>
  </si>
  <si>
    <t>金額</t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</si>
  <si>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</si>
  <si>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</si>
  <si>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</si>
  <si>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</si>
  <si>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</si>
  <si>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</si>
  <si>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</si>
  <si>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</si>
  <si>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</si>
  <si>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</si>
  <si>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</si>
  <si>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</si>
  <si>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蛇の目</t>
    <rPh sb="0" eb="1">
      <t>ジャ</t>
    </rPh>
    <rPh sb="2" eb="3">
      <t>メ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</si>
  <si>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</si>
  <si>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</si>
  <si>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品名 / 型式</t>
    <rPh sb="0" eb="2">
      <t>ヒンメイ</t>
    </rPh>
    <rPh sb="5" eb="7">
      <t>カタシキ</t>
    </rPh>
    <phoneticPr fontId="2"/>
  </si>
  <si>
    <t>詳細</t>
    <rPh sb="0" eb="2">
      <t>ショウサイ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</si>
  <si>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</si>
  <si>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</si>
  <si>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東亜電気</t>
    <rPh sb="0" eb="2">
      <t>トウア</t>
    </rPh>
    <rPh sb="2" eb="4">
      <t>デンキ</t>
    </rPh>
    <phoneticPr fontId="2"/>
  </si>
  <si>
    <t>メーカー</t>
    <phoneticPr fontId="2"/>
  </si>
  <si>
    <t>荷造り運賃</t>
    <rPh sb="0" eb="2">
      <t>ニヅク</t>
    </rPh>
    <rPh sb="3" eb="5">
      <t>ウンチン</t>
    </rPh>
    <phoneticPr fontId="2"/>
  </si>
  <si>
    <t>SMC</t>
    <phoneticPr fontId="2"/>
  </si>
  <si>
    <t>都機工</t>
    <rPh sb="0" eb="1">
      <t>ミヤコ</t>
    </rPh>
    <rPh sb="1" eb="2">
      <t>キ</t>
    </rPh>
    <rPh sb="2" eb="3">
      <t>コウ</t>
    </rPh>
    <phoneticPr fontId="2"/>
  </si>
  <si>
    <t>AXSH212-VC-1PD2-2EB-1.5-1AC-2DA-F</t>
  </si>
  <si>
    <t>レギュレーター</t>
  </si>
  <si>
    <t>ＭＧＪ6-10</t>
    <phoneticPr fontId="2"/>
  </si>
  <si>
    <t>Xシリンダ</t>
    <phoneticPr fontId="2"/>
  </si>
  <si>
    <t>CXSJM6-10</t>
    <phoneticPr fontId="2"/>
  </si>
  <si>
    <t>Yシリンダ</t>
    <phoneticPr fontId="2"/>
  </si>
  <si>
    <t>KJL04-M3</t>
    <phoneticPr fontId="2"/>
  </si>
  <si>
    <t>φ4継ぎ手</t>
    <rPh sb="2" eb="3">
      <t>ツ</t>
    </rPh>
    <rPh sb="4" eb="5">
      <t>テ</t>
    </rPh>
    <phoneticPr fontId="2"/>
  </si>
  <si>
    <t>KJU04-00</t>
    <phoneticPr fontId="2"/>
  </si>
  <si>
    <t>φ4分岐</t>
    <rPh sb="2" eb="4">
      <t>ブンキ</t>
    </rPh>
    <phoneticPr fontId="2"/>
  </si>
  <si>
    <t>KJL04-M3</t>
    <phoneticPr fontId="11"/>
  </si>
  <si>
    <t>継ぎ手</t>
    <rPh sb="0" eb="1">
      <t>ツ</t>
    </rPh>
    <rPh sb="2" eb="3">
      <t>テ</t>
    </rPh>
    <phoneticPr fontId="11"/>
  </si>
  <si>
    <t>AW10-M5BＧ</t>
    <phoneticPr fontId="2"/>
  </si>
  <si>
    <t>φ6継ぎ手</t>
    <rPh sb="2" eb="3">
      <t>ツ</t>
    </rPh>
    <rPh sb="4" eb="5">
      <t>テ</t>
    </rPh>
    <phoneticPr fontId="2"/>
  </si>
  <si>
    <t>PC6-01</t>
    <phoneticPr fontId="2"/>
  </si>
  <si>
    <t>ミスミ</t>
  </si>
  <si>
    <t>ミスミ</t>
    <phoneticPr fontId="2"/>
  </si>
  <si>
    <t>PC6-M5</t>
    <phoneticPr fontId="2"/>
  </si>
  <si>
    <t>PC4-M5</t>
    <phoneticPr fontId="2"/>
  </si>
  <si>
    <t>ミスミ</t>
    <phoneticPr fontId="2"/>
  </si>
  <si>
    <t>MS3-10</t>
    <phoneticPr fontId="2"/>
  </si>
  <si>
    <t>ノックﾋﾟﾝ</t>
    <phoneticPr fontId="2"/>
  </si>
  <si>
    <t>ミスミ</t>
    <phoneticPr fontId="2"/>
  </si>
  <si>
    <t>SCB4-16</t>
    <phoneticPr fontId="2"/>
  </si>
  <si>
    <t>六角穴付きﾎﾞﾙﾄ　 (M4×16）</t>
    <phoneticPr fontId="2"/>
  </si>
  <si>
    <t>SCB5-20</t>
    <phoneticPr fontId="2"/>
  </si>
  <si>
    <t>六角穴付きﾎﾞﾙﾄ　 (M5×15）</t>
    <phoneticPr fontId="2"/>
  </si>
  <si>
    <t>配電用背板</t>
    <rPh sb="0" eb="2">
      <t>ハイデン</t>
    </rPh>
    <rPh sb="2" eb="3">
      <t>ヨウ</t>
    </rPh>
    <rPh sb="3" eb="4">
      <t>セ</t>
    </rPh>
    <rPh sb="4" eb="5">
      <t>イタ</t>
    </rPh>
    <phoneticPr fontId="2"/>
  </si>
  <si>
    <t>MRB160</t>
  </si>
  <si>
    <t>DINレール</t>
  </si>
  <si>
    <t>ESAW-TCM310-5P</t>
  </si>
  <si>
    <t>コモンブロック端子台</t>
    <rPh sb="7" eb="9">
      <t>タンシ</t>
    </rPh>
    <rPh sb="9" eb="10">
      <t>ダイ</t>
    </rPh>
    <phoneticPr fontId="2"/>
  </si>
  <si>
    <t>外部ｽｲｯﾁBOX</t>
    <rPh sb="0" eb="2">
      <t>ガイブ</t>
    </rPh>
    <phoneticPr fontId="2"/>
  </si>
  <si>
    <t>圧着端子（Y型）</t>
    <rPh sb="0" eb="2">
      <t>アッチャク</t>
    </rPh>
    <rPh sb="2" eb="4">
      <t>タンシ</t>
    </rPh>
    <rPh sb="6" eb="7">
      <t>ガタ</t>
    </rPh>
    <phoneticPr fontId="2"/>
  </si>
  <si>
    <t>F1.25-M3</t>
  </si>
  <si>
    <t>VTUB3.2-W-10</t>
  </si>
  <si>
    <t>ﾏｰｸﾁｭｰﾌﾞ</t>
  </si>
  <si>
    <t>ﾛﾎﾞｯﾄ部分</t>
    <rPh sb="5" eb="7">
      <t>ブブン</t>
    </rPh>
    <phoneticPr fontId="2"/>
  </si>
  <si>
    <t>ﾂｰﾙ冶具部分</t>
    <rPh sb="3" eb="5">
      <t>ジグ</t>
    </rPh>
    <rPh sb="5" eb="7">
      <t>ブブン</t>
    </rPh>
    <phoneticPr fontId="2"/>
  </si>
  <si>
    <t>配電とｴｱｰ部分</t>
    <rPh sb="0" eb="2">
      <t>ハイデン</t>
    </rPh>
    <rPh sb="6" eb="8">
      <t>ブブン</t>
    </rPh>
    <phoneticPr fontId="2"/>
  </si>
  <si>
    <t>JR-2203N</t>
    <phoneticPr fontId="2"/>
  </si>
  <si>
    <t>JR-TB</t>
    <phoneticPr fontId="2"/>
  </si>
  <si>
    <t>KCC7-4200-130529-9</t>
    <phoneticPr fontId="2"/>
  </si>
  <si>
    <t>SMC</t>
  </si>
  <si>
    <t>一体型ﾍﾞｰｽﾏﾆﾎｰﾙﾄﾞ</t>
    <rPh sb="0" eb="2">
      <t>イッタイ</t>
    </rPh>
    <rPh sb="2" eb="3">
      <t>ガタ</t>
    </rPh>
    <phoneticPr fontId="2"/>
  </si>
  <si>
    <t>ｼﾝｸﾞﾙｿﾚﾉｲﾄﾞﾊﾞﾙﾌﾞ</t>
  </si>
  <si>
    <t>*SY3000-26-9A</t>
  </si>
  <si>
    <t>ﾌﾞﾗﾝｷﾝｸﾞﾌﾟﾚｰﾄASSY</t>
  </si>
  <si>
    <t>*AN103-01</t>
  </si>
  <si>
    <t>ｻｲﾚﾝｻ　ｺﾝﾊﾟｸﾄﾀｲﾌﾟ</t>
  </si>
  <si>
    <t>SGPPP6A</t>
  </si>
  <si>
    <t>ﾌﾟﾗｸﾞ</t>
  </si>
  <si>
    <t>SS5Y3-20-03</t>
    <phoneticPr fontId="2"/>
  </si>
  <si>
    <t>NEDJ-PS-SB-37-1.5</t>
  </si>
  <si>
    <t>D-Subコネクタハーネス</t>
  </si>
  <si>
    <t>MWS-DS37A-HT37</t>
  </si>
  <si>
    <t>D-Subコネクタ端子台</t>
    <rPh sb="9" eb="11">
      <t>タンシ</t>
    </rPh>
    <rPh sb="11" eb="12">
      <t>ダイ</t>
    </rPh>
    <phoneticPr fontId="2"/>
  </si>
  <si>
    <t>I/Oｹｰﾌﾞﾙ(NOVADOT用ﾊﾞﾗ線ﾀｲﾌﾟ）</t>
    <rPh sb="16" eb="17">
      <t>ヨウ</t>
    </rPh>
    <rPh sb="20" eb="21">
      <t>セン</t>
    </rPh>
    <phoneticPr fontId="2"/>
  </si>
  <si>
    <t>ｿﾆｰｴﾅｼﾞｰﾃﾞﾊﾞｲｽ様(郡山事業所）</t>
    <rPh sb="15" eb="16">
      <t>サンヨウ</t>
    </rPh>
    <rPh sb="16" eb="18">
      <t>コオリヤマ</t>
    </rPh>
    <rPh sb="18" eb="21">
      <t>ジギョウショ</t>
    </rPh>
    <phoneticPr fontId="2"/>
  </si>
  <si>
    <t>青木</t>
    <rPh sb="0" eb="2">
      <t>アオキ</t>
    </rPh>
    <phoneticPr fontId="2"/>
  </si>
  <si>
    <t>パイプスペーサ</t>
  </si>
  <si>
    <t>ミニチュアスライドガイド</t>
  </si>
  <si>
    <t>六角支柱</t>
    <rPh sb="0" eb="2">
      <t>ロッカク</t>
    </rPh>
    <rPh sb="2" eb="4">
      <t>シチュウ</t>
    </rPh>
    <phoneticPr fontId="2"/>
  </si>
  <si>
    <t>SCB4-10</t>
    <phoneticPr fontId="2"/>
  </si>
  <si>
    <t>六角穴付きﾎﾞﾙﾄ　 (M4×14）</t>
    <phoneticPr fontId="2"/>
  </si>
  <si>
    <t>SCB3-18</t>
    <phoneticPr fontId="2"/>
  </si>
  <si>
    <t>六角穴付きﾎﾞﾙﾄ　 (M3×18）</t>
    <phoneticPr fontId="2"/>
  </si>
  <si>
    <t>MS6-10</t>
    <phoneticPr fontId="2"/>
  </si>
  <si>
    <t>SCB4-8</t>
    <phoneticPr fontId="2"/>
  </si>
  <si>
    <t>六角穴付きﾎﾞﾙﾄ　 (M4×8）</t>
    <phoneticPr fontId="2"/>
  </si>
  <si>
    <t>SCB3-6</t>
    <phoneticPr fontId="2"/>
  </si>
  <si>
    <t>六角穴付きﾎﾞﾙﾄ　 (M3×6）</t>
    <phoneticPr fontId="2"/>
  </si>
  <si>
    <t>ﾜｰｸ冶具部分</t>
    <rPh sb="3" eb="5">
      <t>ジグ</t>
    </rPh>
    <rPh sb="5" eb="7">
      <t>ブブン</t>
    </rPh>
    <phoneticPr fontId="2"/>
  </si>
  <si>
    <t>ﾏｶﾞｼﾞﾝｶﾞｲﾄﾞ　１</t>
    <phoneticPr fontId="2"/>
  </si>
  <si>
    <t>ﾏｶﾞｼﾞﾝｶﾞｲﾄﾞ　２</t>
  </si>
  <si>
    <t>ﾏｶﾞｼﾞﾝｶﾞｲﾄﾞ　３</t>
  </si>
  <si>
    <t>ﾏｶﾞｼﾞﾝ</t>
    <phoneticPr fontId="2"/>
  </si>
  <si>
    <t>ﾏｶﾞｼﾞﾝ補強板</t>
    <rPh sb="6" eb="8">
      <t>ホキョウ</t>
    </rPh>
    <rPh sb="8" eb="9">
      <t>イタ</t>
    </rPh>
    <phoneticPr fontId="2"/>
  </si>
  <si>
    <t>ﾏｸﾞﾈｯﾄｷｬｯﾁｬｰ</t>
    <phoneticPr fontId="2"/>
  </si>
  <si>
    <t>ﾏｸﾞﾈｯﾄφ5×10　TYPE</t>
    <phoneticPr fontId="2"/>
  </si>
  <si>
    <t>MS5-10</t>
    <phoneticPr fontId="2"/>
  </si>
  <si>
    <t>皿ﾈｼﾞ　Ｍ４×６mm</t>
    <rPh sb="0" eb="1">
      <t>サラ</t>
    </rPh>
    <phoneticPr fontId="2"/>
  </si>
  <si>
    <t>皿ﾈｼﾞ　Ｍ３×８mm</t>
    <rPh sb="0" eb="1">
      <t>サラ</t>
    </rPh>
    <phoneticPr fontId="2"/>
  </si>
  <si>
    <t>ﾅﾍﾞﾈｼﾞＭ４×６mm</t>
    <phoneticPr fontId="2"/>
  </si>
  <si>
    <t>JSC4-M5</t>
    <phoneticPr fontId="2"/>
  </si>
  <si>
    <t>ｽﾋﾟｰﾄﾞｺﾝﾄﾛｰﾗ</t>
    <phoneticPr fontId="2"/>
  </si>
  <si>
    <t>ｼﾘﾝﾀﾞ</t>
    <phoneticPr fontId="2"/>
  </si>
  <si>
    <t>*SY3120-5LZE-C4</t>
    <phoneticPr fontId="2"/>
  </si>
  <si>
    <t>HXN5-10</t>
    <phoneticPr fontId="2"/>
  </si>
  <si>
    <t>SBCB4-6</t>
    <phoneticPr fontId="2"/>
  </si>
  <si>
    <t>SFB3-8</t>
    <phoneticPr fontId="2"/>
  </si>
  <si>
    <t>SFB4-8</t>
    <phoneticPr fontId="2"/>
  </si>
  <si>
    <t>ｲﾓﾈｼﾞM4×5mm</t>
    <phoneticPr fontId="2"/>
  </si>
  <si>
    <t>MSSFS4-5</t>
    <phoneticPr fontId="2"/>
  </si>
  <si>
    <t>COM2　増設(2203Ｎ用COM2増設ｺﾈｸﾀﾊｰﾈｽ）</t>
    <rPh sb="5" eb="7">
      <t>ゾウセツ</t>
    </rPh>
    <rPh sb="13" eb="14">
      <t>ヨウ</t>
    </rPh>
    <rPh sb="18" eb="20">
      <t>ゾウセツ</t>
    </rPh>
    <phoneticPr fontId="2"/>
  </si>
  <si>
    <t>JR2203Ｎ用COM2増設ｺﾈｸﾀﾊｰﾈｽ</t>
    <phoneticPr fontId="2"/>
  </si>
  <si>
    <t>CDUK10-30D-M9NM</t>
    <phoneticPr fontId="2"/>
  </si>
  <si>
    <t>116605-X001　</t>
    <phoneticPr fontId="2"/>
  </si>
  <si>
    <t>UVﾗｲﾄｶﾞｲﾄﾞ　1</t>
    <phoneticPr fontId="2"/>
  </si>
  <si>
    <t>116605-X002</t>
    <phoneticPr fontId="2"/>
  </si>
  <si>
    <t>UVﾗｲﾄｶﾞｲﾄﾞ　2</t>
    <phoneticPr fontId="2"/>
  </si>
  <si>
    <t>116605-X003　</t>
    <phoneticPr fontId="2"/>
  </si>
  <si>
    <t>UVﾗｲﾄｶﾞｲﾄﾞ　3</t>
    <phoneticPr fontId="2"/>
  </si>
  <si>
    <t>116605-X004　</t>
    <phoneticPr fontId="2"/>
  </si>
  <si>
    <t>UVﾗｲﾄｶﾞｲﾄﾞ　4</t>
    <phoneticPr fontId="2"/>
  </si>
  <si>
    <t>116605-X005　</t>
    <phoneticPr fontId="2"/>
  </si>
  <si>
    <t>NOBADOT　UVﾌﾞﾗｹｯﾄ</t>
    <phoneticPr fontId="2"/>
  </si>
  <si>
    <t>接続部品</t>
    <phoneticPr fontId="2"/>
  </si>
  <si>
    <t>116605-X006　</t>
    <phoneticPr fontId="2"/>
  </si>
  <si>
    <t>116605-X007　</t>
    <phoneticPr fontId="2"/>
  </si>
  <si>
    <t>ｶﾒﾗﾌﾞﾗｹｯﾄ</t>
    <phoneticPr fontId="2"/>
  </si>
  <si>
    <t>116605-X008　</t>
    <phoneticPr fontId="2"/>
  </si>
  <si>
    <t>ｶﾒﾗｻｲﾄﾞﾌﾞﾗｹｯﾄ</t>
    <phoneticPr fontId="2"/>
  </si>
  <si>
    <t>116605-X009　</t>
    <phoneticPr fontId="2"/>
  </si>
  <si>
    <t>CV-035M用固定金具</t>
    <phoneticPr fontId="2"/>
  </si>
  <si>
    <t>116605-X010　</t>
    <phoneticPr fontId="2"/>
  </si>
  <si>
    <t>CV-035M用固定用ﾌﾞﾗｹｯﾄ</t>
    <phoneticPr fontId="2"/>
  </si>
  <si>
    <t>116605-X011　</t>
    <phoneticPr fontId="2"/>
  </si>
  <si>
    <t>CV-035M固定用ｽﾗｲﾄﾞﾌﾞﾗｹｯﾄ</t>
    <phoneticPr fontId="2"/>
  </si>
  <si>
    <t>SLSBWＲK7-60</t>
    <phoneticPr fontId="2"/>
  </si>
  <si>
    <t>SSE2B10-155</t>
    <phoneticPr fontId="2"/>
  </si>
  <si>
    <t>SP-S3-5</t>
    <phoneticPr fontId="2"/>
  </si>
  <si>
    <t>ﾛﾎﾞｯﾄ　在庫引き当て</t>
    <rPh sb="6" eb="8">
      <t>ザイコ</t>
    </rPh>
    <rPh sb="8" eb="9">
      <t>ヒ</t>
    </rPh>
    <rPh sb="10" eb="11">
      <t>ア</t>
    </rPh>
    <phoneticPr fontId="2"/>
  </si>
  <si>
    <t>ﾞﾛﾎﾞｯﾄ　在庫引き当て</t>
    <phoneticPr fontId="2"/>
  </si>
  <si>
    <t>116605-Y001　</t>
    <phoneticPr fontId="2"/>
  </si>
  <si>
    <t>ﾜｰｸ冶具ﾍﾞｰｽ</t>
    <phoneticPr fontId="2"/>
  </si>
  <si>
    <t>116605-Y002</t>
    <phoneticPr fontId="2"/>
  </si>
  <si>
    <t>116605-Y003</t>
  </si>
  <si>
    <t>116605-Y004</t>
  </si>
  <si>
    <t>116605-Y005-1　</t>
    <phoneticPr fontId="2"/>
  </si>
  <si>
    <t>116605-Y006-1　</t>
    <phoneticPr fontId="2"/>
  </si>
  <si>
    <t>116605-Y007-1　</t>
    <phoneticPr fontId="2"/>
  </si>
  <si>
    <t>東北ﾏﾃﾘｱﾙ</t>
    <rPh sb="0" eb="2">
      <t>トウホク</t>
    </rPh>
    <phoneticPr fontId="2"/>
  </si>
  <si>
    <t>NOBA4-10-9</t>
    <phoneticPr fontId="2"/>
  </si>
  <si>
    <t>ﾛｰﾚｯﾄﾈｼﾞ</t>
    <phoneticPr fontId="2"/>
  </si>
  <si>
    <t>116605-Z001</t>
    <phoneticPr fontId="2"/>
  </si>
  <si>
    <t>JSC4-M5B</t>
    <phoneticPr fontId="2"/>
  </si>
  <si>
    <t>ｽﾋﾟｰﾄﾞｺﾝﾄﾛｰﾗ</t>
    <phoneticPr fontId="2"/>
  </si>
  <si>
    <t>青木(斉藤秀）</t>
    <rPh sb="0" eb="2">
      <t>アオキ</t>
    </rPh>
    <rPh sb="3" eb="5">
      <t>サイトウ</t>
    </rPh>
    <rPh sb="5" eb="6">
      <t>シュウ</t>
    </rPh>
    <phoneticPr fontId="2"/>
  </si>
  <si>
    <t>*AN103-01⇒AN10-01(販売中止による同等品）</t>
    <rPh sb="18" eb="20">
      <t>ハンバイ</t>
    </rPh>
    <rPh sb="20" eb="22">
      <t>チュウシ</t>
    </rPh>
    <rPh sb="25" eb="28">
      <t>ドウトウヒン</t>
    </rPh>
    <phoneticPr fontId="2"/>
  </si>
  <si>
    <t>GPR-M-2CL-D24B</t>
    <phoneticPr fontId="2"/>
  </si>
  <si>
    <t>GPR-MS-2CD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</si>
</sst>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Calibri"/>
      <family val="2"/>
    </font>
    <font>
      <sz val="12"/>
      <name val="ＭＳ Ｐ明朝"/>
      <family val="1"/>
      <charset val="128"/>
    </font>
    <font>
      <b/>
      <sz val="16"/>
      <color indexed="8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6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/>
  </cellStyleXfs>
  <cellXfs count="21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>
      <alignment vertical="center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177" fontId="4" fillId="0" borderId="1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right" vertical="center"/>
    </xf>
    <xf numFmtId="56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178" fontId="4" fillId="0" borderId="0" xfId="0" applyNumberFormat="1" applyFont="1">
      <alignment vertical="center"/>
    </xf>
    <xf numFmtId="178" fontId="6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 shrinkToFit="1"/>
    </xf>
    <xf numFmtId="176" fontId="0" fillId="0" borderId="1" xfId="0" applyNumberFormat="1" applyFill="1" applyBorder="1" applyAlignment="1"/>
    <xf numFmtId="0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right" vertical="center"/>
    </xf>
    <xf numFmtId="0" fontId="8" fillId="0" borderId="1" xfId="2" applyFont="1" applyBorder="1" applyAlignment="1">
      <alignment horizontal="left"/>
    </xf>
    <xf numFmtId="0" fontId="8" fillId="0" borderId="1" xfId="2" applyFont="1" applyBorder="1" applyAlignment="1">
      <alignment vertical="center"/>
    </xf>
    <xf numFmtId="0" fontId="8" fillId="0" borderId="1" xfId="2" applyFont="1" applyFill="1" applyBorder="1" applyAlignment="1">
      <alignment vertical="center"/>
    </xf>
    <xf numFmtId="0" fontId="8" fillId="0" borderId="1" xfId="2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176" fontId="7" fillId="0" borderId="1" xfId="0" applyNumberFormat="1" applyFont="1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left" vertical="center" shrinkToFit="1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horizontal="right" vertical="center"/>
    </xf>
    <xf numFmtId="179" fontId="4" fillId="0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right" vertical="center"/>
    </xf>
    <xf numFmtId="179" fontId="1" fillId="0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56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9" fontId="1" fillId="0" borderId="1" xfId="0" applyNumberFormat="1" applyFont="1" applyBorder="1">
      <alignment vertical="center"/>
    </xf>
    <xf numFmtId="177" fontId="1" fillId="0" borderId="1" xfId="0" applyNumberFormat="1" applyFont="1" applyBorder="1">
      <alignment vertical="center"/>
    </xf>
    <xf numFmtId="0" fontId="10" fillId="0" borderId="1" xfId="0" applyFont="1" applyFill="1" applyBorder="1" applyAlignment="1">
      <alignment horizontal="right" vertical="center"/>
    </xf>
    <xf numFmtId="0" fontId="8" fillId="0" borderId="1" xfId="2" applyFont="1" applyBorder="1" applyAlignment="1">
      <alignment horizontal="right" vertical="center"/>
    </xf>
    <xf numFmtId="176" fontId="10" fillId="0" borderId="1" xfId="0" applyNumberFormat="1" applyFont="1" applyFill="1" applyBorder="1" applyAlignment="1">
      <alignment horizontal="right" vertical="center"/>
    </xf>
    <xf numFmtId="0" fontId="10" fillId="0" borderId="1" xfId="0" applyFont="1" applyFill="1" applyBorder="1" applyAlignment="1">
      <alignment vertical="center" shrinkToFit="1"/>
    </xf>
    <xf numFmtId="0" fontId="10" fillId="0" borderId="1" xfId="0" applyFont="1" applyFill="1" applyBorder="1" applyAlignment="1">
      <alignment horizontal="center" vertical="center" shrinkToFit="1"/>
    </xf>
    <xf numFmtId="176" fontId="10" fillId="0" borderId="1" xfId="0" applyNumberFormat="1" applyFont="1" applyFill="1" applyBorder="1" applyAlignment="1">
      <alignment horizontal="center"/>
    </xf>
    <xf numFmtId="176" fontId="10" fillId="0" borderId="1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/>
    <xf numFmtId="0" fontId="10" fillId="0" borderId="1" xfId="0" applyFont="1" applyBorder="1">
      <alignment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56" fontId="1" fillId="0" borderId="0" xfId="0" applyNumberFormat="1" applyFont="1" applyBorder="1" applyAlignment="1">
      <alignment horizontal="center" vertical="center"/>
    </xf>
    <xf numFmtId="177" fontId="1" fillId="0" borderId="0" xfId="0" applyNumberFormat="1" applyFont="1" applyBorder="1">
      <alignment vertical="center"/>
    </xf>
    <xf numFmtId="178" fontId="6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78" fontId="1" fillId="0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vertical="center" shrinkToFit="1"/>
    </xf>
    <xf numFmtId="0" fontId="1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10" fillId="0" borderId="1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177" fontId="4" fillId="0" borderId="0" xfId="0" applyNumberFormat="1" applyFont="1" applyBorder="1">
      <alignment vertical="center"/>
    </xf>
    <xf numFmtId="0" fontId="0" fillId="2" borderId="1" xfId="0" applyFill="1" applyBorder="1" applyAlignment="1">
      <alignment vertical="center" shrinkToFit="1"/>
    </xf>
    <xf numFmtId="0" fontId="0" fillId="2" borderId="1" xfId="0" applyFill="1" applyBorder="1" applyAlignment="1">
      <alignment horizontal="center" vertical="center" shrinkToFit="1"/>
    </xf>
    <xf numFmtId="49" fontId="0" fillId="2" borderId="1" xfId="0" applyNumberFormat="1" applyFill="1" applyBorder="1" applyAlignment="1">
      <alignment vertical="center" shrinkToFit="1"/>
    </xf>
    <xf numFmtId="49" fontId="0" fillId="2" borderId="1" xfId="0" applyNumberForma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vertical="center" shrinkToFit="1"/>
    </xf>
    <xf numFmtId="3" fontId="0" fillId="0" borderId="3" xfId="0" applyNumberFormat="1" applyFill="1" applyBorder="1" applyAlignment="1">
      <alignment horizontal="center" vertical="center" shrinkToFit="1"/>
    </xf>
    <xf numFmtId="0" fontId="8" fillId="0" borderId="3" xfId="2" applyFont="1" applyFill="1" applyBorder="1" applyAlignment="1">
      <alignment horizontal="left"/>
    </xf>
    <xf numFmtId="0" fontId="8" fillId="0" borderId="3" xfId="2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/>
    <xf numFmtId="0" fontId="12" fillId="0" borderId="1" xfId="0" applyFont="1" applyFill="1" applyBorder="1" applyAlignment="1">
      <alignment horizontal="center"/>
    </xf>
    <xf numFmtId="0" fontId="0" fillId="0" borderId="3" xfId="0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center" vertical="center" shrinkToFit="1"/>
    </xf>
    <xf numFmtId="176" fontId="1" fillId="0" borderId="3" xfId="0" applyNumberFormat="1" applyFont="1" applyFill="1" applyBorder="1" applyAlignment="1">
      <alignment horizontal="right" vertical="center"/>
    </xf>
    <xf numFmtId="176" fontId="4" fillId="0" borderId="4" xfId="0" applyNumberFormat="1" applyFont="1" applyFill="1" applyBorder="1" applyAlignment="1"/>
    <xf numFmtId="0" fontId="12" fillId="0" borderId="3" xfId="0" applyFont="1" applyBorder="1" applyAlignment="1"/>
    <xf numFmtId="0" fontId="12" fillId="0" borderId="3" xfId="0" applyFont="1" applyFill="1" applyBorder="1" applyAlignment="1">
      <alignment horizontal="center"/>
    </xf>
    <xf numFmtId="0" fontId="0" fillId="0" borderId="4" xfId="0" applyBorder="1">
      <alignment vertical="center"/>
    </xf>
    <xf numFmtId="49" fontId="8" fillId="0" borderId="1" xfId="0" applyNumberFormat="1" applyFont="1" applyFill="1" applyBorder="1" applyAlignment="1">
      <alignment vertical="center" shrinkToFi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76" fontId="0" fillId="0" borderId="2" xfId="0" applyNumberFormat="1" applyFill="1" applyBorder="1" applyAlignment="1"/>
    <xf numFmtId="176" fontId="1" fillId="0" borderId="1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right" vertical="center"/>
    </xf>
    <xf numFmtId="176" fontId="16" fillId="0" borderId="3" xfId="0" applyNumberFormat="1" applyFont="1" applyFill="1" applyBorder="1" applyAlignment="1">
      <alignment horizontal="right" vertical="center"/>
    </xf>
    <xf numFmtId="176" fontId="16" fillId="0" borderId="1" xfId="0" applyNumberFormat="1" applyFont="1" applyBorder="1" applyAlignment="1">
      <alignment horizontal="right" vertical="center"/>
    </xf>
    <xf numFmtId="0" fontId="0" fillId="0" borderId="3" xfId="0" applyFill="1" applyBorder="1" applyAlignment="1">
      <alignment horizontal="right" vertical="center"/>
    </xf>
    <xf numFmtId="0" fontId="0" fillId="0" borderId="4" xfId="0" applyFill="1" applyBorder="1">
      <alignment vertical="center"/>
    </xf>
    <xf numFmtId="0" fontId="12" fillId="0" borderId="3" xfId="0" applyFont="1" applyFill="1" applyBorder="1" applyAlignment="1"/>
    <xf numFmtId="0" fontId="0" fillId="0" borderId="1" xfId="0" applyFill="1" applyBorder="1" applyAlignment="1">
      <alignment horizontal="center" vertical="center" shrinkToFit="1"/>
    </xf>
    <xf numFmtId="0" fontId="0" fillId="0" borderId="0" xfId="0" applyFill="1" applyBorder="1" applyAlignment="1">
      <alignment vertical="center" shrinkToFit="1"/>
    </xf>
    <xf numFmtId="0" fontId="0" fillId="0" borderId="0" xfId="0" applyFill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0" fillId="6" borderId="4" xfId="0" applyNumberFormat="1" applyFill="1" applyBorder="1" applyAlignment="1">
      <alignment horizontal="center" vertical="center"/>
    </xf>
    <xf numFmtId="0" fontId="0" fillId="6" borderId="7" xfId="0" applyNumberFormat="1" applyFill="1" applyBorder="1" applyAlignment="1">
      <alignment horizontal="center" vertical="center"/>
    </xf>
    <xf numFmtId="176" fontId="16" fillId="6" borderId="3" xfId="0" applyNumberFormat="1" applyFont="1" applyFill="1" applyBorder="1" applyAlignment="1">
      <alignment horizontal="right" vertical="center"/>
    </xf>
    <xf numFmtId="0" fontId="12" fillId="6" borderId="3" xfId="0" applyFont="1" applyFill="1" applyBorder="1" applyAlignment="1">
      <alignment horizontal="center"/>
    </xf>
    <xf numFmtId="0" fontId="0" fillId="6" borderId="3" xfId="0" applyFill="1" applyBorder="1" applyAlignment="1">
      <alignment horizontal="right" vertical="center"/>
    </xf>
    <xf numFmtId="0" fontId="0" fillId="6" borderId="4" xfId="0" applyFill="1" applyBorder="1">
      <alignment vertical="center"/>
    </xf>
    <xf numFmtId="0" fontId="12" fillId="6" borderId="3" xfId="0" applyFont="1" applyFill="1" applyBorder="1" applyAlignment="1"/>
    <xf numFmtId="0" fontId="4" fillId="6" borderId="3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9" fontId="4" fillId="6" borderId="1" xfId="0" applyNumberFormat="1" applyFont="1" applyFill="1" applyBorder="1" applyAlignment="1">
      <alignment horizontal="center" vertical="center"/>
    </xf>
    <xf numFmtId="177" fontId="4" fillId="6" borderId="1" xfId="0" applyNumberFormat="1" applyFont="1" applyFill="1" applyBorder="1" applyAlignment="1">
      <alignment horizontal="right" vertical="center"/>
    </xf>
    <xf numFmtId="178" fontId="1" fillId="6" borderId="1" xfId="0" applyNumberFormat="1" applyFont="1" applyFill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0" fontId="0" fillId="6" borderId="0" xfId="0" applyFill="1" applyBorder="1" applyAlignment="1">
      <alignment vertical="center" shrinkToFit="1"/>
    </xf>
    <xf numFmtId="0" fontId="0" fillId="6" borderId="0" xfId="0" applyFill="1" applyBorder="1" applyAlignment="1">
      <alignment horizontal="center" vertical="center" shrinkToFit="1"/>
    </xf>
    <xf numFmtId="3" fontId="1" fillId="6" borderId="4" xfId="0" applyNumberFormat="1" applyFont="1" applyFill="1" applyBorder="1" applyAlignment="1">
      <alignment horizontal="center" vertical="center"/>
    </xf>
    <xf numFmtId="3" fontId="1" fillId="6" borderId="7" xfId="0" applyNumberFormat="1" applyFont="1" applyFill="1" applyBorder="1" applyAlignment="1">
      <alignment horizontal="center" vertical="center"/>
    </xf>
    <xf numFmtId="176" fontId="13" fillId="6" borderId="3" xfId="0" applyNumberFormat="1" applyFont="1" applyFill="1" applyBorder="1" applyAlignment="1">
      <alignment horizontal="right" vertical="center"/>
    </xf>
    <xf numFmtId="176" fontId="1" fillId="6" borderId="3" xfId="0" applyNumberFormat="1" applyFont="1" applyFill="1" applyBorder="1" applyAlignment="1">
      <alignment horizontal="center" vertical="center"/>
    </xf>
    <xf numFmtId="176" fontId="1" fillId="6" borderId="3" xfId="0" applyNumberFormat="1" applyFont="1" applyFill="1" applyBorder="1" applyAlignment="1">
      <alignment horizontal="right" vertical="center"/>
    </xf>
    <xf numFmtId="176" fontId="4" fillId="6" borderId="4" xfId="0" applyNumberFormat="1" applyFont="1" applyFill="1" applyBorder="1" applyAlignment="1"/>
    <xf numFmtId="0" fontId="0" fillId="6" borderId="3" xfId="0" applyFill="1" applyBorder="1" applyAlignment="1">
      <alignment horizontal="left" vertical="center" shrinkToFit="1"/>
    </xf>
    <xf numFmtId="179" fontId="1" fillId="6" borderId="1" xfId="0" applyNumberFormat="1" applyFont="1" applyFill="1" applyBorder="1" applyAlignment="1">
      <alignment horizontal="center" vertical="center"/>
    </xf>
    <xf numFmtId="0" fontId="0" fillId="6" borderId="1" xfId="0" applyNumberFormat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right" vertical="center"/>
    </xf>
    <xf numFmtId="176" fontId="0" fillId="6" borderId="1" xfId="0" applyNumberFormat="1" applyFill="1" applyBorder="1" applyAlignment="1">
      <alignment horizontal="right" vertical="center"/>
    </xf>
    <xf numFmtId="176" fontId="10" fillId="6" borderId="1" xfId="0" applyNumberFormat="1" applyFont="1" applyFill="1" applyBorder="1" applyAlignment="1"/>
    <xf numFmtId="0" fontId="8" fillId="6" borderId="1" xfId="1" applyFont="1" applyFill="1" applyBorder="1" applyAlignment="1">
      <alignment vertical="center"/>
    </xf>
    <xf numFmtId="0" fontId="10" fillId="6" borderId="1" xfId="0" applyFont="1" applyFill="1" applyBorder="1" applyAlignment="1">
      <alignment horizontal="center" vertical="center" shrinkToFit="1"/>
    </xf>
    <xf numFmtId="14" fontId="0" fillId="6" borderId="0" xfId="0" applyNumberFormat="1" applyFill="1">
      <alignment vertical="center"/>
    </xf>
    <xf numFmtId="0" fontId="4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/>
    </xf>
    <xf numFmtId="0" fontId="4" fillId="6" borderId="1" xfId="0" applyFont="1" applyFill="1" applyBorder="1">
      <alignment vertical="center"/>
    </xf>
    <xf numFmtId="179" fontId="1" fillId="6" borderId="1" xfId="0" applyNumberFormat="1" applyFont="1" applyFill="1" applyBorder="1">
      <alignment vertical="center"/>
    </xf>
    <xf numFmtId="176" fontId="0" fillId="0" borderId="3" xfId="0" applyNumberFormat="1" applyFont="1" applyFill="1" applyBorder="1" applyAlignment="1">
      <alignment horizontal="left" vertical="center"/>
    </xf>
    <xf numFmtId="0" fontId="8" fillId="7" borderId="3" xfId="2" applyFill="1" applyBorder="1" applyAlignment="1">
      <alignment horizontal="right" vertical="center"/>
    </xf>
    <xf numFmtId="176" fontId="1" fillId="7" borderId="1" xfId="0" applyNumberFormat="1" applyFont="1" applyFill="1" applyBorder="1" applyAlignment="1">
      <alignment horizontal="right" vertical="center"/>
    </xf>
    <xf numFmtId="176" fontId="0" fillId="7" borderId="1" xfId="0" applyNumberForma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3" xfId="0" applyFont="1" applyFill="1" applyBorder="1" applyAlignment="1">
      <alignment horizontal="right" vertical="center"/>
    </xf>
    <xf numFmtId="0" fontId="0" fillId="7" borderId="1" xfId="0" applyFill="1" applyBorder="1" applyAlignment="1">
      <alignment horizontal="right" vertical="center"/>
    </xf>
    <xf numFmtId="0" fontId="8" fillId="7" borderId="3" xfId="2" applyFont="1" applyFill="1" applyBorder="1" applyAlignment="1">
      <alignment horizontal="left"/>
    </xf>
    <xf numFmtId="0" fontId="8" fillId="7" borderId="3" xfId="2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shrinkToFit="1"/>
    </xf>
    <xf numFmtId="3" fontId="1" fillId="5" borderId="1" xfId="0" applyNumberFormat="1" applyFont="1" applyFill="1" applyBorder="1" applyAlignment="1">
      <alignment horizontal="center" vertical="center"/>
    </xf>
    <xf numFmtId="0" fontId="8" fillId="5" borderId="1" xfId="2" applyFont="1" applyFill="1" applyBorder="1" applyAlignment="1">
      <alignment horizontal="left"/>
    </xf>
    <xf numFmtId="0" fontId="8" fillId="5" borderId="1" xfId="2" applyFill="1" applyBorder="1" applyAlignment="1">
      <alignment horizontal="center" vertical="center"/>
    </xf>
    <xf numFmtId="0" fontId="8" fillId="5" borderId="1" xfId="2" applyFill="1" applyBorder="1" applyAlignment="1">
      <alignment horizontal="right" vertical="center"/>
    </xf>
    <xf numFmtId="176" fontId="0" fillId="5" borderId="1" xfId="0" applyNumberFormat="1" applyFill="1" applyBorder="1" applyAlignment="1">
      <alignment horizontal="right" vertical="center"/>
    </xf>
    <xf numFmtId="176" fontId="0" fillId="5" borderId="1" xfId="0" applyNumberForma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 shrinkToFit="1"/>
    </xf>
    <xf numFmtId="176" fontId="1" fillId="5" borderId="1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0" fontId="15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0" fillId="0" borderId="0" xfId="0" applyFill="1">
      <alignment vertical="center"/>
    </xf>
    <xf numFmtId="176" fontId="10" fillId="0" borderId="2" xfId="0" applyNumberFormat="1" applyFont="1" applyFill="1" applyBorder="1" applyAlignment="1">
      <alignment horizontal="center"/>
    </xf>
    <xf numFmtId="0" fontId="15" fillId="0" borderId="3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right" vertical="center"/>
    </xf>
    <xf numFmtId="178" fontId="0" fillId="0" borderId="0" xfId="0" applyNumberFormat="1">
      <alignment vertical="center"/>
    </xf>
    <xf numFmtId="178" fontId="4" fillId="0" borderId="1" xfId="0" applyNumberFormat="1" applyFont="1" applyFill="1" applyBorder="1" applyAlignment="1">
      <alignment horizontal="center" vertical="center"/>
    </xf>
    <xf numFmtId="178" fontId="4" fillId="0" borderId="0" xfId="0" applyNumberFormat="1" applyFont="1" applyBorder="1">
      <alignment vertical="center"/>
    </xf>
    <xf numFmtId="0" fontId="1" fillId="5" borderId="2" xfId="0" applyNumberFormat="1" applyFont="1" applyFill="1" applyBorder="1" applyAlignment="1">
      <alignment horizontal="center" vertical="center"/>
    </xf>
    <xf numFmtId="0" fontId="1" fillId="5" borderId="5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5" borderId="2" xfId="0" applyNumberFormat="1" applyFill="1" applyBorder="1" applyAlignment="1">
      <alignment horizontal="center" vertical="center"/>
    </xf>
    <xf numFmtId="0" fontId="0" fillId="5" borderId="5" xfId="0" applyNumberFormat="1" applyFill="1" applyBorder="1" applyAlignment="1">
      <alignment horizontal="center" vertical="center"/>
    </xf>
    <xf numFmtId="3" fontId="1" fillId="5" borderId="2" xfId="0" applyNumberFormat="1" applyFont="1" applyFill="1" applyBorder="1" applyAlignment="1">
      <alignment horizontal="center" vertical="center"/>
    </xf>
    <xf numFmtId="3" fontId="1" fillId="5" borderId="5" xfId="0" applyNumberFormat="1" applyFont="1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</cellXfs>
  <cellStyles count="3">
    <cellStyle name="標準" xfId="0" builtinId="0"/>
    <cellStyle name="標準 2" xfId="1"/>
    <cellStyle name="標準_発注管理表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V257"/>
  <sheetViews>
    <sheetView tabSelected="1" topLeftCell="A3" zoomScale="85" zoomScaleNormal="85" workbookViewId="0">
      <pane xSplit="10" ySplit="8" topLeftCell="Q65" activePane="bottomRight" state="frozen"/>
      <selection activeCell="A3" sqref="A3"/>
      <selection pane="topRight" activeCell="K3" sqref="K3"/>
      <selection pane="bottomLeft" activeCell="A11" sqref="A11"/>
      <selection pane="bottomRight" activeCell="Q85" sqref="Q85"/>
    </sheetView>
  </sheetViews>
  <sheetFormatPr defaultRowHeight="12" x14ac:dyDescent="0.15"/>
  <cols>
    <col min="1" max="1" width="2.625" style="192" customWidth="1"/>
    <col min="2" max="2" width="5.125" style="5" customWidth="1"/>
    <col min="3" max="3" width="11" style="2" customWidth="1"/>
    <col min="4" max="4" width="12.625" style="2" customWidth="1"/>
    <col min="5" max="5" width="39.125" style="5" bestFit="1" customWidth="1"/>
    <col min="6" max="6" width="9.25" style="5" bestFit="1" customWidth="1"/>
    <col min="7" max="7" width="9.25" style="6" bestFit="1" customWidth="1"/>
    <col min="8" max="8" width="13.375" style="6" customWidth="1"/>
    <col min="9" max="9" width="13" style="6" bestFit="1" customWidth="1"/>
    <col min="10" max="10" width="26.25" style="5" customWidth="1"/>
    <col min="11" max="11" width="32.25" style="5" bestFit="1" customWidth="1"/>
    <col min="12" max="12" width="13.5" style="5" bestFit="1" customWidth="1"/>
    <col min="13" max="13" width="13.75" style="5" customWidth="1"/>
    <col min="14" max="14" width="13.125" style="2" customWidth="1"/>
    <col min="15" max="15" width="13.25" style="6" customWidth="1"/>
    <col min="16" max="16" width="17.875" style="7" customWidth="1"/>
    <col min="17" max="17" width="27.625" style="22" customWidth="1"/>
    <col min="18" max="18" width="18" style="2" customWidth="1"/>
    <col min="19" max="22" width="9" style="2"/>
    <col min="23" max="23" width="25.125" style="2" customWidth="1"/>
    <col min="24" max="255" width="9" style="2" customWidth="1"/>
    <col min="256" max="16384" width="9" style="2"/>
  </cols>
  <sheetData>
    <row r="2" spans="1:17" ht="20.100000000000001" customHeight="1" x14ac:dyDescent="0.15">
      <c r="B2" s="206" t="s">
        <v>8</v>
      </c>
      <c r="C2" s="206"/>
      <c r="D2" s="206"/>
      <c r="E2" s="1" t="s">
        <v>22</v>
      </c>
      <c r="G2" s="203" t="s">
        <v>12</v>
      </c>
      <c r="H2" s="204"/>
      <c r="I2" s="205"/>
      <c r="J2" s="3">
        <f>SUM(H:H)</f>
        <v>229464</v>
      </c>
      <c r="K2" s="4"/>
      <c r="L2" s="4"/>
    </row>
    <row r="3" spans="1:17" customFormat="1" ht="13.5" x14ac:dyDescent="0.15">
      <c r="A3" s="193"/>
      <c r="B3" s="33"/>
      <c r="F3" s="33"/>
      <c r="G3" s="34"/>
      <c r="H3" s="34"/>
      <c r="I3" s="34"/>
      <c r="L3" s="33"/>
      <c r="M3" s="33"/>
      <c r="O3" s="34"/>
      <c r="Q3" s="198"/>
    </row>
    <row r="4" spans="1:17" customFormat="1" ht="20.100000000000001" customHeight="1" x14ac:dyDescent="0.15">
      <c r="A4" s="193"/>
      <c r="B4" s="208" t="s">
        <v>8</v>
      </c>
      <c r="C4" s="208"/>
      <c r="D4" s="208"/>
      <c r="E4" s="35" t="s">
        <v>85</v>
      </c>
      <c r="F4" s="33"/>
      <c r="G4" s="209" t="s">
        <v>12</v>
      </c>
      <c r="H4" s="210"/>
      <c r="I4" s="211"/>
      <c r="J4" s="36">
        <f>SUM(H:H)</f>
        <v>229464</v>
      </c>
      <c r="K4" s="37"/>
      <c r="L4" s="38"/>
      <c r="M4" s="33"/>
      <c r="O4" s="34"/>
      <c r="Q4" s="198"/>
    </row>
    <row r="5" spans="1:17" ht="20.100000000000001" customHeight="1" x14ac:dyDescent="0.15">
      <c r="B5" s="206" t="s">
        <v>7</v>
      </c>
      <c r="C5" s="206"/>
      <c r="D5" s="206"/>
      <c r="E5" s="128" t="s">
        <v>165</v>
      </c>
    </row>
    <row r="6" spans="1:17" ht="20.100000000000001" customHeight="1" x14ac:dyDescent="0.15">
      <c r="B6" s="206" t="s">
        <v>9</v>
      </c>
      <c r="C6" s="206"/>
      <c r="D6" s="206"/>
      <c r="E6" s="128">
        <v>116605</v>
      </c>
      <c r="G6" s="206" t="s">
        <v>14</v>
      </c>
      <c r="H6" s="206"/>
      <c r="I6" s="206"/>
      <c r="J6" s="207"/>
      <c r="K6" s="207"/>
    </row>
    <row r="7" spans="1:17" ht="20.100000000000001" customHeight="1" x14ac:dyDescent="0.15">
      <c r="B7" s="206" t="s">
        <v>10</v>
      </c>
      <c r="C7" s="206"/>
      <c r="D7" s="206"/>
      <c r="E7" s="129">
        <v>41708</v>
      </c>
      <c r="G7" s="206"/>
      <c r="H7" s="206"/>
      <c r="I7" s="206"/>
      <c r="J7" s="207"/>
      <c r="K7" s="207"/>
    </row>
    <row r="8" spans="1:17" ht="20.100000000000001" customHeight="1" x14ac:dyDescent="0.15">
      <c r="B8" s="206" t="s">
        <v>11</v>
      </c>
      <c r="C8" s="206"/>
      <c r="D8" s="206"/>
      <c r="E8" s="129">
        <v>41708</v>
      </c>
      <c r="G8" s="206"/>
      <c r="H8" s="206"/>
      <c r="I8" s="206"/>
      <c r="J8" s="207"/>
      <c r="K8" s="207"/>
    </row>
    <row r="10" spans="1:17" s="12" customFormat="1" ht="19.5" customHeight="1" x14ac:dyDescent="0.15">
      <c r="B10" s="8" t="s">
        <v>3</v>
      </c>
      <c r="C10" s="8" t="s">
        <v>23</v>
      </c>
      <c r="D10" s="8" t="s">
        <v>4</v>
      </c>
      <c r="E10" s="9" t="s">
        <v>18</v>
      </c>
      <c r="F10" s="9" t="s">
        <v>0</v>
      </c>
      <c r="G10" s="114" t="s">
        <v>1</v>
      </c>
      <c r="H10" s="115" t="s">
        <v>2</v>
      </c>
      <c r="I10" s="10" t="s">
        <v>16</v>
      </c>
      <c r="J10" s="9" t="s">
        <v>19</v>
      </c>
      <c r="K10" s="9" t="s">
        <v>14</v>
      </c>
      <c r="L10" s="9" t="s">
        <v>13</v>
      </c>
      <c r="M10" s="8" t="s">
        <v>5</v>
      </c>
      <c r="N10" s="8" t="s">
        <v>17</v>
      </c>
      <c r="O10" s="9" t="s">
        <v>6</v>
      </c>
      <c r="P10" s="42" t="s">
        <v>20</v>
      </c>
      <c r="Q10" s="199" t="s">
        <v>21</v>
      </c>
    </row>
    <row r="11" spans="1:17" s="12" customFormat="1" ht="18" customHeight="1" x14ac:dyDescent="0.15">
      <c r="B11" s="8"/>
      <c r="C11" s="180" t="s">
        <v>15</v>
      </c>
      <c r="D11" s="180" t="s">
        <v>15</v>
      </c>
      <c r="E11" s="186" t="s">
        <v>67</v>
      </c>
      <c r="F11" s="187">
        <v>1</v>
      </c>
      <c r="G11" s="188"/>
      <c r="H11" s="188">
        <f>F11*G11</f>
        <v>0</v>
      </c>
      <c r="I11" s="189"/>
      <c r="J11" s="178" t="s">
        <v>149</v>
      </c>
      <c r="K11" s="9"/>
      <c r="L11" s="13"/>
      <c r="M11" s="42"/>
      <c r="N11" s="42"/>
      <c r="O11" s="14"/>
      <c r="P11" s="46"/>
      <c r="Q11" s="21"/>
    </row>
    <row r="12" spans="1:17" s="12" customFormat="1" ht="18" customHeight="1" x14ac:dyDescent="0.15">
      <c r="B12" s="8"/>
      <c r="C12" s="71" t="s">
        <v>15</v>
      </c>
      <c r="D12" s="71" t="s">
        <v>15</v>
      </c>
      <c r="E12" s="73" t="s">
        <v>121</v>
      </c>
      <c r="F12" s="111">
        <v>1</v>
      </c>
      <c r="G12" s="72">
        <v>2500</v>
      </c>
      <c r="H12" s="72">
        <f>F12*G12</f>
        <v>2500</v>
      </c>
      <c r="I12" s="25"/>
      <c r="J12" s="39" t="s">
        <v>122</v>
      </c>
      <c r="K12" s="13"/>
      <c r="L12" s="13"/>
      <c r="M12" s="42"/>
      <c r="N12" s="42">
        <v>41687</v>
      </c>
      <c r="O12" s="14"/>
      <c r="P12" s="46">
        <v>41694</v>
      </c>
      <c r="Q12" s="21">
        <v>41694</v>
      </c>
    </row>
    <row r="13" spans="1:17" s="12" customFormat="1" ht="18" customHeight="1" x14ac:dyDescent="0.15">
      <c r="B13" s="8"/>
      <c r="C13" s="180" t="s">
        <v>15</v>
      </c>
      <c r="D13" s="180" t="s">
        <v>15</v>
      </c>
      <c r="E13" s="181" t="s">
        <v>68</v>
      </c>
      <c r="F13" s="182">
        <v>1</v>
      </c>
      <c r="G13" s="183"/>
      <c r="H13" s="184">
        <f>F13*G13</f>
        <v>0</v>
      </c>
      <c r="I13" s="185"/>
      <c r="J13" s="179" t="s">
        <v>150</v>
      </c>
      <c r="K13" s="13"/>
      <c r="L13" s="13"/>
      <c r="M13" s="42"/>
      <c r="N13" s="42"/>
      <c r="O13" s="14"/>
      <c r="P13" s="46"/>
      <c r="Q13" s="21"/>
    </row>
    <row r="14" spans="1:17" s="12" customFormat="1" ht="18" customHeight="1" x14ac:dyDescent="0.15">
      <c r="B14" s="8"/>
      <c r="C14" s="71" t="s">
        <v>15</v>
      </c>
      <c r="D14" s="71" t="s">
        <v>15</v>
      </c>
      <c r="E14" s="73" t="s">
        <v>24</v>
      </c>
      <c r="F14" s="111">
        <v>1</v>
      </c>
      <c r="G14" s="72">
        <v>1000</v>
      </c>
      <c r="H14" s="72">
        <v>1000</v>
      </c>
      <c r="I14" s="25"/>
      <c r="J14" s="39"/>
      <c r="K14" s="13"/>
      <c r="L14" s="13"/>
      <c r="M14" s="42"/>
      <c r="N14" s="42"/>
      <c r="O14" s="14"/>
      <c r="P14" s="46"/>
      <c r="Q14" s="21"/>
    </row>
    <row r="15" spans="1:17" s="12" customFormat="1" ht="18" customHeight="1" x14ac:dyDescent="0.15">
      <c r="B15" s="8"/>
      <c r="C15" s="71" t="s">
        <v>42</v>
      </c>
      <c r="D15" s="71" t="s">
        <v>42</v>
      </c>
      <c r="E15" s="91" t="s">
        <v>27</v>
      </c>
      <c r="F15" s="111">
        <v>1</v>
      </c>
      <c r="G15" s="72">
        <v>6615</v>
      </c>
      <c r="H15" s="72">
        <v>6615</v>
      </c>
      <c r="I15" s="15"/>
      <c r="J15" s="39" t="s">
        <v>59</v>
      </c>
      <c r="K15" s="13"/>
      <c r="L15" s="13"/>
      <c r="M15" s="42"/>
      <c r="N15" s="42">
        <v>41687</v>
      </c>
      <c r="O15" s="14"/>
      <c r="P15" s="46">
        <v>41694</v>
      </c>
      <c r="Q15" s="21">
        <v>41694</v>
      </c>
    </row>
    <row r="16" spans="1:17" s="12" customFormat="1" ht="18" customHeight="1" x14ac:dyDescent="0.15">
      <c r="B16" s="8"/>
      <c r="C16" s="71" t="s">
        <v>42</v>
      </c>
      <c r="D16" s="71" t="s">
        <v>42</v>
      </c>
      <c r="E16" s="91" t="s">
        <v>69</v>
      </c>
      <c r="F16" s="111">
        <v>1</v>
      </c>
      <c r="G16" s="72">
        <v>4200</v>
      </c>
      <c r="H16" s="72">
        <f t="shared" ref="H16:H43" si="0">F16*G16</f>
        <v>4200</v>
      </c>
      <c r="I16" s="15"/>
      <c r="J16" s="39" t="s">
        <v>84</v>
      </c>
      <c r="K16" s="13"/>
      <c r="L16" s="13"/>
      <c r="M16" s="42"/>
      <c r="N16" s="42">
        <v>41687</v>
      </c>
      <c r="O16" s="14"/>
      <c r="P16" s="46">
        <v>41695</v>
      </c>
      <c r="Q16" s="21">
        <v>41696</v>
      </c>
    </row>
    <row r="17" spans="1:74" s="12" customFormat="1" ht="18" customHeight="1" x14ac:dyDescent="0.15">
      <c r="B17" s="8"/>
      <c r="C17" s="214" t="s">
        <v>64</v>
      </c>
      <c r="D17" s="215"/>
      <c r="E17" s="119">
        <f>SUM(H11:H16)</f>
        <v>14315</v>
      </c>
      <c r="F17" s="112"/>
      <c r="G17" s="102"/>
      <c r="H17" s="9"/>
      <c r="I17" s="103"/>
      <c r="J17" s="100"/>
      <c r="K17" s="13"/>
      <c r="L17" s="13"/>
      <c r="M17" s="42"/>
      <c r="N17" s="42"/>
      <c r="O17" s="14"/>
      <c r="P17" s="46"/>
      <c r="Q17" s="21"/>
    </row>
    <row r="18" spans="1:74" s="130" customFormat="1" ht="18" customHeight="1" x14ac:dyDescent="0.15">
      <c r="A18" s="12"/>
      <c r="B18" s="131"/>
      <c r="C18" s="147"/>
      <c r="D18" s="148"/>
      <c r="E18" s="149"/>
      <c r="F18" s="150"/>
      <c r="G18" s="151"/>
      <c r="I18" s="152"/>
      <c r="J18" s="153"/>
      <c r="K18" s="140"/>
      <c r="L18" s="140"/>
      <c r="M18" s="141"/>
      <c r="N18" s="141"/>
      <c r="O18" s="142"/>
      <c r="P18" s="154"/>
      <c r="Q18" s="144"/>
    </row>
    <row r="19" spans="1:74" s="12" customFormat="1" ht="18" customHeight="1" x14ac:dyDescent="0.15">
      <c r="B19" s="8"/>
      <c r="C19" s="92" t="s">
        <v>159</v>
      </c>
      <c r="D19" s="92" t="s">
        <v>159</v>
      </c>
      <c r="E19" s="93" t="s">
        <v>124</v>
      </c>
      <c r="F19" s="94">
        <v>1</v>
      </c>
      <c r="G19" s="169">
        <v>3800</v>
      </c>
      <c r="H19" s="170">
        <f t="shared" si="0"/>
        <v>3800</v>
      </c>
      <c r="I19" s="95"/>
      <c r="J19" s="93" t="s">
        <v>125</v>
      </c>
      <c r="K19" s="13"/>
      <c r="L19" s="13"/>
      <c r="M19" s="42"/>
      <c r="N19" s="42">
        <v>41687</v>
      </c>
      <c r="O19" s="14"/>
      <c r="P19" s="46">
        <v>41705</v>
      </c>
      <c r="Q19" s="21">
        <v>41705</v>
      </c>
      <c r="BV19" s="169">
        <v>15000</v>
      </c>
    </row>
    <row r="20" spans="1:74" s="12" customFormat="1" ht="18" customHeight="1" x14ac:dyDescent="0.15">
      <c r="B20" s="8"/>
      <c r="C20" s="92" t="s">
        <v>159</v>
      </c>
      <c r="D20" s="92" t="s">
        <v>159</v>
      </c>
      <c r="E20" s="93" t="s">
        <v>126</v>
      </c>
      <c r="F20" s="94">
        <v>1</v>
      </c>
      <c r="G20" s="169">
        <v>2700</v>
      </c>
      <c r="H20" s="170">
        <f t="shared" si="0"/>
        <v>2700</v>
      </c>
      <c r="I20" s="95"/>
      <c r="J20" s="93" t="s">
        <v>127</v>
      </c>
      <c r="K20" s="13"/>
      <c r="L20" s="13"/>
      <c r="M20" s="42"/>
      <c r="N20" s="42">
        <v>41687</v>
      </c>
      <c r="O20" s="14"/>
      <c r="P20" s="46">
        <v>41705</v>
      </c>
      <c r="Q20" s="21">
        <v>41705</v>
      </c>
      <c r="BV20" s="169">
        <v>6500</v>
      </c>
    </row>
    <row r="21" spans="1:74" s="12" customFormat="1" ht="18" customHeight="1" x14ac:dyDescent="0.15">
      <c r="B21" s="8"/>
      <c r="C21" s="92" t="s">
        <v>159</v>
      </c>
      <c r="D21" s="92" t="s">
        <v>159</v>
      </c>
      <c r="E21" s="93" t="s">
        <v>128</v>
      </c>
      <c r="F21" s="94">
        <v>1</v>
      </c>
      <c r="G21" s="169">
        <v>4100</v>
      </c>
      <c r="H21" s="170">
        <f t="shared" si="0"/>
        <v>4100</v>
      </c>
      <c r="I21" s="95"/>
      <c r="J21" s="93" t="s">
        <v>129</v>
      </c>
      <c r="K21" s="13"/>
      <c r="L21" s="13"/>
      <c r="M21" s="42"/>
      <c r="N21" s="42">
        <v>41687</v>
      </c>
      <c r="O21" s="14"/>
      <c r="P21" s="46">
        <v>41705</v>
      </c>
      <c r="Q21" s="21">
        <v>41705</v>
      </c>
      <c r="BV21" s="169">
        <v>6500</v>
      </c>
    </row>
    <row r="22" spans="1:74" s="12" customFormat="1" ht="18" customHeight="1" x14ac:dyDescent="0.15">
      <c r="B22" s="8"/>
      <c r="C22" s="92" t="s">
        <v>159</v>
      </c>
      <c r="D22" s="92" t="s">
        <v>159</v>
      </c>
      <c r="E22" s="93" t="s">
        <v>130</v>
      </c>
      <c r="F22" s="94">
        <v>1</v>
      </c>
      <c r="G22" s="169">
        <v>7500</v>
      </c>
      <c r="H22" s="170">
        <f t="shared" si="0"/>
        <v>7500</v>
      </c>
      <c r="I22" s="95"/>
      <c r="J22" s="93" t="s">
        <v>131</v>
      </c>
      <c r="K22" s="13"/>
      <c r="L22" s="13"/>
      <c r="M22" s="42"/>
      <c r="N22" s="42">
        <v>41687</v>
      </c>
      <c r="O22" s="14"/>
      <c r="P22" s="46">
        <v>41705</v>
      </c>
      <c r="Q22" s="21">
        <v>41705</v>
      </c>
      <c r="BV22" s="169">
        <v>5000</v>
      </c>
    </row>
    <row r="23" spans="1:74" s="12" customFormat="1" ht="18" customHeight="1" x14ac:dyDescent="0.15">
      <c r="B23" s="8"/>
      <c r="C23" s="92" t="s">
        <v>159</v>
      </c>
      <c r="D23" s="92" t="s">
        <v>159</v>
      </c>
      <c r="E23" s="175" t="s">
        <v>132</v>
      </c>
      <c r="F23" s="176">
        <v>1</v>
      </c>
      <c r="G23" s="169">
        <v>10500</v>
      </c>
      <c r="H23" s="170">
        <f t="shared" si="0"/>
        <v>10500</v>
      </c>
      <c r="I23" s="177"/>
      <c r="J23" s="175" t="s">
        <v>133</v>
      </c>
      <c r="K23" s="13"/>
      <c r="L23" s="13"/>
      <c r="M23" s="42"/>
      <c r="N23" s="42">
        <v>41687</v>
      </c>
      <c r="O23" s="14"/>
      <c r="P23" s="46">
        <v>41705</v>
      </c>
      <c r="Q23" s="21">
        <v>41705</v>
      </c>
      <c r="BV23" s="169">
        <v>4500</v>
      </c>
    </row>
    <row r="24" spans="1:74" s="12" customFormat="1" ht="18" customHeight="1" x14ac:dyDescent="0.15">
      <c r="B24" s="8"/>
      <c r="C24" s="92" t="s">
        <v>159</v>
      </c>
      <c r="D24" s="92" t="s">
        <v>159</v>
      </c>
      <c r="E24" s="175" t="s">
        <v>135</v>
      </c>
      <c r="F24" s="176">
        <v>1</v>
      </c>
      <c r="G24" s="169">
        <v>5000</v>
      </c>
      <c r="H24" s="170">
        <f t="shared" si="0"/>
        <v>5000</v>
      </c>
      <c r="I24" s="177"/>
      <c r="J24" s="175" t="s">
        <v>134</v>
      </c>
      <c r="K24" s="13"/>
      <c r="L24" s="13"/>
      <c r="M24" s="42"/>
      <c r="N24" s="42">
        <v>41687</v>
      </c>
      <c r="O24" s="14"/>
      <c r="P24" s="46">
        <v>41705</v>
      </c>
      <c r="Q24" s="21">
        <v>41705</v>
      </c>
      <c r="BV24" s="169">
        <v>7000</v>
      </c>
    </row>
    <row r="25" spans="1:74" s="12" customFormat="1" ht="18" customHeight="1" x14ac:dyDescent="0.15">
      <c r="B25" s="8"/>
      <c r="C25" s="92" t="s">
        <v>159</v>
      </c>
      <c r="D25" s="92" t="s">
        <v>159</v>
      </c>
      <c r="E25" s="175" t="s">
        <v>136</v>
      </c>
      <c r="F25" s="176">
        <v>1</v>
      </c>
      <c r="G25" s="169">
        <v>18480</v>
      </c>
      <c r="H25" s="170">
        <f t="shared" si="0"/>
        <v>18480</v>
      </c>
      <c r="I25" s="177"/>
      <c r="J25" s="175" t="s">
        <v>137</v>
      </c>
      <c r="K25" s="13"/>
      <c r="L25" s="13"/>
      <c r="M25" s="42"/>
      <c r="N25" s="42">
        <v>41687</v>
      </c>
      <c r="O25" s="14"/>
      <c r="P25" s="46">
        <v>41705</v>
      </c>
      <c r="Q25" s="21">
        <v>41705</v>
      </c>
    </row>
    <row r="26" spans="1:74" s="12" customFormat="1" ht="18" customHeight="1" x14ac:dyDescent="0.15">
      <c r="B26" s="8"/>
      <c r="C26" s="92" t="s">
        <v>159</v>
      </c>
      <c r="D26" s="92" t="s">
        <v>159</v>
      </c>
      <c r="E26" s="175" t="s">
        <v>138</v>
      </c>
      <c r="F26" s="176">
        <v>2</v>
      </c>
      <c r="G26" s="169">
        <v>1800</v>
      </c>
      <c r="H26" s="170">
        <f t="shared" si="0"/>
        <v>3600</v>
      </c>
      <c r="I26" s="177"/>
      <c r="J26" s="175" t="s">
        <v>139</v>
      </c>
      <c r="K26" s="13"/>
      <c r="L26" s="13"/>
      <c r="M26" s="42"/>
      <c r="N26" s="42">
        <v>41687</v>
      </c>
      <c r="O26" s="14"/>
      <c r="P26" s="46">
        <v>41705</v>
      </c>
      <c r="Q26" s="21">
        <v>41705</v>
      </c>
    </row>
    <row r="27" spans="1:74" s="12" customFormat="1" ht="18" customHeight="1" x14ac:dyDescent="0.15">
      <c r="B27" s="8"/>
      <c r="C27" s="92" t="s">
        <v>159</v>
      </c>
      <c r="D27" s="92" t="s">
        <v>159</v>
      </c>
      <c r="E27" s="175" t="s">
        <v>140</v>
      </c>
      <c r="F27" s="176">
        <v>1</v>
      </c>
      <c r="G27" s="169">
        <v>1800</v>
      </c>
      <c r="H27" s="170">
        <f t="shared" si="0"/>
        <v>1800</v>
      </c>
      <c r="I27" s="177"/>
      <c r="J27" s="175" t="s">
        <v>141</v>
      </c>
      <c r="K27" s="13"/>
      <c r="L27" s="13"/>
      <c r="M27" s="42"/>
      <c r="N27" s="42">
        <v>41687</v>
      </c>
      <c r="O27" s="14"/>
      <c r="P27" s="46">
        <v>41705</v>
      </c>
      <c r="Q27" s="21">
        <v>41705</v>
      </c>
    </row>
    <row r="28" spans="1:74" s="12" customFormat="1" ht="18" customHeight="1" x14ac:dyDescent="0.15">
      <c r="B28" s="8"/>
      <c r="C28" s="92" t="s">
        <v>159</v>
      </c>
      <c r="D28" s="92" t="s">
        <v>159</v>
      </c>
      <c r="E28" s="175" t="s">
        <v>142</v>
      </c>
      <c r="F28" s="176">
        <v>1</v>
      </c>
      <c r="G28" s="169">
        <v>4800</v>
      </c>
      <c r="H28" s="170">
        <f t="shared" si="0"/>
        <v>4800</v>
      </c>
      <c r="I28" s="177"/>
      <c r="J28" s="175" t="s">
        <v>143</v>
      </c>
      <c r="K28" s="13"/>
      <c r="L28" s="13"/>
      <c r="M28" s="42"/>
      <c r="N28" s="42">
        <v>41687</v>
      </c>
      <c r="O28" s="14"/>
      <c r="P28" s="46">
        <v>41705</v>
      </c>
      <c r="Q28" s="21">
        <v>41705</v>
      </c>
    </row>
    <row r="29" spans="1:74" s="12" customFormat="1" ht="18" customHeight="1" x14ac:dyDescent="0.15">
      <c r="B29" s="8"/>
      <c r="C29" s="92" t="s">
        <v>159</v>
      </c>
      <c r="D29" s="92" t="s">
        <v>159</v>
      </c>
      <c r="E29" s="175" t="s">
        <v>144</v>
      </c>
      <c r="F29" s="176">
        <v>2</v>
      </c>
      <c r="G29" s="169">
        <v>5320</v>
      </c>
      <c r="H29" s="170">
        <f t="shared" si="0"/>
        <v>10640</v>
      </c>
      <c r="I29" s="177"/>
      <c r="J29" s="175" t="s">
        <v>145</v>
      </c>
      <c r="K29" s="13"/>
      <c r="L29" s="13"/>
      <c r="M29" s="42"/>
      <c r="N29" s="42">
        <v>41687</v>
      </c>
      <c r="O29" s="14"/>
      <c r="P29" s="46">
        <v>41705</v>
      </c>
      <c r="Q29" s="21">
        <v>41705</v>
      </c>
    </row>
    <row r="30" spans="1:74" s="12" customFormat="1" ht="18" customHeight="1" x14ac:dyDescent="0.15">
      <c r="B30" s="8"/>
      <c r="C30" s="26" t="s">
        <v>43</v>
      </c>
      <c r="D30" s="26" t="s">
        <v>46</v>
      </c>
      <c r="E30" s="24" t="s">
        <v>47</v>
      </c>
      <c r="F30" s="97">
        <v>20</v>
      </c>
      <c r="G30" s="171">
        <v>34</v>
      </c>
      <c r="H30" s="171">
        <f t="shared" si="0"/>
        <v>680</v>
      </c>
      <c r="I30" s="28"/>
      <c r="J30" s="39" t="s">
        <v>48</v>
      </c>
      <c r="K30" s="24"/>
      <c r="L30" s="13"/>
      <c r="M30" s="42"/>
      <c r="N30" s="42">
        <v>41687</v>
      </c>
      <c r="O30" s="14"/>
      <c r="P30" s="46">
        <v>41694</v>
      </c>
      <c r="Q30" s="21">
        <v>41694</v>
      </c>
      <c r="V30" s="89"/>
      <c r="W30" s="83" t="s">
        <v>29</v>
      </c>
      <c r="X30" s="84" t="s">
        <v>30</v>
      </c>
    </row>
    <row r="31" spans="1:74" s="12" customFormat="1" ht="18" customHeight="1" x14ac:dyDescent="0.15">
      <c r="B31" s="8"/>
      <c r="C31" s="26" t="s">
        <v>46</v>
      </c>
      <c r="D31" s="26" t="s">
        <v>49</v>
      </c>
      <c r="E31" s="24" t="s">
        <v>94</v>
      </c>
      <c r="F31" s="97">
        <v>2</v>
      </c>
      <c r="G31" s="28">
        <v>106</v>
      </c>
      <c r="H31" s="28">
        <f t="shared" si="0"/>
        <v>212</v>
      </c>
      <c r="I31" s="28"/>
      <c r="J31" s="39" t="s">
        <v>48</v>
      </c>
      <c r="K31" s="24"/>
      <c r="L31" s="13"/>
      <c r="M31" s="42"/>
      <c r="N31" s="42">
        <v>41687</v>
      </c>
      <c r="O31" s="14"/>
      <c r="P31" s="46">
        <v>41694</v>
      </c>
      <c r="Q31" s="21">
        <v>41694</v>
      </c>
      <c r="V31" s="89"/>
      <c r="W31" s="85" t="s">
        <v>31</v>
      </c>
      <c r="X31" s="86" t="s">
        <v>32</v>
      </c>
    </row>
    <row r="32" spans="1:74" s="12" customFormat="1" ht="18" customHeight="1" x14ac:dyDescent="0.15">
      <c r="B32" s="8"/>
      <c r="C32" s="26" t="s">
        <v>42</v>
      </c>
      <c r="D32" s="26" t="s">
        <v>42</v>
      </c>
      <c r="E32" s="98" t="s">
        <v>97</v>
      </c>
      <c r="F32" s="99">
        <v>10</v>
      </c>
      <c r="G32" s="116">
        <v>20</v>
      </c>
      <c r="H32" s="28">
        <f>F32*G32</f>
        <v>200</v>
      </c>
      <c r="I32" s="78"/>
      <c r="J32" s="98" t="s">
        <v>98</v>
      </c>
      <c r="K32" s="24"/>
      <c r="L32" s="13"/>
      <c r="M32" s="42"/>
      <c r="N32" s="42">
        <v>41687</v>
      </c>
      <c r="O32" s="14"/>
      <c r="P32" s="46">
        <v>41694</v>
      </c>
      <c r="Q32" s="21">
        <v>41694</v>
      </c>
      <c r="V32" s="89"/>
      <c r="W32" s="85"/>
      <c r="X32" s="86"/>
    </row>
    <row r="33" spans="1:24" s="12" customFormat="1" ht="18" customHeight="1" x14ac:dyDescent="0.15">
      <c r="B33" s="8"/>
      <c r="C33" s="26" t="s">
        <v>42</v>
      </c>
      <c r="D33" s="26" t="s">
        <v>42</v>
      </c>
      <c r="E33" s="98" t="s">
        <v>92</v>
      </c>
      <c r="F33" s="99">
        <v>2</v>
      </c>
      <c r="G33" s="116">
        <v>75</v>
      </c>
      <c r="H33" s="28">
        <f t="shared" si="0"/>
        <v>150</v>
      </c>
      <c r="I33" s="78"/>
      <c r="J33" s="98" t="s">
        <v>93</v>
      </c>
      <c r="K33" s="24"/>
      <c r="L33" s="13"/>
      <c r="M33" s="42"/>
      <c r="N33" s="42">
        <v>41687</v>
      </c>
      <c r="O33" s="14"/>
      <c r="P33" s="46">
        <v>41694</v>
      </c>
      <c r="Q33" s="21">
        <v>41694</v>
      </c>
      <c r="V33" s="89"/>
      <c r="W33" s="85"/>
      <c r="X33" s="86"/>
    </row>
    <row r="34" spans="1:24" s="12" customFormat="1" ht="18" customHeight="1" x14ac:dyDescent="0.15">
      <c r="B34" s="8"/>
      <c r="C34" s="26" t="s">
        <v>42</v>
      </c>
      <c r="D34" s="26" t="s">
        <v>42</v>
      </c>
      <c r="E34" s="98" t="s">
        <v>95</v>
      </c>
      <c r="F34" s="99">
        <v>21</v>
      </c>
      <c r="G34" s="116">
        <v>12</v>
      </c>
      <c r="H34" s="28">
        <f t="shared" si="0"/>
        <v>252</v>
      </c>
      <c r="I34" s="78"/>
      <c r="J34" s="98" t="s">
        <v>96</v>
      </c>
      <c r="K34" s="24"/>
      <c r="L34" s="13"/>
      <c r="M34" s="42"/>
      <c r="N34" s="42">
        <v>41687</v>
      </c>
      <c r="O34" s="14"/>
      <c r="P34" s="46">
        <v>41694</v>
      </c>
      <c r="Q34" s="21">
        <v>41694</v>
      </c>
      <c r="V34" s="89"/>
      <c r="W34" s="85"/>
      <c r="X34" s="86"/>
    </row>
    <row r="35" spans="1:24" s="12" customFormat="1" ht="18" customHeight="1" x14ac:dyDescent="0.15">
      <c r="B35" s="8"/>
      <c r="C35" s="26" t="s">
        <v>42</v>
      </c>
      <c r="D35" s="26" t="s">
        <v>42</v>
      </c>
      <c r="E35" s="98" t="s">
        <v>90</v>
      </c>
      <c r="F35" s="99">
        <v>3</v>
      </c>
      <c r="G35" s="116">
        <v>75</v>
      </c>
      <c r="H35" s="28">
        <f>F35*G35</f>
        <v>225</v>
      </c>
      <c r="I35" s="78"/>
      <c r="J35" s="98" t="s">
        <v>91</v>
      </c>
      <c r="K35" s="24"/>
      <c r="L35" s="13"/>
      <c r="M35" s="42"/>
      <c r="N35" s="42">
        <v>41687</v>
      </c>
      <c r="O35" s="14"/>
      <c r="P35" s="46">
        <v>41694</v>
      </c>
      <c r="Q35" s="21">
        <v>41694</v>
      </c>
      <c r="V35" s="89"/>
      <c r="W35" s="85"/>
      <c r="X35" s="86"/>
    </row>
    <row r="36" spans="1:24" s="12" customFormat="1" ht="18" customHeight="1" x14ac:dyDescent="0.15">
      <c r="B36" s="8"/>
      <c r="C36" s="26" t="s">
        <v>42</v>
      </c>
      <c r="D36" s="26" t="s">
        <v>42</v>
      </c>
      <c r="E36" s="98" t="s">
        <v>50</v>
      </c>
      <c r="F36" s="99">
        <v>4</v>
      </c>
      <c r="G36" s="116">
        <v>80</v>
      </c>
      <c r="H36" s="28">
        <f t="shared" si="0"/>
        <v>320</v>
      </c>
      <c r="I36" s="78"/>
      <c r="J36" s="98" t="s">
        <v>51</v>
      </c>
      <c r="K36" s="24"/>
      <c r="L36" s="13"/>
      <c r="M36" s="42"/>
      <c r="N36" s="42">
        <v>41687</v>
      </c>
      <c r="O36" s="14"/>
      <c r="P36" s="46">
        <v>41694</v>
      </c>
      <c r="Q36" s="21">
        <v>41694</v>
      </c>
      <c r="V36" s="89"/>
      <c r="W36" s="83" t="s">
        <v>33</v>
      </c>
      <c r="X36" s="84" t="s">
        <v>34</v>
      </c>
    </row>
    <row r="37" spans="1:24" s="12" customFormat="1" ht="18" customHeight="1" x14ac:dyDescent="0.15">
      <c r="B37" s="8"/>
      <c r="C37" s="26" t="s">
        <v>42</v>
      </c>
      <c r="D37" s="26" t="s">
        <v>42</v>
      </c>
      <c r="E37" s="98" t="s">
        <v>52</v>
      </c>
      <c r="F37" s="99">
        <v>2</v>
      </c>
      <c r="G37" s="116">
        <v>80</v>
      </c>
      <c r="H37" s="28">
        <f t="shared" si="0"/>
        <v>160</v>
      </c>
      <c r="I37" s="78"/>
      <c r="J37" s="98" t="s">
        <v>53</v>
      </c>
      <c r="K37" s="13"/>
      <c r="L37" s="13"/>
      <c r="M37" s="42"/>
      <c r="N37" s="42">
        <v>41687</v>
      </c>
      <c r="O37" s="14"/>
      <c r="P37" s="46">
        <v>41694</v>
      </c>
      <c r="Q37" s="21">
        <v>41694</v>
      </c>
      <c r="V37" s="89"/>
      <c r="W37" s="83" t="s">
        <v>35</v>
      </c>
      <c r="X37" s="84" t="s">
        <v>36</v>
      </c>
    </row>
    <row r="38" spans="1:24" s="12" customFormat="1" ht="18" customHeight="1" x14ac:dyDescent="0.15">
      <c r="B38" s="8"/>
      <c r="C38" s="26" t="s">
        <v>42</v>
      </c>
      <c r="D38" s="26" t="s">
        <v>42</v>
      </c>
      <c r="E38" s="104" t="s">
        <v>111</v>
      </c>
      <c r="F38" s="105">
        <v>2</v>
      </c>
      <c r="G38" s="117">
        <v>609</v>
      </c>
      <c r="H38" s="28">
        <f t="shared" si="0"/>
        <v>1218</v>
      </c>
      <c r="I38" s="106"/>
      <c r="J38" s="104" t="s">
        <v>112</v>
      </c>
      <c r="K38" s="101"/>
      <c r="L38" s="13"/>
      <c r="M38" s="42"/>
      <c r="N38" s="42">
        <v>41687</v>
      </c>
      <c r="O38" s="14"/>
      <c r="P38" s="46">
        <v>41694</v>
      </c>
      <c r="Q38" s="21">
        <v>41691</v>
      </c>
      <c r="V38" s="89"/>
      <c r="W38" s="83"/>
      <c r="X38" s="84"/>
    </row>
    <row r="39" spans="1:24" s="12" customFormat="1" ht="18" customHeight="1" x14ac:dyDescent="0.15">
      <c r="B39" s="8"/>
      <c r="C39" s="26" t="s">
        <v>42</v>
      </c>
      <c r="D39" s="26" t="s">
        <v>42</v>
      </c>
      <c r="E39" s="98" t="s">
        <v>148</v>
      </c>
      <c r="F39" s="99">
        <v>2</v>
      </c>
      <c r="G39" s="174">
        <v>210</v>
      </c>
      <c r="H39" s="171">
        <f t="shared" si="0"/>
        <v>420</v>
      </c>
      <c r="I39" s="78"/>
      <c r="J39" s="98" t="s">
        <v>87</v>
      </c>
      <c r="K39" s="101"/>
      <c r="L39" s="13"/>
      <c r="M39" s="42"/>
      <c r="N39" s="42">
        <v>41687</v>
      </c>
      <c r="O39" s="14"/>
      <c r="P39" s="46">
        <v>41694</v>
      </c>
      <c r="Q39" s="21">
        <v>41694</v>
      </c>
      <c r="V39" s="89"/>
      <c r="W39" s="83"/>
      <c r="X39" s="84"/>
    </row>
    <row r="40" spans="1:24" s="12" customFormat="1" ht="18" customHeight="1" x14ac:dyDescent="0.15">
      <c r="B40" s="8"/>
      <c r="C40" s="26" t="s">
        <v>42</v>
      </c>
      <c r="D40" s="26" t="s">
        <v>42</v>
      </c>
      <c r="E40" s="98" t="s">
        <v>147</v>
      </c>
      <c r="F40" s="99">
        <v>1</v>
      </c>
      <c r="G40" s="174">
        <v>6830</v>
      </c>
      <c r="H40" s="171">
        <f t="shared" si="0"/>
        <v>6830</v>
      </c>
      <c r="I40" s="78"/>
      <c r="J40" s="98" t="s">
        <v>88</v>
      </c>
      <c r="K40" s="101"/>
      <c r="L40" s="13"/>
      <c r="M40" s="42"/>
      <c r="N40" s="42">
        <v>41687</v>
      </c>
      <c r="O40" s="14"/>
      <c r="P40" s="46">
        <v>41694</v>
      </c>
      <c r="Q40" s="21">
        <v>41694</v>
      </c>
      <c r="V40" s="89"/>
      <c r="W40" s="83"/>
      <c r="X40" s="84"/>
    </row>
    <row r="41" spans="1:24" s="12" customFormat="1" ht="18" customHeight="1" x14ac:dyDescent="0.15">
      <c r="B41" s="8"/>
      <c r="C41" s="26" t="s">
        <v>42</v>
      </c>
      <c r="D41" s="26" t="s">
        <v>42</v>
      </c>
      <c r="E41" s="98" t="s">
        <v>146</v>
      </c>
      <c r="F41" s="99">
        <v>4</v>
      </c>
      <c r="G41" s="116">
        <v>300</v>
      </c>
      <c r="H41" s="28">
        <f t="shared" si="0"/>
        <v>1200</v>
      </c>
      <c r="I41" s="78"/>
      <c r="J41" s="98" t="s">
        <v>89</v>
      </c>
      <c r="K41" s="101"/>
      <c r="L41" s="13"/>
      <c r="M41" s="42"/>
      <c r="N41" s="42">
        <v>41687</v>
      </c>
      <c r="O41" s="14"/>
      <c r="P41" s="46">
        <v>41694</v>
      </c>
      <c r="Q41" s="21">
        <v>41694</v>
      </c>
      <c r="V41" s="89"/>
      <c r="W41" s="83"/>
      <c r="X41" s="84"/>
    </row>
    <row r="42" spans="1:24" s="12" customFormat="1" ht="18" customHeight="1" x14ac:dyDescent="0.15">
      <c r="B42" s="8"/>
      <c r="C42" s="26" t="s">
        <v>42</v>
      </c>
      <c r="D42" s="26" t="s">
        <v>42</v>
      </c>
      <c r="E42" s="104" t="s">
        <v>160</v>
      </c>
      <c r="F42" s="105">
        <v>1</v>
      </c>
      <c r="G42" s="117">
        <v>330</v>
      </c>
      <c r="H42" s="28">
        <f t="shared" si="0"/>
        <v>330</v>
      </c>
      <c r="I42" s="106"/>
      <c r="J42" s="104" t="s">
        <v>161</v>
      </c>
      <c r="K42" s="101"/>
      <c r="L42" s="13"/>
      <c r="M42" s="42"/>
      <c r="N42" s="42">
        <v>41687</v>
      </c>
      <c r="O42" s="14"/>
      <c r="P42" s="46">
        <v>41694</v>
      </c>
      <c r="Q42" s="21">
        <v>41694</v>
      </c>
      <c r="V42" s="89"/>
      <c r="W42" s="83"/>
      <c r="X42" s="84"/>
    </row>
    <row r="43" spans="1:24" s="12" customFormat="1" ht="18" customHeight="1" x14ac:dyDescent="0.15">
      <c r="B43" s="8"/>
      <c r="C43" s="26" t="s">
        <v>70</v>
      </c>
      <c r="D43" s="26" t="s">
        <v>26</v>
      </c>
      <c r="E43" s="124" t="s">
        <v>123</v>
      </c>
      <c r="F43" s="105">
        <v>1</v>
      </c>
      <c r="G43" s="122">
        <v>9500</v>
      </c>
      <c r="H43" s="28">
        <f t="shared" si="0"/>
        <v>9500</v>
      </c>
      <c r="I43" s="123"/>
      <c r="J43" s="124" t="s">
        <v>113</v>
      </c>
      <c r="K43" s="101"/>
      <c r="L43" s="13"/>
      <c r="M43" s="42"/>
      <c r="N43" s="42">
        <v>41687</v>
      </c>
      <c r="O43" s="14"/>
      <c r="P43" s="46"/>
      <c r="Q43" s="21">
        <v>41696</v>
      </c>
      <c r="W43" s="24"/>
      <c r="X43" s="125"/>
    </row>
    <row r="44" spans="1:24" s="12" customFormat="1" ht="18" customHeight="1" x14ac:dyDescent="0.15">
      <c r="B44" s="8"/>
      <c r="C44" s="216" t="s">
        <v>65</v>
      </c>
      <c r="D44" s="216"/>
      <c r="E44" s="120">
        <f>SUM(H19:H43)</f>
        <v>94617</v>
      </c>
      <c r="F44" s="105"/>
      <c r="G44" s="117"/>
      <c r="H44" s="9"/>
      <c r="I44" s="106"/>
      <c r="J44" s="104"/>
      <c r="K44" s="101"/>
      <c r="L44" s="13"/>
      <c r="M44" s="42"/>
      <c r="N44" s="42"/>
      <c r="O44" s="14"/>
      <c r="P44" s="46"/>
      <c r="Q44" s="21"/>
      <c r="V44" s="89"/>
      <c r="W44" s="83"/>
      <c r="X44" s="84"/>
    </row>
    <row r="45" spans="1:24" s="130" customFormat="1" ht="18" customHeight="1" x14ac:dyDescent="0.15">
      <c r="A45" s="12"/>
      <c r="B45" s="131"/>
      <c r="C45" s="132"/>
      <c r="D45" s="133"/>
      <c r="E45" s="134"/>
      <c r="F45" s="135"/>
      <c r="G45" s="136"/>
      <c r="I45" s="137"/>
      <c r="J45" s="138"/>
      <c r="K45" s="139"/>
      <c r="L45" s="140"/>
      <c r="M45" s="141"/>
      <c r="N45" s="141"/>
      <c r="O45" s="142"/>
      <c r="P45" s="154"/>
      <c r="Q45" s="144"/>
      <c r="W45" s="145"/>
      <c r="X45" s="146"/>
    </row>
    <row r="46" spans="1:24" s="12" customFormat="1" ht="18" customHeight="1" x14ac:dyDescent="0.15">
      <c r="B46" s="8"/>
      <c r="C46" s="92" t="s">
        <v>159</v>
      </c>
      <c r="D46" s="92" t="s">
        <v>159</v>
      </c>
      <c r="E46" s="124" t="s">
        <v>151</v>
      </c>
      <c r="F46" s="105">
        <v>1</v>
      </c>
      <c r="G46" s="195">
        <v>12460</v>
      </c>
      <c r="H46" s="196">
        <f t="shared" ref="H46:H53" si="1">F46*G46</f>
        <v>12460</v>
      </c>
      <c r="I46" s="123"/>
      <c r="J46" s="124" t="s">
        <v>152</v>
      </c>
      <c r="K46" s="101"/>
      <c r="L46" s="13"/>
      <c r="M46" s="42"/>
      <c r="N46" s="42">
        <v>41687</v>
      </c>
      <c r="O46" s="14"/>
      <c r="P46" s="46">
        <v>41705</v>
      </c>
      <c r="Q46" s="21">
        <v>41705</v>
      </c>
      <c r="W46" s="126"/>
      <c r="X46" s="127"/>
    </row>
    <row r="47" spans="1:24" s="12" customFormat="1" ht="18" customHeight="1" x14ac:dyDescent="0.15">
      <c r="B47" s="8"/>
      <c r="C47" s="92" t="s">
        <v>159</v>
      </c>
      <c r="D47" s="92" t="s">
        <v>159</v>
      </c>
      <c r="E47" s="124" t="s">
        <v>153</v>
      </c>
      <c r="F47" s="105">
        <v>1</v>
      </c>
      <c r="G47" s="195">
        <v>8120</v>
      </c>
      <c r="H47" s="196">
        <f t="shared" si="1"/>
        <v>8120</v>
      </c>
      <c r="I47" s="123"/>
      <c r="J47" s="124" t="s">
        <v>100</v>
      </c>
      <c r="K47" s="101"/>
      <c r="L47" s="13"/>
      <c r="M47" s="42"/>
      <c r="N47" s="42">
        <v>41687</v>
      </c>
      <c r="O47" s="14"/>
      <c r="P47" s="46">
        <v>41705</v>
      </c>
      <c r="Q47" s="21">
        <v>41705</v>
      </c>
      <c r="W47" s="126"/>
      <c r="X47" s="127"/>
    </row>
    <row r="48" spans="1:24" s="12" customFormat="1" ht="18" customHeight="1" x14ac:dyDescent="0.15">
      <c r="B48" s="8"/>
      <c r="C48" s="92" t="s">
        <v>159</v>
      </c>
      <c r="D48" s="92" t="s">
        <v>159</v>
      </c>
      <c r="E48" s="124" t="s">
        <v>154</v>
      </c>
      <c r="F48" s="105">
        <v>1</v>
      </c>
      <c r="G48" s="195">
        <v>2730</v>
      </c>
      <c r="H48" s="196">
        <f t="shared" si="1"/>
        <v>2730</v>
      </c>
      <c r="I48" s="123"/>
      <c r="J48" s="124" t="s">
        <v>101</v>
      </c>
      <c r="K48" s="101"/>
      <c r="L48" s="13"/>
      <c r="M48" s="42"/>
      <c r="N48" s="42">
        <v>41687</v>
      </c>
      <c r="O48" s="14"/>
      <c r="P48" s="46">
        <v>41705</v>
      </c>
      <c r="Q48" s="21">
        <v>41705</v>
      </c>
      <c r="W48" s="126"/>
      <c r="X48" s="127"/>
    </row>
    <row r="49" spans="1:24" s="12" customFormat="1" ht="18" customHeight="1" x14ac:dyDescent="0.15">
      <c r="B49" s="8"/>
      <c r="C49" s="92" t="s">
        <v>159</v>
      </c>
      <c r="D49" s="92" t="s">
        <v>159</v>
      </c>
      <c r="E49" s="124" t="s">
        <v>155</v>
      </c>
      <c r="F49" s="105">
        <v>1</v>
      </c>
      <c r="G49" s="195">
        <v>2900</v>
      </c>
      <c r="H49" s="196">
        <f t="shared" si="1"/>
        <v>2900</v>
      </c>
      <c r="I49" s="123"/>
      <c r="J49" s="124" t="s">
        <v>102</v>
      </c>
      <c r="K49" s="101"/>
      <c r="L49" s="13"/>
      <c r="M49" s="42"/>
      <c r="N49" s="42">
        <v>41687</v>
      </c>
      <c r="O49" s="14"/>
      <c r="P49" s="46">
        <v>41705</v>
      </c>
      <c r="Q49" s="21">
        <v>41705</v>
      </c>
      <c r="W49" s="126"/>
      <c r="X49" s="127"/>
    </row>
    <row r="50" spans="1:24" s="12" customFormat="1" ht="18" customHeight="1" x14ac:dyDescent="0.15">
      <c r="B50" s="8"/>
      <c r="C50" s="92" t="s">
        <v>159</v>
      </c>
      <c r="D50" s="92" t="s">
        <v>159</v>
      </c>
      <c r="E50" s="124" t="s">
        <v>156</v>
      </c>
      <c r="F50" s="105">
        <v>1</v>
      </c>
      <c r="G50" s="195">
        <v>19000</v>
      </c>
      <c r="H50" s="196">
        <f t="shared" si="1"/>
        <v>19000</v>
      </c>
      <c r="I50" s="123"/>
      <c r="J50" s="124" t="s">
        <v>103</v>
      </c>
      <c r="K50" s="101"/>
      <c r="L50" s="13"/>
      <c r="M50" s="42"/>
      <c r="N50" s="42">
        <v>41687</v>
      </c>
      <c r="O50" s="14"/>
      <c r="P50" s="46">
        <v>41705</v>
      </c>
      <c r="Q50" s="21">
        <v>41705</v>
      </c>
      <c r="W50" s="126"/>
      <c r="X50" s="127"/>
    </row>
    <row r="51" spans="1:24" s="12" customFormat="1" ht="18" customHeight="1" x14ac:dyDescent="0.15">
      <c r="B51" s="8"/>
      <c r="C51" s="92" t="s">
        <v>159</v>
      </c>
      <c r="D51" s="92" t="s">
        <v>159</v>
      </c>
      <c r="E51" s="124" t="s">
        <v>157</v>
      </c>
      <c r="F51" s="105">
        <v>1</v>
      </c>
      <c r="G51" s="195">
        <v>7280</v>
      </c>
      <c r="H51" s="196">
        <f t="shared" si="1"/>
        <v>7280</v>
      </c>
      <c r="I51" s="123"/>
      <c r="J51" s="124" t="s">
        <v>104</v>
      </c>
      <c r="K51" s="101"/>
      <c r="L51" s="13"/>
      <c r="M51" s="42"/>
      <c r="N51" s="42">
        <v>41687</v>
      </c>
      <c r="O51" s="14"/>
      <c r="P51" s="46">
        <v>41705</v>
      </c>
      <c r="Q51" s="21">
        <v>41705</v>
      </c>
      <c r="W51" s="126"/>
      <c r="X51" s="127"/>
    </row>
    <row r="52" spans="1:24" s="12" customFormat="1" ht="18" customHeight="1" x14ac:dyDescent="0.15">
      <c r="B52" s="8"/>
      <c r="C52" s="92" t="s">
        <v>159</v>
      </c>
      <c r="D52" s="92" t="s">
        <v>159</v>
      </c>
      <c r="E52" s="124" t="s">
        <v>158</v>
      </c>
      <c r="F52" s="105">
        <v>1</v>
      </c>
      <c r="G52" s="195">
        <v>4730</v>
      </c>
      <c r="H52" s="196">
        <f t="shared" si="1"/>
        <v>4730</v>
      </c>
      <c r="I52" s="123"/>
      <c r="J52" s="124" t="s">
        <v>105</v>
      </c>
      <c r="K52" s="101"/>
      <c r="L52" s="13"/>
      <c r="M52" s="42"/>
      <c r="N52" s="42">
        <v>41687</v>
      </c>
      <c r="O52" s="14"/>
      <c r="P52" s="46">
        <v>41705</v>
      </c>
      <c r="Q52" s="21">
        <v>41705</v>
      </c>
      <c r="W52" s="126"/>
      <c r="X52" s="127"/>
    </row>
    <row r="53" spans="1:24" s="12" customFormat="1" ht="18" customHeight="1" x14ac:dyDescent="0.15">
      <c r="B53" s="8"/>
      <c r="C53" s="26" t="s">
        <v>43</v>
      </c>
      <c r="D53" s="26" t="s">
        <v>43</v>
      </c>
      <c r="E53" s="168" t="s">
        <v>115</v>
      </c>
      <c r="F53" s="105">
        <v>5</v>
      </c>
      <c r="G53" s="173">
        <v>300</v>
      </c>
      <c r="H53" s="197">
        <f t="shared" si="1"/>
        <v>1500</v>
      </c>
      <c r="I53" s="123"/>
      <c r="J53" s="124" t="s">
        <v>106</v>
      </c>
      <c r="K53" s="101"/>
      <c r="L53" s="13"/>
      <c r="M53" s="42"/>
      <c r="N53" s="42">
        <v>41687</v>
      </c>
      <c r="O53" s="14"/>
      <c r="P53" s="46">
        <v>41694</v>
      </c>
      <c r="Q53" s="21">
        <v>41694</v>
      </c>
      <c r="W53" s="126"/>
      <c r="X53" s="127"/>
    </row>
    <row r="54" spans="1:24" s="12" customFormat="1" ht="18" customHeight="1" x14ac:dyDescent="0.15">
      <c r="B54" s="8"/>
      <c r="C54" s="26" t="s">
        <v>43</v>
      </c>
      <c r="D54" s="26" t="s">
        <v>43</v>
      </c>
      <c r="E54" s="24" t="s">
        <v>107</v>
      </c>
      <c r="F54" s="97">
        <v>2</v>
      </c>
      <c r="G54" s="171">
        <v>99</v>
      </c>
      <c r="H54" s="171">
        <f>F54*G54</f>
        <v>198</v>
      </c>
      <c r="I54" s="28"/>
      <c r="J54" s="39" t="s">
        <v>48</v>
      </c>
      <c r="K54" s="101"/>
      <c r="L54" s="13"/>
      <c r="M54" s="42"/>
      <c r="N54" s="42">
        <v>41687</v>
      </c>
      <c r="O54" s="14"/>
      <c r="P54" s="46">
        <v>41694</v>
      </c>
      <c r="Q54" s="21">
        <v>41694</v>
      </c>
      <c r="W54" s="126"/>
      <c r="X54" s="127"/>
    </row>
    <row r="55" spans="1:24" s="12" customFormat="1" ht="18" customHeight="1" x14ac:dyDescent="0.15">
      <c r="B55" s="8"/>
      <c r="C55" s="26" t="s">
        <v>43</v>
      </c>
      <c r="D55" s="26" t="s">
        <v>43</v>
      </c>
      <c r="E55" s="24" t="s">
        <v>47</v>
      </c>
      <c r="F55" s="97">
        <v>10</v>
      </c>
      <c r="G55" s="28">
        <v>75</v>
      </c>
      <c r="H55" s="28">
        <f>F55*G55</f>
        <v>750</v>
      </c>
      <c r="I55" s="28"/>
      <c r="J55" s="39" t="s">
        <v>48</v>
      </c>
      <c r="K55" s="101"/>
      <c r="L55" s="13"/>
      <c r="M55" s="42"/>
      <c r="N55" s="42">
        <v>41687</v>
      </c>
      <c r="O55" s="14"/>
      <c r="P55" s="46">
        <v>41694</v>
      </c>
      <c r="Q55" s="21">
        <v>41694</v>
      </c>
      <c r="W55" s="126"/>
      <c r="X55" s="127"/>
    </row>
    <row r="56" spans="1:24" s="12" customFormat="1" ht="18" customHeight="1" x14ac:dyDescent="0.15">
      <c r="B56" s="8"/>
      <c r="C56" s="26" t="s">
        <v>42</v>
      </c>
      <c r="D56" s="26" t="s">
        <v>42</v>
      </c>
      <c r="E56" s="98" t="s">
        <v>95</v>
      </c>
      <c r="F56" s="99">
        <v>21</v>
      </c>
      <c r="G56" s="116">
        <v>80</v>
      </c>
      <c r="H56" s="28">
        <f t="shared" ref="H56:H61" si="2">F56*G56</f>
        <v>1680</v>
      </c>
      <c r="I56" s="78"/>
      <c r="J56" s="98" t="s">
        <v>96</v>
      </c>
      <c r="K56" s="101"/>
      <c r="L56" s="13"/>
      <c r="M56" s="42"/>
      <c r="N56" s="42">
        <v>41687</v>
      </c>
      <c r="O56" s="14"/>
      <c r="P56" s="46">
        <v>41694</v>
      </c>
      <c r="Q56" s="21">
        <v>41694</v>
      </c>
      <c r="W56" s="126"/>
      <c r="X56" s="127"/>
    </row>
    <row r="57" spans="1:24" s="12" customFormat="1" ht="18" customHeight="1" x14ac:dyDescent="0.15">
      <c r="B57" s="8"/>
      <c r="C57" s="26" t="s">
        <v>42</v>
      </c>
      <c r="D57" s="26" t="s">
        <v>42</v>
      </c>
      <c r="E57" s="98" t="s">
        <v>50</v>
      </c>
      <c r="F57" s="99">
        <v>2</v>
      </c>
      <c r="G57" s="116">
        <v>80</v>
      </c>
      <c r="H57" s="28">
        <f t="shared" si="2"/>
        <v>160</v>
      </c>
      <c r="I57" s="78"/>
      <c r="J57" s="98" t="s">
        <v>51</v>
      </c>
      <c r="K57" s="101"/>
      <c r="L57" s="13"/>
      <c r="M57" s="42"/>
      <c r="N57" s="42">
        <v>41687</v>
      </c>
      <c r="O57" s="14"/>
      <c r="P57" s="46">
        <v>41694</v>
      </c>
      <c r="Q57" s="21">
        <v>41694</v>
      </c>
      <c r="W57" s="126"/>
      <c r="X57" s="127"/>
    </row>
    <row r="58" spans="1:24" s="12" customFormat="1" ht="18" customHeight="1" x14ac:dyDescent="0.15">
      <c r="B58" s="8"/>
      <c r="C58" s="26" t="s">
        <v>42</v>
      </c>
      <c r="D58" s="26" t="s">
        <v>42</v>
      </c>
      <c r="E58" s="104" t="s">
        <v>117</v>
      </c>
      <c r="F58" s="105">
        <v>4</v>
      </c>
      <c r="G58" s="117">
        <v>104</v>
      </c>
      <c r="H58" s="28">
        <f t="shared" si="2"/>
        <v>416</v>
      </c>
      <c r="I58" s="106"/>
      <c r="J58" s="104" t="s">
        <v>109</v>
      </c>
      <c r="K58" s="101"/>
      <c r="L58" s="13"/>
      <c r="M58" s="42"/>
      <c r="N58" s="42">
        <v>41687</v>
      </c>
      <c r="O58" s="14"/>
      <c r="P58" s="46">
        <v>41694</v>
      </c>
      <c r="Q58" s="21">
        <v>41694</v>
      </c>
      <c r="W58" s="126"/>
      <c r="X58" s="127"/>
    </row>
    <row r="59" spans="1:24" s="12" customFormat="1" ht="18" customHeight="1" x14ac:dyDescent="0.15">
      <c r="B59" s="8"/>
      <c r="C59" s="26" t="s">
        <v>42</v>
      </c>
      <c r="D59" s="26" t="s">
        <v>42</v>
      </c>
      <c r="E59" s="104" t="s">
        <v>118</v>
      </c>
      <c r="F59" s="105">
        <v>8</v>
      </c>
      <c r="G59" s="117">
        <v>104</v>
      </c>
      <c r="H59" s="28">
        <f t="shared" si="2"/>
        <v>832</v>
      </c>
      <c r="I59" s="106"/>
      <c r="J59" s="104" t="s">
        <v>108</v>
      </c>
      <c r="K59" s="101"/>
      <c r="L59" s="13"/>
      <c r="M59" s="42"/>
      <c r="N59" s="42">
        <v>41687</v>
      </c>
      <c r="O59" s="14"/>
      <c r="P59" s="46">
        <v>41694</v>
      </c>
      <c r="Q59" s="21">
        <v>41694</v>
      </c>
      <c r="W59" s="126"/>
      <c r="X59" s="127"/>
    </row>
    <row r="60" spans="1:24" s="12" customFormat="1" ht="18" customHeight="1" x14ac:dyDescent="0.15">
      <c r="B60" s="8"/>
      <c r="C60" s="26" t="s">
        <v>42</v>
      </c>
      <c r="D60" s="26" t="s">
        <v>42</v>
      </c>
      <c r="E60" s="104" t="s">
        <v>116</v>
      </c>
      <c r="F60" s="105">
        <v>6</v>
      </c>
      <c r="G60" s="117">
        <v>29</v>
      </c>
      <c r="H60" s="28">
        <f t="shared" si="2"/>
        <v>174</v>
      </c>
      <c r="I60" s="106"/>
      <c r="J60" s="104" t="s">
        <v>110</v>
      </c>
      <c r="K60" s="101"/>
      <c r="L60" s="13"/>
      <c r="M60" s="42"/>
      <c r="N60" s="42">
        <v>41687</v>
      </c>
      <c r="O60" s="14"/>
      <c r="P60" s="46">
        <v>41694</v>
      </c>
      <c r="Q60" s="21">
        <v>41694</v>
      </c>
      <c r="W60" s="126"/>
      <c r="X60" s="127"/>
    </row>
    <row r="61" spans="1:24" s="12" customFormat="1" ht="18" customHeight="1" x14ac:dyDescent="0.15">
      <c r="B61" s="8"/>
      <c r="C61" s="26" t="s">
        <v>42</v>
      </c>
      <c r="D61" s="26" t="s">
        <v>42</v>
      </c>
      <c r="E61" s="104" t="s">
        <v>120</v>
      </c>
      <c r="F61" s="105">
        <v>5</v>
      </c>
      <c r="G61" s="117">
        <v>109</v>
      </c>
      <c r="H61" s="28">
        <f t="shared" si="2"/>
        <v>545</v>
      </c>
      <c r="I61" s="106"/>
      <c r="J61" s="104" t="s">
        <v>119</v>
      </c>
      <c r="K61" s="101"/>
      <c r="L61" s="13"/>
      <c r="M61" s="42"/>
      <c r="N61" s="42">
        <v>41687</v>
      </c>
      <c r="O61" s="14"/>
      <c r="P61" s="46">
        <v>41694</v>
      </c>
      <c r="Q61" s="21">
        <v>41694</v>
      </c>
      <c r="W61" s="126"/>
      <c r="X61" s="127"/>
    </row>
    <row r="62" spans="1:24" s="12" customFormat="1" ht="18" customHeight="1" x14ac:dyDescent="0.15">
      <c r="B62" s="8"/>
      <c r="C62" s="212" t="s">
        <v>99</v>
      </c>
      <c r="D62" s="213"/>
      <c r="E62" s="120">
        <f>SUM(H46:H61)</f>
        <v>63475</v>
      </c>
      <c r="F62" s="105"/>
      <c r="G62" s="117"/>
      <c r="H62" s="9"/>
      <c r="I62" s="106"/>
      <c r="J62" s="104"/>
      <c r="K62" s="101"/>
      <c r="L62" s="13"/>
      <c r="M62" s="42"/>
      <c r="N62" s="42"/>
      <c r="O62" s="14"/>
      <c r="P62" s="46"/>
      <c r="Q62" s="21"/>
      <c r="W62" s="126"/>
      <c r="X62" s="127"/>
    </row>
    <row r="63" spans="1:24" s="130" customFormat="1" ht="18" customHeight="1" x14ac:dyDescent="0.15">
      <c r="A63" s="12"/>
      <c r="B63" s="131"/>
      <c r="C63" s="132"/>
      <c r="D63" s="133"/>
      <c r="E63" s="134"/>
      <c r="F63" s="135"/>
      <c r="G63" s="136"/>
      <c r="I63" s="137"/>
      <c r="J63" s="138"/>
      <c r="K63" s="139"/>
      <c r="L63" s="140"/>
      <c r="M63" s="141"/>
      <c r="N63" s="141"/>
      <c r="O63" s="142"/>
      <c r="P63" s="154"/>
      <c r="Q63" s="144"/>
      <c r="W63" s="145"/>
      <c r="X63" s="146"/>
    </row>
    <row r="64" spans="1:24" s="12" customFormat="1" ht="18" customHeight="1" x14ac:dyDescent="0.15">
      <c r="B64" s="8"/>
      <c r="C64" s="92" t="s">
        <v>159</v>
      </c>
      <c r="D64" s="92" t="s">
        <v>159</v>
      </c>
      <c r="E64" s="107" t="s">
        <v>162</v>
      </c>
      <c r="F64" s="108">
        <v>1</v>
      </c>
      <c r="G64" s="171">
        <v>13580</v>
      </c>
      <c r="H64" s="171">
        <f>F64*G64</f>
        <v>13580</v>
      </c>
      <c r="I64" s="108"/>
      <c r="J64" s="109" t="s">
        <v>54</v>
      </c>
      <c r="K64" s="101"/>
      <c r="L64" s="13"/>
      <c r="M64" s="42"/>
      <c r="N64" s="42">
        <v>41687</v>
      </c>
      <c r="O64" s="14"/>
      <c r="P64" s="46">
        <v>41705</v>
      </c>
      <c r="Q64" s="21">
        <v>41705</v>
      </c>
      <c r="V64" s="89"/>
      <c r="W64" s="87"/>
      <c r="X64" s="88"/>
    </row>
    <row r="65" spans="2:24" s="12" customFormat="1" ht="18" customHeight="1" x14ac:dyDescent="0.15">
      <c r="B65" s="8"/>
      <c r="C65" s="26" t="s">
        <v>42</v>
      </c>
      <c r="D65" s="26" t="s">
        <v>42</v>
      </c>
      <c r="E65" s="107" t="s">
        <v>55</v>
      </c>
      <c r="F65" s="96">
        <v>2</v>
      </c>
      <c r="G65" s="28">
        <v>930</v>
      </c>
      <c r="H65" s="28">
        <f>F65*G65</f>
        <v>1860</v>
      </c>
      <c r="I65" s="110"/>
      <c r="J65" s="39" t="s">
        <v>56</v>
      </c>
      <c r="K65" s="101"/>
      <c r="L65" s="13"/>
      <c r="M65" s="42"/>
      <c r="N65" s="42">
        <v>41687</v>
      </c>
      <c r="O65" s="14"/>
      <c r="P65" s="46">
        <v>41694</v>
      </c>
      <c r="Q65" s="21">
        <v>41694</v>
      </c>
      <c r="V65" s="89"/>
      <c r="W65" s="87"/>
      <c r="X65" s="88"/>
    </row>
    <row r="66" spans="2:24" s="12" customFormat="1" ht="18" customHeight="1" x14ac:dyDescent="0.15">
      <c r="B66" s="8"/>
      <c r="C66" s="26" t="s">
        <v>42</v>
      </c>
      <c r="D66" s="26" t="s">
        <v>42</v>
      </c>
      <c r="E66" s="107" t="s">
        <v>82</v>
      </c>
      <c r="F66" s="96">
        <v>1</v>
      </c>
      <c r="G66" s="28">
        <v>3350</v>
      </c>
      <c r="H66" s="28">
        <v>3350</v>
      </c>
      <c r="I66" s="110"/>
      <c r="J66" s="39" t="s">
        <v>83</v>
      </c>
      <c r="K66" s="101"/>
      <c r="L66" s="13"/>
      <c r="M66" s="42"/>
      <c r="N66" s="42">
        <v>41687</v>
      </c>
      <c r="O66" s="14"/>
      <c r="P66" s="46">
        <v>41694</v>
      </c>
      <c r="Q66" s="21">
        <v>41694</v>
      </c>
      <c r="V66" s="89"/>
      <c r="W66" s="87"/>
      <c r="X66" s="88"/>
    </row>
    <row r="67" spans="2:24" s="12" customFormat="1" ht="18" customHeight="1" x14ac:dyDescent="0.15">
      <c r="B67" s="8"/>
      <c r="C67" s="26" t="s">
        <v>42</v>
      </c>
      <c r="D67" s="26" t="s">
        <v>42</v>
      </c>
      <c r="E67" s="107" t="s">
        <v>57</v>
      </c>
      <c r="F67" s="96">
        <v>1</v>
      </c>
      <c r="G67" s="28">
        <v>3022</v>
      </c>
      <c r="H67" s="28">
        <f>F67*G67</f>
        <v>3022</v>
      </c>
      <c r="I67" s="110"/>
      <c r="J67" s="39" t="s">
        <v>58</v>
      </c>
      <c r="K67" s="101"/>
      <c r="L67" s="13"/>
      <c r="M67" s="42"/>
      <c r="N67" s="42">
        <v>41687</v>
      </c>
      <c r="O67" s="14"/>
      <c r="P67" s="46">
        <v>41694</v>
      </c>
      <c r="Q67" s="21">
        <v>41694</v>
      </c>
      <c r="V67" s="89"/>
      <c r="W67" s="87"/>
      <c r="X67" s="88"/>
    </row>
    <row r="68" spans="2:24" s="12" customFormat="1" ht="18" customHeight="1" x14ac:dyDescent="0.15">
      <c r="B68" s="8"/>
      <c r="C68" s="26" t="s">
        <v>42</v>
      </c>
      <c r="D68" s="26" t="s">
        <v>42</v>
      </c>
      <c r="E68" s="107" t="s">
        <v>80</v>
      </c>
      <c r="F68" s="96">
        <v>1</v>
      </c>
      <c r="G68" s="28">
        <v>5719</v>
      </c>
      <c r="H68" s="28">
        <v>5719</v>
      </c>
      <c r="I68" s="110"/>
      <c r="J68" s="39" t="s">
        <v>81</v>
      </c>
      <c r="K68" s="101"/>
      <c r="L68" s="13"/>
      <c r="M68" s="42"/>
      <c r="N68" s="42">
        <v>41687</v>
      </c>
      <c r="O68" s="14"/>
      <c r="P68" s="46">
        <v>41694</v>
      </c>
      <c r="Q68" s="21">
        <v>41694</v>
      </c>
      <c r="V68" s="89"/>
      <c r="W68" s="87"/>
      <c r="X68" s="88"/>
    </row>
    <row r="69" spans="2:24" s="12" customFormat="1" ht="18" customHeight="1" x14ac:dyDescent="0.15">
      <c r="B69" s="8"/>
      <c r="C69" s="26" t="s">
        <v>42</v>
      </c>
      <c r="D69" s="26" t="s">
        <v>42</v>
      </c>
      <c r="E69" s="55" t="s">
        <v>61</v>
      </c>
      <c r="F69" s="58">
        <v>1</v>
      </c>
      <c r="G69" s="53">
        <v>460</v>
      </c>
      <c r="H69" s="54">
        <v>460</v>
      </c>
      <c r="I69" s="59"/>
      <c r="J69" s="31" t="s">
        <v>60</v>
      </c>
      <c r="K69" s="101"/>
      <c r="L69" s="13"/>
      <c r="M69" s="42"/>
      <c r="N69" s="42">
        <v>41687</v>
      </c>
      <c r="O69" s="14"/>
      <c r="P69" s="46">
        <v>41694</v>
      </c>
      <c r="Q69" s="21">
        <v>41694</v>
      </c>
      <c r="V69" s="89"/>
      <c r="W69" s="87"/>
      <c r="X69" s="88"/>
    </row>
    <row r="70" spans="2:24" s="12" customFormat="1" ht="18" customHeight="1" x14ac:dyDescent="0.15">
      <c r="B70" s="8"/>
      <c r="C70" s="26" t="s">
        <v>42</v>
      </c>
      <c r="D70" s="26" t="s">
        <v>42</v>
      </c>
      <c r="E70" s="32" t="s">
        <v>62</v>
      </c>
      <c r="F70" s="58">
        <v>1</v>
      </c>
      <c r="G70" s="53">
        <v>622</v>
      </c>
      <c r="H70" s="54">
        <v>622</v>
      </c>
      <c r="I70" s="59"/>
      <c r="J70" s="31" t="s">
        <v>63</v>
      </c>
      <c r="K70" s="101"/>
      <c r="L70" s="13"/>
      <c r="M70" s="42"/>
      <c r="N70" s="42">
        <v>41687</v>
      </c>
      <c r="O70" s="14"/>
      <c r="P70" s="46">
        <v>41694</v>
      </c>
      <c r="Q70" s="21">
        <v>41694</v>
      </c>
      <c r="V70" s="89"/>
      <c r="W70" s="87"/>
      <c r="X70" s="88"/>
    </row>
    <row r="71" spans="2:24" s="12" customFormat="1" ht="18" customHeight="1" x14ac:dyDescent="0.15">
      <c r="B71" s="8"/>
      <c r="C71" s="26" t="s">
        <v>42</v>
      </c>
      <c r="D71" s="26" t="s">
        <v>42</v>
      </c>
      <c r="E71" s="32" t="s">
        <v>77</v>
      </c>
      <c r="F71" s="58">
        <v>5</v>
      </c>
      <c r="G71" s="53">
        <v>89</v>
      </c>
      <c r="H71" s="54">
        <v>445</v>
      </c>
      <c r="I71" s="59"/>
      <c r="J71" s="31" t="s">
        <v>78</v>
      </c>
      <c r="K71" s="101"/>
      <c r="L71" s="13"/>
      <c r="M71" s="42"/>
      <c r="N71" s="42">
        <v>41687</v>
      </c>
      <c r="O71" s="14"/>
      <c r="P71" s="46">
        <v>41694</v>
      </c>
      <c r="Q71" s="21">
        <v>41694</v>
      </c>
      <c r="V71" s="89"/>
      <c r="W71" s="87"/>
      <c r="X71" s="88"/>
    </row>
    <row r="72" spans="2:24" s="12" customFormat="1" ht="18" customHeight="1" x14ac:dyDescent="0.15">
      <c r="B72" s="8"/>
      <c r="C72" s="74" t="s">
        <v>43</v>
      </c>
      <c r="D72" s="74" t="s">
        <v>43</v>
      </c>
      <c r="E72" s="29" t="s">
        <v>41</v>
      </c>
      <c r="F72" s="58">
        <v>1</v>
      </c>
      <c r="G72" s="53">
        <v>124</v>
      </c>
      <c r="H72" s="54">
        <f>F72*G72</f>
        <v>124</v>
      </c>
      <c r="I72" s="57"/>
      <c r="J72" s="29" t="s">
        <v>40</v>
      </c>
      <c r="K72" s="101"/>
      <c r="L72" s="13"/>
      <c r="M72" s="42"/>
      <c r="N72" s="42">
        <v>41687</v>
      </c>
      <c r="O72" s="14"/>
      <c r="P72" s="46">
        <v>41694</v>
      </c>
      <c r="Q72" s="21">
        <v>41694</v>
      </c>
      <c r="V72" s="89"/>
      <c r="W72" s="87"/>
      <c r="X72" s="88"/>
    </row>
    <row r="73" spans="2:24" s="12" customFormat="1" ht="18" customHeight="1" x14ac:dyDescent="0.15">
      <c r="B73" s="8"/>
      <c r="C73" s="74" t="s">
        <v>43</v>
      </c>
      <c r="D73" s="74" t="s">
        <v>43</v>
      </c>
      <c r="E73" s="30" t="s">
        <v>44</v>
      </c>
      <c r="F73" s="111">
        <v>2</v>
      </c>
      <c r="G73" s="53">
        <v>161</v>
      </c>
      <c r="H73" s="54">
        <f>F73*G73</f>
        <v>322</v>
      </c>
      <c r="I73" s="57"/>
      <c r="J73" s="29" t="s">
        <v>40</v>
      </c>
      <c r="K73" s="101"/>
      <c r="L73" s="13"/>
      <c r="M73" s="42"/>
      <c r="N73" s="42">
        <v>41687</v>
      </c>
      <c r="O73" s="14"/>
      <c r="P73" s="46">
        <v>41694</v>
      </c>
      <c r="Q73" s="21">
        <v>41694</v>
      </c>
      <c r="V73" s="89"/>
      <c r="W73" s="87"/>
      <c r="X73" s="88"/>
    </row>
    <row r="74" spans="2:24" s="12" customFormat="1" ht="18" customHeight="1" x14ac:dyDescent="0.15">
      <c r="B74" s="8"/>
      <c r="C74" s="74" t="s">
        <v>43</v>
      </c>
      <c r="D74" s="74" t="s">
        <v>43</v>
      </c>
      <c r="E74" s="32" t="s">
        <v>45</v>
      </c>
      <c r="F74" s="111">
        <v>2</v>
      </c>
      <c r="G74" s="53">
        <v>154</v>
      </c>
      <c r="H74" s="54">
        <f>F74*G74</f>
        <v>308</v>
      </c>
      <c r="I74" s="57"/>
      <c r="J74" s="29" t="s">
        <v>34</v>
      </c>
      <c r="K74" s="101"/>
      <c r="L74" s="13"/>
      <c r="M74" s="42"/>
      <c r="N74" s="42">
        <v>41687</v>
      </c>
      <c r="O74" s="14"/>
      <c r="P74" s="46">
        <v>41694</v>
      </c>
      <c r="Q74" s="21">
        <v>41694</v>
      </c>
      <c r="V74" s="89"/>
      <c r="W74" s="87"/>
      <c r="X74" s="88"/>
    </row>
    <row r="75" spans="2:24" s="12" customFormat="1" ht="18" customHeight="1" x14ac:dyDescent="0.15">
      <c r="B75" s="8"/>
      <c r="C75" s="74" t="s">
        <v>43</v>
      </c>
      <c r="D75" s="74" t="s">
        <v>43</v>
      </c>
      <c r="E75" s="32" t="s">
        <v>163</v>
      </c>
      <c r="F75" s="111">
        <v>2</v>
      </c>
      <c r="G75" s="53">
        <v>609</v>
      </c>
      <c r="H75" s="54">
        <f>F75*G75</f>
        <v>1218</v>
      </c>
      <c r="I75" s="194"/>
      <c r="J75" s="29" t="s">
        <v>164</v>
      </c>
      <c r="K75" s="101"/>
      <c r="L75" s="13"/>
      <c r="M75" s="42"/>
      <c r="N75" s="42">
        <v>41687</v>
      </c>
      <c r="O75" s="14"/>
      <c r="P75" s="46">
        <v>41694</v>
      </c>
      <c r="Q75" s="21">
        <v>41694</v>
      </c>
      <c r="V75" s="89"/>
      <c r="W75" s="87"/>
      <c r="X75" s="88"/>
    </row>
    <row r="76" spans="2:24" s="12" customFormat="1" ht="18" customHeight="1" x14ac:dyDescent="0.15">
      <c r="B76" s="8"/>
      <c r="C76" s="26" t="s">
        <v>70</v>
      </c>
      <c r="D76" s="26" t="s">
        <v>26</v>
      </c>
      <c r="E76" s="32" t="s">
        <v>79</v>
      </c>
      <c r="F76" s="58">
        <v>1</v>
      </c>
      <c r="G76" s="53">
        <v>3470</v>
      </c>
      <c r="H76" s="54">
        <v>3470</v>
      </c>
      <c r="I76" s="59"/>
      <c r="J76" s="31" t="s">
        <v>71</v>
      </c>
      <c r="K76" s="101"/>
      <c r="L76" s="13"/>
      <c r="M76" s="42"/>
      <c r="N76" s="42">
        <v>41687</v>
      </c>
      <c r="O76" s="14"/>
      <c r="P76" s="46"/>
      <c r="Q76" s="21">
        <v>41696</v>
      </c>
      <c r="V76" s="89"/>
      <c r="W76" s="87"/>
      <c r="X76" s="88"/>
    </row>
    <row r="77" spans="2:24" s="12" customFormat="1" ht="18" customHeight="1" x14ac:dyDescent="0.15">
      <c r="B77" s="8"/>
      <c r="C77" s="26" t="s">
        <v>70</v>
      </c>
      <c r="D77" s="26" t="s">
        <v>26</v>
      </c>
      <c r="E77" s="32" t="s">
        <v>114</v>
      </c>
      <c r="F77" s="58">
        <v>1</v>
      </c>
      <c r="G77" s="53">
        <v>5350</v>
      </c>
      <c r="H77" s="54">
        <v>16050</v>
      </c>
      <c r="I77" s="59"/>
      <c r="J77" s="31" t="s">
        <v>72</v>
      </c>
      <c r="K77" s="101"/>
      <c r="L77" s="13"/>
      <c r="M77" s="42"/>
      <c r="N77" s="42">
        <v>41687</v>
      </c>
      <c r="O77" s="14"/>
      <c r="P77" s="46"/>
      <c r="Q77" s="21">
        <v>41696</v>
      </c>
      <c r="V77" s="89"/>
      <c r="W77" s="87"/>
      <c r="X77" s="88"/>
    </row>
    <row r="78" spans="2:24" s="12" customFormat="1" ht="18" customHeight="1" x14ac:dyDescent="0.15">
      <c r="B78" s="8"/>
      <c r="C78" s="26" t="s">
        <v>70</v>
      </c>
      <c r="D78" s="26" t="s">
        <v>26</v>
      </c>
      <c r="E78" s="32" t="s">
        <v>73</v>
      </c>
      <c r="F78" s="58">
        <v>2</v>
      </c>
      <c r="G78" s="53">
        <v>235</v>
      </c>
      <c r="H78" s="54">
        <v>470</v>
      </c>
      <c r="I78" s="59"/>
      <c r="J78" s="31" t="s">
        <v>74</v>
      </c>
      <c r="K78" s="101"/>
      <c r="L78" s="13"/>
      <c r="M78" s="42"/>
      <c r="N78" s="42">
        <v>41687</v>
      </c>
      <c r="O78" s="14"/>
      <c r="P78" s="46"/>
      <c r="Q78" s="21">
        <v>41696</v>
      </c>
      <c r="V78" s="89"/>
      <c r="W78" s="87"/>
      <c r="X78" s="88"/>
    </row>
    <row r="79" spans="2:24" s="12" customFormat="1" ht="18" customHeight="1" x14ac:dyDescent="0.15">
      <c r="B79" s="8"/>
      <c r="C79" s="26" t="s">
        <v>70</v>
      </c>
      <c r="D79" s="26" t="s">
        <v>26</v>
      </c>
      <c r="E79" s="32" t="s">
        <v>166</v>
      </c>
      <c r="F79" s="58">
        <v>2</v>
      </c>
      <c r="G79" s="53">
        <v>295</v>
      </c>
      <c r="H79" s="54">
        <v>590</v>
      </c>
      <c r="I79" s="59"/>
      <c r="J79" s="31" t="s">
        <v>76</v>
      </c>
      <c r="K79" s="24"/>
      <c r="L79" s="13"/>
      <c r="M79" s="42"/>
      <c r="N79" s="42">
        <v>41687</v>
      </c>
      <c r="O79" s="14"/>
      <c r="P79" s="46"/>
      <c r="Q79" s="21">
        <v>41696</v>
      </c>
      <c r="W79" s="87" t="s">
        <v>37</v>
      </c>
      <c r="X79" s="88" t="s">
        <v>38</v>
      </c>
    </row>
    <row r="80" spans="2:24" s="12" customFormat="1" ht="18" customHeight="1" x14ac:dyDescent="0.15">
      <c r="B80" s="8"/>
      <c r="C80" s="75" t="s">
        <v>25</v>
      </c>
      <c r="D80" s="75" t="s">
        <v>26</v>
      </c>
      <c r="E80" s="90" t="s">
        <v>39</v>
      </c>
      <c r="F80" s="79">
        <v>1</v>
      </c>
      <c r="G80" s="52">
        <v>3827</v>
      </c>
      <c r="H80" s="54">
        <f>F80*G80</f>
        <v>3827</v>
      </c>
      <c r="I80" s="27"/>
      <c r="J80" s="39" t="s">
        <v>28</v>
      </c>
      <c r="K80" s="56"/>
      <c r="L80" s="56"/>
      <c r="M80" s="46"/>
      <c r="N80" s="42">
        <v>41687</v>
      </c>
      <c r="O80" s="14"/>
      <c r="P80" s="46"/>
      <c r="Q80" s="21">
        <v>41696</v>
      </c>
      <c r="W80" s="87"/>
      <c r="X80" s="88"/>
    </row>
    <row r="81" spans="1:18" s="12" customFormat="1" ht="18" customHeight="1" x14ac:dyDescent="0.15">
      <c r="B81" s="8"/>
      <c r="C81" s="201" t="s">
        <v>66</v>
      </c>
      <c r="D81" s="202"/>
      <c r="E81" s="121">
        <f>SUM(H64:H80)</f>
        <v>55437</v>
      </c>
      <c r="F81" s="113"/>
      <c r="G81" s="116"/>
      <c r="I81" s="79"/>
      <c r="J81" s="31"/>
      <c r="K81" s="78"/>
      <c r="L81" s="56"/>
      <c r="M81" s="46"/>
      <c r="N81" s="42"/>
      <c r="O81" s="14"/>
      <c r="P81" s="46"/>
      <c r="Q81" s="21"/>
      <c r="R81" s="80"/>
    </row>
    <row r="82" spans="1:18" s="130" customFormat="1" ht="18" customHeight="1" x14ac:dyDescent="0.15">
      <c r="A82" s="12"/>
      <c r="B82" s="131"/>
      <c r="C82" s="155"/>
      <c r="D82" s="155"/>
      <c r="E82" s="156"/>
      <c r="F82" s="157"/>
      <c r="G82" s="158"/>
      <c r="H82" s="159"/>
      <c r="I82" s="160"/>
      <c r="J82" s="161"/>
      <c r="K82" s="156"/>
      <c r="L82" s="162"/>
      <c r="M82" s="154"/>
      <c r="N82" s="141"/>
      <c r="O82" s="142"/>
      <c r="P82" s="154"/>
      <c r="Q82" s="144"/>
      <c r="R82" s="163"/>
    </row>
    <row r="83" spans="1:18" s="164" customFormat="1" ht="18" customHeight="1" x14ac:dyDescent="0.15">
      <c r="A83" s="192"/>
      <c r="B83" s="131"/>
      <c r="C83" s="155"/>
      <c r="D83" s="155"/>
      <c r="E83" s="156"/>
      <c r="F83" s="157"/>
      <c r="G83" s="158"/>
      <c r="H83" s="158"/>
      <c r="I83" s="160"/>
      <c r="J83" s="162"/>
      <c r="K83" s="156"/>
      <c r="L83" s="165"/>
      <c r="M83" s="154"/>
      <c r="N83" s="166"/>
      <c r="O83" s="142"/>
      <c r="P83" s="167"/>
      <c r="Q83" s="144"/>
      <c r="R83" s="163"/>
    </row>
    <row r="84" spans="1:18" ht="18" customHeight="1" x14ac:dyDescent="0.15">
      <c r="B84" s="8"/>
      <c r="C84" s="74" t="s">
        <v>43</v>
      </c>
      <c r="D84" s="74" t="s">
        <v>43</v>
      </c>
      <c r="E84" s="78" t="s">
        <v>167</v>
      </c>
      <c r="F84" s="113">
        <v>2</v>
      </c>
      <c r="G84" s="116">
        <v>600</v>
      </c>
      <c r="H84" s="116">
        <v>1200</v>
      </c>
      <c r="I84" s="61"/>
      <c r="J84" s="62"/>
      <c r="K84" s="78"/>
      <c r="L84" s="62"/>
      <c r="M84" s="47"/>
      <c r="N84" s="19">
        <v>41715</v>
      </c>
      <c r="O84" s="14"/>
      <c r="P84" s="50"/>
      <c r="Q84" s="21">
        <v>41710</v>
      </c>
      <c r="R84" s="80"/>
    </row>
    <row r="85" spans="1:18" ht="18" customHeight="1" x14ac:dyDescent="0.15">
      <c r="B85" s="8"/>
      <c r="C85" s="74" t="s">
        <v>43</v>
      </c>
      <c r="D85" s="74" t="s">
        <v>43</v>
      </c>
      <c r="E85" s="78" t="s">
        <v>168</v>
      </c>
      <c r="F85" s="113">
        <v>2</v>
      </c>
      <c r="G85" s="116">
        <v>210</v>
      </c>
      <c r="H85" s="116">
        <v>420</v>
      </c>
      <c r="I85" s="61"/>
      <c r="J85" s="62"/>
      <c r="K85" s="78"/>
      <c r="L85" s="62"/>
      <c r="M85" s="47"/>
      <c r="N85" s="19">
        <v>41715</v>
      </c>
      <c r="O85" s="19"/>
      <c r="P85" s="47"/>
      <c r="Q85" s="21">
        <v>41710</v>
      </c>
      <c r="R85" s="80"/>
    </row>
    <row r="86" spans="1:18" ht="16.5" customHeight="1" x14ac:dyDescent="0.15">
      <c r="B86" s="8"/>
      <c r="C86" s="26"/>
      <c r="D86" s="26"/>
      <c r="E86" s="78"/>
      <c r="F86" s="113"/>
      <c r="G86" s="116"/>
      <c r="H86" s="116"/>
      <c r="I86" s="61"/>
      <c r="J86" s="62"/>
      <c r="K86" s="78"/>
      <c r="L86" s="62"/>
      <c r="M86" s="47"/>
      <c r="N86" s="16"/>
      <c r="O86" s="19"/>
      <c r="P86" s="47"/>
      <c r="Q86" s="77"/>
      <c r="R86" s="80"/>
    </row>
    <row r="87" spans="1:18" ht="18" customHeight="1" x14ac:dyDescent="0.15">
      <c r="B87" s="9"/>
      <c r="C87" s="26"/>
      <c r="D87" s="26"/>
      <c r="E87" s="78"/>
      <c r="F87" s="113"/>
      <c r="G87" s="116"/>
      <c r="H87" s="116"/>
      <c r="I87" s="60"/>
      <c r="J87" s="62"/>
      <c r="K87" s="78"/>
      <c r="L87" s="62"/>
      <c r="M87" s="48"/>
      <c r="N87" s="16"/>
      <c r="O87" s="19"/>
      <c r="P87" s="47"/>
      <c r="Q87" s="21"/>
      <c r="R87" s="80"/>
    </row>
    <row r="88" spans="1:18" ht="18" customHeight="1" x14ac:dyDescent="0.15">
      <c r="B88" s="9"/>
      <c r="C88" s="26"/>
      <c r="D88" s="26"/>
      <c r="E88" s="78"/>
      <c r="F88" s="113"/>
      <c r="G88" s="116"/>
      <c r="H88" s="116"/>
      <c r="I88" s="60"/>
      <c r="J88" s="62"/>
      <c r="K88" s="78"/>
      <c r="L88" s="62"/>
      <c r="M88" s="48"/>
      <c r="N88" s="16"/>
      <c r="O88" s="19"/>
      <c r="P88" s="47"/>
      <c r="Q88" s="21"/>
      <c r="R88" s="80"/>
    </row>
    <row r="89" spans="1:18" ht="18" customHeight="1" x14ac:dyDescent="0.15">
      <c r="B89" s="9"/>
      <c r="C89" s="26"/>
      <c r="D89" s="26"/>
      <c r="E89" s="78"/>
      <c r="F89" s="113"/>
      <c r="G89" s="116"/>
      <c r="H89" s="116"/>
      <c r="I89" s="60"/>
      <c r="J89" s="62"/>
      <c r="K89" s="78"/>
      <c r="L89" s="62"/>
      <c r="M89" s="48"/>
      <c r="N89" s="16"/>
      <c r="O89" s="19"/>
      <c r="P89" s="47"/>
      <c r="Q89" s="21"/>
      <c r="R89" s="80"/>
    </row>
    <row r="90" spans="1:18" ht="18" customHeight="1" x14ac:dyDescent="0.15">
      <c r="B90" s="9"/>
      <c r="C90" s="26"/>
      <c r="D90" s="26"/>
      <c r="E90" s="78"/>
      <c r="F90" s="113"/>
      <c r="G90" s="116"/>
      <c r="H90" s="116"/>
      <c r="I90" s="60"/>
      <c r="J90" s="62"/>
      <c r="K90" s="78"/>
      <c r="L90" s="62"/>
      <c r="M90" s="48"/>
      <c r="N90" s="16"/>
      <c r="O90" s="19"/>
      <c r="P90" s="47"/>
      <c r="Q90" s="21"/>
      <c r="R90" s="80"/>
    </row>
    <row r="91" spans="1:18" ht="18" customHeight="1" x14ac:dyDescent="0.15">
      <c r="B91" s="9"/>
      <c r="C91" s="26"/>
      <c r="D91" s="26"/>
      <c r="E91" s="78"/>
      <c r="F91" s="113"/>
      <c r="G91" s="116"/>
      <c r="H91" s="116"/>
      <c r="I91" s="60"/>
      <c r="J91" s="62"/>
      <c r="K91" s="78"/>
      <c r="L91" s="62"/>
      <c r="M91" s="48"/>
      <c r="N91" s="16"/>
      <c r="O91" s="19"/>
      <c r="P91" s="47"/>
      <c r="Q91" s="21"/>
      <c r="R91" s="80"/>
    </row>
    <row r="92" spans="1:18" ht="18" customHeight="1" x14ac:dyDescent="0.15">
      <c r="B92" s="9"/>
      <c r="C92" s="26"/>
      <c r="D92" s="26"/>
      <c r="E92" s="78"/>
      <c r="F92" s="113"/>
      <c r="G92" s="116"/>
      <c r="H92" s="116"/>
      <c r="I92" s="60"/>
      <c r="J92" s="62"/>
      <c r="K92" s="78"/>
      <c r="L92" s="62"/>
      <c r="M92" s="48"/>
      <c r="N92" s="16"/>
      <c r="O92" s="19"/>
      <c r="P92" s="47"/>
      <c r="Q92" s="21"/>
      <c r="R92" s="80"/>
    </row>
    <row r="93" spans="1:18" ht="18" customHeight="1" x14ac:dyDescent="0.15">
      <c r="B93" s="9"/>
      <c r="C93" s="26"/>
      <c r="D93" s="26"/>
      <c r="E93" s="78"/>
      <c r="F93" s="113"/>
      <c r="G93" s="116"/>
      <c r="H93" s="116"/>
      <c r="I93" s="60"/>
      <c r="J93" s="62"/>
      <c r="K93" s="78"/>
      <c r="L93" s="62"/>
      <c r="M93" s="48"/>
      <c r="N93" s="16"/>
      <c r="O93" s="19"/>
      <c r="P93" s="48"/>
      <c r="Q93" s="21"/>
      <c r="R93" s="80"/>
    </row>
    <row r="94" spans="1:18" ht="18" customHeight="1" x14ac:dyDescent="0.15">
      <c r="B94" s="9"/>
      <c r="C94" s="26"/>
      <c r="D94" s="26"/>
      <c r="E94" s="78"/>
      <c r="F94" s="113"/>
      <c r="G94" s="116"/>
      <c r="H94" s="116"/>
      <c r="I94" s="60"/>
      <c r="J94" s="62"/>
      <c r="K94" s="78"/>
      <c r="L94" s="62"/>
      <c r="M94" s="48"/>
      <c r="N94" s="16"/>
      <c r="O94" s="19"/>
      <c r="P94" s="48"/>
      <c r="Q94" s="21"/>
      <c r="R94" s="80"/>
    </row>
    <row r="95" spans="1:18" ht="18" customHeight="1" x14ac:dyDescent="0.15">
      <c r="B95" s="9"/>
      <c r="C95" s="26"/>
      <c r="D95" s="26"/>
      <c r="E95" s="78"/>
      <c r="F95" s="113"/>
      <c r="G95" s="116"/>
      <c r="H95" s="116"/>
      <c r="I95" s="60"/>
      <c r="J95" s="62"/>
      <c r="K95" s="78"/>
      <c r="L95" s="62"/>
      <c r="M95" s="48"/>
      <c r="N95" s="16"/>
      <c r="O95" s="19"/>
      <c r="P95" s="48"/>
      <c r="Q95" s="21"/>
      <c r="R95" s="80"/>
    </row>
    <row r="96" spans="1:18" ht="18" customHeight="1" x14ac:dyDescent="0.15">
      <c r="B96" s="9"/>
      <c r="C96" s="26"/>
      <c r="D96" s="26"/>
      <c r="E96" s="78"/>
      <c r="F96" s="113"/>
      <c r="G96" s="116"/>
      <c r="H96" s="116"/>
      <c r="I96" s="44"/>
      <c r="J96" s="16"/>
      <c r="K96" s="78"/>
      <c r="L96" s="16"/>
      <c r="M96" s="48"/>
      <c r="N96" s="16"/>
      <c r="O96" s="19"/>
      <c r="P96" s="48"/>
      <c r="Q96" s="21"/>
      <c r="R96" s="80"/>
    </row>
    <row r="97" spans="2:18" ht="18" customHeight="1" x14ac:dyDescent="0.15">
      <c r="B97" s="9"/>
      <c r="C97" s="26"/>
      <c r="D97" s="26"/>
      <c r="E97" s="78"/>
      <c r="F97" s="113"/>
      <c r="G97" s="116"/>
      <c r="H97" s="116"/>
      <c r="I97" s="44"/>
      <c r="J97" s="16"/>
      <c r="K97" s="78"/>
      <c r="L97" s="16"/>
      <c r="M97" s="48"/>
      <c r="N97" s="16"/>
      <c r="O97" s="19"/>
      <c r="P97" s="47"/>
      <c r="Q97" s="21"/>
      <c r="R97" s="80"/>
    </row>
    <row r="98" spans="2:18" ht="18" customHeight="1" x14ac:dyDescent="0.15">
      <c r="B98" s="9"/>
      <c r="C98" s="26"/>
      <c r="D98" s="26"/>
      <c r="E98" s="78"/>
      <c r="F98" s="113"/>
      <c r="G98" s="116"/>
      <c r="H98" s="116"/>
      <c r="I98" s="44"/>
      <c r="J98" s="16"/>
      <c r="K98" s="78"/>
      <c r="L98" s="16"/>
      <c r="M98" s="48"/>
      <c r="N98" s="16"/>
      <c r="O98" s="19"/>
      <c r="P98" s="47"/>
      <c r="Q98" s="21"/>
      <c r="R98" s="80"/>
    </row>
    <row r="99" spans="2:18" ht="18" customHeight="1" x14ac:dyDescent="0.15">
      <c r="B99" s="16"/>
      <c r="C99" s="26"/>
      <c r="D99" s="26"/>
      <c r="E99" s="78"/>
      <c r="F99" s="113"/>
      <c r="G99" s="116"/>
      <c r="H99" s="116"/>
      <c r="I99" s="45"/>
      <c r="J99" s="16"/>
      <c r="K99" s="78"/>
      <c r="L99" s="16"/>
      <c r="M99" s="48"/>
      <c r="N99" s="17"/>
      <c r="O99" s="18"/>
      <c r="P99" s="47"/>
      <c r="Q99" s="21"/>
      <c r="R99" s="80"/>
    </row>
    <row r="100" spans="2:18" ht="18" customHeight="1" x14ac:dyDescent="0.15">
      <c r="B100" s="16"/>
      <c r="C100" s="26"/>
      <c r="D100" s="26"/>
      <c r="E100" s="78"/>
      <c r="F100" s="113"/>
      <c r="G100" s="116"/>
      <c r="H100" s="116"/>
      <c r="I100" s="45"/>
      <c r="J100" s="16"/>
      <c r="K100" s="78"/>
      <c r="L100" s="16"/>
      <c r="M100" s="48"/>
      <c r="N100" s="17"/>
      <c r="O100" s="18"/>
      <c r="P100" s="47"/>
      <c r="Q100" s="21"/>
      <c r="R100" s="80"/>
    </row>
    <row r="101" spans="2:18" ht="18" customHeight="1" x14ac:dyDescent="0.15">
      <c r="B101" s="16"/>
      <c r="C101" s="26"/>
      <c r="D101" s="26"/>
      <c r="E101" s="78"/>
      <c r="F101" s="113"/>
      <c r="G101" s="116"/>
      <c r="H101" s="116"/>
      <c r="I101" s="45"/>
      <c r="J101" s="16"/>
      <c r="K101" s="78"/>
      <c r="L101" s="16"/>
      <c r="M101" s="48"/>
      <c r="N101" s="17"/>
      <c r="O101" s="18"/>
      <c r="P101" s="47"/>
      <c r="Q101" s="21"/>
      <c r="R101" s="80"/>
    </row>
    <row r="102" spans="2:18" ht="18" customHeight="1" x14ac:dyDescent="0.15">
      <c r="B102" s="16"/>
      <c r="C102" s="26"/>
      <c r="D102" s="26"/>
      <c r="E102" s="78"/>
      <c r="F102" s="113"/>
      <c r="G102" s="116"/>
      <c r="H102" s="116"/>
      <c r="I102" s="45"/>
      <c r="J102" s="16"/>
      <c r="K102" s="78"/>
      <c r="L102" s="16"/>
      <c r="M102" s="48"/>
      <c r="N102" s="17"/>
      <c r="O102" s="18"/>
      <c r="P102" s="47"/>
      <c r="Q102" s="21"/>
      <c r="R102" s="80"/>
    </row>
    <row r="103" spans="2:18" ht="18" customHeight="1" x14ac:dyDescent="0.15">
      <c r="B103" s="16"/>
      <c r="C103" s="26"/>
      <c r="D103" s="26"/>
      <c r="E103" s="78"/>
      <c r="F103" s="113"/>
      <c r="G103" s="116"/>
      <c r="H103" s="116"/>
      <c r="I103" s="45"/>
      <c r="J103" s="16"/>
      <c r="K103" s="78"/>
      <c r="L103" s="16"/>
      <c r="M103" s="48"/>
      <c r="N103" s="17"/>
      <c r="O103" s="18"/>
      <c r="P103" s="47"/>
      <c r="Q103" s="21"/>
      <c r="R103" s="80"/>
    </row>
    <row r="104" spans="2:18" ht="18" customHeight="1" x14ac:dyDescent="0.15">
      <c r="B104" s="16"/>
      <c r="C104" s="26"/>
      <c r="D104" s="26"/>
      <c r="E104" s="78"/>
      <c r="F104" s="113"/>
      <c r="G104" s="116"/>
      <c r="H104" s="116"/>
      <c r="I104" s="45"/>
      <c r="J104" s="16"/>
      <c r="K104" s="78"/>
      <c r="L104" s="16"/>
      <c r="M104" s="48"/>
      <c r="N104" s="17"/>
      <c r="O104" s="18"/>
      <c r="P104" s="47"/>
      <c r="Q104" s="21"/>
      <c r="R104" s="80"/>
    </row>
    <row r="105" spans="2:18" ht="18" customHeight="1" x14ac:dyDescent="0.15">
      <c r="B105" s="16"/>
      <c r="C105" s="26"/>
      <c r="D105" s="26"/>
      <c r="E105" s="78"/>
      <c r="F105" s="113"/>
      <c r="G105" s="116"/>
      <c r="H105" s="116"/>
      <c r="I105" s="45"/>
      <c r="J105" s="16"/>
      <c r="K105" s="78"/>
      <c r="L105" s="16"/>
      <c r="M105" s="48"/>
      <c r="N105" s="17"/>
      <c r="O105" s="18"/>
      <c r="P105" s="47"/>
      <c r="Q105" s="21"/>
      <c r="R105" s="80"/>
    </row>
    <row r="106" spans="2:18" ht="18" customHeight="1" x14ac:dyDescent="0.15">
      <c r="B106" s="16"/>
      <c r="C106" s="26"/>
      <c r="D106" s="26"/>
      <c r="E106" s="78"/>
      <c r="F106" s="113"/>
      <c r="G106" s="116"/>
      <c r="H106" s="116"/>
      <c r="I106" s="45"/>
      <c r="J106" s="16"/>
      <c r="K106" s="78"/>
      <c r="L106" s="16"/>
      <c r="M106" s="48"/>
      <c r="N106" s="17"/>
      <c r="O106" s="18"/>
      <c r="P106" s="47"/>
      <c r="Q106" s="21"/>
      <c r="R106" s="80"/>
    </row>
    <row r="107" spans="2:18" ht="18" customHeight="1" x14ac:dyDescent="0.15">
      <c r="B107" s="16"/>
      <c r="C107" s="26"/>
      <c r="D107" s="26"/>
      <c r="E107" s="78"/>
      <c r="F107" s="113"/>
      <c r="G107" s="116"/>
      <c r="H107" s="116"/>
      <c r="I107" s="45"/>
      <c r="J107" s="16"/>
      <c r="K107" s="78"/>
      <c r="L107" s="16"/>
      <c r="M107" s="48"/>
      <c r="N107" s="17"/>
      <c r="O107" s="18"/>
      <c r="P107" s="47"/>
      <c r="Q107" s="21"/>
      <c r="R107" s="80"/>
    </row>
    <row r="108" spans="2:18" ht="18" customHeight="1" x14ac:dyDescent="0.15">
      <c r="B108" s="16"/>
      <c r="C108" s="26"/>
      <c r="D108" s="26"/>
      <c r="E108" s="78"/>
      <c r="F108" s="113"/>
      <c r="G108" s="116"/>
      <c r="H108" s="116"/>
      <c r="I108" s="45"/>
      <c r="J108" s="16"/>
      <c r="K108" s="78"/>
      <c r="L108" s="16"/>
      <c r="M108" s="48"/>
      <c r="N108" s="17"/>
      <c r="O108" s="18"/>
      <c r="P108" s="47"/>
      <c r="Q108" s="21"/>
      <c r="R108" s="80"/>
    </row>
    <row r="109" spans="2:18" ht="18" customHeight="1" x14ac:dyDescent="0.15">
      <c r="B109" s="16"/>
      <c r="C109" s="26"/>
      <c r="D109" s="26"/>
      <c r="E109" s="78"/>
      <c r="F109" s="113"/>
      <c r="G109" s="116"/>
      <c r="H109" s="116"/>
      <c r="I109" s="45"/>
      <c r="J109" s="16"/>
      <c r="K109" s="78"/>
      <c r="L109" s="16"/>
      <c r="M109" s="48"/>
      <c r="N109" s="17"/>
      <c r="O109" s="18"/>
      <c r="P109" s="47"/>
      <c r="Q109" s="21"/>
      <c r="R109" s="80"/>
    </row>
    <row r="110" spans="2:18" ht="18" customHeight="1" x14ac:dyDescent="0.15">
      <c r="B110" s="16"/>
      <c r="C110" s="26"/>
      <c r="D110" s="26"/>
      <c r="E110" s="78"/>
      <c r="F110" s="113"/>
      <c r="G110" s="116"/>
      <c r="H110" s="116"/>
      <c r="I110" s="45"/>
      <c r="J110" s="16"/>
      <c r="K110" s="78"/>
      <c r="L110" s="16"/>
      <c r="M110" s="48"/>
      <c r="N110" s="17"/>
      <c r="O110" s="18"/>
      <c r="P110" s="47"/>
      <c r="Q110" s="21"/>
      <c r="R110" s="80"/>
    </row>
    <row r="111" spans="2:18" ht="18" customHeight="1" x14ac:dyDescent="0.15">
      <c r="B111" s="16"/>
      <c r="C111" s="26"/>
      <c r="D111" s="26"/>
      <c r="E111" s="78"/>
      <c r="F111" s="113"/>
      <c r="G111" s="116"/>
      <c r="H111" s="116"/>
      <c r="I111" s="45"/>
      <c r="J111" s="16"/>
      <c r="K111" s="78"/>
      <c r="L111" s="16"/>
      <c r="M111" s="48"/>
      <c r="N111" s="17"/>
      <c r="O111" s="18"/>
      <c r="P111" s="47"/>
      <c r="Q111" s="21"/>
      <c r="R111" s="80"/>
    </row>
    <row r="112" spans="2:18" ht="18" customHeight="1" x14ac:dyDescent="0.15">
      <c r="B112" s="16"/>
      <c r="C112" s="26"/>
      <c r="D112" s="26"/>
      <c r="E112" s="78"/>
      <c r="F112" s="113"/>
      <c r="G112" s="116"/>
      <c r="H112" s="116"/>
      <c r="I112" s="45"/>
      <c r="J112" s="16"/>
      <c r="K112" s="78"/>
      <c r="L112" s="16"/>
      <c r="M112" s="48"/>
      <c r="N112" s="17"/>
      <c r="O112" s="18"/>
      <c r="P112" s="47"/>
      <c r="Q112" s="21"/>
      <c r="R112" s="80"/>
    </row>
    <row r="113" spans="2:18" ht="18" customHeight="1" x14ac:dyDescent="0.15">
      <c r="B113" s="16"/>
      <c r="C113" s="26"/>
      <c r="D113" s="26"/>
      <c r="E113" s="78"/>
      <c r="F113" s="113"/>
      <c r="G113" s="116"/>
      <c r="H113" s="116"/>
      <c r="I113" s="45"/>
      <c r="J113" s="16"/>
      <c r="K113" s="78"/>
      <c r="L113" s="16"/>
      <c r="M113" s="48"/>
      <c r="N113" s="17"/>
      <c r="O113" s="18"/>
      <c r="P113" s="47"/>
      <c r="Q113" s="21"/>
      <c r="R113" s="80"/>
    </row>
    <row r="114" spans="2:18" ht="18" customHeight="1" x14ac:dyDescent="0.15">
      <c r="B114" s="16"/>
      <c r="C114" s="26"/>
      <c r="D114" s="26"/>
      <c r="E114" s="78"/>
      <c r="F114" s="113"/>
      <c r="G114" s="116"/>
      <c r="H114" s="116"/>
      <c r="I114" s="45"/>
      <c r="J114" s="16"/>
      <c r="K114" s="78"/>
      <c r="L114" s="16"/>
      <c r="M114" s="48"/>
      <c r="N114" s="17"/>
      <c r="O114" s="18"/>
      <c r="P114" s="47"/>
      <c r="Q114" s="23"/>
      <c r="R114" s="80"/>
    </row>
    <row r="115" spans="2:18" ht="18" customHeight="1" x14ac:dyDescent="0.15">
      <c r="B115" s="16"/>
      <c r="C115" s="26"/>
      <c r="D115" s="26"/>
      <c r="E115" s="78"/>
      <c r="F115" s="113"/>
      <c r="G115" s="116"/>
      <c r="H115" s="116"/>
      <c r="I115" s="45"/>
      <c r="J115" s="16"/>
      <c r="K115" s="78"/>
      <c r="L115" s="16"/>
      <c r="M115" s="48"/>
      <c r="N115" s="17"/>
      <c r="O115" s="18"/>
      <c r="P115" s="47"/>
      <c r="Q115" s="23"/>
      <c r="R115" s="80"/>
    </row>
    <row r="116" spans="2:18" ht="18" customHeight="1" x14ac:dyDescent="0.15">
      <c r="B116" s="16"/>
      <c r="C116" s="26"/>
      <c r="D116" s="26"/>
      <c r="E116" s="78"/>
      <c r="F116" s="113"/>
      <c r="G116" s="116"/>
      <c r="H116" s="116"/>
      <c r="I116" s="45"/>
      <c r="J116" s="16"/>
      <c r="K116" s="78"/>
      <c r="L116" s="16"/>
      <c r="M116" s="48"/>
      <c r="N116" s="17"/>
      <c r="O116" s="18"/>
      <c r="P116" s="47"/>
      <c r="Q116" s="23"/>
      <c r="R116" s="80"/>
    </row>
    <row r="117" spans="2:18" ht="18" customHeight="1" x14ac:dyDescent="0.15">
      <c r="B117" s="16"/>
      <c r="C117" s="26"/>
      <c r="D117" s="26"/>
      <c r="E117" s="78"/>
      <c r="F117" s="113"/>
      <c r="G117" s="116"/>
      <c r="H117" s="116"/>
      <c r="I117" s="45"/>
      <c r="J117" s="16"/>
      <c r="K117" s="78"/>
      <c r="L117" s="16"/>
      <c r="M117" s="48"/>
      <c r="N117" s="17"/>
      <c r="O117" s="18"/>
      <c r="P117" s="47"/>
      <c r="Q117" s="23"/>
      <c r="R117" s="80"/>
    </row>
    <row r="118" spans="2:18" ht="18" customHeight="1" x14ac:dyDescent="0.15">
      <c r="B118" s="16"/>
      <c r="C118" s="26"/>
      <c r="D118" s="26"/>
      <c r="E118" s="78"/>
      <c r="F118" s="113"/>
      <c r="G118" s="116"/>
      <c r="H118" s="116"/>
      <c r="I118" s="45"/>
      <c r="J118" s="16"/>
      <c r="K118" s="78"/>
      <c r="L118" s="16"/>
      <c r="M118" s="48"/>
      <c r="N118" s="17"/>
      <c r="O118" s="18"/>
      <c r="P118" s="47"/>
      <c r="Q118" s="23"/>
      <c r="R118" s="80"/>
    </row>
    <row r="119" spans="2:18" ht="18" customHeight="1" x14ac:dyDescent="0.15">
      <c r="B119" s="16"/>
      <c r="C119" s="26"/>
      <c r="D119" s="26"/>
      <c r="E119" s="78"/>
      <c r="F119" s="113"/>
      <c r="G119" s="116"/>
      <c r="H119" s="116"/>
      <c r="I119" s="45"/>
      <c r="J119" s="16"/>
      <c r="K119" s="78"/>
      <c r="L119" s="16"/>
      <c r="M119" s="48"/>
      <c r="N119" s="17"/>
      <c r="O119" s="18"/>
      <c r="P119" s="47"/>
      <c r="Q119" s="23"/>
      <c r="R119" s="80"/>
    </row>
    <row r="120" spans="2:18" ht="18" customHeight="1" x14ac:dyDescent="0.15">
      <c r="B120" s="16"/>
      <c r="C120" s="26"/>
      <c r="D120" s="26"/>
      <c r="E120" s="78"/>
      <c r="F120" s="113"/>
      <c r="G120" s="116"/>
      <c r="H120" s="116"/>
      <c r="I120" s="45"/>
      <c r="J120" s="16"/>
      <c r="K120" s="78"/>
      <c r="L120" s="16"/>
      <c r="M120" s="48"/>
      <c r="N120" s="17"/>
      <c r="O120" s="18"/>
      <c r="P120" s="47"/>
      <c r="Q120" s="23"/>
      <c r="R120" s="80"/>
    </row>
    <row r="121" spans="2:18" ht="18" customHeight="1" x14ac:dyDescent="0.15">
      <c r="B121" s="16"/>
      <c r="C121" s="26"/>
      <c r="D121" s="26"/>
      <c r="E121" s="78"/>
      <c r="F121" s="113"/>
      <c r="G121" s="116"/>
      <c r="H121" s="116"/>
      <c r="I121" s="45"/>
      <c r="J121" s="16"/>
      <c r="K121" s="78"/>
      <c r="L121" s="16"/>
      <c r="M121" s="48"/>
      <c r="N121" s="17"/>
      <c r="O121" s="18"/>
      <c r="P121" s="47"/>
      <c r="Q121" s="23"/>
      <c r="R121" s="80"/>
    </row>
    <row r="122" spans="2:18" ht="18" customHeight="1" x14ac:dyDescent="0.15">
      <c r="B122" s="16"/>
      <c r="C122" s="26"/>
      <c r="D122" s="26"/>
      <c r="E122" s="78"/>
      <c r="F122" s="113"/>
      <c r="G122" s="116"/>
      <c r="H122" s="116"/>
      <c r="I122" s="45"/>
      <c r="J122" s="16"/>
      <c r="K122" s="78"/>
      <c r="L122" s="16"/>
      <c r="M122" s="48"/>
      <c r="N122" s="17"/>
      <c r="O122" s="18"/>
      <c r="P122" s="47"/>
      <c r="Q122" s="23"/>
      <c r="R122" s="80"/>
    </row>
    <row r="123" spans="2:18" ht="18" customHeight="1" x14ac:dyDescent="0.15">
      <c r="B123" s="16"/>
      <c r="C123" s="26"/>
      <c r="D123" s="26"/>
      <c r="E123" s="78"/>
      <c r="F123" s="113"/>
      <c r="G123" s="116"/>
      <c r="H123" s="116"/>
      <c r="I123" s="45"/>
      <c r="J123" s="16"/>
      <c r="K123" s="78"/>
      <c r="L123" s="16"/>
      <c r="M123" s="48"/>
      <c r="N123" s="17"/>
      <c r="O123" s="18"/>
      <c r="P123" s="47"/>
      <c r="Q123" s="23"/>
      <c r="R123" s="80"/>
    </row>
    <row r="124" spans="2:18" ht="18" customHeight="1" x14ac:dyDescent="0.15">
      <c r="B124" s="16"/>
      <c r="C124" s="26"/>
      <c r="D124" s="26"/>
      <c r="E124" s="78"/>
      <c r="F124" s="113"/>
      <c r="G124" s="116"/>
      <c r="H124" s="116"/>
      <c r="I124" s="45"/>
      <c r="J124" s="16"/>
      <c r="K124" s="78"/>
      <c r="L124" s="16"/>
      <c r="M124" s="48"/>
      <c r="N124" s="17"/>
      <c r="O124" s="18"/>
      <c r="P124" s="47"/>
      <c r="Q124" s="23"/>
      <c r="R124" s="80"/>
    </row>
    <row r="125" spans="2:18" ht="18" customHeight="1" x14ac:dyDescent="0.15">
      <c r="B125" s="16"/>
      <c r="C125" s="26"/>
      <c r="D125" s="26"/>
      <c r="E125" s="78"/>
      <c r="F125" s="113"/>
      <c r="G125" s="116"/>
      <c r="H125" s="116"/>
      <c r="I125" s="45"/>
      <c r="J125" s="16"/>
      <c r="K125" s="78"/>
      <c r="L125" s="16"/>
      <c r="M125" s="48"/>
      <c r="N125" s="17"/>
      <c r="O125" s="18"/>
      <c r="P125" s="47"/>
      <c r="Q125" s="23"/>
      <c r="R125" s="80"/>
    </row>
    <row r="126" spans="2:18" ht="18" customHeight="1" x14ac:dyDescent="0.15">
      <c r="B126" s="16"/>
      <c r="C126" s="26"/>
      <c r="D126" s="26"/>
      <c r="E126" s="78"/>
      <c r="F126" s="113"/>
      <c r="G126" s="116"/>
      <c r="H126" s="116"/>
      <c r="I126" s="45"/>
      <c r="J126" s="16"/>
      <c r="K126" s="78"/>
      <c r="L126" s="16"/>
      <c r="M126" s="48"/>
      <c r="N126" s="17"/>
      <c r="O126" s="18"/>
      <c r="P126" s="47"/>
      <c r="Q126" s="23"/>
      <c r="R126" s="80"/>
    </row>
    <row r="127" spans="2:18" ht="18" customHeight="1" x14ac:dyDescent="0.15">
      <c r="B127" s="16"/>
      <c r="C127" s="26"/>
      <c r="D127" s="26"/>
      <c r="E127" s="78"/>
      <c r="F127" s="113"/>
      <c r="G127" s="116"/>
      <c r="H127" s="116"/>
      <c r="I127" s="45"/>
      <c r="J127" s="16"/>
      <c r="K127" s="78"/>
      <c r="L127" s="16"/>
      <c r="M127" s="48"/>
      <c r="N127" s="17"/>
      <c r="O127" s="18"/>
      <c r="P127" s="47"/>
      <c r="Q127" s="23"/>
      <c r="R127" s="80"/>
    </row>
    <row r="128" spans="2:18" ht="18" customHeight="1" x14ac:dyDescent="0.15">
      <c r="B128" s="16"/>
      <c r="C128" s="26"/>
      <c r="D128" s="26"/>
      <c r="E128" s="78"/>
      <c r="F128" s="113"/>
      <c r="G128" s="116"/>
      <c r="H128" s="116"/>
      <c r="I128" s="45"/>
      <c r="J128" s="16"/>
      <c r="K128" s="78"/>
      <c r="L128" s="16"/>
      <c r="M128" s="48"/>
      <c r="N128" s="17"/>
      <c r="O128" s="18"/>
      <c r="P128" s="47"/>
      <c r="Q128" s="23"/>
      <c r="R128" s="80"/>
    </row>
    <row r="129" spans="2:18" ht="18" customHeight="1" x14ac:dyDescent="0.15">
      <c r="B129" s="16"/>
      <c r="C129" s="26"/>
      <c r="D129" s="26"/>
      <c r="E129" s="78"/>
      <c r="F129" s="113"/>
      <c r="G129" s="116"/>
      <c r="H129" s="116"/>
      <c r="I129" s="45"/>
      <c r="J129" s="16"/>
      <c r="K129" s="78"/>
      <c r="L129" s="16"/>
      <c r="M129" s="48"/>
      <c r="N129" s="17"/>
      <c r="O129" s="18"/>
      <c r="P129" s="47"/>
      <c r="Q129" s="23"/>
      <c r="R129" s="80"/>
    </row>
    <row r="130" spans="2:18" ht="18" customHeight="1" x14ac:dyDescent="0.15">
      <c r="B130" s="16"/>
      <c r="C130" s="26"/>
      <c r="D130" s="26"/>
      <c r="E130" s="78"/>
      <c r="F130" s="113"/>
      <c r="G130" s="116"/>
      <c r="H130" s="116"/>
      <c r="I130" s="45"/>
      <c r="J130" s="16"/>
      <c r="K130" s="16"/>
      <c r="L130" s="16"/>
      <c r="M130" s="48"/>
      <c r="N130" s="17"/>
      <c r="O130" s="18"/>
      <c r="P130" s="76"/>
      <c r="Q130" s="23"/>
    </row>
    <row r="131" spans="2:18" ht="18" customHeight="1" x14ac:dyDescent="0.15">
      <c r="B131" s="16"/>
      <c r="C131" s="26"/>
      <c r="D131" s="26"/>
      <c r="E131" s="78"/>
      <c r="F131" s="113"/>
      <c r="G131" s="116"/>
      <c r="H131" s="116"/>
      <c r="I131" s="45"/>
      <c r="J131" s="16"/>
      <c r="K131" s="16"/>
      <c r="L131" s="16"/>
      <c r="M131" s="48"/>
      <c r="N131" s="17"/>
      <c r="O131" s="18"/>
      <c r="P131" s="76"/>
      <c r="Q131" s="23"/>
    </row>
    <row r="132" spans="2:18" ht="18" customHeight="1" x14ac:dyDescent="0.15">
      <c r="B132" s="16"/>
      <c r="C132" s="20"/>
      <c r="D132" s="20"/>
      <c r="E132" s="69"/>
      <c r="F132" s="16"/>
      <c r="G132" s="45"/>
      <c r="H132" s="45"/>
      <c r="I132" s="45"/>
      <c r="J132" s="16"/>
      <c r="K132" s="16"/>
      <c r="L132" s="16"/>
      <c r="M132" s="48"/>
      <c r="N132" s="17"/>
      <c r="O132" s="18"/>
      <c r="P132" s="51"/>
      <c r="Q132" s="23"/>
    </row>
    <row r="133" spans="2:18" ht="18" customHeight="1" x14ac:dyDescent="0.15">
      <c r="B133" s="16"/>
      <c r="C133" s="20"/>
      <c r="D133" s="20"/>
      <c r="E133" s="69"/>
      <c r="F133" s="16"/>
      <c r="G133" s="45"/>
      <c r="H133" s="45"/>
      <c r="I133" s="45"/>
      <c r="J133" s="16"/>
      <c r="K133" s="16"/>
      <c r="L133" s="16"/>
      <c r="M133" s="48"/>
      <c r="N133" s="17"/>
      <c r="O133" s="18"/>
      <c r="P133" s="51"/>
      <c r="Q133" s="23"/>
    </row>
    <row r="134" spans="2:18" ht="18" customHeight="1" x14ac:dyDescent="0.15">
      <c r="B134" s="16"/>
      <c r="C134" s="20"/>
      <c r="D134" s="20"/>
      <c r="E134" s="69"/>
      <c r="F134" s="16"/>
      <c r="G134" s="45"/>
      <c r="H134" s="45"/>
      <c r="I134" s="45"/>
      <c r="J134" s="16"/>
      <c r="K134" s="16"/>
      <c r="L134" s="16"/>
      <c r="M134" s="48"/>
      <c r="N134" s="17"/>
      <c r="O134" s="18"/>
      <c r="P134" s="51"/>
      <c r="Q134" s="23"/>
    </row>
    <row r="135" spans="2:18" ht="18" customHeight="1" x14ac:dyDescent="0.15">
      <c r="B135" s="16"/>
      <c r="C135" s="20"/>
      <c r="D135" s="20"/>
      <c r="E135" s="69"/>
      <c r="F135" s="16"/>
      <c r="G135" s="45"/>
      <c r="H135" s="45"/>
      <c r="I135" s="45"/>
      <c r="J135" s="16"/>
      <c r="K135" s="16"/>
      <c r="L135" s="16"/>
      <c r="M135" s="48"/>
      <c r="N135" s="17"/>
      <c r="O135" s="18"/>
      <c r="P135" s="51"/>
      <c r="Q135" s="23"/>
    </row>
    <row r="136" spans="2:18" ht="18" customHeight="1" x14ac:dyDescent="0.15">
      <c r="B136" s="16"/>
      <c r="C136" s="20"/>
      <c r="D136" s="20"/>
      <c r="E136" s="69"/>
      <c r="F136" s="16"/>
      <c r="G136" s="45"/>
      <c r="H136" s="45"/>
      <c r="I136" s="45"/>
      <c r="J136" s="16"/>
      <c r="K136" s="16"/>
      <c r="L136" s="16"/>
      <c r="M136" s="48"/>
      <c r="N136" s="17"/>
      <c r="O136" s="18"/>
      <c r="P136" s="51"/>
      <c r="Q136" s="23"/>
    </row>
    <row r="137" spans="2:18" ht="18" customHeight="1" x14ac:dyDescent="0.15">
      <c r="B137" s="16"/>
      <c r="C137" s="20"/>
      <c r="D137" s="20"/>
      <c r="E137" s="69"/>
      <c r="F137" s="16"/>
      <c r="G137" s="45"/>
      <c r="H137" s="45"/>
      <c r="I137" s="45"/>
      <c r="J137" s="16"/>
      <c r="K137" s="16"/>
      <c r="L137" s="16"/>
      <c r="M137" s="48"/>
      <c r="N137" s="17"/>
      <c r="O137" s="18"/>
      <c r="P137" s="51"/>
      <c r="Q137" s="23"/>
    </row>
    <row r="138" spans="2:18" ht="18" customHeight="1" x14ac:dyDescent="0.15">
      <c r="B138" s="16"/>
      <c r="C138" s="20"/>
      <c r="D138" s="20"/>
      <c r="E138" s="69"/>
      <c r="F138" s="16"/>
      <c r="G138" s="45"/>
      <c r="H138" s="45"/>
      <c r="I138" s="45"/>
      <c r="J138" s="16"/>
      <c r="K138" s="16"/>
      <c r="L138" s="16"/>
      <c r="M138" s="48"/>
      <c r="N138" s="17"/>
      <c r="O138" s="18"/>
      <c r="P138" s="51"/>
      <c r="Q138" s="23"/>
    </row>
    <row r="139" spans="2:18" ht="18" customHeight="1" x14ac:dyDescent="0.15">
      <c r="B139" s="16"/>
      <c r="C139" s="20"/>
      <c r="D139" s="20"/>
      <c r="E139" s="69"/>
      <c r="F139" s="16"/>
      <c r="G139" s="45"/>
      <c r="H139" s="45"/>
      <c r="I139" s="45"/>
      <c r="J139" s="16"/>
      <c r="K139" s="16"/>
      <c r="L139" s="16"/>
      <c r="M139" s="48"/>
      <c r="N139" s="17"/>
      <c r="O139" s="18"/>
      <c r="P139" s="51"/>
      <c r="Q139" s="23"/>
    </row>
    <row r="140" spans="2:18" ht="18" customHeight="1" x14ac:dyDescent="0.15">
      <c r="B140" s="16"/>
      <c r="C140" s="20"/>
      <c r="D140" s="20"/>
      <c r="E140" s="69"/>
      <c r="F140" s="16"/>
      <c r="G140" s="45"/>
      <c r="H140" s="45"/>
      <c r="I140" s="45"/>
      <c r="J140" s="16"/>
      <c r="K140" s="16"/>
      <c r="L140" s="16"/>
      <c r="M140" s="48"/>
      <c r="N140" s="17"/>
      <c r="O140" s="18"/>
      <c r="P140" s="51"/>
      <c r="Q140" s="23"/>
    </row>
    <row r="141" spans="2:18" ht="18" customHeight="1" x14ac:dyDescent="0.15">
      <c r="B141" s="16"/>
      <c r="C141" s="20"/>
      <c r="D141" s="20"/>
      <c r="E141" s="69"/>
      <c r="F141" s="16"/>
      <c r="G141" s="45"/>
      <c r="H141" s="45"/>
      <c r="I141" s="45"/>
      <c r="J141" s="16"/>
      <c r="K141" s="16"/>
      <c r="L141" s="16"/>
      <c r="M141" s="48"/>
      <c r="N141" s="17"/>
      <c r="O141" s="18"/>
      <c r="P141" s="51"/>
      <c r="Q141" s="23"/>
    </row>
    <row r="142" spans="2:18" ht="18" customHeight="1" x14ac:dyDescent="0.15">
      <c r="B142" s="16"/>
      <c r="C142" s="20"/>
      <c r="D142" s="20"/>
      <c r="E142" s="69"/>
      <c r="F142" s="16"/>
      <c r="G142" s="45"/>
      <c r="H142" s="45"/>
      <c r="I142" s="45"/>
      <c r="J142" s="16"/>
      <c r="K142" s="16"/>
      <c r="L142" s="16"/>
      <c r="M142" s="48"/>
      <c r="N142" s="17"/>
      <c r="O142" s="18"/>
      <c r="P142" s="51"/>
      <c r="Q142" s="23"/>
    </row>
    <row r="143" spans="2:18" ht="18" customHeight="1" x14ac:dyDescent="0.15">
      <c r="B143" s="16"/>
      <c r="C143" s="20"/>
      <c r="D143" s="20"/>
      <c r="E143" s="69"/>
      <c r="F143" s="16"/>
      <c r="G143" s="45"/>
      <c r="H143" s="45"/>
      <c r="I143" s="45"/>
      <c r="J143" s="16"/>
      <c r="K143" s="16"/>
      <c r="L143" s="16"/>
      <c r="M143" s="48"/>
      <c r="N143" s="17"/>
      <c r="O143" s="18"/>
      <c r="P143" s="51"/>
      <c r="Q143" s="23"/>
    </row>
    <row r="144" spans="2:18" ht="18" customHeight="1" x14ac:dyDescent="0.15">
      <c r="B144" s="16"/>
      <c r="C144" s="20"/>
      <c r="D144" s="20"/>
      <c r="E144" s="69"/>
      <c r="F144" s="16"/>
      <c r="G144" s="45"/>
      <c r="H144" s="45"/>
      <c r="I144" s="45"/>
      <c r="J144" s="16"/>
      <c r="K144" s="16"/>
      <c r="L144" s="16"/>
      <c r="M144" s="48"/>
      <c r="N144" s="17"/>
      <c r="O144" s="18"/>
      <c r="P144" s="51"/>
      <c r="Q144" s="23"/>
    </row>
    <row r="145" spans="2:17" ht="18" customHeight="1" x14ac:dyDescent="0.15">
      <c r="B145" s="16"/>
      <c r="C145" s="20"/>
      <c r="D145" s="20"/>
      <c r="E145" s="69"/>
      <c r="F145" s="16"/>
      <c r="G145" s="45"/>
      <c r="H145" s="45"/>
      <c r="I145" s="45"/>
      <c r="J145" s="16"/>
      <c r="K145" s="16"/>
      <c r="L145" s="16"/>
      <c r="M145" s="48"/>
      <c r="N145" s="17"/>
      <c r="O145" s="18"/>
      <c r="P145" s="51"/>
      <c r="Q145" s="23"/>
    </row>
    <row r="146" spans="2:17" ht="18" customHeight="1" x14ac:dyDescent="0.15">
      <c r="B146" s="16"/>
      <c r="C146" s="20"/>
      <c r="D146" s="20"/>
      <c r="E146" s="69"/>
      <c r="F146" s="16"/>
      <c r="G146" s="45"/>
      <c r="H146" s="45"/>
      <c r="I146" s="45"/>
      <c r="J146" s="16"/>
      <c r="K146" s="16"/>
      <c r="L146" s="16"/>
      <c r="M146" s="48"/>
      <c r="N146" s="17"/>
      <c r="O146" s="18"/>
      <c r="P146" s="51"/>
      <c r="Q146" s="23"/>
    </row>
    <row r="147" spans="2:17" ht="18" customHeight="1" x14ac:dyDescent="0.15">
      <c r="B147" s="16"/>
      <c r="C147" s="20"/>
      <c r="D147" s="20"/>
      <c r="E147" s="69"/>
      <c r="F147" s="16"/>
      <c r="G147" s="45"/>
      <c r="H147" s="45"/>
      <c r="I147" s="45"/>
      <c r="J147" s="16"/>
      <c r="K147" s="16"/>
      <c r="L147" s="16"/>
      <c r="M147" s="48"/>
      <c r="N147" s="17"/>
      <c r="O147" s="18"/>
      <c r="P147" s="51"/>
      <c r="Q147" s="23"/>
    </row>
    <row r="148" spans="2:17" ht="18" customHeight="1" x14ac:dyDescent="0.15">
      <c r="B148" s="16"/>
      <c r="C148" s="20"/>
      <c r="D148" s="20"/>
      <c r="E148" s="69"/>
      <c r="F148" s="16"/>
      <c r="G148" s="45"/>
      <c r="H148" s="45"/>
      <c r="I148" s="45"/>
      <c r="J148" s="16"/>
      <c r="K148" s="16"/>
      <c r="L148" s="16"/>
      <c r="M148" s="48"/>
      <c r="N148" s="17"/>
      <c r="O148" s="18"/>
      <c r="P148" s="51"/>
      <c r="Q148" s="23"/>
    </row>
    <row r="149" spans="2:17" ht="18" customHeight="1" x14ac:dyDescent="0.15">
      <c r="B149" s="16"/>
      <c r="C149" s="20"/>
      <c r="D149" s="20"/>
      <c r="E149" s="69"/>
      <c r="F149" s="16"/>
      <c r="G149" s="45"/>
      <c r="H149" s="45"/>
      <c r="I149" s="45"/>
      <c r="J149" s="16"/>
      <c r="K149" s="16"/>
      <c r="L149" s="16"/>
      <c r="M149" s="48"/>
      <c r="N149" s="17"/>
      <c r="O149" s="18"/>
      <c r="P149" s="51"/>
      <c r="Q149" s="23"/>
    </row>
    <row r="150" spans="2:17" ht="18" customHeight="1" x14ac:dyDescent="0.15">
      <c r="B150" s="16"/>
      <c r="C150" s="20"/>
      <c r="D150" s="20"/>
      <c r="E150" s="69"/>
      <c r="F150" s="16"/>
      <c r="G150" s="45"/>
      <c r="H150" s="45"/>
      <c r="I150" s="45"/>
      <c r="J150" s="16"/>
      <c r="K150" s="16"/>
      <c r="L150" s="16"/>
      <c r="M150" s="48"/>
      <c r="N150" s="17"/>
      <c r="O150" s="18"/>
      <c r="P150" s="51"/>
      <c r="Q150" s="23"/>
    </row>
    <row r="151" spans="2:17" ht="18" customHeight="1" x14ac:dyDescent="0.15">
      <c r="B151" s="16"/>
      <c r="C151" s="20"/>
      <c r="D151" s="20"/>
      <c r="E151" s="69"/>
      <c r="F151" s="16"/>
      <c r="G151" s="45"/>
      <c r="H151" s="45"/>
      <c r="I151" s="45"/>
      <c r="J151" s="16"/>
      <c r="K151" s="16"/>
      <c r="L151" s="16"/>
      <c r="M151" s="48"/>
      <c r="N151" s="17"/>
      <c r="O151" s="18"/>
      <c r="P151" s="51"/>
      <c r="Q151" s="23"/>
    </row>
    <row r="152" spans="2:17" ht="18" customHeight="1" x14ac:dyDescent="0.15">
      <c r="B152" s="16"/>
      <c r="C152" s="20"/>
      <c r="D152" s="20"/>
      <c r="E152" s="69"/>
      <c r="F152" s="16"/>
      <c r="G152" s="45"/>
      <c r="H152" s="45"/>
      <c r="I152" s="45"/>
      <c r="J152" s="16"/>
      <c r="K152" s="16"/>
      <c r="L152" s="16"/>
      <c r="M152" s="48"/>
      <c r="N152" s="17"/>
      <c r="O152" s="18"/>
      <c r="P152" s="51"/>
      <c r="Q152" s="23"/>
    </row>
    <row r="153" spans="2:17" ht="18" customHeight="1" x14ac:dyDescent="0.15">
      <c r="B153" s="16"/>
      <c r="C153" s="20"/>
      <c r="D153" s="20"/>
      <c r="E153" s="69"/>
      <c r="F153" s="16"/>
      <c r="G153" s="45"/>
      <c r="H153" s="45"/>
      <c r="I153" s="45"/>
      <c r="J153" s="16"/>
      <c r="K153" s="16"/>
      <c r="L153" s="16"/>
      <c r="M153" s="48"/>
      <c r="N153" s="17"/>
      <c r="O153" s="18"/>
      <c r="P153" s="51"/>
      <c r="Q153" s="23"/>
    </row>
    <row r="154" spans="2:17" ht="18" customHeight="1" x14ac:dyDescent="0.15">
      <c r="B154" s="16"/>
      <c r="C154" s="20"/>
      <c r="D154" s="20"/>
      <c r="E154" s="69"/>
      <c r="F154" s="16"/>
      <c r="G154" s="45"/>
      <c r="H154" s="45"/>
      <c r="I154" s="45"/>
      <c r="J154" s="16"/>
      <c r="K154" s="16"/>
      <c r="L154" s="16"/>
      <c r="M154" s="48"/>
      <c r="N154" s="17"/>
      <c r="O154" s="18"/>
      <c r="P154" s="51"/>
      <c r="Q154" s="23"/>
    </row>
    <row r="155" spans="2:17" ht="18" customHeight="1" x14ac:dyDescent="0.15">
      <c r="B155" s="16"/>
      <c r="C155" s="20"/>
      <c r="D155" s="20"/>
      <c r="E155" s="69"/>
      <c r="F155" s="16"/>
      <c r="G155" s="45"/>
      <c r="H155" s="45"/>
      <c r="I155" s="45"/>
      <c r="J155" s="16"/>
      <c r="K155" s="16"/>
      <c r="L155" s="16"/>
      <c r="M155" s="48"/>
      <c r="N155" s="17"/>
      <c r="O155" s="18"/>
      <c r="P155" s="51"/>
      <c r="Q155" s="23"/>
    </row>
    <row r="156" spans="2:17" ht="18" customHeight="1" x14ac:dyDescent="0.15">
      <c r="B156" s="16"/>
      <c r="C156" s="20"/>
      <c r="D156" s="20"/>
      <c r="E156" s="69"/>
      <c r="F156" s="16"/>
      <c r="G156" s="45"/>
      <c r="H156" s="45"/>
      <c r="I156" s="45"/>
      <c r="J156" s="16"/>
      <c r="K156" s="16"/>
      <c r="L156" s="16"/>
      <c r="M156" s="48"/>
      <c r="N156" s="17"/>
      <c r="O156" s="18"/>
      <c r="P156" s="51"/>
      <c r="Q156" s="23"/>
    </row>
    <row r="157" spans="2:17" ht="18" customHeight="1" x14ac:dyDescent="0.15">
      <c r="B157" s="16"/>
      <c r="C157" s="20"/>
      <c r="D157" s="20"/>
      <c r="E157" s="69"/>
      <c r="F157" s="16"/>
      <c r="G157" s="45"/>
      <c r="H157" s="45"/>
      <c r="I157" s="45"/>
      <c r="J157" s="16"/>
      <c r="K157" s="16"/>
      <c r="L157" s="16"/>
      <c r="M157" s="48"/>
      <c r="N157" s="17"/>
      <c r="O157" s="18"/>
      <c r="P157" s="51"/>
      <c r="Q157" s="23"/>
    </row>
    <row r="158" spans="2:17" ht="18" customHeight="1" x14ac:dyDescent="0.15">
      <c r="B158" s="16"/>
      <c r="C158" s="20"/>
      <c r="D158" s="20"/>
      <c r="E158" s="69"/>
      <c r="F158" s="16"/>
      <c r="G158" s="45"/>
      <c r="H158" s="45"/>
      <c r="I158" s="45"/>
      <c r="J158" s="16"/>
      <c r="K158" s="16"/>
      <c r="L158" s="16"/>
      <c r="M158" s="48"/>
      <c r="N158" s="17"/>
      <c r="O158" s="18"/>
      <c r="P158" s="51"/>
      <c r="Q158" s="23"/>
    </row>
    <row r="159" spans="2:17" ht="18" customHeight="1" x14ac:dyDescent="0.15">
      <c r="B159" s="16"/>
      <c r="C159" s="20"/>
      <c r="D159" s="20"/>
      <c r="E159" s="69"/>
      <c r="F159" s="16"/>
      <c r="G159" s="45"/>
      <c r="H159" s="45"/>
      <c r="I159" s="45"/>
      <c r="J159" s="16"/>
      <c r="K159" s="16"/>
      <c r="L159" s="16"/>
      <c r="M159" s="48"/>
      <c r="N159" s="17"/>
      <c r="O159" s="18"/>
      <c r="P159" s="51"/>
      <c r="Q159" s="23"/>
    </row>
    <row r="160" spans="2:17" ht="18" customHeight="1" x14ac:dyDescent="0.15">
      <c r="B160" s="16"/>
      <c r="C160" s="20"/>
      <c r="D160" s="20"/>
      <c r="E160" s="69"/>
      <c r="F160" s="16"/>
      <c r="G160" s="45"/>
      <c r="H160" s="45"/>
      <c r="I160" s="45"/>
      <c r="J160" s="16"/>
      <c r="K160" s="16"/>
      <c r="L160" s="16"/>
      <c r="M160" s="48"/>
      <c r="N160" s="17"/>
      <c r="O160" s="18"/>
      <c r="P160" s="51"/>
      <c r="Q160" s="23"/>
    </row>
    <row r="161" spans="2:17" ht="18" customHeight="1" x14ac:dyDescent="0.15">
      <c r="B161" s="16"/>
      <c r="C161" s="20"/>
      <c r="D161" s="20"/>
      <c r="E161" s="69"/>
      <c r="F161" s="16"/>
      <c r="G161" s="45"/>
      <c r="H161" s="45"/>
      <c r="I161" s="45"/>
      <c r="J161" s="16"/>
      <c r="K161" s="16"/>
      <c r="L161" s="16"/>
      <c r="M161" s="48"/>
      <c r="N161" s="17"/>
      <c r="O161" s="18"/>
      <c r="P161" s="51"/>
      <c r="Q161" s="23"/>
    </row>
    <row r="162" spans="2:17" ht="18" customHeight="1" x14ac:dyDescent="0.15">
      <c r="B162" s="16"/>
      <c r="C162" s="20"/>
      <c r="D162" s="20"/>
      <c r="E162" s="69"/>
      <c r="F162" s="16"/>
      <c r="G162" s="45"/>
      <c r="H162" s="45"/>
      <c r="I162" s="45"/>
      <c r="J162" s="16"/>
      <c r="K162" s="16"/>
      <c r="L162" s="16"/>
      <c r="M162" s="48"/>
      <c r="N162" s="17"/>
      <c r="O162" s="18"/>
      <c r="P162" s="51"/>
      <c r="Q162" s="23"/>
    </row>
    <row r="163" spans="2:17" ht="18" customHeight="1" x14ac:dyDescent="0.15">
      <c r="B163" s="16"/>
      <c r="C163" s="20"/>
      <c r="D163" s="20"/>
      <c r="E163" s="69"/>
      <c r="F163" s="16"/>
      <c r="G163" s="45"/>
      <c r="H163" s="45"/>
      <c r="I163" s="45"/>
      <c r="J163" s="16"/>
      <c r="K163" s="81"/>
      <c r="L163" s="16"/>
      <c r="M163" s="48"/>
      <c r="N163" s="17"/>
      <c r="O163" s="18"/>
      <c r="P163" s="51"/>
      <c r="Q163" s="23"/>
    </row>
    <row r="164" spans="2:17" ht="18" customHeight="1" x14ac:dyDescent="0.15">
      <c r="B164" s="16"/>
      <c r="C164" s="20"/>
      <c r="D164" s="20"/>
      <c r="E164" s="69"/>
      <c r="F164" s="81"/>
      <c r="G164" s="45"/>
      <c r="H164" s="45"/>
      <c r="I164" s="45"/>
      <c r="J164" s="16"/>
      <c r="K164" s="81"/>
      <c r="L164" s="16"/>
      <c r="M164" s="48"/>
      <c r="N164" s="17"/>
      <c r="O164" s="18"/>
      <c r="P164" s="51"/>
      <c r="Q164" s="23"/>
    </row>
    <row r="165" spans="2:17" ht="18" customHeight="1" x14ac:dyDescent="0.15">
      <c r="B165" s="4"/>
      <c r="C165" s="63"/>
      <c r="D165" s="63"/>
      <c r="E165" s="64"/>
      <c r="F165" s="64"/>
      <c r="G165" s="65"/>
      <c r="H165" s="65"/>
      <c r="I165" s="65"/>
      <c r="J165" s="4"/>
      <c r="K165" s="4"/>
      <c r="L165" s="4"/>
      <c r="M165" s="66"/>
      <c r="N165" s="40"/>
      <c r="O165" s="41"/>
      <c r="P165" s="67"/>
      <c r="Q165" s="68"/>
    </row>
    <row r="166" spans="2:17" ht="18" customHeight="1" x14ac:dyDescent="0.15">
      <c r="B166" s="4"/>
      <c r="C166" s="63"/>
      <c r="D166" s="63"/>
      <c r="E166" s="64"/>
      <c r="F166" s="64"/>
      <c r="G166" s="65"/>
      <c r="H166" s="65"/>
      <c r="I166" s="65"/>
      <c r="J166" s="4"/>
      <c r="K166" s="4"/>
      <c r="L166" s="4"/>
      <c r="M166" s="66"/>
      <c r="N166" s="40"/>
      <c r="O166" s="41"/>
      <c r="P166" s="67"/>
      <c r="Q166" s="68"/>
    </row>
    <row r="167" spans="2:17" ht="18" customHeight="1" x14ac:dyDescent="0.15">
      <c r="B167" s="4"/>
      <c r="C167" s="63"/>
      <c r="D167" s="63"/>
      <c r="E167" s="64"/>
      <c r="F167" s="64"/>
      <c r="G167" s="65"/>
      <c r="H167" s="65"/>
      <c r="I167" s="65"/>
      <c r="J167" s="4"/>
      <c r="K167" s="4"/>
      <c r="L167" s="4"/>
      <c r="M167" s="66"/>
      <c r="N167" s="40"/>
      <c r="O167" s="41"/>
      <c r="P167" s="67"/>
      <c r="Q167" s="68"/>
    </row>
    <row r="168" spans="2:17" ht="18" customHeight="1" x14ac:dyDescent="0.15">
      <c r="B168" s="4"/>
      <c r="C168" s="63"/>
      <c r="D168" s="63"/>
      <c r="E168" s="64"/>
      <c r="F168" s="64"/>
      <c r="G168" s="65"/>
      <c r="H168" s="65"/>
      <c r="I168" s="65"/>
      <c r="J168" s="4"/>
      <c r="K168" s="4"/>
      <c r="L168" s="4"/>
      <c r="M168" s="66"/>
      <c r="N168" s="40"/>
      <c r="O168" s="41"/>
      <c r="P168" s="67"/>
      <c r="Q168" s="68"/>
    </row>
    <row r="169" spans="2:17" ht="18" customHeight="1" x14ac:dyDescent="0.15">
      <c r="B169" s="4"/>
      <c r="C169" s="63"/>
      <c r="D169" s="63"/>
      <c r="E169" s="64"/>
      <c r="F169" s="64"/>
      <c r="G169" s="65"/>
      <c r="H169" s="65"/>
      <c r="I169" s="65"/>
      <c r="J169" s="4"/>
      <c r="K169" s="4"/>
      <c r="L169" s="4"/>
      <c r="M169" s="66"/>
      <c r="N169" s="40"/>
      <c r="O169" s="41"/>
      <c r="P169" s="67"/>
      <c r="Q169" s="68"/>
    </row>
    <row r="170" spans="2:17" ht="18" customHeight="1" x14ac:dyDescent="0.15">
      <c r="B170" s="4"/>
      <c r="C170" s="63"/>
      <c r="D170" s="63"/>
      <c r="E170" s="64"/>
      <c r="F170" s="64"/>
      <c r="G170" s="65"/>
      <c r="H170" s="65"/>
      <c r="I170" s="65"/>
      <c r="J170" s="4"/>
      <c r="K170" s="4"/>
      <c r="L170" s="4"/>
      <c r="M170" s="66"/>
      <c r="N170" s="40"/>
      <c r="O170" s="41"/>
      <c r="P170" s="67"/>
      <c r="Q170" s="68"/>
    </row>
    <row r="171" spans="2:17" ht="18" customHeight="1" x14ac:dyDescent="0.15">
      <c r="B171" s="4"/>
      <c r="C171" s="63"/>
      <c r="D171" s="63"/>
      <c r="E171" s="64"/>
      <c r="F171" s="64"/>
      <c r="G171" s="65"/>
      <c r="H171" s="65"/>
      <c r="I171" s="65"/>
      <c r="J171" s="4"/>
      <c r="K171" s="4"/>
      <c r="L171" s="4"/>
      <c r="M171" s="66"/>
      <c r="N171" s="40"/>
      <c r="O171" s="41"/>
      <c r="P171" s="67"/>
      <c r="Q171" s="68"/>
    </row>
    <row r="172" spans="2:17" ht="18" customHeight="1" x14ac:dyDescent="0.15">
      <c r="B172" s="4"/>
      <c r="C172" s="63"/>
      <c r="D172" s="63"/>
      <c r="E172" s="64"/>
      <c r="F172" s="64"/>
      <c r="G172" s="65"/>
      <c r="H172" s="65"/>
      <c r="I172" s="65"/>
      <c r="J172" s="4"/>
      <c r="K172" s="4"/>
      <c r="L172" s="4"/>
      <c r="M172" s="66"/>
      <c r="N172" s="40"/>
      <c r="O172" s="41"/>
      <c r="P172" s="67"/>
      <c r="Q172" s="68"/>
    </row>
    <row r="173" spans="2:17" ht="18" customHeight="1" x14ac:dyDescent="0.15">
      <c r="B173" s="4"/>
      <c r="C173" s="63"/>
      <c r="D173" s="63"/>
      <c r="E173" s="64"/>
      <c r="F173" s="64"/>
      <c r="G173" s="65"/>
      <c r="H173" s="65"/>
      <c r="I173" s="65"/>
      <c r="J173" s="4"/>
      <c r="K173" s="4"/>
      <c r="L173" s="4"/>
      <c r="M173" s="66"/>
      <c r="N173" s="40"/>
      <c r="O173" s="41"/>
      <c r="P173" s="67"/>
      <c r="Q173" s="68"/>
    </row>
    <row r="174" spans="2:17" ht="18" customHeight="1" x14ac:dyDescent="0.15">
      <c r="B174" s="4"/>
      <c r="C174" s="63"/>
      <c r="D174" s="63"/>
      <c r="E174" s="64"/>
      <c r="F174" s="64"/>
      <c r="G174" s="65"/>
      <c r="H174" s="65"/>
      <c r="I174" s="65"/>
      <c r="J174" s="4"/>
      <c r="K174" s="4"/>
      <c r="L174" s="4"/>
      <c r="M174" s="66"/>
      <c r="N174" s="40"/>
      <c r="O174" s="41"/>
      <c r="P174" s="67"/>
      <c r="Q174" s="68"/>
    </row>
    <row r="175" spans="2:17" ht="18" customHeight="1" x14ac:dyDescent="0.15">
      <c r="B175" s="4"/>
      <c r="C175" s="63"/>
      <c r="D175" s="63"/>
      <c r="E175" s="64"/>
      <c r="F175" s="64"/>
      <c r="G175" s="65"/>
      <c r="H175" s="65"/>
      <c r="I175" s="65"/>
      <c r="J175" s="4"/>
      <c r="K175" s="4"/>
      <c r="L175" s="4"/>
      <c r="M175" s="66"/>
      <c r="N175" s="40"/>
      <c r="O175" s="41"/>
      <c r="P175" s="67"/>
      <c r="Q175" s="68"/>
    </row>
    <row r="176" spans="2:17" ht="18" customHeight="1" x14ac:dyDescent="0.15">
      <c r="B176" s="4"/>
      <c r="C176" s="63"/>
      <c r="D176" s="63"/>
      <c r="E176" s="64"/>
      <c r="F176" s="64"/>
      <c r="G176" s="65"/>
      <c r="H176" s="65"/>
      <c r="I176" s="65"/>
      <c r="J176" s="4"/>
      <c r="K176" s="4"/>
      <c r="L176" s="4"/>
      <c r="M176" s="66"/>
      <c r="N176" s="40"/>
      <c r="O176" s="41"/>
      <c r="P176" s="67"/>
      <c r="Q176" s="68"/>
    </row>
    <row r="177" spans="2:17" ht="18" customHeight="1" x14ac:dyDescent="0.15">
      <c r="B177" s="4"/>
      <c r="C177" s="63"/>
      <c r="D177" s="63"/>
      <c r="E177" s="64"/>
      <c r="F177" s="64"/>
      <c r="G177" s="65"/>
      <c r="H177" s="65"/>
      <c r="I177" s="65"/>
      <c r="J177" s="4"/>
      <c r="K177" s="4"/>
      <c r="L177" s="4"/>
      <c r="M177" s="66"/>
      <c r="N177" s="40"/>
      <c r="O177" s="41"/>
      <c r="P177" s="67"/>
      <c r="Q177" s="68"/>
    </row>
    <row r="178" spans="2:17" ht="18" customHeight="1" x14ac:dyDescent="0.15">
      <c r="B178" s="4"/>
      <c r="C178" s="63"/>
      <c r="D178" s="63"/>
      <c r="E178" s="64"/>
      <c r="F178" s="64"/>
      <c r="G178" s="65"/>
      <c r="H178" s="65"/>
      <c r="I178" s="65"/>
      <c r="J178" s="4"/>
      <c r="K178" s="4"/>
      <c r="L178" s="4"/>
      <c r="M178" s="66"/>
      <c r="N178" s="40"/>
      <c r="O178" s="41"/>
      <c r="P178" s="67"/>
      <c r="Q178" s="68"/>
    </row>
    <row r="179" spans="2:17" ht="18" customHeight="1" x14ac:dyDescent="0.15">
      <c r="B179" s="4"/>
      <c r="C179" s="63"/>
      <c r="D179" s="63"/>
      <c r="E179" s="64"/>
      <c r="F179" s="64"/>
      <c r="G179" s="65"/>
      <c r="H179" s="65"/>
      <c r="I179" s="65"/>
      <c r="J179" s="4"/>
      <c r="K179" s="4"/>
      <c r="L179" s="4"/>
      <c r="M179" s="66"/>
      <c r="N179" s="40"/>
      <c r="O179" s="41"/>
      <c r="P179" s="67"/>
      <c r="Q179" s="68"/>
    </row>
    <row r="180" spans="2:17" ht="18" customHeight="1" x14ac:dyDescent="0.15">
      <c r="B180" s="4"/>
      <c r="C180" s="63"/>
      <c r="D180" s="63"/>
      <c r="E180" s="64"/>
      <c r="F180" s="64"/>
      <c r="G180" s="65"/>
      <c r="H180" s="65"/>
      <c r="I180" s="65"/>
      <c r="J180" s="4"/>
      <c r="K180" s="4"/>
      <c r="L180" s="4"/>
      <c r="M180" s="66"/>
      <c r="N180" s="40"/>
      <c r="O180" s="41"/>
      <c r="P180" s="67"/>
      <c r="Q180" s="68"/>
    </row>
    <row r="181" spans="2:17" ht="18" customHeight="1" x14ac:dyDescent="0.15">
      <c r="B181" s="4"/>
      <c r="C181" s="63"/>
      <c r="D181" s="63"/>
      <c r="E181" s="64"/>
      <c r="F181" s="64"/>
      <c r="G181" s="65"/>
      <c r="H181" s="65"/>
      <c r="I181" s="65"/>
      <c r="J181" s="4"/>
      <c r="K181" s="4"/>
      <c r="L181" s="4"/>
      <c r="M181" s="66"/>
      <c r="N181" s="40"/>
      <c r="O181" s="41"/>
      <c r="P181" s="67"/>
      <c r="Q181" s="68"/>
    </row>
    <row r="182" spans="2:17" ht="18" customHeight="1" x14ac:dyDescent="0.15">
      <c r="B182" s="4"/>
      <c r="C182" s="63"/>
      <c r="D182" s="63"/>
      <c r="E182" s="64"/>
      <c r="F182" s="64"/>
      <c r="G182" s="65"/>
      <c r="H182" s="65"/>
      <c r="I182" s="65"/>
      <c r="J182" s="4"/>
      <c r="K182" s="4"/>
      <c r="L182" s="4"/>
      <c r="M182" s="66"/>
      <c r="N182" s="40"/>
      <c r="O182" s="41"/>
      <c r="P182" s="67"/>
      <c r="Q182" s="68"/>
    </row>
    <row r="183" spans="2:17" ht="18" customHeight="1" x14ac:dyDescent="0.15">
      <c r="B183" s="4"/>
      <c r="C183" s="63"/>
      <c r="D183" s="63"/>
      <c r="E183" s="64"/>
      <c r="F183" s="64"/>
      <c r="G183" s="65"/>
      <c r="H183" s="65"/>
      <c r="I183" s="65"/>
      <c r="J183" s="4"/>
      <c r="K183" s="4"/>
      <c r="L183" s="4"/>
      <c r="M183" s="66"/>
      <c r="N183" s="40"/>
      <c r="O183" s="41"/>
      <c r="P183" s="67"/>
      <c r="Q183" s="68"/>
    </row>
    <row r="184" spans="2:17" ht="18" customHeight="1" x14ac:dyDescent="0.15">
      <c r="B184" s="4"/>
      <c r="C184" s="63"/>
      <c r="D184" s="63"/>
      <c r="E184" s="64"/>
      <c r="F184" s="64"/>
      <c r="G184" s="65"/>
      <c r="H184" s="65"/>
      <c r="I184" s="65"/>
      <c r="J184" s="4"/>
      <c r="K184" s="4"/>
      <c r="L184" s="4"/>
      <c r="M184" s="66"/>
      <c r="N184" s="40"/>
      <c r="O184" s="41"/>
      <c r="P184" s="67"/>
      <c r="Q184" s="68"/>
    </row>
    <row r="185" spans="2:17" ht="18" customHeight="1" x14ac:dyDescent="0.15">
      <c r="B185" s="4"/>
      <c r="C185" s="63"/>
      <c r="D185" s="63"/>
      <c r="E185" s="64"/>
      <c r="F185" s="64"/>
      <c r="G185" s="65"/>
      <c r="H185" s="65"/>
      <c r="I185" s="65"/>
      <c r="J185" s="4"/>
      <c r="K185" s="4"/>
      <c r="L185" s="4"/>
      <c r="M185" s="66"/>
      <c r="N185" s="40"/>
      <c r="O185" s="41"/>
      <c r="P185" s="67"/>
      <c r="Q185" s="68"/>
    </row>
    <row r="186" spans="2:17" ht="18" customHeight="1" x14ac:dyDescent="0.15">
      <c r="B186" s="4"/>
      <c r="C186" s="63"/>
      <c r="D186" s="63"/>
      <c r="E186" s="64"/>
      <c r="F186" s="64"/>
      <c r="G186" s="65"/>
      <c r="H186" s="65"/>
      <c r="I186" s="65"/>
      <c r="J186" s="4"/>
      <c r="K186" s="4"/>
      <c r="L186" s="4"/>
      <c r="M186" s="66"/>
      <c r="N186" s="40"/>
      <c r="O186" s="41"/>
      <c r="P186" s="67"/>
      <c r="Q186" s="68"/>
    </row>
    <row r="187" spans="2:17" ht="18" customHeight="1" x14ac:dyDescent="0.15">
      <c r="B187" s="4"/>
      <c r="C187" s="63"/>
      <c r="D187" s="63"/>
      <c r="E187" s="64"/>
      <c r="F187" s="64"/>
      <c r="G187" s="65"/>
      <c r="H187" s="65"/>
      <c r="I187" s="65"/>
      <c r="J187" s="4"/>
      <c r="K187" s="4"/>
      <c r="L187" s="4"/>
      <c r="M187" s="66"/>
      <c r="N187" s="40"/>
      <c r="O187" s="41"/>
      <c r="P187" s="67"/>
      <c r="Q187" s="68"/>
    </row>
    <row r="188" spans="2:17" ht="18" customHeight="1" x14ac:dyDescent="0.15">
      <c r="B188" s="4"/>
      <c r="C188" s="63"/>
      <c r="D188" s="63"/>
      <c r="E188" s="64"/>
      <c r="F188" s="64"/>
      <c r="G188" s="65"/>
      <c r="H188" s="65"/>
      <c r="I188" s="65"/>
      <c r="J188" s="4"/>
      <c r="K188" s="4"/>
      <c r="L188" s="4"/>
      <c r="M188" s="66"/>
      <c r="N188" s="40"/>
      <c r="O188" s="41"/>
      <c r="P188" s="67"/>
      <c r="Q188" s="68"/>
    </row>
    <row r="189" spans="2:17" ht="18" customHeight="1" x14ac:dyDescent="0.15">
      <c r="B189" s="4"/>
      <c r="C189" s="63"/>
      <c r="D189" s="63"/>
      <c r="E189" s="64"/>
      <c r="F189" s="64"/>
      <c r="G189" s="65"/>
      <c r="H189" s="65"/>
      <c r="I189" s="65"/>
      <c r="J189" s="4"/>
      <c r="K189" s="4"/>
      <c r="L189" s="4"/>
      <c r="M189" s="66"/>
      <c r="N189" s="40"/>
      <c r="O189" s="41"/>
      <c r="P189" s="67"/>
      <c r="Q189" s="68"/>
    </row>
    <row r="190" spans="2:17" ht="18" customHeight="1" x14ac:dyDescent="0.15">
      <c r="B190" s="4"/>
      <c r="C190" s="63"/>
      <c r="D190" s="63"/>
      <c r="E190" s="64"/>
      <c r="F190" s="64"/>
      <c r="G190" s="65"/>
      <c r="H190" s="65"/>
      <c r="I190" s="65"/>
      <c r="J190" s="4"/>
      <c r="K190" s="4"/>
      <c r="L190" s="4"/>
      <c r="M190" s="66"/>
      <c r="N190" s="40"/>
      <c r="O190" s="41"/>
      <c r="P190" s="67"/>
      <c r="Q190" s="68"/>
    </row>
    <row r="191" spans="2:17" ht="18" customHeight="1" x14ac:dyDescent="0.15">
      <c r="B191" s="4"/>
      <c r="C191" s="63"/>
      <c r="D191" s="63"/>
      <c r="E191" s="64"/>
      <c r="F191" s="64"/>
      <c r="G191" s="65"/>
      <c r="H191" s="65"/>
      <c r="I191" s="65"/>
      <c r="J191" s="4"/>
      <c r="K191" s="4"/>
      <c r="L191" s="4"/>
      <c r="M191" s="66"/>
      <c r="N191" s="40"/>
      <c r="O191" s="41"/>
      <c r="P191" s="67"/>
      <c r="Q191" s="68"/>
    </row>
    <row r="192" spans="2:17" ht="18" customHeight="1" x14ac:dyDescent="0.15">
      <c r="B192" s="4"/>
      <c r="C192" s="63"/>
      <c r="D192" s="63"/>
      <c r="E192" s="64"/>
      <c r="F192" s="64"/>
      <c r="G192" s="65"/>
      <c r="H192" s="65"/>
      <c r="I192" s="65"/>
      <c r="J192" s="4"/>
      <c r="K192" s="4"/>
      <c r="L192" s="4"/>
      <c r="M192" s="66"/>
      <c r="N192" s="40"/>
      <c r="O192" s="41"/>
      <c r="P192" s="67"/>
      <c r="Q192" s="68"/>
    </row>
    <row r="193" spans="2:17" ht="18" customHeight="1" x14ac:dyDescent="0.15">
      <c r="B193" s="4"/>
      <c r="C193" s="63"/>
      <c r="D193" s="63"/>
      <c r="E193" s="64"/>
      <c r="F193" s="64"/>
      <c r="G193" s="65"/>
      <c r="H193" s="65"/>
      <c r="I193" s="65"/>
      <c r="J193" s="4"/>
      <c r="K193" s="4"/>
      <c r="L193" s="4"/>
      <c r="M193" s="66"/>
      <c r="N193" s="40"/>
      <c r="O193" s="41"/>
      <c r="P193" s="67"/>
      <c r="Q193" s="68"/>
    </row>
    <row r="194" spans="2:17" ht="18" customHeight="1" x14ac:dyDescent="0.15">
      <c r="B194" s="4"/>
      <c r="C194" s="63"/>
      <c r="D194" s="63"/>
      <c r="E194" s="64"/>
      <c r="F194" s="64"/>
      <c r="G194" s="65"/>
      <c r="H194" s="65"/>
      <c r="I194" s="65"/>
      <c r="J194" s="4"/>
      <c r="K194" s="4"/>
      <c r="L194" s="4"/>
      <c r="M194" s="66"/>
      <c r="N194" s="40"/>
      <c r="O194" s="41"/>
      <c r="P194" s="67"/>
      <c r="Q194" s="68"/>
    </row>
    <row r="195" spans="2:17" ht="18" customHeight="1" x14ac:dyDescent="0.15">
      <c r="B195" s="4"/>
      <c r="C195" s="63"/>
      <c r="D195" s="63"/>
      <c r="E195" s="64"/>
      <c r="F195" s="64"/>
      <c r="G195" s="65"/>
      <c r="H195" s="65"/>
      <c r="I195" s="65"/>
      <c r="J195" s="4"/>
      <c r="K195" s="4"/>
      <c r="L195" s="4"/>
      <c r="M195" s="66"/>
      <c r="N195" s="40"/>
      <c r="O195" s="41"/>
      <c r="P195" s="67"/>
      <c r="Q195" s="68"/>
    </row>
    <row r="196" spans="2:17" ht="18" customHeight="1" x14ac:dyDescent="0.15">
      <c r="B196" s="4"/>
      <c r="C196" s="63"/>
      <c r="D196" s="63"/>
      <c r="E196" s="64"/>
      <c r="F196" s="64"/>
      <c r="G196" s="65"/>
      <c r="H196" s="65"/>
      <c r="I196" s="65"/>
      <c r="J196" s="4"/>
      <c r="K196" s="4"/>
      <c r="L196" s="4"/>
      <c r="M196" s="66"/>
      <c r="N196" s="40"/>
      <c r="O196" s="41"/>
      <c r="P196" s="67"/>
      <c r="Q196" s="68"/>
    </row>
    <row r="197" spans="2:17" ht="18" customHeight="1" x14ac:dyDescent="0.15">
      <c r="B197" s="4"/>
      <c r="C197" s="63"/>
      <c r="D197" s="63"/>
      <c r="E197" s="64"/>
      <c r="F197" s="64"/>
      <c r="G197" s="65"/>
      <c r="H197" s="65"/>
      <c r="I197" s="65"/>
      <c r="J197" s="4"/>
      <c r="K197" s="4"/>
      <c r="L197" s="4"/>
      <c r="M197" s="66"/>
      <c r="N197" s="40"/>
      <c r="O197" s="41"/>
      <c r="P197" s="67"/>
      <c r="Q197" s="68"/>
    </row>
    <row r="198" spans="2:17" ht="18" customHeight="1" x14ac:dyDescent="0.15">
      <c r="B198" s="4"/>
      <c r="C198" s="63"/>
      <c r="D198" s="63"/>
      <c r="E198" s="64"/>
      <c r="F198" s="64"/>
      <c r="G198" s="65"/>
      <c r="H198" s="65"/>
      <c r="I198" s="65"/>
      <c r="J198" s="4"/>
      <c r="K198" s="4"/>
      <c r="L198" s="4"/>
      <c r="M198" s="66"/>
      <c r="N198" s="40"/>
      <c r="O198" s="41"/>
      <c r="P198" s="67"/>
      <c r="Q198" s="68"/>
    </row>
    <row r="199" spans="2:17" ht="18" customHeight="1" x14ac:dyDescent="0.15">
      <c r="B199" s="4"/>
      <c r="C199" s="63"/>
      <c r="D199" s="63"/>
      <c r="E199" s="64"/>
      <c r="F199" s="64"/>
      <c r="G199" s="65"/>
      <c r="H199" s="65"/>
      <c r="I199" s="65"/>
      <c r="J199" s="4"/>
      <c r="K199" s="4"/>
      <c r="L199" s="4"/>
      <c r="M199" s="66"/>
      <c r="N199" s="40"/>
      <c r="O199" s="41"/>
      <c r="P199" s="67"/>
      <c r="Q199" s="68"/>
    </row>
    <row r="200" spans="2:17" ht="18" customHeight="1" x14ac:dyDescent="0.15">
      <c r="B200" s="4"/>
      <c r="C200" s="63"/>
      <c r="D200" s="63"/>
      <c r="E200" s="64"/>
      <c r="F200" s="64"/>
      <c r="G200" s="65"/>
      <c r="H200" s="65"/>
      <c r="I200" s="65"/>
      <c r="J200" s="4"/>
      <c r="K200" s="4"/>
      <c r="L200" s="4"/>
      <c r="M200" s="66"/>
      <c r="N200" s="40"/>
      <c r="O200" s="41"/>
      <c r="P200" s="67"/>
      <c r="Q200" s="68"/>
    </row>
    <row r="201" spans="2:17" ht="18" customHeight="1" x14ac:dyDescent="0.15">
      <c r="B201" s="4"/>
      <c r="C201" s="63"/>
      <c r="D201" s="63"/>
      <c r="E201" s="64"/>
      <c r="F201" s="64"/>
      <c r="G201" s="65"/>
      <c r="H201" s="65"/>
      <c r="I201" s="65"/>
      <c r="J201" s="4"/>
      <c r="K201" s="4"/>
      <c r="L201" s="4"/>
      <c r="M201" s="66"/>
      <c r="N201" s="40"/>
      <c r="O201" s="41"/>
      <c r="P201" s="67"/>
      <c r="Q201" s="68"/>
    </row>
    <row r="202" spans="2:17" ht="18" customHeight="1" x14ac:dyDescent="0.15">
      <c r="B202" s="4"/>
      <c r="C202" s="63"/>
      <c r="D202" s="63"/>
      <c r="E202" s="64"/>
      <c r="F202" s="64"/>
      <c r="G202" s="65"/>
      <c r="H202" s="65"/>
      <c r="I202" s="65"/>
      <c r="J202" s="4"/>
      <c r="K202" s="4"/>
      <c r="L202" s="4"/>
      <c r="M202" s="66"/>
      <c r="N202" s="40"/>
      <c r="O202" s="41"/>
      <c r="P202" s="67"/>
      <c r="Q202" s="68"/>
    </row>
    <row r="203" spans="2:17" ht="18" customHeight="1" x14ac:dyDescent="0.15">
      <c r="B203" s="4"/>
      <c r="C203" s="63"/>
      <c r="D203" s="63"/>
      <c r="E203" s="64"/>
      <c r="F203" s="64"/>
      <c r="G203" s="65"/>
      <c r="H203" s="65"/>
      <c r="I203" s="65"/>
      <c r="J203" s="4"/>
      <c r="K203" s="4"/>
      <c r="L203" s="4"/>
      <c r="M203" s="66"/>
      <c r="N203" s="40"/>
      <c r="O203" s="41"/>
      <c r="P203" s="67"/>
      <c r="Q203" s="68"/>
    </row>
    <row r="204" spans="2:17" ht="18" customHeight="1" x14ac:dyDescent="0.15">
      <c r="B204" s="4"/>
      <c r="C204" s="63"/>
      <c r="D204" s="63"/>
      <c r="E204" s="64"/>
      <c r="F204" s="64"/>
      <c r="G204" s="65"/>
      <c r="H204" s="65"/>
      <c r="I204" s="65"/>
      <c r="J204" s="4"/>
      <c r="K204" s="4"/>
      <c r="L204" s="4"/>
      <c r="M204" s="66"/>
      <c r="N204" s="40"/>
      <c r="O204" s="41"/>
      <c r="P204" s="67"/>
      <c r="Q204" s="68"/>
    </row>
    <row r="205" spans="2:17" ht="18" customHeight="1" x14ac:dyDescent="0.15">
      <c r="B205" s="4"/>
      <c r="C205" s="63"/>
      <c r="D205" s="63"/>
      <c r="E205" s="64"/>
      <c r="F205" s="64"/>
      <c r="G205" s="65"/>
      <c r="H205" s="65"/>
      <c r="I205" s="65"/>
      <c r="J205" s="4"/>
      <c r="K205" s="4"/>
      <c r="L205" s="4"/>
      <c r="M205" s="66"/>
      <c r="N205" s="40"/>
      <c r="O205" s="41"/>
      <c r="P205" s="67"/>
      <c r="Q205" s="68"/>
    </row>
    <row r="206" spans="2:17" ht="18" customHeight="1" x14ac:dyDescent="0.15">
      <c r="B206" s="4"/>
      <c r="C206" s="63"/>
      <c r="D206" s="63"/>
      <c r="E206" s="64"/>
      <c r="F206" s="64"/>
      <c r="G206" s="65"/>
      <c r="H206" s="65"/>
      <c r="I206" s="65"/>
      <c r="J206" s="4"/>
      <c r="K206" s="4"/>
      <c r="L206" s="4"/>
      <c r="M206" s="66"/>
      <c r="N206" s="40"/>
      <c r="O206" s="41"/>
      <c r="P206" s="67"/>
      <c r="Q206" s="68"/>
    </row>
    <row r="207" spans="2:17" ht="18" customHeight="1" x14ac:dyDescent="0.15">
      <c r="B207" s="4"/>
      <c r="C207" s="63"/>
      <c r="D207" s="63"/>
      <c r="E207" s="64"/>
      <c r="F207" s="64"/>
      <c r="G207" s="65"/>
      <c r="H207" s="65"/>
      <c r="I207" s="65"/>
      <c r="J207" s="4"/>
      <c r="K207" s="4"/>
      <c r="L207" s="4"/>
      <c r="M207" s="66"/>
      <c r="N207" s="40"/>
      <c r="O207" s="41"/>
      <c r="P207" s="67"/>
      <c r="Q207" s="68"/>
    </row>
    <row r="208" spans="2:17" ht="18" customHeight="1" x14ac:dyDescent="0.15">
      <c r="B208" s="4"/>
      <c r="C208" s="63"/>
      <c r="D208" s="63"/>
      <c r="E208" s="64"/>
      <c r="F208" s="64"/>
      <c r="G208" s="65"/>
      <c r="H208" s="65"/>
      <c r="I208" s="65"/>
      <c r="J208" s="4"/>
      <c r="K208" s="4"/>
      <c r="L208" s="4"/>
      <c r="M208" s="66"/>
      <c r="N208" s="40"/>
      <c r="O208" s="41"/>
      <c r="P208" s="67"/>
      <c r="Q208" s="68"/>
    </row>
    <row r="209" spans="2:17" ht="18" customHeight="1" x14ac:dyDescent="0.15">
      <c r="B209" s="4"/>
      <c r="C209" s="63"/>
      <c r="D209" s="63"/>
      <c r="E209" s="64"/>
      <c r="F209" s="64"/>
      <c r="G209" s="65"/>
      <c r="H209" s="65"/>
      <c r="I209" s="65"/>
      <c r="J209" s="4"/>
      <c r="K209" s="4"/>
      <c r="L209" s="4"/>
      <c r="M209" s="66"/>
      <c r="N209" s="40"/>
      <c r="O209" s="41"/>
      <c r="P209" s="67"/>
      <c r="Q209" s="68"/>
    </row>
    <row r="210" spans="2:17" ht="18" customHeight="1" x14ac:dyDescent="0.15">
      <c r="B210" s="4"/>
      <c r="C210" s="63"/>
      <c r="D210" s="63"/>
      <c r="E210" s="64"/>
      <c r="F210" s="64"/>
      <c r="G210" s="65"/>
      <c r="H210" s="65"/>
      <c r="I210" s="65"/>
      <c r="J210" s="4"/>
      <c r="K210" s="4"/>
      <c r="L210" s="4"/>
      <c r="M210" s="66"/>
      <c r="N210" s="40"/>
      <c r="O210" s="41"/>
      <c r="P210" s="67"/>
      <c r="Q210" s="68"/>
    </row>
    <row r="211" spans="2:17" ht="18" customHeight="1" x14ac:dyDescent="0.15">
      <c r="B211" s="4"/>
      <c r="C211" s="63"/>
      <c r="D211" s="63"/>
      <c r="E211" s="64"/>
      <c r="F211" s="64"/>
      <c r="G211" s="65"/>
      <c r="H211" s="65"/>
      <c r="I211" s="65"/>
      <c r="J211" s="4"/>
      <c r="K211" s="4"/>
      <c r="L211" s="4"/>
      <c r="M211" s="66"/>
      <c r="N211" s="40"/>
      <c r="O211" s="41"/>
      <c r="P211" s="67"/>
      <c r="Q211" s="68"/>
    </row>
    <row r="212" spans="2:17" ht="18" customHeight="1" x14ac:dyDescent="0.15">
      <c r="B212" s="4"/>
      <c r="C212" s="63"/>
      <c r="D212" s="63"/>
      <c r="E212" s="64"/>
      <c r="F212" s="64"/>
      <c r="G212" s="65"/>
      <c r="H212" s="65"/>
      <c r="I212" s="65"/>
      <c r="J212" s="4"/>
      <c r="K212" s="4"/>
      <c r="L212" s="4"/>
      <c r="M212" s="66"/>
      <c r="N212" s="40"/>
      <c r="O212" s="41"/>
      <c r="P212" s="67"/>
      <c r="Q212" s="68"/>
    </row>
    <row r="213" spans="2:17" ht="18" customHeight="1" x14ac:dyDescent="0.15">
      <c r="B213" s="4"/>
      <c r="C213" s="63"/>
      <c r="D213" s="63"/>
      <c r="E213" s="64"/>
      <c r="F213" s="64"/>
      <c r="G213" s="65"/>
      <c r="H213" s="65"/>
      <c r="I213" s="65"/>
      <c r="J213" s="4"/>
      <c r="K213" s="4"/>
      <c r="L213" s="4"/>
      <c r="M213" s="66"/>
      <c r="N213" s="40"/>
      <c r="O213" s="41"/>
      <c r="P213" s="67"/>
      <c r="Q213" s="68"/>
    </row>
    <row r="214" spans="2:17" ht="18" customHeight="1" x14ac:dyDescent="0.15">
      <c r="B214" s="4"/>
      <c r="C214" s="63"/>
      <c r="D214" s="63"/>
      <c r="E214" s="64"/>
      <c r="F214" s="64"/>
      <c r="G214" s="65"/>
      <c r="H214" s="65"/>
      <c r="I214" s="65"/>
      <c r="J214" s="4"/>
      <c r="K214" s="4"/>
      <c r="L214" s="4"/>
      <c r="M214" s="66"/>
      <c r="N214" s="40"/>
      <c r="O214" s="41"/>
      <c r="P214" s="67"/>
      <c r="Q214" s="68"/>
    </row>
    <row r="215" spans="2:17" ht="18" customHeight="1" x14ac:dyDescent="0.15">
      <c r="B215" s="4"/>
      <c r="C215" s="63"/>
      <c r="D215" s="63"/>
      <c r="E215" s="64"/>
      <c r="F215" s="64"/>
      <c r="G215" s="65"/>
      <c r="H215" s="65"/>
      <c r="I215" s="65"/>
      <c r="J215" s="4"/>
      <c r="K215" s="4"/>
      <c r="L215" s="4"/>
      <c r="M215" s="66"/>
      <c r="N215" s="40"/>
      <c r="O215" s="41"/>
      <c r="P215" s="67"/>
      <c r="Q215" s="68"/>
    </row>
    <row r="216" spans="2:17" ht="18" customHeight="1" x14ac:dyDescent="0.15">
      <c r="B216" s="4"/>
      <c r="C216" s="63"/>
      <c r="D216" s="63"/>
      <c r="E216" s="64"/>
      <c r="F216" s="64"/>
      <c r="G216" s="65"/>
      <c r="H216" s="65"/>
      <c r="I216" s="65"/>
      <c r="J216" s="4"/>
      <c r="K216" s="4"/>
      <c r="L216" s="4"/>
      <c r="M216" s="66"/>
      <c r="N216" s="40"/>
      <c r="O216" s="41"/>
      <c r="P216" s="67"/>
      <c r="Q216" s="68"/>
    </row>
    <row r="217" spans="2:17" ht="18" customHeight="1" x14ac:dyDescent="0.15">
      <c r="B217" s="4"/>
      <c r="C217" s="63"/>
      <c r="D217" s="63"/>
      <c r="E217" s="64"/>
      <c r="F217" s="64"/>
      <c r="G217" s="65"/>
      <c r="H217" s="65"/>
      <c r="I217" s="65"/>
      <c r="J217" s="4"/>
      <c r="K217" s="4"/>
      <c r="L217" s="4"/>
      <c r="M217" s="66"/>
      <c r="N217" s="40"/>
      <c r="O217" s="41"/>
      <c r="P217" s="67"/>
      <c r="Q217" s="68"/>
    </row>
    <row r="218" spans="2:17" ht="18" customHeight="1" x14ac:dyDescent="0.15">
      <c r="B218" s="4"/>
      <c r="C218" s="63"/>
      <c r="D218" s="63"/>
      <c r="E218" s="64"/>
      <c r="F218" s="64"/>
      <c r="G218" s="65"/>
      <c r="H218" s="65"/>
      <c r="I218" s="65"/>
      <c r="J218" s="4"/>
      <c r="K218" s="4"/>
      <c r="L218" s="4"/>
      <c r="M218" s="66"/>
      <c r="N218" s="40"/>
      <c r="O218" s="41"/>
      <c r="P218" s="67"/>
      <c r="Q218" s="68"/>
    </row>
    <row r="219" spans="2:17" ht="18" customHeight="1" x14ac:dyDescent="0.15">
      <c r="B219" s="4"/>
      <c r="C219" s="63"/>
      <c r="D219" s="63"/>
      <c r="E219" s="64"/>
      <c r="F219" s="64"/>
      <c r="G219" s="65"/>
      <c r="H219" s="65"/>
      <c r="I219" s="65"/>
      <c r="J219" s="4"/>
      <c r="K219" s="4"/>
      <c r="L219" s="4"/>
      <c r="M219" s="66"/>
      <c r="N219" s="40"/>
      <c r="O219" s="41"/>
      <c r="P219" s="67"/>
      <c r="Q219" s="68"/>
    </row>
    <row r="220" spans="2:17" ht="18" customHeight="1" x14ac:dyDescent="0.15">
      <c r="B220" s="4"/>
      <c r="C220" s="63"/>
      <c r="D220" s="63"/>
      <c r="E220" s="64"/>
      <c r="F220" s="64"/>
      <c r="G220" s="65"/>
      <c r="H220" s="65"/>
      <c r="I220" s="65"/>
      <c r="J220" s="4"/>
      <c r="K220" s="4"/>
      <c r="L220" s="4"/>
      <c r="M220" s="66"/>
      <c r="N220" s="40"/>
      <c r="O220" s="41"/>
      <c r="P220" s="67"/>
      <c r="Q220" s="68"/>
    </row>
    <row r="221" spans="2:17" ht="18" customHeight="1" x14ac:dyDescent="0.15">
      <c r="B221" s="4"/>
      <c r="C221" s="63"/>
      <c r="D221" s="63"/>
      <c r="E221" s="64"/>
      <c r="F221" s="64"/>
      <c r="G221" s="65"/>
      <c r="H221" s="65"/>
      <c r="I221" s="65"/>
      <c r="J221" s="4"/>
      <c r="K221" s="4"/>
      <c r="L221" s="4"/>
      <c r="M221" s="66"/>
      <c r="N221" s="40"/>
      <c r="O221" s="41"/>
      <c r="P221" s="67"/>
      <c r="Q221" s="68"/>
    </row>
    <row r="222" spans="2:17" ht="18" customHeight="1" x14ac:dyDescent="0.15">
      <c r="B222" s="4"/>
      <c r="C222" s="63"/>
      <c r="D222" s="63"/>
      <c r="E222" s="64"/>
      <c r="F222" s="64"/>
      <c r="G222" s="65"/>
      <c r="H222" s="65"/>
      <c r="I222" s="65"/>
      <c r="J222" s="4"/>
      <c r="K222" s="4"/>
      <c r="L222" s="4"/>
      <c r="M222" s="66"/>
      <c r="N222" s="40"/>
      <c r="O222" s="41"/>
      <c r="P222" s="67"/>
      <c r="Q222" s="68"/>
    </row>
    <row r="223" spans="2:17" ht="18" customHeight="1" x14ac:dyDescent="0.15">
      <c r="B223" s="4"/>
      <c r="C223" s="63"/>
      <c r="D223" s="63"/>
      <c r="E223" s="64"/>
      <c r="F223" s="64"/>
      <c r="G223" s="65"/>
      <c r="H223" s="65"/>
      <c r="I223" s="65"/>
      <c r="J223" s="4"/>
      <c r="K223" s="4"/>
      <c r="L223" s="4"/>
      <c r="M223" s="66"/>
      <c r="N223" s="40"/>
      <c r="O223" s="41"/>
      <c r="P223" s="67"/>
      <c r="Q223" s="68"/>
    </row>
    <row r="224" spans="2:17" ht="18" customHeight="1" x14ac:dyDescent="0.15">
      <c r="B224" s="4"/>
      <c r="C224" s="63"/>
      <c r="D224" s="63"/>
      <c r="E224" s="64"/>
      <c r="F224" s="64"/>
      <c r="G224" s="65"/>
      <c r="H224" s="65"/>
      <c r="I224" s="65"/>
      <c r="J224" s="4"/>
      <c r="K224" s="4"/>
      <c r="L224" s="4"/>
      <c r="M224" s="66"/>
      <c r="N224" s="40"/>
      <c r="O224" s="41"/>
      <c r="P224" s="67"/>
      <c r="Q224" s="68"/>
    </row>
    <row r="225" spans="2:17" ht="18" customHeight="1" x14ac:dyDescent="0.15">
      <c r="B225" s="4"/>
      <c r="C225" s="63"/>
      <c r="D225" s="63"/>
      <c r="E225" s="64"/>
      <c r="F225" s="64"/>
      <c r="G225" s="65"/>
      <c r="H225" s="65"/>
      <c r="I225" s="65"/>
      <c r="J225" s="4"/>
      <c r="K225" s="4"/>
      <c r="L225" s="4"/>
      <c r="M225" s="66"/>
      <c r="N225" s="40"/>
      <c r="O225" s="41"/>
      <c r="P225" s="67"/>
      <c r="Q225" s="68"/>
    </row>
    <row r="226" spans="2:17" ht="18" customHeight="1" x14ac:dyDescent="0.15">
      <c r="B226" s="4"/>
      <c r="C226" s="63"/>
      <c r="D226" s="63"/>
      <c r="E226" s="64"/>
      <c r="F226" s="64"/>
      <c r="G226" s="65"/>
      <c r="H226" s="65"/>
      <c r="I226" s="65"/>
      <c r="J226" s="4"/>
      <c r="K226" s="4"/>
      <c r="L226" s="4"/>
      <c r="M226" s="66"/>
      <c r="N226" s="40"/>
      <c r="O226" s="41"/>
      <c r="P226" s="67"/>
      <c r="Q226" s="68"/>
    </row>
    <row r="227" spans="2:17" ht="18" customHeight="1" x14ac:dyDescent="0.15">
      <c r="B227" s="4"/>
      <c r="C227" s="63"/>
      <c r="D227" s="63"/>
      <c r="E227" s="64"/>
      <c r="F227" s="64"/>
      <c r="G227" s="65"/>
      <c r="H227" s="65"/>
      <c r="I227" s="65"/>
      <c r="J227" s="4"/>
      <c r="K227" s="4"/>
      <c r="L227" s="4"/>
      <c r="M227" s="66"/>
      <c r="N227" s="40"/>
      <c r="O227" s="41"/>
      <c r="P227" s="67"/>
      <c r="Q227" s="68"/>
    </row>
    <row r="228" spans="2:17" ht="18" customHeight="1" x14ac:dyDescent="0.15">
      <c r="B228" s="4"/>
      <c r="C228" s="63"/>
      <c r="D228" s="63"/>
      <c r="E228" s="64"/>
      <c r="F228" s="64"/>
      <c r="G228" s="65"/>
      <c r="H228" s="65"/>
      <c r="I228" s="65"/>
      <c r="J228" s="4"/>
      <c r="K228" s="4"/>
      <c r="L228" s="4"/>
      <c r="M228" s="66"/>
      <c r="N228" s="40"/>
      <c r="O228" s="41"/>
      <c r="P228" s="67"/>
      <c r="Q228" s="68"/>
    </row>
    <row r="229" spans="2:17" ht="18" customHeight="1" x14ac:dyDescent="0.15">
      <c r="B229" s="4"/>
      <c r="C229" s="63"/>
      <c r="D229" s="63"/>
      <c r="E229" s="64"/>
      <c r="F229" s="64"/>
      <c r="G229" s="65"/>
      <c r="H229" s="65"/>
      <c r="I229" s="65"/>
      <c r="J229" s="4"/>
      <c r="K229" s="4"/>
      <c r="L229" s="4"/>
      <c r="M229" s="66"/>
      <c r="N229" s="40"/>
      <c r="O229" s="41"/>
      <c r="P229" s="67"/>
      <c r="Q229" s="68"/>
    </row>
    <row r="230" spans="2:17" ht="18" customHeight="1" x14ac:dyDescent="0.15">
      <c r="B230" s="4"/>
      <c r="C230" s="63"/>
      <c r="D230" s="63"/>
      <c r="E230" s="64"/>
      <c r="F230" s="64"/>
      <c r="G230" s="65"/>
      <c r="H230" s="65"/>
      <c r="I230" s="65"/>
      <c r="J230" s="4"/>
      <c r="K230" s="4"/>
      <c r="L230" s="4"/>
      <c r="M230" s="66"/>
      <c r="N230" s="40"/>
      <c r="O230" s="41"/>
      <c r="P230" s="67"/>
      <c r="Q230" s="68"/>
    </row>
    <row r="231" spans="2:17" ht="18" customHeight="1" x14ac:dyDescent="0.15">
      <c r="B231" s="4"/>
      <c r="C231" s="63"/>
      <c r="D231" s="63"/>
      <c r="E231" s="64"/>
      <c r="F231" s="64"/>
      <c r="G231" s="65"/>
      <c r="H231" s="65"/>
      <c r="I231" s="65"/>
      <c r="J231" s="4"/>
      <c r="K231" s="4"/>
      <c r="L231" s="4"/>
      <c r="M231" s="66"/>
      <c r="N231" s="40"/>
      <c r="O231" s="41"/>
      <c r="P231" s="67"/>
      <c r="Q231" s="68"/>
    </row>
    <row r="232" spans="2:17" ht="18" customHeight="1" x14ac:dyDescent="0.15">
      <c r="B232" s="4"/>
      <c r="C232" s="63"/>
      <c r="D232" s="63"/>
      <c r="E232" s="64"/>
      <c r="F232" s="64"/>
      <c r="G232" s="65"/>
      <c r="H232" s="65"/>
      <c r="I232" s="65"/>
      <c r="J232" s="4"/>
      <c r="K232" s="4"/>
      <c r="L232" s="4"/>
      <c r="M232" s="66"/>
      <c r="N232" s="40"/>
      <c r="O232" s="41"/>
      <c r="P232" s="67"/>
      <c r="Q232" s="68"/>
    </row>
    <row r="233" spans="2:17" ht="18" customHeight="1" x14ac:dyDescent="0.15">
      <c r="B233" s="4"/>
      <c r="C233" s="63"/>
      <c r="D233" s="63"/>
      <c r="E233" s="64"/>
      <c r="F233" s="64"/>
      <c r="G233" s="65"/>
      <c r="H233" s="65"/>
      <c r="I233" s="65"/>
      <c r="J233" s="4"/>
      <c r="K233" s="4"/>
      <c r="L233" s="4"/>
      <c r="M233" s="66"/>
      <c r="N233" s="40"/>
      <c r="O233" s="41"/>
      <c r="P233" s="67"/>
      <c r="Q233" s="68"/>
    </row>
    <row r="234" spans="2:17" ht="18" customHeight="1" x14ac:dyDescent="0.15">
      <c r="B234" s="4"/>
      <c r="C234" s="63"/>
      <c r="D234" s="63"/>
      <c r="E234" s="64"/>
      <c r="F234" s="64"/>
      <c r="G234" s="65"/>
      <c r="H234" s="65"/>
      <c r="I234" s="65"/>
      <c r="J234" s="4"/>
      <c r="K234" s="4"/>
      <c r="L234" s="4"/>
      <c r="M234" s="66"/>
      <c r="N234" s="40"/>
      <c r="O234" s="41"/>
      <c r="P234" s="67"/>
      <c r="Q234" s="68"/>
    </row>
    <row r="235" spans="2:17" ht="18" customHeight="1" x14ac:dyDescent="0.15">
      <c r="B235" s="4"/>
      <c r="C235" s="63"/>
      <c r="D235" s="63"/>
      <c r="E235" s="64"/>
      <c r="F235" s="64"/>
      <c r="G235" s="65"/>
      <c r="H235" s="65"/>
      <c r="I235" s="65"/>
      <c r="J235" s="4"/>
      <c r="K235" s="4"/>
      <c r="L235" s="4"/>
      <c r="M235" s="66"/>
      <c r="N235" s="40"/>
      <c r="O235" s="41"/>
      <c r="P235" s="67"/>
      <c r="Q235" s="68"/>
    </row>
    <row r="236" spans="2:17" ht="18" customHeight="1" x14ac:dyDescent="0.15">
      <c r="B236" s="4"/>
      <c r="C236" s="63"/>
      <c r="D236" s="63"/>
      <c r="E236" s="64"/>
      <c r="F236" s="64"/>
      <c r="G236" s="65"/>
      <c r="H236" s="65"/>
      <c r="I236" s="65"/>
      <c r="J236" s="4"/>
      <c r="K236" s="4"/>
      <c r="L236" s="4"/>
      <c r="M236" s="66"/>
      <c r="N236" s="40"/>
      <c r="O236" s="41"/>
      <c r="P236" s="67"/>
      <c r="Q236" s="68"/>
    </row>
    <row r="237" spans="2:17" ht="18" customHeight="1" x14ac:dyDescent="0.15">
      <c r="M237" s="49"/>
    </row>
    <row r="255" spans="2:19" x14ac:dyDescent="0.15">
      <c r="G255" s="41"/>
      <c r="H255" s="41"/>
      <c r="I255" s="41"/>
      <c r="J255" s="4"/>
    </row>
    <row r="256" spans="2:19" ht="12.75" customHeight="1" x14ac:dyDescent="0.15">
      <c r="B256" s="4"/>
      <c r="C256" s="40"/>
      <c r="D256" s="40"/>
      <c r="E256" s="37"/>
      <c r="F256" s="38"/>
      <c r="G256" s="118"/>
      <c r="H256" s="118"/>
      <c r="I256" s="41"/>
      <c r="J256" s="4"/>
      <c r="K256" s="37"/>
      <c r="L256" s="4"/>
      <c r="M256" s="4"/>
      <c r="N256" s="40"/>
      <c r="O256" s="41"/>
      <c r="P256" s="82"/>
      <c r="Q256" s="200"/>
      <c r="R256" s="40"/>
      <c r="S256" s="40"/>
    </row>
    <row r="257" spans="2:19" x14ac:dyDescent="0.15">
      <c r="B257" s="4"/>
      <c r="C257" s="40"/>
      <c r="D257" s="40"/>
      <c r="E257" s="4"/>
      <c r="F257" s="4"/>
      <c r="G257" s="41"/>
      <c r="H257" s="41"/>
      <c r="I257" s="41"/>
      <c r="J257" s="4"/>
      <c r="K257" s="4"/>
      <c r="L257" s="4"/>
      <c r="M257" s="4"/>
      <c r="N257" s="40"/>
      <c r="O257" s="41"/>
      <c r="P257" s="82"/>
      <c r="Q257" s="200"/>
      <c r="R257" s="40"/>
      <c r="S257" s="40"/>
    </row>
  </sheetData>
  <autoFilter ref="B10:O255"/>
  <mergeCells count="14">
    <mergeCell ref="C81:D81"/>
    <mergeCell ref="G2:I2"/>
    <mergeCell ref="G6:I8"/>
    <mergeCell ref="J6:K8"/>
    <mergeCell ref="B2:D2"/>
    <mergeCell ref="B5:D5"/>
    <mergeCell ref="B6:D6"/>
    <mergeCell ref="B7:D7"/>
    <mergeCell ref="B8:D8"/>
    <mergeCell ref="B4:D4"/>
    <mergeCell ref="G4:I4"/>
    <mergeCell ref="C62:D62"/>
    <mergeCell ref="C17:D17"/>
    <mergeCell ref="C44:D44"/>
  </mergeCells>
  <phoneticPr fontId="2"/>
  <dataValidations count="1">
    <dataValidation imeMode="hiragana" allowBlank="1" showInputMessage="1" showErrorMessage="1" sqref="J32:J53 J56:J63 E46:E52"/>
  </dataValidation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7" sqref="D7:D57"/>
    </sheetView>
  </sheetViews>
  <sheetFormatPr defaultRowHeight="13.5" x14ac:dyDescent="0.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V257"/>
  <sheetViews>
    <sheetView topLeftCell="A3" zoomScale="85" zoomScaleNormal="85" workbookViewId="0">
      <pane xSplit="10" ySplit="8" topLeftCell="K20" activePane="bottomRight" state="frozen"/>
      <selection activeCell="A3" sqref="A3"/>
      <selection pane="topRight" activeCell="K3" sqref="K3"/>
      <selection pane="bottomLeft" activeCell="A11" sqref="A11"/>
      <selection pane="bottomRight" activeCell="E31" sqref="E31"/>
    </sheetView>
  </sheetViews>
  <sheetFormatPr defaultRowHeight="12" x14ac:dyDescent="0.15"/>
  <cols>
    <col min="1" max="1" width="2.625" style="192" customWidth="1"/>
    <col min="2" max="2" width="5.125" style="5" customWidth="1"/>
    <col min="3" max="3" width="11" style="2" customWidth="1"/>
    <col min="4" max="4" width="12.625" style="2" customWidth="1"/>
    <col min="5" max="5" width="39.125" style="5" bestFit="1" customWidth="1"/>
    <col min="6" max="6" width="9.25" style="5" bestFit="1" customWidth="1"/>
    <col min="7" max="7" width="9.25" style="6" bestFit="1" customWidth="1"/>
    <col min="8" max="8" width="13.375" style="6" customWidth="1"/>
    <col min="9" max="9" width="13" style="6" bestFit="1" customWidth="1"/>
    <col min="10" max="10" width="26.25" style="5" customWidth="1"/>
    <col min="11" max="11" width="32.25" style="5" bestFit="1" customWidth="1"/>
    <col min="12" max="12" width="13.5" style="5" bestFit="1" customWidth="1"/>
    <col min="13" max="13" width="13.75" style="5" customWidth="1"/>
    <col min="14" max="14" width="13.125" style="2" customWidth="1"/>
    <col min="15" max="15" width="13.25" style="6" customWidth="1"/>
    <col min="16" max="16" width="17.875" style="7" customWidth="1"/>
    <col min="17" max="17" width="27.625" style="7" customWidth="1"/>
    <col min="18" max="18" width="18" style="2" customWidth="1"/>
    <col min="19" max="22" width="9" style="2"/>
    <col min="23" max="23" width="25.125" style="2" customWidth="1"/>
    <col min="24" max="255" width="9" style="2" customWidth="1"/>
    <col min="256" max="16384" width="9" style="2"/>
  </cols>
  <sheetData>
    <row r="2" spans="1:17" ht="20.100000000000001" customHeight="1" x14ac:dyDescent="0.15">
      <c r="B2" s="206" t="s">
        <v>8</v>
      </c>
      <c r="C2" s="206"/>
      <c r="D2" s="206"/>
      <c r="E2" s="1" t="s">
        <v>22</v>
      </c>
      <c r="G2" s="203" t="s">
        <v>12</v>
      </c>
      <c r="H2" s="204"/>
      <c r="I2" s="205"/>
      <c r="J2" s="3">
        <f>SUM(H:H)</f>
        <v>253832</v>
      </c>
      <c r="K2" s="4"/>
      <c r="L2" s="4"/>
    </row>
    <row r="3" spans="1:17" customFormat="1" ht="13.5" x14ac:dyDescent="0.15">
      <c r="A3" s="193"/>
      <c r="B3" s="33"/>
      <c r="F3" s="33"/>
      <c r="G3" s="34"/>
      <c r="H3" s="34"/>
      <c r="I3" s="34"/>
      <c r="L3" s="33"/>
      <c r="M3" s="33"/>
      <c r="O3" s="34"/>
    </row>
    <row r="4" spans="1:17" customFormat="1" ht="20.100000000000001" customHeight="1" x14ac:dyDescent="0.15">
      <c r="A4" s="193"/>
      <c r="B4" s="208" t="s">
        <v>8</v>
      </c>
      <c r="C4" s="208"/>
      <c r="D4" s="208"/>
      <c r="E4" s="35" t="s">
        <v>85</v>
      </c>
      <c r="F4" s="33"/>
      <c r="G4" s="209" t="s">
        <v>12</v>
      </c>
      <c r="H4" s="210"/>
      <c r="I4" s="211"/>
      <c r="J4" s="36">
        <f>SUM(H:H)</f>
        <v>253832</v>
      </c>
      <c r="K4" s="37"/>
      <c r="L4" s="38"/>
      <c r="M4" s="33"/>
      <c r="O4" s="34"/>
    </row>
    <row r="5" spans="1:17" ht="20.100000000000001" customHeight="1" x14ac:dyDescent="0.15">
      <c r="B5" s="206" t="s">
        <v>7</v>
      </c>
      <c r="C5" s="206"/>
      <c r="D5" s="206"/>
      <c r="E5" s="128" t="s">
        <v>86</v>
      </c>
    </row>
    <row r="6" spans="1:17" ht="20.100000000000001" customHeight="1" x14ac:dyDescent="0.15">
      <c r="B6" s="206" t="s">
        <v>9</v>
      </c>
      <c r="C6" s="206"/>
      <c r="D6" s="206"/>
      <c r="E6" s="128">
        <v>116605</v>
      </c>
      <c r="G6" s="206" t="s">
        <v>14</v>
      </c>
      <c r="H6" s="206"/>
      <c r="I6" s="206"/>
      <c r="J6" s="207"/>
      <c r="K6" s="207"/>
    </row>
    <row r="7" spans="1:17" ht="20.100000000000001" customHeight="1" x14ac:dyDescent="0.15">
      <c r="B7" s="206" t="s">
        <v>10</v>
      </c>
      <c r="C7" s="206"/>
      <c r="D7" s="206"/>
      <c r="E7" s="129">
        <v>41708</v>
      </c>
      <c r="G7" s="206"/>
      <c r="H7" s="206"/>
      <c r="I7" s="206"/>
      <c r="J7" s="207"/>
      <c r="K7" s="207"/>
    </row>
    <row r="8" spans="1:17" ht="20.100000000000001" customHeight="1" x14ac:dyDescent="0.15">
      <c r="B8" s="206" t="s">
        <v>11</v>
      </c>
      <c r="C8" s="206"/>
      <c r="D8" s="206"/>
      <c r="E8" s="129">
        <v>41708</v>
      </c>
      <c r="G8" s="206"/>
      <c r="H8" s="206"/>
      <c r="I8" s="206"/>
      <c r="J8" s="207"/>
      <c r="K8" s="207"/>
    </row>
    <row r="10" spans="1:17" s="12" customFormat="1" ht="19.5" customHeight="1" x14ac:dyDescent="0.15">
      <c r="B10" s="8" t="s">
        <v>3</v>
      </c>
      <c r="C10" s="8" t="s">
        <v>23</v>
      </c>
      <c r="D10" s="8" t="s">
        <v>4</v>
      </c>
      <c r="E10" s="9" t="s">
        <v>18</v>
      </c>
      <c r="F10" s="9" t="s">
        <v>0</v>
      </c>
      <c r="G10" s="114" t="s">
        <v>1</v>
      </c>
      <c r="H10" s="115" t="s">
        <v>2</v>
      </c>
      <c r="I10" s="10" t="s">
        <v>16</v>
      </c>
      <c r="J10" s="9" t="s">
        <v>19</v>
      </c>
      <c r="K10" s="9" t="s">
        <v>14</v>
      </c>
      <c r="L10" s="9" t="s">
        <v>13</v>
      </c>
      <c r="M10" s="8" t="s">
        <v>5</v>
      </c>
      <c r="N10" s="8" t="s">
        <v>17</v>
      </c>
      <c r="O10" s="9" t="s">
        <v>6</v>
      </c>
      <c r="P10" s="11" t="s">
        <v>20</v>
      </c>
      <c r="Q10" s="11" t="s">
        <v>21</v>
      </c>
    </row>
    <row r="11" spans="1:17" s="12" customFormat="1" ht="18" customHeight="1" x14ac:dyDescent="0.15">
      <c r="B11" s="8"/>
      <c r="C11" s="180" t="s">
        <v>15</v>
      </c>
      <c r="D11" s="180" t="s">
        <v>15</v>
      </c>
      <c r="E11" s="186" t="s">
        <v>67</v>
      </c>
      <c r="F11" s="187">
        <v>1</v>
      </c>
      <c r="G11" s="188"/>
      <c r="H11" s="188">
        <f>F11*G11</f>
        <v>0</v>
      </c>
      <c r="I11" s="189"/>
      <c r="J11" s="178" t="s">
        <v>149</v>
      </c>
      <c r="K11" s="9"/>
      <c r="L11" s="13"/>
      <c r="M11" s="42"/>
      <c r="N11" s="42"/>
      <c r="O11" s="14"/>
      <c r="P11" s="70"/>
      <c r="Q11" s="21"/>
    </row>
    <row r="12" spans="1:17" s="12" customFormat="1" ht="18" customHeight="1" x14ac:dyDescent="0.15">
      <c r="B12" s="8"/>
      <c r="C12" s="71" t="s">
        <v>15</v>
      </c>
      <c r="D12" s="71" t="s">
        <v>15</v>
      </c>
      <c r="E12" s="73" t="s">
        <v>121</v>
      </c>
      <c r="F12" s="111">
        <v>1</v>
      </c>
      <c r="G12" s="72">
        <v>10000</v>
      </c>
      <c r="H12" s="72">
        <f>F12*G12</f>
        <v>10000</v>
      </c>
      <c r="I12" s="25"/>
      <c r="J12" s="39" t="s">
        <v>122</v>
      </c>
      <c r="K12" s="13"/>
      <c r="L12" s="13"/>
      <c r="M12" s="42"/>
      <c r="N12" s="42"/>
      <c r="O12" s="14"/>
      <c r="P12" s="70"/>
      <c r="Q12" s="43"/>
    </row>
    <row r="13" spans="1:17" s="12" customFormat="1" ht="18" customHeight="1" x14ac:dyDescent="0.15">
      <c r="B13" s="8"/>
      <c r="C13" s="180" t="s">
        <v>15</v>
      </c>
      <c r="D13" s="180" t="s">
        <v>15</v>
      </c>
      <c r="E13" s="181" t="s">
        <v>68</v>
      </c>
      <c r="F13" s="182">
        <v>1</v>
      </c>
      <c r="G13" s="183"/>
      <c r="H13" s="184">
        <f>F13*G13</f>
        <v>0</v>
      </c>
      <c r="I13" s="185"/>
      <c r="J13" s="179" t="s">
        <v>150</v>
      </c>
      <c r="K13" s="13"/>
      <c r="L13" s="13"/>
      <c r="M13" s="42"/>
      <c r="N13" s="42"/>
      <c r="O13" s="14"/>
      <c r="P13" s="46"/>
      <c r="Q13" s="21"/>
    </row>
    <row r="14" spans="1:17" s="12" customFormat="1" ht="18" customHeight="1" x14ac:dyDescent="0.15">
      <c r="B14" s="8"/>
      <c r="C14" s="71" t="s">
        <v>15</v>
      </c>
      <c r="D14" s="71" t="s">
        <v>15</v>
      </c>
      <c r="E14" s="73" t="s">
        <v>24</v>
      </c>
      <c r="F14" s="111">
        <v>1</v>
      </c>
      <c r="G14" s="72"/>
      <c r="H14" s="72">
        <f>F14*G14</f>
        <v>0</v>
      </c>
      <c r="I14" s="25"/>
      <c r="J14" s="39"/>
      <c r="K14" s="13"/>
      <c r="L14" s="13"/>
      <c r="M14" s="42"/>
      <c r="N14" s="42"/>
      <c r="O14" s="14"/>
      <c r="P14" s="46"/>
      <c r="Q14" s="21"/>
    </row>
    <row r="15" spans="1:17" s="12" customFormat="1" ht="18" customHeight="1" x14ac:dyDescent="0.15">
      <c r="B15" s="8"/>
      <c r="C15" s="71" t="s">
        <v>42</v>
      </c>
      <c r="D15" s="71" t="s">
        <v>42</v>
      </c>
      <c r="E15" s="91" t="s">
        <v>27</v>
      </c>
      <c r="F15" s="111">
        <v>1</v>
      </c>
      <c r="G15" s="72">
        <v>6615</v>
      </c>
      <c r="H15" s="72">
        <v>6615</v>
      </c>
      <c r="I15" s="15"/>
      <c r="J15" s="39" t="s">
        <v>59</v>
      </c>
      <c r="K15" s="13"/>
      <c r="L15" s="13"/>
      <c r="M15" s="42"/>
      <c r="N15" s="42"/>
      <c r="O15" s="14"/>
      <c r="P15" s="46"/>
      <c r="Q15" s="21"/>
    </row>
    <row r="16" spans="1:17" s="12" customFormat="1" ht="18" customHeight="1" x14ac:dyDescent="0.15">
      <c r="B16" s="8"/>
      <c r="C16" s="71" t="s">
        <v>42</v>
      </c>
      <c r="D16" s="71" t="s">
        <v>42</v>
      </c>
      <c r="E16" s="91" t="s">
        <v>69</v>
      </c>
      <c r="F16" s="111">
        <v>1</v>
      </c>
      <c r="G16" s="72">
        <v>4200</v>
      </c>
      <c r="H16" s="72">
        <f t="shared" ref="H16:H43" si="0">F16*G16</f>
        <v>4200</v>
      </c>
      <c r="I16" s="15"/>
      <c r="J16" s="39" t="s">
        <v>84</v>
      </c>
      <c r="K16" s="13"/>
      <c r="L16" s="13"/>
      <c r="M16" s="42"/>
      <c r="N16" s="42"/>
      <c r="O16" s="14"/>
      <c r="P16" s="46"/>
      <c r="Q16" s="21"/>
    </row>
    <row r="17" spans="1:74" s="12" customFormat="1" ht="18" customHeight="1" x14ac:dyDescent="0.15">
      <c r="B17" s="8"/>
      <c r="C17" s="214" t="s">
        <v>64</v>
      </c>
      <c r="D17" s="215"/>
      <c r="E17" s="119">
        <f>SUM(H11:H16)</f>
        <v>20815</v>
      </c>
      <c r="F17" s="112"/>
      <c r="G17" s="102"/>
      <c r="H17" s="9"/>
      <c r="I17" s="103"/>
      <c r="J17" s="100"/>
      <c r="K17" s="13"/>
      <c r="L17" s="13"/>
      <c r="M17" s="42"/>
      <c r="N17" s="42"/>
      <c r="O17" s="14"/>
      <c r="P17" s="46"/>
      <c r="Q17" s="21"/>
    </row>
    <row r="18" spans="1:74" s="130" customFormat="1" ht="18" customHeight="1" x14ac:dyDescent="0.15">
      <c r="A18" s="12"/>
      <c r="B18" s="131"/>
      <c r="C18" s="147"/>
      <c r="D18" s="148"/>
      <c r="E18" s="149"/>
      <c r="F18" s="150"/>
      <c r="G18" s="151"/>
      <c r="I18" s="152"/>
      <c r="J18" s="153"/>
      <c r="K18" s="140"/>
      <c r="L18" s="140"/>
      <c r="M18" s="141"/>
      <c r="N18" s="141"/>
      <c r="O18" s="142"/>
      <c r="P18" s="154"/>
      <c r="Q18" s="144"/>
    </row>
    <row r="19" spans="1:74" s="12" customFormat="1" ht="18" customHeight="1" x14ac:dyDescent="0.15">
      <c r="B19" s="8"/>
      <c r="C19" s="92" t="s">
        <v>159</v>
      </c>
      <c r="D19" s="92" t="s">
        <v>159</v>
      </c>
      <c r="E19" s="93" t="s">
        <v>124</v>
      </c>
      <c r="F19" s="94">
        <v>1</v>
      </c>
      <c r="G19" s="169">
        <v>5000</v>
      </c>
      <c r="H19" s="170">
        <f t="shared" si="0"/>
        <v>5000</v>
      </c>
      <c r="I19" s="95"/>
      <c r="J19" s="93" t="s">
        <v>125</v>
      </c>
      <c r="K19" s="13"/>
      <c r="L19" s="13"/>
      <c r="M19" s="42"/>
      <c r="N19" s="42"/>
      <c r="O19" s="14"/>
      <c r="P19" s="46"/>
      <c r="Q19" s="21"/>
      <c r="BV19" s="169">
        <v>15000</v>
      </c>
    </row>
    <row r="20" spans="1:74" s="12" customFormat="1" ht="18" customHeight="1" x14ac:dyDescent="0.15">
      <c r="B20" s="8"/>
      <c r="C20" s="92" t="s">
        <v>159</v>
      </c>
      <c r="D20" s="92" t="s">
        <v>159</v>
      </c>
      <c r="E20" s="93" t="s">
        <v>126</v>
      </c>
      <c r="F20" s="94">
        <v>1</v>
      </c>
      <c r="G20" s="169">
        <v>4500</v>
      </c>
      <c r="H20" s="170">
        <f t="shared" si="0"/>
        <v>4500</v>
      </c>
      <c r="I20" s="95"/>
      <c r="J20" s="93" t="s">
        <v>127</v>
      </c>
      <c r="K20" s="13"/>
      <c r="L20" s="13"/>
      <c r="M20" s="42"/>
      <c r="N20" s="42"/>
      <c r="O20" s="14"/>
      <c r="P20" s="46"/>
      <c r="Q20" s="21"/>
      <c r="BV20" s="169">
        <v>6500</v>
      </c>
    </row>
    <row r="21" spans="1:74" s="12" customFormat="1" ht="18" customHeight="1" x14ac:dyDescent="0.15">
      <c r="B21" s="8"/>
      <c r="C21" s="92" t="s">
        <v>159</v>
      </c>
      <c r="D21" s="92" t="s">
        <v>159</v>
      </c>
      <c r="E21" s="93" t="s">
        <v>128</v>
      </c>
      <c r="F21" s="94">
        <v>1</v>
      </c>
      <c r="G21" s="169">
        <v>7000</v>
      </c>
      <c r="H21" s="170">
        <f t="shared" si="0"/>
        <v>7000</v>
      </c>
      <c r="I21" s="95"/>
      <c r="J21" s="93" t="s">
        <v>129</v>
      </c>
      <c r="K21" s="13"/>
      <c r="L21" s="13"/>
      <c r="M21" s="42"/>
      <c r="N21" s="42"/>
      <c r="O21" s="14"/>
      <c r="P21" s="46"/>
      <c r="Q21" s="21"/>
      <c r="BV21" s="169">
        <v>6500</v>
      </c>
    </row>
    <row r="22" spans="1:74" s="12" customFormat="1" ht="18" customHeight="1" x14ac:dyDescent="0.15">
      <c r="B22" s="8"/>
      <c r="C22" s="92" t="s">
        <v>159</v>
      </c>
      <c r="D22" s="92" t="s">
        <v>159</v>
      </c>
      <c r="E22" s="93" t="s">
        <v>130</v>
      </c>
      <c r="F22" s="94">
        <v>1</v>
      </c>
      <c r="G22" s="169">
        <v>8800</v>
      </c>
      <c r="H22" s="170">
        <f t="shared" si="0"/>
        <v>8800</v>
      </c>
      <c r="I22" s="95"/>
      <c r="J22" s="93" t="s">
        <v>131</v>
      </c>
      <c r="K22" s="13"/>
      <c r="L22" s="13"/>
      <c r="M22" s="42"/>
      <c r="N22" s="42"/>
      <c r="O22" s="14"/>
      <c r="P22" s="46"/>
      <c r="Q22" s="21"/>
      <c r="BV22" s="169">
        <v>5000</v>
      </c>
    </row>
    <row r="23" spans="1:74" s="12" customFormat="1" ht="18" customHeight="1" x14ac:dyDescent="0.15">
      <c r="B23" s="8"/>
      <c r="C23" s="92" t="s">
        <v>159</v>
      </c>
      <c r="D23" s="92" t="s">
        <v>159</v>
      </c>
      <c r="E23" s="175" t="s">
        <v>132</v>
      </c>
      <c r="F23" s="176">
        <v>1</v>
      </c>
      <c r="G23" s="169">
        <v>7500</v>
      </c>
      <c r="H23" s="170">
        <f t="shared" si="0"/>
        <v>7500</v>
      </c>
      <c r="I23" s="177"/>
      <c r="J23" s="175" t="s">
        <v>133</v>
      </c>
      <c r="K23" s="13"/>
      <c r="L23" s="13"/>
      <c r="M23" s="42"/>
      <c r="N23" s="42"/>
      <c r="O23" s="14"/>
      <c r="P23" s="46"/>
      <c r="Q23" s="21"/>
      <c r="BV23" s="169">
        <v>4500</v>
      </c>
    </row>
    <row r="24" spans="1:74" s="12" customFormat="1" ht="18" customHeight="1" x14ac:dyDescent="0.15">
      <c r="B24" s="8"/>
      <c r="C24" s="92" t="s">
        <v>159</v>
      </c>
      <c r="D24" s="92" t="s">
        <v>159</v>
      </c>
      <c r="E24" s="175" t="s">
        <v>135</v>
      </c>
      <c r="F24" s="176">
        <v>1</v>
      </c>
      <c r="G24" s="169">
        <v>6500</v>
      </c>
      <c r="H24" s="170">
        <f t="shared" si="0"/>
        <v>6500</v>
      </c>
      <c r="I24" s="177"/>
      <c r="J24" s="175" t="s">
        <v>134</v>
      </c>
      <c r="K24" s="13"/>
      <c r="L24" s="13"/>
      <c r="M24" s="42"/>
      <c r="N24" s="42"/>
      <c r="O24" s="14"/>
      <c r="P24" s="46"/>
      <c r="Q24" s="21"/>
      <c r="BV24" s="169">
        <v>7000</v>
      </c>
    </row>
    <row r="25" spans="1:74" s="12" customFormat="1" ht="18" customHeight="1" x14ac:dyDescent="0.15">
      <c r="B25" s="8"/>
      <c r="C25" s="92" t="s">
        <v>159</v>
      </c>
      <c r="D25" s="92" t="s">
        <v>159</v>
      </c>
      <c r="E25" s="175" t="s">
        <v>136</v>
      </c>
      <c r="F25" s="176">
        <v>1</v>
      </c>
      <c r="G25" s="169">
        <v>15000</v>
      </c>
      <c r="H25" s="170">
        <f t="shared" si="0"/>
        <v>15000</v>
      </c>
      <c r="I25" s="177"/>
      <c r="J25" s="175" t="s">
        <v>137</v>
      </c>
      <c r="K25" s="13"/>
      <c r="L25" s="13"/>
      <c r="M25" s="42"/>
      <c r="N25" s="42"/>
      <c r="O25" s="14"/>
      <c r="P25" s="46"/>
      <c r="Q25" s="21"/>
    </row>
    <row r="26" spans="1:74" s="12" customFormat="1" ht="18" customHeight="1" x14ac:dyDescent="0.15">
      <c r="B26" s="8"/>
      <c r="C26" s="92" t="s">
        <v>159</v>
      </c>
      <c r="D26" s="92" t="s">
        <v>159</v>
      </c>
      <c r="E26" s="175" t="s">
        <v>138</v>
      </c>
      <c r="F26" s="176">
        <v>2</v>
      </c>
      <c r="G26" s="169">
        <v>6000</v>
      </c>
      <c r="H26" s="170">
        <f t="shared" si="0"/>
        <v>12000</v>
      </c>
      <c r="I26" s="177"/>
      <c r="J26" s="175" t="s">
        <v>139</v>
      </c>
      <c r="K26" s="13"/>
      <c r="L26" s="13"/>
      <c r="M26" s="42"/>
      <c r="N26" s="42"/>
      <c r="O26" s="14"/>
      <c r="P26" s="46"/>
      <c r="Q26" s="21"/>
    </row>
    <row r="27" spans="1:74" s="12" customFormat="1" ht="18" customHeight="1" x14ac:dyDescent="0.15">
      <c r="B27" s="8"/>
      <c r="C27" s="92" t="s">
        <v>159</v>
      </c>
      <c r="D27" s="92" t="s">
        <v>159</v>
      </c>
      <c r="E27" s="175" t="s">
        <v>140</v>
      </c>
      <c r="F27" s="176">
        <v>1</v>
      </c>
      <c r="G27" s="169">
        <v>4800</v>
      </c>
      <c r="H27" s="170">
        <f t="shared" si="0"/>
        <v>4800</v>
      </c>
      <c r="I27" s="177"/>
      <c r="J27" s="175" t="s">
        <v>141</v>
      </c>
      <c r="K27" s="13"/>
      <c r="L27" s="13"/>
      <c r="M27" s="42"/>
      <c r="N27" s="42"/>
      <c r="O27" s="14"/>
      <c r="P27" s="46"/>
      <c r="Q27" s="21"/>
    </row>
    <row r="28" spans="1:74" s="12" customFormat="1" ht="18" customHeight="1" x14ac:dyDescent="0.15">
      <c r="B28" s="8"/>
      <c r="C28" s="92" t="s">
        <v>159</v>
      </c>
      <c r="D28" s="92" t="s">
        <v>159</v>
      </c>
      <c r="E28" s="175" t="s">
        <v>142</v>
      </c>
      <c r="F28" s="176">
        <v>1</v>
      </c>
      <c r="G28" s="169">
        <v>5400</v>
      </c>
      <c r="H28" s="170">
        <f t="shared" si="0"/>
        <v>5400</v>
      </c>
      <c r="I28" s="177"/>
      <c r="J28" s="175" t="s">
        <v>143</v>
      </c>
      <c r="K28" s="13"/>
      <c r="L28" s="13"/>
      <c r="M28" s="42"/>
      <c r="N28" s="42"/>
      <c r="O28" s="14"/>
      <c r="P28" s="46"/>
      <c r="Q28" s="21"/>
    </row>
    <row r="29" spans="1:74" s="12" customFormat="1" ht="18" customHeight="1" x14ac:dyDescent="0.15">
      <c r="B29" s="8"/>
      <c r="C29" s="92" t="s">
        <v>159</v>
      </c>
      <c r="D29" s="92" t="s">
        <v>159</v>
      </c>
      <c r="E29" s="175" t="s">
        <v>144</v>
      </c>
      <c r="F29" s="176">
        <v>2</v>
      </c>
      <c r="G29" s="169">
        <v>6000</v>
      </c>
      <c r="H29" s="170">
        <f t="shared" si="0"/>
        <v>12000</v>
      </c>
      <c r="I29" s="177"/>
      <c r="J29" s="175" t="s">
        <v>145</v>
      </c>
      <c r="K29" s="13"/>
      <c r="L29" s="13"/>
      <c r="M29" s="42"/>
      <c r="N29" s="42"/>
      <c r="O29" s="14"/>
      <c r="P29" s="46"/>
      <c r="Q29" s="21"/>
    </row>
    <row r="30" spans="1:74" s="12" customFormat="1" ht="18" customHeight="1" x14ac:dyDescent="0.15">
      <c r="B30" s="8"/>
      <c r="C30" s="26" t="s">
        <v>43</v>
      </c>
      <c r="D30" s="26" t="s">
        <v>43</v>
      </c>
      <c r="E30" s="24" t="s">
        <v>47</v>
      </c>
      <c r="F30" s="97">
        <v>20</v>
      </c>
      <c r="G30" s="171">
        <v>75</v>
      </c>
      <c r="H30" s="171">
        <f t="shared" si="0"/>
        <v>1500</v>
      </c>
      <c r="I30" s="28"/>
      <c r="J30" s="39" t="s">
        <v>48</v>
      </c>
      <c r="K30" s="24"/>
      <c r="L30" s="13"/>
      <c r="M30" s="42"/>
      <c r="N30" s="42"/>
      <c r="O30" s="14"/>
      <c r="P30" s="70"/>
      <c r="Q30" s="21"/>
      <c r="V30" s="89"/>
      <c r="W30" s="83" t="s">
        <v>29</v>
      </c>
      <c r="X30" s="84" t="s">
        <v>30</v>
      </c>
    </row>
    <row r="31" spans="1:74" s="12" customFormat="1" ht="18" customHeight="1" x14ac:dyDescent="0.15">
      <c r="B31" s="8"/>
      <c r="C31" s="26" t="s">
        <v>43</v>
      </c>
      <c r="D31" s="26" t="s">
        <v>43</v>
      </c>
      <c r="E31" s="24" t="s">
        <v>94</v>
      </c>
      <c r="F31" s="97">
        <v>2</v>
      </c>
      <c r="G31" s="28">
        <v>85</v>
      </c>
      <c r="H31" s="28">
        <f t="shared" si="0"/>
        <v>170</v>
      </c>
      <c r="I31" s="28"/>
      <c r="J31" s="39" t="s">
        <v>48</v>
      </c>
      <c r="K31" s="24"/>
      <c r="L31" s="13"/>
      <c r="M31" s="42"/>
      <c r="N31" s="42"/>
      <c r="O31" s="14"/>
      <c r="P31" s="70"/>
      <c r="Q31" s="21"/>
      <c r="V31" s="89"/>
      <c r="W31" s="85" t="s">
        <v>31</v>
      </c>
      <c r="X31" s="86" t="s">
        <v>32</v>
      </c>
    </row>
    <row r="32" spans="1:74" s="12" customFormat="1" ht="18" customHeight="1" x14ac:dyDescent="0.15">
      <c r="B32" s="8"/>
      <c r="C32" s="26" t="s">
        <v>42</v>
      </c>
      <c r="D32" s="26" t="s">
        <v>42</v>
      </c>
      <c r="E32" s="98" t="s">
        <v>97</v>
      </c>
      <c r="F32" s="99">
        <v>10</v>
      </c>
      <c r="G32" s="116">
        <v>80</v>
      </c>
      <c r="H32" s="28">
        <f>F32*G32</f>
        <v>800</v>
      </c>
      <c r="I32" s="78"/>
      <c r="J32" s="98" t="s">
        <v>98</v>
      </c>
      <c r="K32" s="24"/>
      <c r="L32" s="13"/>
      <c r="M32" s="42"/>
      <c r="N32" s="42"/>
      <c r="O32" s="14"/>
      <c r="P32" s="70"/>
      <c r="Q32" s="21"/>
      <c r="V32" s="89"/>
      <c r="W32" s="85"/>
      <c r="X32" s="86"/>
    </row>
    <row r="33" spans="1:24" s="12" customFormat="1" ht="18" customHeight="1" x14ac:dyDescent="0.15">
      <c r="B33" s="8"/>
      <c r="C33" s="26" t="s">
        <v>42</v>
      </c>
      <c r="D33" s="26" t="s">
        <v>42</v>
      </c>
      <c r="E33" s="98" t="s">
        <v>92</v>
      </c>
      <c r="F33" s="99">
        <v>2</v>
      </c>
      <c r="G33" s="116">
        <v>80</v>
      </c>
      <c r="H33" s="28">
        <f t="shared" si="0"/>
        <v>160</v>
      </c>
      <c r="I33" s="78"/>
      <c r="J33" s="98" t="s">
        <v>93</v>
      </c>
      <c r="K33" s="24"/>
      <c r="L33" s="13"/>
      <c r="M33" s="42"/>
      <c r="N33" s="42"/>
      <c r="O33" s="14"/>
      <c r="P33" s="70"/>
      <c r="Q33" s="21"/>
      <c r="V33" s="89"/>
      <c r="W33" s="85"/>
      <c r="X33" s="86"/>
    </row>
    <row r="34" spans="1:24" s="12" customFormat="1" ht="18" customHeight="1" x14ac:dyDescent="0.15">
      <c r="B34" s="8"/>
      <c r="C34" s="26" t="s">
        <v>42</v>
      </c>
      <c r="D34" s="26" t="s">
        <v>42</v>
      </c>
      <c r="E34" s="98" t="s">
        <v>95</v>
      </c>
      <c r="F34" s="99">
        <v>21</v>
      </c>
      <c r="G34" s="116">
        <v>80</v>
      </c>
      <c r="H34" s="28">
        <f t="shared" si="0"/>
        <v>1680</v>
      </c>
      <c r="I34" s="78"/>
      <c r="J34" s="98" t="s">
        <v>96</v>
      </c>
      <c r="K34" s="24"/>
      <c r="L34" s="13"/>
      <c r="M34" s="42"/>
      <c r="N34" s="42"/>
      <c r="O34" s="14"/>
      <c r="P34" s="70"/>
      <c r="Q34" s="21"/>
      <c r="V34" s="89"/>
      <c r="W34" s="85"/>
      <c r="X34" s="86"/>
    </row>
    <row r="35" spans="1:24" s="12" customFormat="1" ht="18" customHeight="1" x14ac:dyDescent="0.15">
      <c r="B35" s="8"/>
      <c r="C35" s="26" t="s">
        <v>42</v>
      </c>
      <c r="D35" s="26" t="s">
        <v>42</v>
      </c>
      <c r="E35" s="98" t="s">
        <v>90</v>
      </c>
      <c r="F35" s="99">
        <v>3</v>
      </c>
      <c r="G35" s="116">
        <v>80</v>
      </c>
      <c r="H35" s="28">
        <f>F35*G35</f>
        <v>240</v>
      </c>
      <c r="I35" s="78"/>
      <c r="J35" s="98" t="s">
        <v>91</v>
      </c>
      <c r="K35" s="24"/>
      <c r="L35" s="13"/>
      <c r="M35" s="42"/>
      <c r="N35" s="42"/>
      <c r="O35" s="14"/>
      <c r="P35" s="70"/>
      <c r="Q35" s="21"/>
      <c r="V35" s="89"/>
      <c r="W35" s="85"/>
      <c r="X35" s="86"/>
    </row>
    <row r="36" spans="1:24" s="12" customFormat="1" ht="18" customHeight="1" x14ac:dyDescent="0.15">
      <c r="B36" s="8"/>
      <c r="C36" s="26" t="s">
        <v>42</v>
      </c>
      <c r="D36" s="26" t="s">
        <v>42</v>
      </c>
      <c r="E36" s="98" t="s">
        <v>50</v>
      </c>
      <c r="F36" s="99">
        <v>4</v>
      </c>
      <c r="G36" s="116">
        <v>80</v>
      </c>
      <c r="H36" s="28">
        <f t="shared" si="0"/>
        <v>320</v>
      </c>
      <c r="I36" s="78"/>
      <c r="J36" s="98" t="s">
        <v>51</v>
      </c>
      <c r="K36" s="24"/>
      <c r="L36" s="13"/>
      <c r="M36" s="42"/>
      <c r="N36" s="42"/>
      <c r="O36" s="14"/>
      <c r="P36" s="70"/>
      <c r="Q36" s="21"/>
      <c r="V36" s="89"/>
      <c r="W36" s="83" t="s">
        <v>33</v>
      </c>
      <c r="X36" s="84" t="s">
        <v>34</v>
      </c>
    </row>
    <row r="37" spans="1:24" s="12" customFormat="1" ht="18" customHeight="1" x14ac:dyDescent="0.15">
      <c r="B37" s="8"/>
      <c r="C37" s="26" t="s">
        <v>42</v>
      </c>
      <c r="D37" s="26" t="s">
        <v>42</v>
      </c>
      <c r="E37" s="98" t="s">
        <v>52</v>
      </c>
      <c r="F37" s="99">
        <v>2</v>
      </c>
      <c r="G37" s="116">
        <v>80</v>
      </c>
      <c r="H37" s="28">
        <f t="shared" si="0"/>
        <v>160</v>
      </c>
      <c r="I37" s="78"/>
      <c r="J37" s="98" t="s">
        <v>53</v>
      </c>
      <c r="K37" s="13"/>
      <c r="L37" s="13"/>
      <c r="M37" s="42"/>
      <c r="N37" s="42"/>
      <c r="O37" s="14"/>
      <c r="P37" s="70"/>
      <c r="Q37" s="21"/>
      <c r="V37" s="89"/>
      <c r="W37" s="83" t="s">
        <v>35</v>
      </c>
      <c r="X37" s="84" t="s">
        <v>36</v>
      </c>
    </row>
    <row r="38" spans="1:24" s="12" customFormat="1" ht="18" customHeight="1" x14ac:dyDescent="0.15">
      <c r="B38" s="8"/>
      <c r="C38" s="26" t="s">
        <v>42</v>
      </c>
      <c r="D38" s="26" t="s">
        <v>42</v>
      </c>
      <c r="E38" s="104" t="s">
        <v>111</v>
      </c>
      <c r="F38" s="105">
        <v>2</v>
      </c>
      <c r="G38" s="117">
        <v>609</v>
      </c>
      <c r="H38" s="28">
        <f t="shared" si="0"/>
        <v>1218</v>
      </c>
      <c r="I38" s="106"/>
      <c r="J38" s="104" t="s">
        <v>112</v>
      </c>
      <c r="K38" s="101"/>
      <c r="L38" s="13"/>
      <c r="M38" s="42"/>
      <c r="N38" s="42"/>
      <c r="O38" s="14"/>
      <c r="P38" s="70"/>
      <c r="Q38" s="21"/>
      <c r="V38" s="89"/>
      <c r="W38" s="83"/>
      <c r="X38" s="84"/>
    </row>
    <row r="39" spans="1:24" s="12" customFormat="1" ht="18" customHeight="1" x14ac:dyDescent="0.15">
      <c r="B39" s="8"/>
      <c r="C39" s="26" t="s">
        <v>42</v>
      </c>
      <c r="D39" s="26" t="s">
        <v>42</v>
      </c>
      <c r="E39" s="98" t="s">
        <v>148</v>
      </c>
      <c r="F39" s="99">
        <v>2</v>
      </c>
      <c r="G39" s="174">
        <v>210</v>
      </c>
      <c r="H39" s="171">
        <f t="shared" si="0"/>
        <v>420</v>
      </c>
      <c r="I39" s="78"/>
      <c r="J39" s="98" t="s">
        <v>87</v>
      </c>
      <c r="K39" s="101"/>
      <c r="L39" s="13"/>
      <c r="M39" s="42"/>
      <c r="N39" s="42"/>
      <c r="O39" s="14"/>
      <c r="P39" s="70"/>
      <c r="Q39" s="21"/>
      <c r="V39" s="89"/>
      <c r="W39" s="83"/>
      <c r="X39" s="84"/>
    </row>
    <row r="40" spans="1:24" s="12" customFormat="1" ht="18" customHeight="1" x14ac:dyDescent="0.15">
      <c r="B40" s="8"/>
      <c r="C40" s="26" t="s">
        <v>42</v>
      </c>
      <c r="D40" s="26" t="s">
        <v>42</v>
      </c>
      <c r="E40" s="98" t="s">
        <v>147</v>
      </c>
      <c r="F40" s="99">
        <v>1</v>
      </c>
      <c r="G40" s="174">
        <v>6830</v>
      </c>
      <c r="H40" s="171">
        <f t="shared" si="0"/>
        <v>6830</v>
      </c>
      <c r="I40" s="78"/>
      <c r="J40" s="98" t="s">
        <v>88</v>
      </c>
      <c r="K40" s="101"/>
      <c r="L40" s="13"/>
      <c r="M40" s="42"/>
      <c r="N40" s="42"/>
      <c r="O40" s="14"/>
      <c r="P40" s="70"/>
      <c r="Q40" s="21"/>
      <c r="V40" s="89"/>
      <c r="W40" s="83"/>
      <c r="X40" s="84"/>
    </row>
    <row r="41" spans="1:24" s="12" customFormat="1" ht="18" customHeight="1" x14ac:dyDescent="0.15">
      <c r="B41" s="8"/>
      <c r="C41" s="26" t="s">
        <v>42</v>
      </c>
      <c r="D41" s="26" t="s">
        <v>42</v>
      </c>
      <c r="E41" s="98" t="s">
        <v>146</v>
      </c>
      <c r="F41" s="99">
        <v>4</v>
      </c>
      <c r="G41" s="116">
        <v>300</v>
      </c>
      <c r="H41" s="28">
        <f t="shared" si="0"/>
        <v>1200</v>
      </c>
      <c r="I41" s="78"/>
      <c r="J41" s="98" t="s">
        <v>89</v>
      </c>
      <c r="K41" s="101"/>
      <c r="L41" s="13"/>
      <c r="M41" s="42"/>
      <c r="N41" s="42"/>
      <c r="O41" s="14"/>
      <c r="P41" s="70"/>
      <c r="Q41" s="21"/>
      <c r="V41" s="89"/>
      <c r="W41" s="83"/>
      <c r="X41" s="84"/>
    </row>
    <row r="42" spans="1:24" s="12" customFormat="1" ht="18" customHeight="1" x14ac:dyDescent="0.15">
      <c r="B42" s="8"/>
      <c r="C42" s="26" t="s">
        <v>42</v>
      </c>
      <c r="D42" s="26" t="s">
        <v>42</v>
      </c>
      <c r="E42" s="104" t="s">
        <v>160</v>
      </c>
      <c r="F42" s="105">
        <v>1</v>
      </c>
      <c r="G42" s="117">
        <v>330</v>
      </c>
      <c r="H42" s="28">
        <f t="shared" si="0"/>
        <v>330</v>
      </c>
      <c r="I42" s="106"/>
      <c r="J42" s="104" t="s">
        <v>161</v>
      </c>
      <c r="K42" s="101"/>
      <c r="L42" s="13"/>
      <c r="M42" s="42"/>
      <c r="N42" s="42"/>
      <c r="O42" s="14"/>
      <c r="P42" s="70"/>
      <c r="Q42" s="21"/>
      <c r="V42" s="89"/>
      <c r="W42" s="83"/>
      <c r="X42" s="84"/>
    </row>
    <row r="43" spans="1:24" s="12" customFormat="1" ht="18" customHeight="1" x14ac:dyDescent="0.15">
      <c r="B43" s="8"/>
      <c r="C43" s="26" t="s">
        <v>70</v>
      </c>
      <c r="D43" s="26" t="s">
        <v>26</v>
      </c>
      <c r="E43" s="124" t="s">
        <v>123</v>
      </c>
      <c r="F43" s="105">
        <v>1</v>
      </c>
      <c r="G43" s="122">
        <v>9500</v>
      </c>
      <c r="H43" s="28">
        <f t="shared" si="0"/>
        <v>9500</v>
      </c>
      <c r="I43" s="123"/>
      <c r="J43" s="124" t="s">
        <v>113</v>
      </c>
      <c r="K43" s="101"/>
      <c r="L43" s="13"/>
      <c r="M43" s="42"/>
      <c r="N43" s="42"/>
      <c r="O43" s="14"/>
      <c r="P43" s="70"/>
      <c r="Q43" s="21"/>
      <c r="W43" s="24"/>
      <c r="X43" s="125"/>
    </row>
    <row r="44" spans="1:24" s="12" customFormat="1" ht="18" customHeight="1" x14ac:dyDescent="0.15">
      <c r="B44" s="8"/>
      <c r="C44" s="216" t="s">
        <v>65</v>
      </c>
      <c r="D44" s="216"/>
      <c r="E44" s="120">
        <f>SUM(H19:H43)</f>
        <v>113028</v>
      </c>
      <c r="F44" s="105"/>
      <c r="G44" s="117"/>
      <c r="H44" s="9"/>
      <c r="I44" s="106"/>
      <c r="J44" s="104"/>
      <c r="K44" s="101"/>
      <c r="L44" s="13"/>
      <c r="M44" s="42"/>
      <c r="N44" s="42"/>
      <c r="O44" s="14"/>
      <c r="P44" s="70"/>
      <c r="Q44" s="21"/>
      <c r="V44" s="89"/>
      <c r="W44" s="83"/>
      <c r="X44" s="84"/>
    </row>
    <row r="45" spans="1:24" s="130" customFormat="1" ht="18" customHeight="1" x14ac:dyDescent="0.15">
      <c r="A45" s="12"/>
      <c r="B45" s="131"/>
      <c r="C45" s="132"/>
      <c r="D45" s="133"/>
      <c r="E45" s="134"/>
      <c r="F45" s="135"/>
      <c r="G45" s="136"/>
      <c r="I45" s="137"/>
      <c r="J45" s="138"/>
      <c r="K45" s="139"/>
      <c r="L45" s="140"/>
      <c r="M45" s="141"/>
      <c r="N45" s="141"/>
      <c r="O45" s="142"/>
      <c r="P45" s="143"/>
      <c r="Q45" s="144"/>
      <c r="W45" s="145"/>
      <c r="X45" s="146"/>
    </row>
    <row r="46" spans="1:24" s="12" customFormat="1" ht="18" customHeight="1" x14ac:dyDescent="0.15">
      <c r="B46" s="8"/>
      <c r="C46" s="92" t="s">
        <v>159</v>
      </c>
      <c r="D46" s="92" t="s">
        <v>159</v>
      </c>
      <c r="E46" s="124" t="s">
        <v>151</v>
      </c>
      <c r="F46" s="105">
        <v>1</v>
      </c>
      <c r="G46" s="190">
        <v>12460</v>
      </c>
      <c r="H46" s="191">
        <f t="shared" ref="H46:H53" si="1">F46*G46</f>
        <v>12460</v>
      </c>
      <c r="I46" s="123"/>
      <c r="J46" s="124" t="s">
        <v>152</v>
      </c>
      <c r="K46" s="101"/>
      <c r="L46" s="13"/>
      <c r="M46" s="42"/>
      <c r="N46" s="42"/>
      <c r="O46" s="14"/>
      <c r="P46" s="70"/>
      <c r="Q46" s="21"/>
      <c r="W46" s="126"/>
      <c r="X46" s="127"/>
    </row>
    <row r="47" spans="1:24" s="12" customFormat="1" ht="18" customHeight="1" x14ac:dyDescent="0.15">
      <c r="B47" s="8"/>
      <c r="C47" s="92" t="s">
        <v>159</v>
      </c>
      <c r="D47" s="92" t="s">
        <v>159</v>
      </c>
      <c r="E47" s="124" t="s">
        <v>153</v>
      </c>
      <c r="F47" s="105">
        <v>1</v>
      </c>
      <c r="G47" s="190">
        <v>8120</v>
      </c>
      <c r="H47" s="191">
        <f t="shared" si="1"/>
        <v>8120</v>
      </c>
      <c r="I47" s="123"/>
      <c r="J47" s="124" t="s">
        <v>100</v>
      </c>
      <c r="K47" s="101"/>
      <c r="L47" s="13"/>
      <c r="M47" s="42"/>
      <c r="N47" s="42"/>
      <c r="O47" s="14"/>
      <c r="P47" s="70"/>
      <c r="Q47" s="21"/>
      <c r="W47" s="126"/>
      <c r="X47" s="127"/>
    </row>
    <row r="48" spans="1:24" s="12" customFormat="1" ht="18" customHeight="1" x14ac:dyDescent="0.15">
      <c r="B48" s="8"/>
      <c r="C48" s="92" t="s">
        <v>159</v>
      </c>
      <c r="D48" s="92" t="s">
        <v>159</v>
      </c>
      <c r="E48" s="124" t="s">
        <v>154</v>
      </c>
      <c r="F48" s="105">
        <v>1</v>
      </c>
      <c r="G48" s="190">
        <v>2730</v>
      </c>
      <c r="H48" s="191">
        <f t="shared" si="1"/>
        <v>2730</v>
      </c>
      <c r="I48" s="123"/>
      <c r="J48" s="124" t="s">
        <v>101</v>
      </c>
      <c r="K48" s="101"/>
      <c r="L48" s="13"/>
      <c r="M48" s="42"/>
      <c r="N48" s="42"/>
      <c r="O48" s="14"/>
      <c r="P48" s="70"/>
      <c r="Q48" s="21"/>
      <c r="W48" s="126"/>
      <c r="X48" s="127"/>
    </row>
    <row r="49" spans="1:24" s="12" customFormat="1" ht="18" customHeight="1" x14ac:dyDescent="0.15">
      <c r="B49" s="8"/>
      <c r="C49" s="92" t="s">
        <v>159</v>
      </c>
      <c r="D49" s="92" t="s">
        <v>159</v>
      </c>
      <c r="E49" s="124" t="s">
        <v>155</v>
      </c>
      <c r="F49" s="105">
        <v>1</v>
      </c>
      <c r="G49" s="190">
        <v>2900</v>
      </c>
      <c r="H49" s="191">
        <f t="shared" si="1"/>
        <v>2900</v>
      </c>
      <c r="I49" s="123"/>
      <c r="J49" s="124" t="s">
        <v>102</v>
      </c>
      <c r="K49" s="101"/>
      <c r="L49" s="13"/>
      <c r="M49" s="42"/>
      <c r="N49" s="42"/>
      <c r="O49" s="14"/>
      <c r="P49" s="70"/>
      <c r="Q49" s="21"/>
      <c r="W49" s="126"/>
      <c r="X49" s="127"/>
    </row>
    <row r="50" spans="1:24" s="12" customFormat="1" ht="18" customHeight="1" x14ac:dyDescent="0.15">
      <c r="B50" s="8"/>
      <c r="C50" s="92" t="s">
        <v>159</v>
      </c>
      <c r="D50" s="92" t="s">
        <v>159</v>
      </c>
      <c r="E50" s="124" t="s">
        <v>156</v>
      </c>
      <c r="F50" s="105">
        <v>1</v>
      </c>
      <c r="G50" s="190">
        <v>21000</v>
      </c>
      <c r="H50" s="191">
        <f t="shared" si="1"/>
        <v>21000</v>
      </c>
      <c r="I50" s="123"/>
      <c r="J50" s="124" t="s">
        <v>103</v>
      </c>
      <c r="K50" s="101"/>
      <c r="L50" s="13"/>
      <c r="M50" s="42"/>
      <c r="N50" s="42"/>
      <c r="O50" s="14"/>
      <c r="P50" s="70"/>
      <c r="Q50" s="21"/>
      <c r="W50" s="126"/>
      <c r="X50" s="127"/>
    </row>
    <row r="51" spans="1:24" s="12" customFormat="1" ht="18" customHeight="1" x14ac:dyDescent="0.15">
      <c r="B51" s="8"/>
      <c r="C51" s="92" t="s">
        <v>159</v>
      </c>
      <c r="D51" s="92" t="s">
        <v>159</v>
      </c>
      <c r="E51" s="124" t="s">
        <v>157</v>
      </c>
      <c r="F51" s="105">
        <v>1</v>
      </c>
      <c r="G51" s="190">
        <v>7280</v>
      </c>
      <c r="H51" s="191">
        <f t="shared" si="1"/>
        <v>7280</v>
      </c>
      <c r="I51" s="123"/>
      <c r="J51" s="124" t="s">
        <v>104</v>
      </c>
      <c r="K51" s="101"/>
      <c r="L51" s="13"/>
      <c r="M51" s="42"/>
      <c r="N51" s="42"/>
      <c r="O51" s="14"/>
      <c r="P51" s="70"/>
      <c r="Q51" s="21"/>
      <c r="W51" s="126"/>
      <c r="X51" s="127"/>
    </row>
    <row r="52" spans="1:24" s="12" customFormat="1" ht="18" customHeight="1" x14ac:dyDescent="0.15">
      <c r="B52" s="8"/>
      <c r="C52" s="92" t="s">
        <v>159</v>
      </c>
      <c r="D52" s="92" t="s">
        <v>159</v>
      </c>
      <c r="E52" s="124" t="s">
        <v>158</v>
      </c>
      <c r="F52" s="105">
        <v>1</v>
      </c>
      <c r="G52" s="190">
        <v>2660</v>
      </c>
      <c r="H52" s="191">
        <f t="shared" si="1"/>
        <v>2660</v>
      </c>
      <c r="I52" s="123"/>
      <c r="J52" s="124" t="s">
        <v>105</v>
      </c>
      <c r="K52" s="101"/>
      <c r="L52" s="13"/>
      <c r="M52" s="42"/>
      <c r="N52" s="42"/>
      <c r="O52" s="14"/>
      <c r="P52" s="70"/>
      <c r="Q52" s="21"/>
      <c r="W52" s="126"/>
      <c r="X52" s="127"/>
    </row>
    <row r="53" spans="1:24" s="12" customFormat="1" ht="18" customHeight="1" x14ac:dyDescent="0.15">
      <c r="B53" s="8"/>
      <c r="C53" s="26" t="s">
        <v>43</v>
      </c>
      <c r="D53" s="26" t="s">
        <v>43</v>
      </c>
      <c r="E53" s="168" t="s">
        <v>115</v>
      </c>
      <c r="F53" s="105">
        <v>5</v>
      </c>
      <c r="G53" s="173">
        <v>300</v>
      </c>
      <c r="H53" s="172">
        <f t="shared" si="1"/>
        <v>1500</v>
      </c>
      <c r="I53" s="123"/>
      <c r="J53" s="124" t="s">
        <v>106</v>
      </c>
      <c r="K53" s="101"/>
      <c r="L53" s="13"/>
      <c r="M53" s="42"/>
      <c r="N53" s="42"/>
      <c r="O53" s="14"/>
      <c r="P53" s="70"/>
      <c r="Q53" s="21"/>
      <c r="W53" s="126"/>
      <c r="X53" s="127"/>
    </row>
    <row r="54" spans="1:24" s="12" customFormat="1" ht="18" customHeight="1" x14ac:dyDescent="0.15">
      <c r="B54" s="8"/>
      <c r="C54" s="26" t="s">
        <v>43</v>
      </c>
      <c r="D54" s="26" t="s">
        <v>43</v>
      </c>
      <c r="E54" s="24" t="s">
        <v>107</v>
      </c>
      <c r="F54" s="97">
        <v>2</v>
      </c>
      <c r="G54" s="171">
        <v>85</v>
      </c>
      <c r="H54" s="171">
        <f>F54*G54</f>
        <v>170</v>
      </c>
      <c r="I54" s="28"/>
      <c r="J54" s="39" t="s">
        <v>48</v>
      </c>
      <c r="K54" s="101"/>
      <c r="L54" s="13"/>
      <c r="M54" s="42"/>
      <c r="N54" s="42"/>
      <c r="O54" s="14"/>
      <c r="P54" s="70"/>
      <c r="Q54" s="21"/>
      <c r="W54" s="126"/>
      <c r="X54" s="127"/>
    </row>
    <row r="55" spans="1:24" s="12" customFormat="1" ht="18" customHeight="1" x14ac:dyDescent="0.15">
      <c r="B55" s="8"/>
      <c r="C55" s="26" t="s">
        <v>43</v>
      </c>
      <c r="D55" s="26" t="s">
        <v>43</v>
      </c>
      <c r="E55" s="24" t="s">
        <v>47</v>
      </c>
      <c r="F55" s="97">
        <v>10</v>
      </c>
      <c r="G55" s="28">
        <v>75</v>
      </c>
      <c r="H55" s="28">
        <f>F55*G55</f>
        <v>750</v>
      </c>
      <c r="I55" s="28"/>
      <c r="J55" s="39" t="s">
        <v>48</v>
      </c>
      <c r="K55" s="101"/>
      <c r="L55" s="13"/>
      <c r="M55" s="42"/>
      <c r="N55" s="42"/>
      <c r="O55" s="14"/>
      <c r="P55" s="70"/>
      <c r="Q55" s="21"/>
      <c r="W55" s="126"/>
      <c r="X55" s="127"/>
    </row>
    <row r="56" spans="1:24" s="12" customFormat="1" ht="18" customHeight="1" x14ac:dyDescent="0.15">
      <c r="B56" s="8"/>
      <c r="C56" s="26" t="s">
        <v>42</v>
      </c>
      <c r="D56" s="26" t="s">
        <v>42</v>
      </c>
      <c r="E56" s="98" t="s">
        <v>95</v>
      </c>
      <c r="F56" s="99">
        <v>21</v>
      </c>
      <c r="G56" s="116">
        <v>80</v>
      </c>
      <c r="H56" s="28">
        <f t="shared" ref="H56:H61" si="2">F56*G56</f>
        <v>1680</v>
      </c>
      <c r="I56" s="78"/>
      <c r="J56" s="98" t="s">
        <v>96</v>
      </c>
      <c r="K56" s="101"/>
      <c r="L56" s="13"/>
      <c r="M56" s="42"/>
      <c r="N56" s="42"/>
      <c r="O56" s="14"/>
      <c r="P56" s="70"/>
      <c r="Q56" s="21"/>
      <c r="W56" s="126"/>
      <c r="X56" s="127"/>
    </row>
    <row r="57" spans="1:24" s="12" customFormat="1" ht="18" customHeight="1" x14ac:dyDescent="0.15">
      <c r="B57" s="8"/>
      <c r="C57" s="26" t="s">
        <v>42</v>
      </c>
      <c r="D57" s="26" t="s">
        <v>42</v>
      </c>
      <c r="E57" s="98" t="s">
        <v>50</v>
      </c>
      <c r="F57" s="99">
        <v>2</v>
      </c>
      <c r="G57" s="116">
        <v>80</v>
      </c>
      <c r="H57" s="28">
        <f t="shared" si="2"/>
        <v>160</v>
      </c>
      <c r="I57" s="78"/>
      <c r="J57" s="98" t="s">
        <v>51</v>
      </c>
      <c r="K57" s="101"/>
      <c r="L57" s="13"/>
      <c r="M57" s="42"/>
      <c r="N57" s="42"/>
      <c r="O57" s="14"/>
      <c r="P57" s="70"/>
      <c r="Q57" s="21"/>
      <c r="W57" s="126"/>
      <c r="X57" s="127"/>
    </row>
    <row r="58" spans="1:24" s="12" customFormat="1" ht="18" customHeight="1" x14ac:dyDescent="0.15">
      <c r="B58" s="8"/>
      <c r="C58" s="26" t="s">
        <v>42</v>
      </c>
      <c r="D58" s="26" t="s">
        <v>42</v>
      </c>
      <c r="E58" s="104" t="s">
        <v>117</v>
      </c>
      <c r="F58" s="105">
        <v>4</v>
      </c>
      <c r="G58" s="117">
        <v>104</v>
      </c>
      <c r="H58" s="28">
        <f t="shared" si="2"/>
        <v>416</v>
      </c>
      <c r="I58" s="106"/>
      <c r="J58" s="104" t="s">
        <v>109</v>
      </c>
      <c r="K58" s="101"/>
      <c r="L58" s="13"/>
      <c r="M58" s="42"/>
      <c r="N58" s="42"/>
      <c r="O58" s="14"/>
      <c r="P58" s="70"/>
      <c r="Q58" s="21"/>
      <c r="W58" s="126"/>
      <c r="X58" s="127"/>
    </row>
    <row r="59" spans="1:24" s="12" customFormat="1" ht="18" customHeight="1" x14ac:dyDescent="0.15">
      <c r="B59" s="8"/>
      <c r="C59" s="26" t="s">
        <v>42</v>
      </c>
      <c r="D59" s="26" t="s">
        <v>42</v>
      </c>
      <c r="E59" s="104" t="s">
        <v>118</v>
      </c>
      <c r="F59" s="105">
        <v>8</v>
      </c>
      <c r="G59" s="117">
        <v>104</v>
      </c>
      <c r="H59" s="28">
        <f t="shared" si="2"/>
        <v>832</v>
      </c>
      <c r="I59" s="106"/>
      <c r="J59" s="104" t="s">
        <v>108</v>
      </c>
      <c r="K59" s="101"/>
      <c r="L59" s="13"/>
      <c r="M59" s="42"/>
      <c r="N59" s="42"/>
      <c r="O59" s="14"/>
      <c r="P59" s="70"/>
      <c r="Q59" s="21"/>
      <c r="W59" s="126"/>
      <c r="X59" s="127"/>
    </row>
    <row r="60" spans="1:24" s="12" customFormat="1" ht="18" customHeight="1" x14ac:dyDescent="0.15">
      <c r="B60" s="8"/>
      <c r="C60" s="26" t="s">
        <v>42</v>
      </c>
      <c r="D60" s="26" t="s">
        <v>42</v>
      </c>
      <c r="E60" s="104" t="s">
        <v>116</v>
      </c>
      <c r="F60" s="105">
        <v>6</v>
      </c>
      <c r="G60" s="117">
        <v>29</v>
      </c>
      <c r="H60" s="28">
        <f t="shared" si="2"/>
        <v>174</v>
      </c>
      <c r="I60" s="106"/>
      <c r="J60" s="104" t="s">
        <v>110</v>
      </c>
      <c r="K60" s="101"/>
      <c r="L60" s="13"/>
      <c r="M60" s="42"/>
      <c r="N60" s="42"/>
      <c r="O60" s="14"/>
      <c r="P60" s="70"/>
      <c r="Q60" s="21"/>
      <c r="W60" s="126"/>
      <c r="X60" s="127"/>
    </row>
    <row r="61" spans="1:24" s="12" customFormat="1" ht="18" customHeight="1" x14ac:dyDescent="0.15">
      <c r="B61" s="8"/>
      <c r="C61" s="26" t="s">
        <v>42</v>
      </c>
      <c r="D61" s="26" t="s">
        <v>42</v>
      </c>
      <c r="E61" s="104" t="s">
        <v>120</v>
      </c>
      <c r="F61" s="105">
        <v>5</v>
      </c>
      <c r="G61" s="117">
        <v>109</v>
      </c>
      <c r="H61" s="28">
        <f t="shared" si="2"/>
        <v>545</v>
      </c>
      <c r="I61" s="106"/>
      <c r="J61" s="104" t="s">
        <v>119</v>
      </c>
      <c r="K61" s="101"/>
      <c r="L61" s="13"/>
      <c r="M61" s="42"/>
      <c r="N61" s="42"/>
      <c r="O61" s="14"/>
      <c r="P61" s="70"/>
      <c r="Q61" s="21"/>
      <c r="W61" s="126"/>
      <c r="X61" s="127"/>
    </row>
    <row r="62" spans="1:24" s="12" customFormat="1" ht="18" customHeight="1" x14ac:dyDescent="0.15">
      <c r="B62" s="8"/>
      <c r="C62" s="212" t="s">
        <v>99</v>
      </c>
      <c r="D62" s="213"/>
      <c r="E62" s="120">
        <f>SUM(H46:H61)</f>
        <v>63377</v>
      </c>
      <c r="F62" s="105"/>
      <c r="G62" s="117"/>
      <c r="H62" s="9"/>
      <c r="I62" s="106"/>
      <c r="J62" s="104"/>
      <c r="K62" s="101"/>
      <c r="L62" s="13"/>
      <c r="M62" s="42"/>
      <c r="N62" s="42"/>
      <c r="O62" s="14"/>
      <c r="P62" s="70"/>
      <c r="Q62" s="21"/>
      <c r="W62" s="126"/>
      <c r="X62" s="127"/>
    </row>
    <row r="63" spans="1:24" s="130" customFormat="1" ht="18" customHeight="1" x14ac:dyDescent="0.15">
      <c r="A63" s="12"/>
      <c r="B63" s="131"/>
      <c r="C63" s="132"/>
      <c r="D63" s="133"/>
      <c r="E63" s="134"/>
      <c r="F63" s="135"/>
      <c r="G63" s="136"/>
      <c r="I63" s="137"/>
      <c r="J63" s="138"/>
      <c r="K63" s="139"/>
      <c r="L63" s="140"/>
      <c r="M63" s="141"/>
      <c r="N63" s="141"/>
      <c r="O63" s="142"/>
      <c r="P63" s="143"/>
      <c r="Q63" s="144"/>
      <c r="W63" s="145"/>
      <c r="X63" s="146"/>
    </row>
    <row r="64" spans="1:24" s="12" customFormat="1" ht="18" customHeight="1" x14ac:dyDescent="0.15">
      <c r="B64" s="8"/>
      <c r="C64" s="92" t="s">
        <v>159</v>
      </c>
      <c r="D64" s="92" t="s">
        <v>159</v>
      </c>
      <c r="E64" s="107" t="s">
        <v>162</v>
      </c>
      <c r="F64" s="108">
        <v>1</v>
      </c>
      <c r="G64" s="171">
        <v>14500</v>
      </c>
      <c r="H64" s="171">
        <f>F64*G64</f>
        <v>14500</v>
      </c>
      <c r="I64" s="108"/>
      <c r="J64" s="109" t="s">
        <v>54</v>
      </c>
      <c r="K64" s="101"/>
      <c r="L64" s="13"/>
      <c r="M64" s="42"/>
      <c r="N64" s="42"/>
      <c r="O64" s="14"/>
      <c r="P64" s="70"/>
      <c r="Q64" s="21"/>
      <c r="V64" s="89"/>
      <c r="W64" s="87"/>
      <c r="X64" s="88"/>
    </row>
    <row r="65" spans="2:24" s="12" customFormat="1" ht="18" customHeight="1" x14ac:dyDescent="0.15">
      <c r="B65" s="8"/>
      <c r="C65" s="26" t="s">
        <v>42</v>
      </c>
      <c r="D65" s="26" t="s">
        <v>42</v>
      </c>
      <c r="E65" s="107" t="s">
        <v>55</v>
      </c>
      <c r="F65" s="96">
        <v>2</v>
      </c>
      <c r="G65" s="28">
        <v>890</v>
      </c>
      <c r="H65" s="28">
        <f>F65*G65</f>
        <v>1780</v>
      </c>
      <c r="I65" s="110"/>
      <c r="J65" s="39" t="s">
        <v>56</v>
      </c>
      <c r="K65" s="101"/>
      <c r="L65" s="13"/>
      <c r="M65" s="42"/>
      <c r="N65" s="42"/>
      <c r="O65" s="14"/>
      <c r="P65" s="70"/>
      <c r="Q65" s="21"/>
      <c r="V65" s="89"/>
      <c r="W65" s="87"/>
      <c r="X65" s="88"/>
    </row>
    <row r="66" spans="2:24" s="12" customFormat="1" ht="18" customHeight="1" x14ac:dyDescent="0.15">
      <c r="B66" s="8"/>
      <c r="C66" s="26" t="s">
        <v>42</v>
      </c>
      <c r="D66" s="26" t="s">
        <v>42</v>
      </c>
      <c r="E66" s="107" t="s">
        <v>82</v>
      </c>
      <c r="F66" s="96">
        <v>1</v>
      </c>
      <c r="G66" s="28">
        <v>3350</v>
      </c>
      <c r="H66" s="28">
        <v>3350</v>
      </c>
      <c r="I66" s="110"/>
      <c r="J66" s="39" t="s">
        <v>83</v>
      </c>
      <c r="K66" s="101"/>
      <c r="L66" s="13"/>
      <c r="M66" s="42"/>
      <c r="N66" s="42"/>
      <c r="O66" s="14"/>
      <c r="P66" s="70"/>
      <c r="Q66" s="21"/>
      <c r="V66" s="89"/>
      <c r="W66" s="87"/>
      <c r="X66" s="88"/>
    </row>
    <row r="67" spans="2:24" s="12" customFormat="1" ht="18" customHeight="1" x14ac:dyDescent="0.15">
      <c r="B67" s="8"/>
      <c r="C67" s="26" t="s">
        <v>42</v>
      </c>
      <c r="D67" s="26" t="s">
        <v>42</v>
      </c>
      <c r="E67" s="107" t="s">
        <v>57</v>
      </c>
      <c r="F67" s="96">
        <v>1</v>
      </c>
      <c r="G67" s="28">
        <v>3360</v>
      </c>
      <c r="H67" s="28">
        <f>F67*G67</f>
        <v>3360</v>
      </c>
      <c r="I67" s="110"/>
      <c r="J67" s="39" t="s">
        <v>58</v>
      </c>
      <c r="K67" s="101"/>
      <c r="L67" s="13"/>
      <c r="M67" s="42"/>
      <c r="N67" s="42"/>
      <c r="O67" s="14"/>
      <c r="P67" s="70"/>
      <c r="Q67" s="21"/>
      <c r="V67" s="89"/>
      <c r="W67" s="87"/>
      <c r="X67" s="88"/>
    </row>
    <row r="68" spans="2:24" s="12" customFormat="1" ht="18" customHeight="1" x14ac:dyDescent="0.15">
      <c r="B68" s="8"/>
      <c r="C68" s="26" t="s">
        <v>42</v>
      </c>
      <c r="D68" s="26" t="s">
        <v>42</v>
      </c>
      <c r="E68" s="107" t="s">
        <v>80</v>
      </c>
      <c r="F68" s="96">
        <v>1</v>
      </c>
      <c r="G68" s="28">
        <v>5719</v>
      </c>
      <c r="H68" s="28">
        <v>5719</v>
      </c>
      <c r="I68" s="110"/>
      <c r="J68" s="39" t="s">
        <v>81</v>
      </c>
      <c r="K68" s="101"/>
      <c r="L68" s="13"/>
      <c r="M68" s="42"/>
      <c r="N68" s="42"/>
      <c r="O68" s="14"/>
      <c r="P68" s="70"/>
      <c r="Q68" s="21"/>
      <c r="V68" s="89"/>
      <c r="W68" s="87"/>
      <c r="X68" s="88"/>
    </row>
    <row r="69" spans="2:24" s="12" customFormat="1" ht="18" customHeight="1" x14ac:dyDescent="0.15">
      <c r="B69" s="8"/>
      <c r="C69" s="26" t="s">
        <v>42</v>
      </c>
      <c r="D69" s="26" t="s">
        <v>42</v>
      </c>
      <c r="E69" s="55" t="s">
        <v>61</v>
      </c>
      <c r="F69" s="58">
        <v>1</v>
      </c>
      <c r="G69" s="53">
        <v>460</v>
      </c>
      <c r="H69" s="54">
        <v>460</v>
      </c>
      <c r="I69" s="59"/>
      <c r="J69" s="31" t="s">
        <v>60</v>
      </c>
      <c r="K69" s="101"/>
      <c r="L69" s="13"/>
      <c r="M69" s="42"/>
      <c r="N69" s="42"/>
      <c r="O69" s="14"/>
      <c r="P69" s="70"/>
      <c r="Q69" s="21"/>
      <c r="V69" s="89"/>
      <c r="W69" s="87"/>
      <c r="X69" s="88"/>
    </row>
    <row r="70" spans="2:24" s="12" customFormat="1" ht="18" customHeight="1" x14ac:dyDescent="0.15">
      <c r="B70" s="8"/>
      <c r="C70" s="26" t="s">
        <v>42</v>
      </c>
      <c r="D70" s="26" t="s">
        <v>42</v>
      </c>
      <c r="E70" s="32" t="s">
        <v>62</v>
      </c>
      <c r="F70" s="58">
        <v>1</v>
      </c>
      <c r="G70" s="53">
        <v>622</v>
      </c>
      <c r="H70" s="54">
        <v>622</v>
      </c>
      <c r="I70" s="59"/>
      <c r="J70" s="31" t="s">
        <v>63</v>
      </c>
      <c r="K70" s="101"/>
      <c r="L70" s="13"/>
      <c r="M70" s="42"/>
      <c r="N70" s="42"/>
      <c r="O70" s="14"/>
      <c r="P70" s="70"/>
      <c r="Q70" s="21"/>
      <c r="V70" s="89"/>
      <c r="W70" s="87"/>
      <c r="X70" s="88"/>
    </row>
    <row r="71" spans="2:24" s="12" customFormat="1" ht="18" customHeight="1" x14ac:dyDescent="0.15">
      <c r="B71" s="8"/>
      <c r="C71" s="26" t="s">
        <v>42</v>
      </c>
      <c r="D71" s="26" t="s">
        <v>42</v>
      </c>
      <c r="E71" s="32" t="s">
        <v>77</v>
      </c>
      <c r="F71" s="58">
        <v>5</v>
      </c>
      <c r="G71" s="53">
        <v>89</v>
      </c>
      <c r="H71" s="54">
        <v>445</v>
      </c>
      <c r="I71" s="59"/>
      <c r="J71" s="31" t="s">
        <v>78</v>
      </c>
      <c r="K71" s="101"/>
      <c r="L71" s="13"/>
      <c r="M71" s="42"/>
      <c r="N71" s="42"/>
      <c r="O71" s="14"/>
      <c r="P71" s="70"/>
      <c r="Q71" s="21"/>
      <c r="V71" s="89"/>
      <c r="W71" s="87"/>
      <c r="X71" s="88"/>
    </row>
    <row r="72" spans="2:24" s="12" customFormat="1" ht="18" customHeight="1" x14ac:dyDescent="0.15">
      <c r="B72" s="8"/>
      <c r="C72" s="74" t="s">
        <v>43</v>
      </c>
      <c r="D72" s="74" t="s">
        <v>43</v>
      </c>
      <c r="E72" s="29" t="s">
        <v>41</v>
      </c>
      <c r="F72" s="58">
        <v>1</v>
      </c>
      <c r="G72" s="53">
        <v>121</v>
      </c>
      <c r="H72" s="54">
        <f>F72*G72</f>
        <v>121</v>
      </c>
      <c r="I72" s="57"/>
      <c r="J72" s="29" t="s">
        <v>40</v>
      </c>
      <c r="K72" s="101"/>
      <c r="L72" s="13"/>
      <c r="M72" s="42"/>
      <c r="N72" s="42"/>
      <c r="O72" s="14"/>
      <c r="P72" s="70"/>
      <c r="Q72" s="21"/>
      <c r="V72" s="89"/>
      <c r="W72" s="87"/>
      <c r="X72" s="88"/>
    </row>
    <row r="73" spans="2:24" s="12" customFormat="1" ht="18" customHeight="1" x14ac:dyDescent="0.15">
      <c r="B73" s="8"/>
      <c r="C73" s="74" t="s">
        <v>43</v>
      </c>
      <c r="D73" s="74" t="s">
        <v>43</v>
      </c>
      <c r="E73" s="30" t="s">
        <v>44</v>
      </c>
      <c r="F73" s="111">
        <v>2</v>
      </c>
      <c r="G73" s="53">
        <v>161</v>
      </c>
      <c r="H73" s="54">
        <f>F73*G73</f>
        <v>322</v>
      </c>
      <c r="I73" s="57"/>
      <c r="J73" s="29" t="s">
        <v>40</v>
      </c>
      <c r="K73" s="101"/>
      <c r="L73" s="13"/>
      <c r="M73" s="42"/>
      <c r="N73" s="42"/>
      <c r="O73" s="14"/>
      <c r="P73" s="70"/>
      <c r="Q73" s="21"/>
      <c r="V73" s="89"/>
      <c r="W73" s="87"/>
      <c r="X73" s="88"/>
    </row>
    <row r="74" spans="2:24" s="12" customFormat="1" ht="18" customHeight="1" x14ac:dyDescent="0.15">
      <c r="B74" s="8"/>
      <c r="C74" s="74" t="s">
        <v>43</v>
      </c>
      <c r="D74" s="74" t="s">
        <v>43</v>
      </c>
      <c r="E74" s="32" t="s">
        <v>45</v>
      </c>
      <c r="F74" s="111">
        <v>2</v>
      </c>
      <c r="G74" s="53">
        <v>154</v>
      </c>
      <c r="H74" s="54">
        <f>F74*G74</f>
        <v>308</v>
      </c>
      <c r="I74" s="57"/>
      <c r="J74" s="29" t="s">
        <v>34</v>
      </c>
      <c r="K74" s="101"/>
      <c r="L74" s="13"/>
      <c r="M74" s="42"/>
      <c r="N74" s="42"/>
      <c r="O74" s="14"/>
      <c r="P74" s="70"/>
      <c r="Q74" s="21"/>
      <c r="V74" s="89"/>
      <c r="W74" s="87"/>
      <c r="X74" s="88"/>
    </row>
    <row r="75" spans="2:24" s="12" customFormat="1" ht="18" customHeight="1" x14ac:dyDescent="0.15">
      <c r="B75" s="8"/>
      <c r="C75" s="74" t="s">
        <v>43</v>
      </c>
      <c r="D75" s="74" t="s">
        <v>43</v>
      </c>
      <c r="E75" s="32" t="s">
        <v>163</v>
      </c>
      <c r="F75" s="111">
        <v>2</v>
      </c>
      <c r="G75" s="53">
        <v>609</v>
      </c>
      <c r="H75" s="54">
        <f>F75*G75</f>
        <v>1218</v>
      </c>
      <c r="I75" s="194"/>
      <c r="J75" s="29" t="s">
        <v>164</v>
      </c>
      <c r="K75" s="101"/>
      <c r="L75" s="13"/>
      <c r="M75" s="42"/>
      <c r="N75" s="42"/>
      <c r="O75" s="14"/>
      <c r="P75" s="70"/>
      <c r="Q75" s="21"/>
      <c r="V75" s="89"/>
      <c r="W75" s="87"/>
      <c r="X75" s="88"/>
    </row>
    <row r="76" spans="2:24" s="12" customFormat="1" ht="18" customHeight="1" x14ac:dyDescent="0.15">
      <c r="B76" s="8"/>
      <c r="C76" s="26" t="s">
        <v>70</v>
      </c>
      <c r="D76" s="26" t="s">
        <v>26</v>
      </c>
      <c r="E76" s="32" t="s">
        <v>79</v>
      </c>
      <c r="F76" s="58">
        <v>1</v>
      </c>
      <c r="G76" s="53">
        <v>3470</v>
      </c>
      <c r="H76" s="54">
        <v>3470</v>
      </c>
      <c r="I76" s="59"/>
      <c r="J76" s="31" t="s">
        <v>71</v>
      </c>
      <c r="K76" s="101"/>
      <c r="L76" s="13"/>
      <c r="M76" s="42"/>
      <c r="N76" s="42"/>
      <c r="O76" s="14"/>
      <c r="P76" s="70"/>
      <c r="Q76" s="21"/>
      <c r="V76" s="89"/>
      <c r="W76" s="87"/>
      <c r="X76" s="88"/>
    </row>
    <row r="77" spans="2:24" s="12" customFormat="1" ht="18" customHeight="1" x14ac:dyDescent="0.15">
      <c r="B77" s="8"/>
      <c r="C77" s="26" t="s">
        <v>70</v>
      </c>
      <c r="D77" s="26" t="s">
        <v>26</v>
      </c>
      <c r="E77" s="32" t="s">
        <v>114</v>
      </c>
      <c r="F77" s="58">
        <v>1</v>
      </c>
      <c r="G77" s="53">
        <v>5350</v>
      </c>
      <c r="H77" s="54">
        <v>16050</v>
      </c>
      <c r="I77" s="59"/>
      <c r="J77" s="31" t="s">
        <v>72</v>
      </c>
      <c r="K77" s="101"/>
      <c r="L77" s="13"/>
      <c r="M77" s="42"/>
      <c r="N77" s="42"/>
      <c r="O77" s="14"/>
      <c r="P77" s="70"/>
      <c r="Q77" s="21"/>
      <c r="V77" s="89"/>
      <c r="W77" s="87"/>
      <c r="X77" s="88"/>
    </row>
    <row r="78" spans="2:24" s="12" customFormat="1" ht="18" customHeight="1" x14ac:dyDescent="0.15">
      <c r="B78" s="8"/>
      <c r="C78" s="26" t="s">
        <v>70</v>
      </c>
      <c r="D78" s="26" t="s">
        <v>26</v>
      </c>
      <c r="E78" s="32" t="s">
        <v>73</v>
      </c>
      <c r="F78" s="58">
        <v>2</v>
      </c>
      <c r="G78" s="53">
        <v>235</v>
      </c>
      <c r="H78" s="54">
        <v>470</v>
      </c>
      <c r="I78" s="59"/>
      <c r="J78" s="31" t="s">
        <v>74</v>
      </c>
      <c r="K78" s="101"/>
      <c r="L78" s="13"/>
      <c r="M78" s="42"/>
      <c r="N78" s="42"/>
      <c r="O78" s="14"/>
      <c r="P78" s="70"/>
      <c r="Q78" s="21"/>
      <c r="V78" s="89"/>
      <c r="W78" s="87"/>
      <c r="X78" s="88"/>
    </row>
    <row r="79" spans="2:24" s="12" customFormat="1" ht="18" customHeight="1" x14ac:dyDescent="0.15">
      <c r="B79" s="8"/>
      <c r="C79" s="26" t="s">
        <v>70</v>
      </c>
      <c r="D79" s="26" t="s">
        <v>26</v>
      </c>
      <c r="E79" s="32" t="s">
        <v>75</v>
      </c>
      <c r="F79" s="58">
        <v>2</v>
      </c>
      <c r="G79" s="53">
        <v>295</v>
      </c>
      <c r="H79" s="54">
        <v>590</v>
      </c>
      <c r="I79" s="59"/>
      <c r="J79" s="31" t="s">
        <v>76</v>
      </c>
      <c r="K79" s="24"/>
      <c r="L79" s="13"/>
      <c r="M79" s="42"/>
      <c r="N79" s="42"/>
      <c r="O79" s="14"/>
      <c r="P79" s="70"/>
      <c r="Q79" s="21"/>
      <c r="W79" s="87" t="s">
        <v>37</v>
      </c>
      <c r="X79" s="88" t="s">
        <v>38</v>
      </c>
    </row>
    <row r="80" spans="2:24" s="12" customFormat="1" ht="18" customHeight="1" x14ac:dyDescent="0.15">
      <c r="B80" s="8"/>
      <c r="C80" s="75" t="s">
        <v>25</v>
      </c>
      <c r="D80" s="75" t="s">
        <v>26</v>
      </c>
      <c r="E80" s="90" t="s">
        <v>39</v>
      </c>
      <c r="F80" s="79">
        <v>1</v>
      </c>
      <c r="G80" s="52">
        <v>3827</v>
      </c>
      <c r="H80" s="54">
        <f>F80*G80</f>
        <v>3827</v>
      </c>
      <c r="I80" s="27"/>
      <c r="J80" s="39" t="s">
        <v>28</v>
      </c>
      <c r="K80" s="56"/>
      <c r="L80" s="56"/>
      <c r="M80" s="46"/>
      <c r="N80" s="42"/>
      <c r="O80" s="14"/>
      <c r="P80" s="70"/>
      <c r="Q80" s="21"/>
      <c r="W80" s="87"/>
      <c r="X80" s="88"/>
    </row>
    <row r="81" spans="1:18" s="12" customFormat="1" ht="18" customHeight="1" x14ac:dyDescent="0.15">
      <c r="B81" s="8"/>
      <c r="C81" s="201" t="s">
        <v>66</v>
      </c>
      <c r="D81" s="202"/>
      <c r="E81" s="121">
        <f>SUM(H64:H80)</f>
        <v>56612</v>
      </c>
      <c r="F81" s="113"/>
      <c r="G81" s="116"/>
      <c r="I81" s="79"/>
      <c r="J81" s="31"/>
      <c r="K81" s="78"/>
      <c r="L81" s="56"/>
      <c r="M81" s="46"/>
      <c r="N81" s="42"/>
      <c r="O81" s="14"/>
      <c r="P81" s="46"/>
      <c r="Q81" s="21"/>
      <c r="R81" s="80"/>
    </row>
    <row r="82" spans="1:18" s="130" customFormat="1" ht="18" customHeight="1" x14ac:dyDescent="0.15">
      <c r="A82" s="12"/>
      <c r="B82" s="131"/>
      <c r="C82" s="155"/>
      <c r="D82" s="155"/>
      <c r="E82" s="156"/>
      <c r="F82" s="157"/>
      <c r="G82" s="158"/>
      <c r="H82" s="159"/>
      <c r="I82" s="160"/>
      <c r="J82" s="161"/>
      <c r="K82" s="156"/>
      <c r="L82" s="162"/>
      <c r="M82" s="154"/>
      <c r="N82" s="141"/>
      <c r="O82" s="142"/>
      <c r="P82" s="154"/>
      <c r="Q82" s="144"/>
      <c r="R82" s="163"/>
    </row>
    <row r="83" spans="1:18" s="164" customFormat="1" ht="18" customHeight="1" x14ac:dyDescent="0.15">
      <c r="A83" s="192"/>
      <c r="B83" s="131"/>
      <c r="C83" s="155"/>
      <c r="D83" s="155"/>
      <c r="E83" s="156"/>
      <c r="F83" s="157"/>
      <c r="G83" s="158"/>
      <c r="H83" s="158"/>
      <c r="I83" s="160"/>
      <c r="J83" s="162"/>
      <c r="K83" s="156"/>
      <c r="L83" s="165"/>
      <c r="M83" s="154"/>
      <c r="N83" s="166"/>
      <c r="O83" s="142"/>
      <c r="P83" s="167"/>
      <c r="Q83" s="144"/>
      <c r="R83" s="163"/>
    </row>
    <row r="84" spans="1:18" ht="18" customHeight="1" x14ac:dyDescent="0.15">
      <c r="B84" s="8"/>
      <c r="C84" s="26"/>
      <c r="D84" s="26"/>
      <c r="E84" s="78"/>
      <c r="F84" s="113"/>
      <c r="G84" s="116"/>
      <c r="H84" s="116"/>
      <c r="I84" s="61"/>
      <c r="J84" s="62"/>
      <c r="K84" s="78"/>
      <c r="L84" s="62"/>
      <c r="M84" s="47"/>
      <c r="N84" s="17"/>
      <c r="O84" s="14"/>
      <c r="P84" s="50"/>
      <c r="Q84" s="21"/>
      <c r="R84" s="80"/>
    </row>
    <row r="85" spans="1:18" ht="18" customHeight="1" x14ac:dyDescent="0.15">
      <c r="B85" s="8"/>
      <c r="C85" s="26"/>
      <c r="D85" s="26"/>
      <c r="E85" s="78"/>
      <c r="F85" s="113"/>
      <c r="G85" s="116"/>
      <c r="H85" s="116"/>
      <c r="I85" s="61"/>
      <c r="J85" s="62"/>
      <c r="K85" s="78"/>
      <c r="L85" s="62"/>
      <c r="M85" s="47"/>
      <c r="N85" s="16"/>
      <c r="O85" s="19"/>
      <c r="P85" s="47"/>
      <c r="Q85" s="77"/>
      <c r="R85" s="80"/>
    </row>
    <row r="86" spans="1:18" ht="16.5" customHeight="1" x14ac:dyDescent="0.15">
      <c r="B86" s="8"/>
      <c r="C86" s="26"/>
      <c r="D86" s="26"/>
      <c r="E86" s="78"/>
      <c r="F86" s="113"/>
      <c r="G86" s="116"/>
      <c r="H86" s="116"/>
      <c r="I86" s="61"/>
      <c r="J86" s="62"/>
      <c r="K86" s="78"/>
      <c r="L86" s="62"/>
      <c r="M86" s="47"/>
      <c r="N86" s="16"/>
      <c r="O86" s="19"/>
      <c r="P86" s="47"/>
      <c r="Q86" s="77"/>
      <c r="R86" s="80"/>
    </row>
    <row r="87" spans="1:18" ht="18" customHeight="1" x14ac:dyDescent="0.15">
      <c r="B87" s="9"/>
      <c r="C87" s="26"/>
      <c r="D87" s="26"/>
      <c r="E87" s="78"/>
      <c r="F87" s="113"/>
      <c r="G87" s="116"/>
      <c r="H87" s="116"/>
      <c r="I87" s="60"/>
      <c r="J87" s="62"/>
      <c r="K87" s="78"/>
      <c r="L87" s="62"/>
      <c r="M87" s="48"/>
      <c r="N87" s="16"/>
      <c r="O87" s="19"/>
      <c r="P87" s="47"/>
      <c r="Q87" s="21"/>
      <c r="R87" s="80"/>
    </row>
    <row r="88" spans="1:18" ht="18" customHeight="1" x14ac:dyDescent="0.15">
      <c r="B88" s="9"/>
      <c r="C88" s="26"/>
      <c r="D88" s="26"/>
      <c r="E88" s="78"/>
      <c r="F88" s="113"/>
      <c r="G88" s="116"/>
      <c r="H88" s="116"/>
      <c r="I88" s="60"/>
      <c r="J88" s="62"/>
      <c r="K88" s="78"/>
      <c r="L88" s="62"/>
      <c r="M88" s="48"/>
      <c r="N88" s="16"/>
      <c r="O88" s="19"/>
      <c r="P88" s="47"/>
      <c r="Q88" s="21"/>
      <c r="R88" s="80"/>
    </row>
    <row r="89" spans="1:18" ht="18" customHeight="1" x14ac:dyDescent="0.15">
      <c r="B89" s="9"/>
      <c r="C89" s="26"/>
      <c r="D89" s="26"/>
      <c r="E89" s="78"/>
      <c r="F89" s="113"/>
      <c r="G89" s="116"/>
      <c r="H89" s="116"/>
      <c r="I89" s="60"/>
      <c r="J89" s="62"/>
      <c r="K89" s="78"/>
      <c r="L89" s="62"/>
      <c r="M89" s="48"/>
      <c r="N89" s="16"/>
      <c r="O89" s="19"/>
      <c r="P89" s="47"/>
      <c r="Q89" s="21"/>
      <c r="R89" s="80"/>
    </row>
    <row r="90" spans="1:18" ht="18" customHeight="1" x14ac:dyDescent="0.15">
      <c r="B90" s="9"/>
      <c r="C90" s="26"/>
      <c r="D90" s="26"/>
      <c r="E90" s="78"/>
      <c r="F90" s="113"/>
      <c r="G90" s="116"/>
      <c r="H90" s="116"/>
      <c r="I90" s="60"/>
      <c r="J90" s="62"/>
      <c r="K90" s="78"/>
      <c r="L90" s="62"/>
      <c r="M90" s="48"/>
      <c r="N90" s="16"/>
      <c r="O90" s="19"/>
      <c r="P90" s="47"/>
      <c r="Q90" s="21"/>
      <c r="R90" s="80"/>
    </row>
    <row r="91" spans="1:18" ht="18" customHeight="1" x14ac:dyDescent="0.15">
      <c r="B91" s="9"/>
      <c r="C91" s="26"/>
      <c r="D91" s="26"/>
      <c r="E91" s="78"/>
      <c r="F91" s="113"/>
      <c r="G91" s="116"/>
      <c r="H91" s="116"/>
      <c r="I91" s="60"/>
      <c r="J91" s="62"/>
      <c r="K91" s="78"/>
      <c r="L91" s="62"/>
      <c r="M91" s="48"/>
      <c r="N91" s="16"/>
      <c r="O91" s="19"/>
      <c r="P91" s="47"/>
      <c r="Q91" s="21"/>
      <c r="R91" s="80"/>
    </row>
    <row r="92" spans="1:18" ht="18" customHeight="1" x14ac:dyDescent="0.15">
      <c r="B92" s="9"/>
      <c r="C92" s="26"/>
      <c r="D92" s="26"/>
      <c r="E92" s="78"/>
      <c r="F92" s="113"/>
      <c r="G92" s="116"/>
      <c r="H92" s="116"/>
      <c r="I92" s="60"/>
      <c r="J92" s="62"/>
      <c r="K92" s="78"/>
      <c r="L92" s="62"/>
      <c r="M92" s="48"/>
      <c r="N92" s="16"/>
      <c r="O92" s="19"/>
      <c r="P92" s="47"/>
      <c r="Q92" s="21"/>
      <c r="R92" s="80"/>
    </row>
    <row r="93" spans="1:18" ht="18" customHeight="1" x14ac:dyDescent="0.15">
      <c r="B93" s="9"/>
      <c r="C93" s="26"/>
      <c r="D93" s="26"/>
      <c r="E93" s="78"/>
      <c r="F93" s="113"/>
      <c r="G93" s="116"/>
      <c r="H93" s="116"/>
      <c r="I93" s="60"/>
      <c r="J93" s="62"/>
      <c r="K93" s="78"/>
      <c r="L93" s="62"/>
      <c r="M93" s="48"/>
      <c r="N93" s="16"/>
      <c r="O93" s="19"/>
      <c r="P93" s="48"/>
      <c r="Q93" s="21"/>
      <c r="R93" s="80"/>
    </row>
    <row r="94" spans="1:18" ht="18" customHeight="1" x14ac:dyDescent="0.15">
      <c r="B94" s="9"/>
      <c r="C94" s="26"/>
      <c r="D94" s="26"/>
      <c r="E94" s="78"/>
      <c r="F94" s="113"/>
      <c r="G94" s="116"/>
      <c r="H94" s="116"/>
      <c r="I94" s="60"/>
      <c r="J94" s="62"/>
      <c r="K94" s="78"/>
      <c r="L94" s="62"/>
      <c r="M94" s="48"/>
      <c r="N94" s="16"/>
      <c r="O94" s="19"/>
      <c r="P94" s="48"/>
      <c r="Q94" s="21"/>
      <c r="R94" s="80"/>
    </row>
    <row r="95" spans="1:18" ht="18" customHeight="1" x14ac:dyDescent="0.15">
      <c r="B95" s="9"/>
      <c r="C95" s="26"/>
      <c r="D95" s="26"/>
      <c r="E95" s="78"/>
      <c r="F95" s="113"/>
      <c r="G95" s="116"/>
      <c r="H95" s="116"/>
      <c r="I95" s="60"/>
      <c r="J95" s="62"/>
      <c r="K95" s="78"/>
      <c r="L95" s="62"/>
      <c r="M95" s="48"/>
      <c r="N95" s="16"/>
      <c r="O95" s="19"/>
      <c r="P95" s="48"/>
      <c r="Q95" s="21"/>
      <c r="R95" s="80"/>
    </row>
    <row r="96" spans="1:18" ht="18" customHeight="1" x14ac:dyDescent="0.15">
      <c r="B96" s="9"/>
      <c r="C96" s="26"/>
      <c r="D96" s="26"/>
      <c r="E96" s="78"/>
      <c r="F96" s="113"/>
      <c r="G96" s="116"/>
      <c r="H96" s="116"/>
      <c r="I96" s="44"/>
      <c r="J96" s="16"/>
      <c r="K96" s="78"/>
      <c r="L96" s="16"/>
      <c r="M96" s="48"/>
      <c r="N96" s="16"/>
      <c r="O96" s="19"/>
      <c r="P96" s="48"/>
      <c r="Q96" s="21"/>
      <c r="R96" s="80"/>
    </row>
    <row r="97" spans="2:18" ht="18" customHeight="1" x14ac:dyDescent="0.15">
      <c r="B97" s="9"/>
      <c r="C97" s="26"/>
      <c r="D97" s="26"/>
      <c r="E97" s="78"/>
      <c r="F97" s="113"/>
      <c r="G97" s="116"/>
      <c r="H97" s="116"/>
      <c r="I97" s="44"/>
      <c r="J97" s="16"/>
      <c r="K97" s="78"/>
      <c r="L97" s="16"/>
      <c r="M97" s="48"/>
      <c r="N97" s="16"/>
      <c r="O97" s="19"/>
      <c r="P97" s="47"/>
      <c r="Q97" s="21"/>
      <c r="R97" s="80"/>
    </row>
    <row r="98" spans="2:18" ht="18" customHeight="1" x14ac:dyDescent="0.15">
      <c r="B98" s="9"/>
      <c r="C98" s="26"/>
      <c r="D98" s="26"/>
      <c r="E98" s="78"/>
      <c r="F98" s="113"/>
      <c r="G98" s="116"/>
      <c r="H98" s="116"/>
      <c r="I98" s="44"/>
      <c r="J98" s="16"/>
      <c r="K98" s="78"/>
      <c r="L98" s="16"/>
      <c r="M98" s="48"/>
      <c r="N98" s="16"/>
      <c r="O98" s="19"/>
      <c r="P98" s="47"/>
      <c r="Q98" s="21"/>
      <c r="R98" s="80"/>
    </row>
    <row r="99" spans="2:18" ht="18" customHeight="1" x14ac:dyDescent="0.15">
      <c r="B99" s="16"/>
      <c r="C99" s="26"/>
      <c r="D99" s="26"/>
      <c r="E99" s="78"/>
      <c r="F99" s="113"/>
      <c r="G99" s="116"/>
      <c r="H99" s="116"/>
      <c r="I99" s="45"/>
      <c r="J99" s="16"/>
      <c r="K99" s="78"/>
      <c r="L99" s="16"/>
      <c r="M99" s="48"/>
      <c r="N99" s="17"/>
      <c r="O99" s="18"/>
      <c r="P99" s="47"/>
      <c r="Q99" s="21"/>
      <c r="R99" s="80"/>
    </row>
    <row r="100" spans="2:18" ht="18" customHeight="1" x14ac:dyDescent="0.15">
      <c r="B100" s="16"/>
      <c r="C100" s="26"/>
      <c r="D100" s="26"/>
      <c r="E100" s="78"/>
      <c r="F100" s="113"/>
      <c r="G100" s="116"/>
      <c r="H100" s="116"/>
      <c r="I100" s="45"/>
      <c r="J100" s="16"/>
      <c r="K100" s="78"/>
      <c r="L100" s="16"/>
      <c r="M100" s="48"/>
      <c r="N100" s="17"/>
      <c r="O100" s="18"/>
      <c r="P100" s="47"/>
      <c r="Q100" s="21"/>
      <c r="R100" s="80"/>
    </row>
    <row r="101" spans="2:18" ht="18" customHeight="1" x14ac:dyDescent="0.15">
      <c r="B101" s="16"/>
      <c r="C101" s="26"/>
      <c r="D101" s="26"/>
      <c r="E101" s="78"/>
      <c r="F101" s="113"/>
      <c r="G101" s="116"/>
      <c r="H101" s="116"/>
      <c r="I101" s="45"/>
      <c r="J101" s="16"/>
      <c r="K101" s="78"/>
      <c r="L101" s="16"/>
      <c r="M101" s="48"/>
      <c r="N101" s="17"/>
      <c r="O101" s="18"/>
      <c r="P101" s="47"/>
      <c r="Q101" s="21"/>
      <c r="R101" s="80"/>
    </row>
    <row r="102" spans="2:18" ht="18" customHeight="1" x14ac:dyDescent="0.15">
      <c r="B102" s="16"/>
      <c r="C102" s="26"/>
      <c r="D102" s="26"/>
      <c r="E102" s="78"/>
      <c r="F102" s="113"/>
      <c r="G102" s="116"/>
      <c r="H102" s="116"/>
      <c r="I102" s="45"/>
      <c r="J102" s="16"/>
      <c r="K102" s="78"/>
      <c r="L102" s="16"/>
      <c r="M102" s="48"/>
      <c r="N102" s="17"/>
      <c r="O102" s="18"/>
      <c r="P102" s="47"/>
      <c r="Q102" s="21"/>
      <c r="R102" s="80"/>
    </row>
    <row r="103" spans="2:18" ht="18" customHeight="1" x14ac:dyDescent="0.15">
      <c r="B103" s="16"/>
      <c r="C103" s="26"/>
      <c r="D103" s="26"/>
      <c r="E103" s="78"/>
      <c r="F103" s="113"/>
      <c r="G103" s="116"/>
      <c r="H103" s="116"/>
      <c r="I103" s="45"/>
      <c r="J103" s="16"/>
      <c r="K103" s="78"/>
      <c r="L103" s="16"/>
      <c r="M103" s="48"/>
      <c r="N103" s="17"/>
      <c r="O103" s="18"/>
      <c r="P103" s="47"/>
      <c r="Q103" s="21"/>
      <c r="R103" s="80"/>
    </row>
    <row r="104" spans="2:18" ht="18" customHeight="1" x14ac:dyDescent="0.15">
      <c r="B104" s="16"/>
      <c r="C104" s="26"/>
      <c r="D104" s="26"/>
      <c r="E104" s="78"/>
      <c r="F104" s="113"/>
      <c r="G104" s="116"/>
      <c r="H104" s="116"/>
      <c r="I104" s="45"/>
      <c r="J104" s="16"/>
      <c r="K104" s="78"/>
      <c r="L104" s="16"/>
      <c r="M104" s="48"/>
      <c r="N104" s="17"/>
      <c r="O104" s="18"/>
      <c r="P104" s="47"/>
      <c r="Q104" s="21"/>
      <c r="R104" s="80"/>
    </row>
    <row r="105" spans="2:18" ht="18" customHeight="1" x14ac:dyDescent="0.15">
      <c r="B105" s="16"/>
      <c r="C105" s="26"/>
      <c r="D105" s="26"/>
      <c r="E105" s="78"/>
      <c r="F105" s="113"/>
      <c r="G105" s="116"/>
      <c r="H105" s="116"/>
      <c r="I105" s="45"/>
      <c r="J105" s="16"/>
      <c r="K105" s="78"/>
      <c r="L105" s="16"/>
      <c r="M105" s="48"/>
      <c r="N105" s="17"/>
      <c r="O105" s="18"/>
      <c r="P105" s="47"/>
      <c r="Q105" s="21"/>
      <c r="R105" s="80"/>
    </row>
    <row r="106" spans="2:18" ht="18" customHeight="1" x14ac:dyDescent="0.15">
      <c r="B106" s="16"/>
      <c r="C106" s="26"/>
      <c r="D106" s="26"/>
      <c r="E106" s="78"/>
      <c r="F106" s="113"/>
      <c r="G106" s="116"/>
      <c r="H106" s="116"/>
      <c r="I106" s="45"/>
      <c r="J106" s="16"/>
      <c r="K106" s="78"/>
      <c r="L106" s="16"/>
      <c r="M106" s="48"/>
      <c r="N106" s="17"/>
      <c r="O106" s="18"/>
      <c r="P106" s="47"/>
      <c r="Q106" s="21"/>
      <c r="R106" s="80"/>
    </row>
    <row r="107" spans="2:18" ht="18" customHeight="1" x14ac:dyDescent="0.15">
      <c r="B107" s="16"/>
      <c r="C107" s="26"/>
      <c r="D107" s="26"/>
      <c r="E107" s="78"/>
      <c r="F107" s="113"/>
      <c r="G107" s="116"/>
      <c r="H107" s="116"/>
      <c r="I107" s="45"/>
      <c r="J107" s="16"/>
      <c r="K107" s="78"/>
      <c r="L107" s="16"/>
      <c r="M107" s="48"/>
      <c r="N107" s="17"/>
      <c r="O107" s="18"/>
      <c r="P107" s="47"/>
      <c r="Q107" s="21"/>
      <c r="R107" s="80"/>
    </row>
    <row r="108" spans="2:18" ht="18" customHeight="1" x14ac:dyDescent="0.15">
      <c r="B108" s="16"/>
      <c r="C108" s="26"/>
      <c r="D108" s="26"/>
      <c r="E108" s="78"/>
      <c r="F108" s="113"/>
      <c r="G108" s="116"/>
      <c r="H108" s="116"/>
      <c r="I108" s="45"/>
      <c r="J108" s="16"/>
      <c r="K108" s="78"/>
      <c r="L108" s="16"/>
      <c r="M108" s="48"/>
      <c r="N108" s="17"/>
      <c r="O108" s="18"/>
      <c r="P108" s="47"/>
      <c r="Q108" s="21"/>
      <c r="R108" s="80"/>
    </row>
    <row r="109" spans="2:18" ht="18" customHeight="1" x14ac:dyDescent="0.15">
      <c r="B109" s="16"/>
      <c r="C109" s="26"/>
      <c r="D109" s="26"/>
      <c r="E109" s="78"/>
      <c r="F109" s="113"/>
      <c r="G109" s="116"/>
      <c r="H109" s="116"/>
      <c r="I109" s="45"/>
      <c r="J109" s="16"/>
      <c r="K109" s="78"/>
      <c r="L109" s="16"/>
      <c r="M109" s="48"/>
      <c r="N109" s="17"/>
      <c r="O109" s="18"/>
      <c r="P109" s="47"/>
      <c r="Q109" s="21"/>
      <c r="R109" s="80"/>
    </row>
    <row r="110" spans="2:18" ht="18" customHeight="1" x14ac:dyDescent="0.15">
      <c r="B110" s="16"/>
      <c r="C110" s="26"/>
      <c r="D110" s="26"/>
      <c r="E110" s="78"/>
      <c r="F110" s="113"/>
      <c r="G110" s="116"/>
      <c r="H110" s="116"/>
      <c r="I110" s="45"/>
      <c r="J110" s="16"/>
      <c r="K110" s="78"/>
      <c r="L110" s="16"/>
      <c r="M110" s="48"/>
      <c r="N110" s="17"/>
      <c r="O110" s="18"/>
      <c r="P110" s="47"/>
      <c r="Q110" s="21"/>
      <c r="R110" s="80"/>
    </row>
    <row r="111" spans="2:18" ht="18" customHeight="1" x14ac:dyDescent="0.15">
      <c r="B111" s="16"/>
      <c r="C111" s="26"/>
      <c r="D111" s="26"/>
      <c r="E111" s="78"/>
      <c r="F111" s="113"/>
      <c r="G111" s="116"/>
      <c r="H111" s="116"/>
      <c r="I111" s="45"/>
      <c r="J111" s="16"/>
      <c r="K111" s="78"/>
      <c r="L111" s="16"/>
      <c r="M111" s="48"/>
      <c r="N111" s="17"/>
      <c r="O111" s="18"/>
      <c r="P111" s="47"/>
      <c r="Q111" s="21"/>
      <c r="R111" s="80"/>
    </row>
    <row r="112" spans="2:18" ht="18" customHeight="1" x14ac:dyDescent="0.15">
      <c r="B112" s="16"/>
      <c r="C112" s="26"/>
      <c r="D112" s="26"/>
      <c r="E112" s="78"/>
      <c r="F112" s="113"/>
      <c r="G112" s="116"/>
      <c r="H112" s="116"/>
      <c r="I112" s="45"/>
      <c r="J112" s="16"/>
      <c r="K112" s="78"/>
      <c r="L112" s="16"/>
      <c r="M112" s="48"/>
      <c r="N112" s="17"/>
      <c r="O112" s="18"/>
      <c r="P112" s="47"/>
      <c r="Q112" s="21"/>
      <c r="R112" s="80"/>
    </row>
    <row r="113" spans="2:18" ht="18" customHeight="1" x14ac:dyDescent="0.15">
      <c r="B113" s="16"/>
      <c r="C113" s="26"/>
      <c r="D113" s="26"/>
      <c r="E113" s="78"/>
      <c r="F113" s="113"/>
      <c r="G113" s="116"/>
      <c r="H113" s="116"/>
      <c r="I113" s="45"/>
      <c r="J113" s="16"/>
      <c r="K113" s="78"/>
      <c r="L113" s="16"/>
      <c r="M113" s="48"/>
      <c r="N113" s="17"/>
      <c r="O113" s="18"/>
      <c r="P113" s="47"/>
      <c r="Q113" s="21"/>
      <c r="R113" s="80"/>
    </row>
    <row r="114" spans="2:18" ht="18" customHeight="1" x14ac:dyDescent="0.15">
      <c r="B114" s="16"/>
      <c r="C114" s="26"/>
      <c r="D114" s="26"/>
      <c r="E114" s="78"/>
      <c r="F114" s="113"/>
      <c r="G114" s="116"/>
      <c r="H114" s="116"/>
      <c r="I114" s="45"/>
      <c r="J114" s="16"/>
      <c r="K114" s="78"/>
      <c r="L114" s="16"/>
      <c r="M114" s="48"/>
      <c r="N114" s="17"/>
      <c r="O114" s="18"/>
      <c r="P114" s="47"/>
      <c r="Q114" s="23"/>
      <c r="R114" s="80"/>
    </row>
    <row r="115" spans="2:18" ht="18" customHeight="1" x14ac:dyDescent="0.15">
      <c r="B115" s="16"/>
      <c r="C115" s="26"/>
      <c r="D115" s="26"/>
      <c r="E115" s="78"/>
      <c r="F115" s="113"/>
      <c r="G115" s="116"/>
      <c r="H115" s="116"/>
      <c r="I115" s="45"/>
      <c r="J115" s="16"/>
      <c r="K115" s="78"/>
      <c r="L115" s="16"/>
      <c r="M115" s="48"/>
      <c r="N115" s="17"/>
      <c r="O115" s="18"/>
      <c r="P115" s="47"/>
      <c r="Q115" s="23"/>
      <c r="R115" s="80"/>
    </row>
    <row r="116" spans="2:18" ht="18" customHeight="1" x14ac:dyDescent="0.15">
      <c r="B116" s="16"/>
      <c r="C116" s="26"/>
      <c r="D116" s="26"/>
      <c r="E116" s="78"/>
      <c r="F116" s="113"/>
      <c r="G116" s="116"/>
      <c r="H116" s="116"/>
      <c r="I116" s="45"/>
      <c r="J116" s="16"/>
      <c r="K116" s="78"/>
      <c r="L116" s="16"/>
      <c r="M116" s="48"/>
      <c r="N116" s="17"/>
      <c r="O116" s="18"/>
      <c r="P116" s="47"/>
      <c r="Q116" s="23"/>
      <c r="R116" s="80"/>
    </row>
    <row r="117" spans="2:18" ht="18" customHeight="1" x14ac:dyDescent="0.15">
      <c r="B117" s="16"/>
      <c r="C117" s="26"/>
      <c r="D117" s="26"/>
      <c r="E117" s="78"/>
      <c r="F117" s="113"/>
      <c r="G117" s="116"/>
      <c r="H117" s="116"/>
      <c r="I117" s="45"/>
      <c r="J117" s="16"/>
      <c r="K117" s="78"/>
      <c r="L117" s="16"/>
      <c r="M117" s="48"/>
      <c r="N117" s="17"/>
      <c r="O117" s="18"/>
      <c r="P117" s="47"/>
      <c r="Q117" s="23"/>
      <c r="R117" s="80"/>
    </row>
    <row r="118" spans="2:18" ht="18" customHeight="1" x14ac:dyDescent="0.15">
      <c r="B118" s="16"/>
      <c r="C118" s="26"/>
      <c r="D118" s="26"/>
      <c r="E118" s="78"/>
      <c r="F118" s="113"/>
      <c r="G118" s="116"/>
      <c r="H118" s="116"/>
      <c r="I118" s="45"/>
      <c r="J118" s="16"/>
      <c r="K118" s="78"/>
      <c r="L118" s="16"/>
      <c r="M118" s="48"/>
      <c r="N118" s="17"/>
      <c r="O118" s="18"/>
      <c r="P118" s="47"/>
      <c r="Q118" s="23"/>
      <c r="R118" s="80"/>
    </row>
    <row r="119" spans="2:18" ht="18" customHeight="1" x14ac:dyDescent="0.15">
      <c r="B119" s="16"/>
      <c r="C119" s="26"/>
      <c r="D119" s="26"/>
      <c r="E119" s="78"/>
      <c r="F119" s="113"/>
      <c r="G119" s="116"/>
      <c r="H119" s="116"/>
      <c r="I119" s="45"/>
      <c r="J119" s="16"/>
      <c r="K119" s="78"/>
      <c r="L119" s="16"/>
      <c r="M119" s="48"/>
      <c r="N119" s="17"/>
      <c r="O119" s="18"/>
      <c r="P119" s="47"/>
      <c r="Q119" s="23"/>
      <c r="R119" s="80"/>
    </row>
    <row r="120" spans="2:18" ht="18" customHeight="1" x14ac:dyDescent="0.15">
      <c r="B120" s="16"/>
      <c r="C120" s="26"/>
      <c r="D120" s="26"/>
      <c r="E120" s="78"/>
      <c r="F120" s="113"/>
      <c r="G120" s="116"/>
      <c r="H120" s="116"/>
      <c r="I120" s="45"/>
      <c r="J120" s="16"/>
      <c r="K120" s="78"/>
      <c r="L120" s="16"/>
      <c r="M120" s="48"/>
      <c r="N120" s="17"/>
      <c r="O120" s="18"/>
      <c r="P120" s="47"/>
      <c r="Q120" s="23"/>
      <c r="R120" s="80"/>
    </row>
    <row r="121" spans="2:18" ht="18" customHeight="1" x14ac:dyDescent="0.15">
      <c r="B121" s="16"/>
      <c r="C121" s="26"/>
      <c r="D121" s="26"/>
      <c r="E121" s="78"/>
      <c r="F121" s="113"/>
      <c r="G121" s="116"/>
      <c r="H121" s="116"/>
      <c r="I121" s="45"/>
      <c r="J121" s="16"/>
      <c r="K121" s="78"/>
      <c r="L121" s="16"/>
      <c r="M121" s="48"/>
      <c r="N121" s="17"/>
      <c r="O121" s="18"/>
      <c r="P121" s="47"/>
      <c r="Q121" s="23"/>
      <c r="R121" s="80"/>
    </row>
    <row r="122" spans="2:18" ht="18" customHeight="1" x14ac:dyDescent="0.15">
      <c r="B122" s="16"/>
      <c r="C122" s="26"/>
      <c r="D122" s="26"/>
      <c r="E122" s="78"/>
      <c r="F122" s="113"/>
      <c r="G122" s="116"/>
      <c r="H122" s="116"/>
      <c r="I122" s="45"/>
      <c r="J122" s="16"/>
      <c r="K122" s="78"/>
      <c r="L122" s="16"/>
      <c r="M122" s="48"/>
      <c r="N122" s="17"/>
      <c r="O122" s="18"/>
      <c r="P122" s="47"/>
      <c r="Q122" s="23"/>
      <c r="R122" s="80"/>
    </row>
    <row r="123" spans="2:18" ht="18" customHeight="1" x14ac:dyDescent="0.15">
      <c r="B123" s="16"/>
      <c r="C123" s="26"/>
      <c r="D123" s="26"/>
      <c r="E123" s="78"/>
      <c r="F123" s="113"/>
      <c r="G123" s="116"/>
      <c r="H123" s="116"/>
      <c r="I123" s="45"/>
      <c r="J123" s="16"/>
      <c r="K123" s="78"/>
      <c r="L123" s="16"/>
      <c r="M123" s="48"/>
      <c r="N123" s="17"/>
      <c r="O123" s="18"/>
      <c r="P123" s="47"/>
      <c r="Q123" s="23"/>
      <c r="R123" s="80"/>
    </row>
    <row r="124" spans="2:18" ht="18" customHeight="1" x14ac:dyDescent="0.15">
      <c r="B124" s="16"/>
      <c r="C124" s="26"/>
      <c r="D124" s="26"/>
      <c r="E124" s="78"/>
      <c r="F124" s="113"/>
      <c r="G124" s="116"/>
      <c r="H124" s="116"/>
      <c r="I124" s="45"/>
      <c r="J124" s="16"/>
      <c r="K124" s="78"/>
      <c r="L124" s="16"/>
      <c r="M124" s="48"/>
      <c r="N124" s="17"/>
      <c r="O124" s="18"/>
      <c r="P124" s="47"/>
      <c r="Q124" s="23"/>
      <c r="R124" s="80"/>
    </row>
    <row r="125" spans="2:18" ht="18" customHeight="1" x14ac:dyDescent="0.15">
      <c r="B125" s="16"/>
      <c r="C125" s="26"/>
      <c r="D125" s="26"/>
      <c r="E125" s="78"/>
      <c r="F125" s="113"/>
      <c r="G125" s="116"/>
      <c r="H125" s="116"/>
      <c r="I125" s="45"/>
      <c r="J125" s="16"/>
      <c r="K125" s="78"/>
      <c r="L125" s="16"/>
      <c r="M125" s="48"/>
      <c r="N125" s="17"/>
      <c r="O125" s="18"/>
      <c r="P125" s="47"/>
      <c r="Q125" s="23"/>
      <c r="R125" s="80"/>
    </row>
    <row r="126" spans="2:18" ht="18" customHeight="1" x14ac:dyDescent="0.15">
      <c r="B126" s="16"/>
      <c r="C126" s="26"/>
      <c r="D126" s="26"/>
      <c r="E126" s="78"/>
      <c r="F126" s="113"/>
      <c r="G126" s="116"/>
      <c r="H126" s="116"/>
      <c r="I126" s="45"/>
      <c r="J126" s="16"/>
      <c r="K126" s="78"/>
      <c r="L126" s="16"/>
      <c r="M126" s="48"/>
      <c r="N126" s="17"/>
      <c r="O126" s="18"/>
      <c r="P126" s="47"/>
      <c r="Q126" s="23"/>
      <c r="R126" s="80"/>
    </row>
    <row r="127" spans="2:18" ht="18" customHeight="1" x14ac:dyDescent="0.15">
      <c r="B127" s="16"/>
      <c r="C127" s="26"/>
      <c r="D127" s="26"/>
      <c r="E127" s="78"/>
      <c r="F127" s="113"/>
      <c r="G127" s="116"/>
      <c r="H127" s="116"/>
      <c r="I127" s="45"/>
      <c r="J127" s="16"/>
      <c r="K127" s="78"/>
      <c r="L127" s="16"/>
      <c r="M127" s="48"/>
      <c r="N127" s="17"/>
      <c r="O127" s="18"/>
      <c r="P127" s="47"/>
      <c r="Q127" s="23"/>
      <c r="R127" s="80"/>
    </row>
    <row r="128" spans="2:18" ht="18" customHeight="1" x14ac:dyDescent="0.15">
      <c r="B128" s="16"/>
      <c r="C128" s="26"/>
      <c r="D128" s="26"/>
      <c r="E128" s="78"/>
      <c r="F128" s="113"/>
      <c r="G128" s="116"/>
      <c r="H128" s="116"/>
      <c r="I128" s="45"/>
      <c r="J128" s="16"/>
      <c r="K128" s="78"/>
      <c r="L128" s="16"/>
      <c r="M128" s="48"/>
      <c r="N128" s="17"/>
      <c r="O128" s="18"/>
      <c r="P128" s="47"/>
      <c r="Q128" s="23"/>
      <c r="R128" s="80"/>
    </row>
    <row r="129" spans="2:18" ht="18" customHeight="1" x14ac:dyDescent="0.15">
      <c r="B129" s="16"/>
      <c r="C129" s="26"/>
      <c r="D129" s="26"/>
      <c r="E129" s="78"/>
      <c r="F129" s="113"/>
      <c r="G129" s="116"/>
      <c r="H129" s="116"/>
      <c r="I129" s="45"/>
      <c r="J129" s="16"/>
      <c r="K129" s="78"/>
      <c r="L129" s="16"/>
      <c r="M129" s="48"/>
      <c r="N129" s="17"/>
      <c r="O129" s="18"/>
      <c r="P129" s="47"/>
      <c r="Q129" s="23"/>
      <c r="R129" s="80"/>
    </row>
    <row r="130" spans="2:18" ht="18" customHeight="1" x14ac:dyDescent="0.15">
      <c r="B130" s="16"/>
      <c r="C130" s="26"/>
      <c r="D130" s="26"/>
      <c r="E130" s="78"/>
      <c r="F130" s="113"/>
      <c r="G130" s="116"/>
      <c r="H130" s="116"/>
      <c r="I130" s="45"/>
      <c r="J130" s="16"/>
      <c r="K130" s="16"/>
      <c r="L130" s="16"/>
      <c r="M130" s="48"/>
      <c r="N130" s="17"/>
      <c r="O130" s="18"/>
      <c r="P130" s="76"/>
      <c r="Q130" s="23"/>
    </row>
    <row r="131" spans="2:18" ht="18" customHeight="1" x14ac:dyDescent="0.15">
      <c r="B131" s="16"/>
      <c r="C131" s="26"/>
      <c r="D131" s="26"/>
      <c r="E131" s="78"/>
      <c r="F131" s="113"/>
      <c r="G131" s="116"/>
      <c r="H131" s="116"/>
      <c r="I131" s="45"/>
      <c r="J131" s="16"/>
      <c r="K131" s="16"/>
      <c r="L131" s="16"/>
      <c r="M131" s="48"/>
      <c r="N131" s="17"/>
      <c r="O131" s="18"/>
      <c r="P131" s="76"/>
      <c r="Q131" s="23"/>
    </row>
    <row r="132" spans="2:18" ht="18" customHeight="1" x14ac:dyDescent="0.15">
      <c r="B132" s="16"/>
      <c r="C132" s="20"/>
      <c r="D132" s="20"/>
      <c r="E132" s="69"/>
      <c r="F132" s="16"/>
      <c r="G132" s="45"/>
      <c r="H132" s="45"/>
      <c r="I132" s="45"/>
      <c r="J132" s="16"/>
      <c r="K132" s="16"/>
      <c r="L132" s="16"/>
      <c r="M132" s="48"/>
      <c r="N132" s="17"/>
      <c r="O132" s="18"/>
      <c r="P132" s="51"/>
      <c r="Q132" s="23"/>
    </row>
    <row r="133" spans="2:18" ht="18" customHeight="1" x14ac:dyDescent="0.15">
      <c r="B133" s="16"/>
      <c r="C133" s="20"/>
      <c r="D133" s="20"/>
      <c r="E133" s="69"/>
      <c r="F133" s="16"/>
      <c r="G133" s="45"/>
      <c r="H133" s="45"/>
      <c r="I133" s="45"/>
      <c r="J133" s="16"/>
      <c r="K133" s="16"/>
      <c r="L133" s="16"/>
      <c r="M133" s="48"/>
      <c r="N133" s="17"/>
      <c r="O133" s="18"/>
      <c r="P133" s="51"/>
      <c r="Q133" s="23"/>
    </row>
    <row r="134" spans="2:18" ht="18" customHeight="1" x14ac:dyDescent="0.15">
      <c r="B134" s="16"/>
      <c r="C134" s="20"/>
      <c r="D134" s="20"/>
      <c r="E134" s="69"/>
      <c r="F134" s="16"/>
      <c r="G134" s="45"/>
      <c r="H134" s="45"/>
      <c r="I134" s="45"/>
      <c r="J134" s="16"/>
      <c r="K134" s="16"/>
      <c r="L134" s="16"/>
      <c r="M134" s="48"/>
      <c r="N134" s="17"/>
      <c r="O134" s="18"/>
      <c r="P134" s="51"/>
      <c r="Q134" s="23"/>
    </row>
    <row r="135" spans="2:18" ht="18" customHeight="1" x14ac:dyDescent="0.15">
      <c r="B135" s="16"/>
      <c r="C135" s="20"/>
      <c r="D135" s="20"/>
      <c r="E135" s="69"/>
      <c r="F135" s="16"/>
      <c r="G135" s="45"/>
      <c r="H135" s="45"/>
      <c r="I135" s="45"/>
      <c r="J135" s="16"/>
      <c r="K135" s="16"/>
      <c r="L135" s="16"/>
      <c r="M135" s="48"/>
      <c r="N135" s="17"/>
      <c r="O135" s="18"/>
      <c r="P135" s="51"/>
      <c r="Q135" s="23"/>
    </row>
    <row r="136" spans="2:18" ht="18" customHeight="1" x14ac:dyDescent="0.15">
      <c r="B136" s="16"/>
      <c r="C136" s="20"/>
      <c r="D136" s="20"/>
      <c r="E136" s="69"/>
      <c r="F136" s="16"/>
      <c r="G136" s="45"/>
      <c r="H136" s="45"/>
      <c r="I136" s="45"/>
      <c r="J136" s="16"/>
      <c r="K136" s="16"/>
      <c r="L136" s="16"/>
      <c r="M136" s="48"/>
      <c r="N136" s="17"/>
      <c r="O136" s="18"/>
      <c r="P136" s="51"/>
      <c r="Q136" s="23"/>
    </row>
    <row r="137" spans="2:18" ht="18" customHeight="1" x14ac:dyDescent="0.15">
      <c r="B137" s="16"/>
      <c r="C137" s="20"/>
      <c r="D137" s="20"/>
      <c r="E137" s="69"/>
      <c r="F137" s="16"/>
      <c r="G137" s="45"/>
      <c r="H137" s="45"/>
      <c r="I137" s="45"/>
      <c r="J137" s="16"/>
      <c r="K137" s="16"/>
      <c r="L137" s="16"/>
      <c r="M137" s="48"/>
      <c r="N137" s="17"/>
      <c r="O137" s="18"/>
      <c r="P137" s="51"/>
      <c r="Q137" s="23"/>
    </row>
    <row r="138" spans="2:18" ht="18" customHeight="1" x14ac:dyDescent="0.15">
      <c r="B138" s="16"/>
      <c r="C138" s="20"/>
      <c r="D138" s="20"/>
      <c r="E138" s="69"/>
      <c r="F138" s="16"/>
      <c r="G138" s="45"/>
      <c r="H138" s="45"/>
      <c r="I138" s="45"/>
      <c r="J138" s="16"/>
      <c r="K138" s="16"/>
      <c r="L138" s="16"/>
      <c r="M138" s="48"/>
      <c r="N138" s="17"/>
      <c r="O138" s="18"/>
      <c r="P138" s="51"/>
      <c r="Q138" s="23"/>
    </row>
    <row r="139" spans="2:18" ht="18" customHeight="1" x14ac:dyDescent="0.15">
      <c r="B139" s="16"/>
      <c r="C139" s="20"/>
      <c r="D139" s="20"/>
      <c r="E139" s="69"/>
      <c r="F139" s="16"/>
      <c r="G139" s="45"/>
      <c r="H139" s="45"/>
      <c r="I139" s="45"/>
      <c r="J139" s="16"/>
      <c r="K139" s="16"/>
      <c r="L139" s="16"/>
      <c r="M139" s="48"/>
      <c r="N139" s="17"/>
      <c r="O139" s="18"/>
      <c r="P139" s="51"/>
      <c r="Q139" s="23"/>
    </row>
    <row r="140" spans="2:18" ht="18" customHeight="1" x14ac:dyDescent="0.15">
      <c r="B140" s="16"/>
      <c r="C140" s="20"/>
      <c r="D140" s="20"/>
      <c r="E140" s="69"/>
      <c r="F140" s="16"/>
      <c r="G140" s="45"/>
      <c r="H140" s="45"/>
      <c r="I140" s="45"/>
      <c r="J140" s="16"/>
      <c r="K140" s="16"/>
      <c r="L140" s="16"/>
      <c r="M140" s="48"/>
      <c r="N140" s="17"/>
      <c r="O140" s="18"/>
      <c r="P140" s="51"/>
      <c r="Q140" s="23"/>
    </row>
    <row r="141" spans="2:18" ht="18" customHeight="1" x14ac:dyDescent="0.15">
      <c r="B141" s="16"/>
      <c r="C141" s="20"/>
      <c r="D141" s="20"/>
      <c r="E141" s="69"/>
      <c r="F141" s="16"/>
      <c r="G141" s="45"/>
      <c r="H141" s="45"/>
      <c r="I141" s="45"/>
      <c r="J141" s="16"/>
      <c r="K141" s="16"/>
      <c r="L141" s="16"/>
      <c r="M141" s="48"/>
      <c r="N141" s="17"/>
      <c r="O141" s="18"/>
      <c r="P141" s="51"/>
      <c r="Q141" s="23"/>
    </row>
    <row r="142" spans="2:18" ht="18" customHeight="1" x14ac:dyDescent="0.15">
      <c r="B142" s="16"/>
      <c r="C142" s="20"/>
      <c r="D142" s="20"/>
      <c r="E142" s="69"/>
      <c r="F142" s="16"/>
      <c r="G142" s="45"/>
      <c r="H142" s="45"/>
      <c r="I142" s="45"/>
      <c r="J142" s="16"/>
      <c r="K142" s="16"/>
      <c r="L142" s="16"/>
      <c r="M142" s="48"/>
      <c r="N142" s="17"/>
      <c r="O142" s="18"/>
      <c r="P142" s="51"/>
      <c r="Q142" s="23"/>
    </row>
    <row r="143" spans="2:18" ht="18" customHeight="1" x14ac:dyDescent="0.15">
      <c r="B143" s="16"/>
      <c r="C143" s="20"/>
      <c r="D143" s="20"/>
      <c r="E143" s="69"/>
      <c r="F143" s="16"/>
      <c r="G143" s="45"/>
      <c r="H143" s="45"/>
      <c r="I143" s="45"/>
      <c r="J143" s="16"/>
      <c r="K143" s="16"/>
      <c r="L143" s="16"/>
      <c r="M143" s="48"/>
      <c r="N143" s="17"/>
      <c r="O143" s="18"/>
      <c r="P143" s="51"/>
      <c r="Q143" s="23"/>
    </row>
    <row r="144" spans="2:18" ht="18" customHeight="1" x14ac:dyDescent="0.15">
      <c r="B144" s="16"/>
      <c r="C144" s="20"/>
      <c r="D144" s="20"/>
      <c r="E144" s="69"/>
      <c r="F144" s="16"/>
      <c r="G144" s="45"/>
      <c r="H144" s="45"/>
      <c r="I144" s="45"/>
      <c r="J144" s="16"/>
      <c r="K144" s="16"/>
      <c r="L144" s="16"/>
      <c r="M144" s="48"/>
      <c r="N144" s="17"/>
      <c r="O144" s="18"/>
      <c r="P144" s="51"/>
      <c r="Q144" s="23"/>
    </row>
    <row r="145" spans="2:17" ht="18" customHeight="1" x14ac:dyDescent="0.15">
      <c r="B145" s="16"/>
      <c r="C145" s="20"/>
      <c r="D145" s="20"/>
      <c r="E145" s="69"/>
      <c r="F145" s="16"/>
      <c r="G145" s="45"/>
      <c r="H145" s="45"/>
      <c r="I145" s="45"/>
      <c r="J145" s="16"/>
      <c r="K145" s="16"/>
      <c r="L145" s="16"/>
      <c r="M145" s="48"/>
      <c r="N145" s="17"/>
      <c r="O145" s="18"/>
      <c r="P145" s="51"/>
      <c r="Q145" s="23"/>
    </row>
    <row r="146" spans="2:17" ht="18" customHeight="1" x14ac:dyDescent="0.15">
      <c r="B146" s="16"/>
      <c r="C146" s="20"/>
      <c r="D146" s="20"/>
      <c r="E146" s="69"/>
      <c r="F146" s="16"/>
      <c r="G146" s="45"/>
      <c r="H146" s="45"/>
      <c r="I146" s="45"/>
      <c r="J146" s="16"/>
      <c r="K146" s="16"/>
      <c r="L146" s="16"/>
      <c r="M146" s="48"/>
      <c r="N146" s="17"/>
      <c r="O146" s="18"/>
      <c r="P146" s="51"/>
      <c r="Q146" s="23"/>
    </row>
    <row r="147" spans="2:17" ht="18" customHeight="1" x14ac:dyDescent="0.15">
      <c r="B147" s="16"/>
      <c r="C147" s="20"/>
      <c r="D147" s="20"/>
      <c r="E147" s="69"/>
      <c r="F147" s="16"/>
      <c r="G147" s="45"/>
      <c r="H147" s="45"/>
      <c r="I147" s="45"/>
      <c r="J147" s="16"/>
      <c r="K147" s="16"/>
      <c r="L147" s="16"/>
      <c r="M147" s="48"/>
      <c r="N147" s="17"/>
      <c r="O147" s="18"/>
      <c r="P147" s="51"/>
      <c r="Q147" s="23"/>
    </row>
    <row r="148" spans="2:17" ht="18" customHeight="1" x14ac:dyDescent="0.15">
      <c r="B148" s="16"/>
      <c r="C148" s="20"/>
      <c r="D148" s="20"/>
      <c r="E148" s="69"/>
      <c r="F148" s="16"/>
      <c r="G148" s="45"/>
      <c r="H148" s="45"/>
      <c r="I148" s="45"/>
      <c r="J148" s="16"/>
      <c r="K148" s="16"/>
      <c r="L148" s="16"/>
      <c r="M148" s="48"/>
      <c r="N148" s="17"/>
      <c r="O148" s="18"/>
      <c r="P148" s="51"/>
      <c r="Q148" s="23"/>
    </row>
    <row r="149" spans="2:17" ht="18" customHeight="1" x14ac:dyDescent="0.15">
      <c r="B149" s="16"/>
      <c r="C149" s="20"/>
      <c r="D149" s="20"/>
      <c r="E149" s="69"/>
      <c r="F149" s="16"/>
      <c r="G149" s="45"/>
      <c r="H149" s="45"/>
      <c r="I149" s="45"/>
      <c r="J149" s="16"/>
      <c r="K149" s="16"/>
      <c r="L149" s="16"/>
      <c r="M149" s="48"/>
      <c r="N149" s="17"/>
      <c r="O149" s="18"/>
      <c r="P149" s="51"/>
      <c r="Q149" s="23"/>
    </row>
    <row r="150" spans="2:17" ht="18" customHeight="1" x14ac:dyDescent="0.15">
      <c r="B150" s="16"/>
      <c r="C150" s="20"/>
      <c r="D150" s="20"/>
      <c r="E150" s="69"/>
      <c r="F150" s="16"/>
      <c r="G150" s="45"/>
      <c r="H150" s="45"/>
      <c r="I150" s="45"/>
      <c r="J150" s="16"/>
      <c r="K150" s="16"/>
      <c r="L150" s="16"/>
      <c r="M150" s="48"/>
      <c r="N150" s="17"/>
      <c r="O150" s="18"/>
      <c r="P150" s="51"/>
      <c r="Q150" s="23"/>
    </row>
    <row r="151" spans="2:17" ht="18" customHeight="1" x14ac:dyDescent="0.15">
      <c r="B151" s="16"/>
      <c r="C151" s="20"/>
      <c r="D151" s="20"/>
      <c r="E151" s="69"/>
      <c r="F151" s="16"/>
      <c r="G151" s="45"/>
      <c r="H151" s="45"/>
      <c r="I151" s="45"/>
      <c r="J151" s="16"/>
      <c r="K151" s="16"/>
      <c r="L151" s="16"/>
      <c r="M151" s="48"/>
      <c r="N151" s="17"/>
      <c r="O151" s="18"/>
      <c r="P151" s="51"/>
      <c r="Q151" s="23"/>
    </row>
    <row r="152" spans="2:17" ht="18" customHeight="1" x14ac:dyDescent="0.15">
      <c r="B152" s="16"/>
      <c r="C152" s="20"/>
      <c r="D152" s="20"/>
      <c r="E152" s="69"/>
      <c r="F152" s="16"/>
      <c r="G152" s="45"/>
      <c r="H152" s="45"/>
      <c r="I152" s="45"/>
      <c r="J152" s="16"/>
      <c r="K152" s="16"/>
      <c r="L152" s="16"/>
      <c r="M152" s="48"/>
      <c r="N152" s="17"/>
      <c r="O152" s="18"/>
      <c r="P152" s="51"/>
      <c r="Q152" s="23"/>
    </row>
    <row r="153" spans="2:17" ht="18" customHeight="1" x14ac:dyDescent="0.15">
      <c r="B153" s="16"/>
      <c r="C153" s="20"/>
      <c r="D153" s="20"/>
      <c r="E153" s="69"/>
      <c r="F153" s="16"/>
      <c r="G153" s="45"/>
      <c r="H153" s="45"/>
      <c r="I153" s="45"/>
      <c r="J153" s="16"/>
      <c r="K153" s="16"/>
      <c r="L153" s="16"/>
      <c r="M153" s="48"/>
      <c r="N153" s="17"/>
      <c r="O153" s="18"/>
      <c r="P153" s="51"/>
      <c r="Q153" s="23"/>
    </row>
    <row r="154" spans="2:17" ht="18" customHeight="1" x14ac:dyDescent="0.15">
      <c r="B154" s="16"/>
      <c r="C154" s="20"/>
      <c r="D154" s="20"/>
      <c r="E154" s="69"/>
      <c r="F154" s="16"/>
      <c r="G154" s="45"/>
      <c r="H154" s="45"/>
      <c r="I154" s="45"/>
      <c r="J154" s="16"/>
      <c r="K154" s="16"/>
      <c r="L154" s="16"/>
      <c r="M154" s="48"/>
      <c r="N154" s="17"/>
      <c r="O154" s="18"/>
      <c r="P154" s="51"/>
      <c r="Q154" s="23"/>
    </row>
    <row r="155" spans="2:17" ht="18" customHeight="1" x14ac:dyDescent="0.15">
      <c r="B155" s="16"/>
      <c r="C155" s="20"/>
      <c r="D155" s="20"/>
      <c r="E155" s="69"/>
      <c r="F155" s="16"/>
      <c r="G155" s="45"/>
      <c r="H155" s="45"/>
      <c r="I155" s="45"/>
      <c r="J155" s="16"/>
      <c r="K155" s="16"/>
      <c r="L155" s="16"/>
      <c r="M155" s="48"/>
      <c r="N155" s="17"/>
      <c r="O155" s="18"/>
      <c r="P155" s="51"/>
      <c r="Q155" s="23"/>
    </row>
    <row r="156" spans="2:17" ht="18" customHeight="1" x14ac:dyDescent="0.15">
      <c r="B156" s="16"/>
      <c r="C156" s="20"/>
      <c r="D156" s="20"/>
      <c r="E156" s="69"/>
      <c r="F156" s="16"/>
      <c r="G156" s="45"/>
      <c r="H156" s="45"/>
      <c r="I156" s="45"/>
      <c r="J156" s="16"/>
      <c r="K156" s="16"/>
      <c r="L156" s="16"/>
      <c r="M156" s="48"/>
      <c r="N156" s="17"/>
      <c r="O156" s="18"/>
      <c r="P156" s="51"/>
      <c r="Q156" s="23"/>
    </row>
    <row r="157" spans="2:17" ht="18" customHeight="1" x14ac:dyDescent="0.15">
      <c r="B157" s="16"/>
      <c r="C157" s="20"/>
      <c r="D157" s="20"/>
      <c r="E157" s="69"/>
      <c r="F157" s="16"/>
      <c r="G157" s="45"/>
      <c r="H157" s="45"/>
      <c r="I157" s="45"/>
      <c r="J157" s="16"/>
      <c r="K157" s="16"/>
      <c r="L157" s="16"/>
      <c r="M157" s="48"/>
      <c r="N157" s="17"/>
      <c r="O157" s="18"/>
      <c r="P157" s="51"/>
      <c r="Q157" s="23"/>
    </row>
    <row r="158" spans="2:17" ht="18" customHeight="1" x14ac:dyDescent="0.15">
      <c r="B158" s="16"/>
      <c r="C158" s="20"/>
      <c r="D158" s="20"/>
      <c r="E158" s="69"/>
      <c r="F158" s="16"/>
      <c r="G158" s="45"/>
      <c r="H158" s="45"/>
      <c r="I158" s="45"/>
      <c r="J158" s="16"/>
      <c r="K158" s="16"/>
      <c r="L158" s="16"/>
      <c r="M158" s="48"/>
      <c r="N158" s="17"/>
      <c r="O158" s="18"/>
      <c r="P158" s="51"/>
      <c r="Q158" s="23"/>
    </row>
    <row r="159" spans="2:17" ht="18" customHeight="1" x14ac:dyDescent="0.15">
      <c r="B159" s="16"/>
      <c r="C159" s="20"/>
      <c r="D159" s="20"/>
      <c r="E159" s="69"/>
      <c r="F159" s="16"/>
      <c r="G159" s="45"/>
      <c r="H159" s="45"/>
      <c r="I159" s="45"/>
      <c r="J159" s="16"/>
      <c r="K159" s="16"/>
      <c r="L159" s="16"/>
      <c r="M159" s="48"/>
      <c r="N159" s="17"/>
      <c r="O159" s="18"/>
      <c r="P159" s="51"/>
      <c r="Q159" s="23"/>
    </row>
    <row r="160" spans="2:17" ht="18" customHeight="1" x14ac:dyDescent="0.15">
      <c r="B160" s="16"/>
      <c r="C160" s="20"/>
      <c r="D160" s="20"/>
      <c r="E160" s="69"/>
      <c r="F160" s="16"/>
      <c r="G160" s="45"/>
      <c r="H160" s="45"/>
      <c r="I160" s="45"/>
      <c r="J160" s="16"/>
      <c r="K160" s="16"/>
      <c r="L160" s="16"/>
      <c r="M160" s="48"/>
      <c r="N160" s="17"/>
      <c r="O160" s="18"/>
      <c r="P160" s="51"/>
      <c r="Q160" s="23"/>
    </row>
    <row r="161" spans="2:17" ht="18" customHeight="1" x14ac:dyDescent="0.15">
      <c r="B161" s="16"/>
      <c r="C161" s="20"/>
      <c r="D161" s="20"/>
      <c r="E161" s="69"/>
      <c r="F161" s="16"/>
      <c r="G161" s="45"/>
      <c r="H161" s="45"/>
      <c r="I161" s="45"/>
      <c r="J161" s="16"/>
      <c r="K161" s="16"/>
      <c r="L161" s="16"/>
      <c r="M161" s="48"/>
      <c r="N161" s="17"/>
      <c r="O161" s="18"/>
      <c r="P161" s="51"/>
      <c r="Q161" s="23"/>
    </row>
    <row r="162" spans="2:17" ht="18" customHeight="1" x14ac:dyDescent="0.15">
      <c r="B162" s="16"/>
      <c r="C162" s="20"/>
      <c r="D162" s="20"/>
      <c r="E162" s="69"/>
      <c r="F162" s="16"/>
      <c r="G162" s="45"/>
      <c r="H162" s="45"/>
      <c r="I162" s="45"/>
      <c r="J162" s="16"/>
      <c r="K162" s="16"/>
      <c r="L162" s="16"/>
      <c r="M162" s="48"/>
      <c r="N162" s="17"/>
      <c r="O162" s="18"/>
      <c r="P162" s="51"/>
      <c r="Q162" s="23"/>
    </row>
    <row r="163" spans="2:17" ht="18" customHeight="1" x14ac:dyDescent="0.15">
      <c r="B163" s="16"/>
      <c r="C163" s="20"/>
      <c r="D163" s="20"/>
      <c r="E163" s="69"/>
      <c r="F163" s="16"/>
      <c r="G163" s="45"/>
      <c r="H163" s="45"/>
      <c r="I163" s="45"/>
      <c r="J163" s="16"/>
      <c r="K163" s="81"/>
      <c r="L163" s="16"/>
      <c r="M163" s="48"/>
      <c r="N163" s="17"/>
      <c r="O163" s="18"/>
      <c r="P163" s="51"/>
      <c r="Q163" s="23"/>
    </row>
    <row r="164" spans="2:17" ht="18" customHeight="1" x14ac:dyDescent="0.15">
      <c r="B164" s="16"/>
      <c r="C164" s="20"/>
      <c r="D164" s="20"/>
      <c r="E164" s="69"/>
      <c r="F164" s="81"/>
      <c r="G164" s="45"/>
      <c r="H164" s="45"/>
      <c r="I164" s="45"/>
      <c r="J164" s="16"/>
      <c r="K164" s="81"/>
      <c r="L164" s="16"/>
      <c r="M164" s="48"/>
      <c r="N164" s="17"/>
      <c r="O164" s="18"/>
      <c r="P164" s="51"/>
      <c r="Q164" s="23"/>
    </row>
    <row r="165" spans="2:17" ht="18" customHeight="1" x14ac:dyDescent="0.15">
      <c r="B165" s="4"/>
      <c r="C165" s="63"/>
      <c r="D165" s="63"/>
      <c r="E165" s="64"/>
      <c r="F165" s="64"/>
      <c r="G165" s="65"/>
      <c r="H165" s="65"/>
      <c r="I165" s="65"/>
      <c r="J165" s="4"/>
      <c r="K165" s="4"/>
      <c r="L165" s="4"/>
      <c r="M165" s="66"/>
      <c r="N165" s="40"/>
      <c r="O165" s="41"/>
      <c r="P165" s="67"/>
      <c r="Q165" s="68"/>
    </row>
    <row r="166" spans="2:17" ht="18" customHeight="1" x14ac:dyDescent="0.15">
      <c r="B166" s="4"/>
      <c r="C166" s="63"/>
      <c r="D166" s="63"/>
      <c r="E166" s="64"/>
      <c r="F166" s="64"/>
      <c r="G166" s="65"/>
      <c r="H166" s="65"/>
      <c r="I166" s="65"/>
      <c r="J166" s="4"/>
      <c r="K166" s="4"/>
      <c r="L166" s="4"/>
      <c r="M166" s="66"/>
      <c r="N166" s="40"/>
      <c r="O166" s="41"/>
      <c r="P166" s="67"/>
      <c r="Q166" s="68"/>
    </row>
    <row r="167" spans="2:17" ht="18" customHeight="1" x14ac:dyDescent="0.15">
      <c r="B167" s="4"/>
      <c r="C167" s="63"/>
      <c r="D167" s="63"/>
      <c r="E167" s="64"/>
      <c r="F167" s="64"/>
      <c r="G167" s="65"/>
      <c r="H167" s="65"/>
      <c r="I167" s="65"/>
      <c r="J167" s="4"/>
      <c r="K167" s="4"/>
      <c r="L167" s="4"/>
      <c r="M167" s="66"/>
      <c r="N167" s="40"/>
      <c r="O167" s="41"/>
      <c r="P167" s="67"/>
      <c r="Q167" s="68"/>
    </row>
    <row r="168" spans="2:17" ht="18" customHeight="1" x14ac:dyDescent="0.15">
      <c r="B168" s="4"/>
      <c r="C168" s="63"/>
      <c r="D168" s="63"/>
      <c r="E168" s="64"/>
      <c r="F168" s="64"/>
      <c r="G168" s="65"/>
      <c r="H168" s="65"/>
      <c r="I168" s="65"/>
      <c r="J168" s="4"/>
      <c r="K168" s="4"/>
      <c r="L168" s="4"/>
      <c r="M168" s="66"/>
      <c r="N168" s="40"/>
      <c r="O168" s="41"/>
      <c r="P168" s="67"/>
      <c r="Q168" s="68"/>
    </row>
    <row r="169" spans="2:17" ht="18" customHeight="1" x14ac:dyDescent="0.15">
      <c r="B169" s="4"/>
      <c r="C169" s="63"/>
      <c r="D169" s="63"/>
      <c r="E169" s="64"/>
      <c r="F169" s="64"/>
      <c r="G169" s="65"/>
      <c r="H169" s="65"/>
      <c r="I169" s="65"/>
      <c r="J169" s="4"/>
      <c r="K169" s="4"/>
      <c r="L169" s="4"/>
      <c r="M169" s="66"/>
      <c r="N169" s="40"/>
      <c r="O169" s="41"/>
      <c r="P169" s="67"/>
      <c r="Q169" s="68"/>
    </row>
    <row r="170" spans="2:17" ht="18" customHeight="1" x14ac:dyDescent="0.15">
      <c r="B170" s="4"/>
      <c r="C170" s="63"/>
      <c r="D170" s="63"/>
      <c r="E170" s="64"/>
      <c r="F170" s="64"/>
      <c r="G170" s="65"/>
      <c r="H170" s="65"/>
      <c r="I170" s="65"/>
      <c r="J170" s="4"/>
      <c r="K170" s="4"/>
      <c r="L170" s="4"/>
      <c r="M170" s="66"/>
      <c r="N170" s="40"/>
      <c r="O170" s="41"/>
      <c r="P170" s="67"/>
      <c r="Q170" s="68"/>
    </row>
    <row r="171" spans="2:17" ht="18" customHeight="1" x14ac:dyDescent="0.15">
      <c r="B171" s="4"/>
      <c r="C171" s="63"/>
      <c r="D171" s="63"/>
      <c r="E171" s="64"/>
      <c r="F171" s="64"/>
      <c r="G171" s="65"/>
      <c r="H171" s="65"/>
      <c r="I171" s="65"/>
      <c r="J171" s="4"/>
      <c r="K171" s="4"/>
      <c r="L171" s="4"/>
      <c r="M171" s="66"/>
      <c r="N171" s="40"/>
      <c r="O171" s="41"/>
      <c r="P171" s="67"/>
      <c r="Q171" s="68"/>
    </row>
    <row r="172" spans="2:17" ht="18" customHeight="1" x14ac:dyDescent="0.15">
      <c r="B172" s="4"/>
      <c r="C172" s="63"/>
      <c r="D172" s="63"/>
      <c r="E172" s="64"/>
      <c r="F172" s="64"/>
      <c r="G172" s="65"/>
      <c r="H172" s="65"/>
      <c r="I172" s="65"/>
      <c r="J172" s="4"/>
      <c r="K172" s="4"/>
      <c r="L172" s="4"/>
      <c r="M172" s="66"/>
      <c r="N172" s="40"/>
      <c r="O172" s="41"/>
      <c r="P172" s="67"/>
      <c r="Q172" s="68"/>
    </row>
    <row r="173" spans="2:17" ht="18" customHeight="1" x14ac:dyDescent="0.15">
      <c r="B173" s="4"/>
      <c r="C173" s="63"/>
      <c r="D173" s="63"/>
      <c r="E173" s="64"/>
      <c r="F173" s="64"/>
      <c r="G173" s="65"/>
      <c r="H173" s="65"/>
      <c r="I173" s="65"/>
      <c r="J173" s="4"/>
      <c r="K173" s="4"/>
      <c r="L173" s="4"/>
      <c r="M173" s="66"/>
      <c r="N173" s="40"/>
      <c r="O173" s="41"/>
      <c r="P173" s="67"/>
      <c r="Q173" s="68"/>
    </row>
    <row r="174" spans="2:17" ht="18" customHeight="1" x14ac:dyDescent="0.15">
      <c r="B174" s="4"/>
      <c r="C174" s="63"/>
      <c r="D174" s="63"/>
      <c r="E174" s="64"/>
      <c r="F174" s="64"/>
      <c r="G174" s="65"/>
      <c r="H174" s="65"/>
      <c r="I174" s="65"/>
      <c r="J174" s="4"/>
      <c r="K174" s="4"/>
      <c r="L174" s="4"/>
      <c r="M174" s="66"/>
      <c r="N174" s="40"/>
      <c r="O174" s="41"/>
      <c r="P174" s="67"/>
      <c r="Q174" s="68"/>
    </row>
    <row r="175" spans="2:17" ht="18" customHeight="1" x14ac:dyDescent="0.15">
      <c r="B175" s="4"/>
      <c r="C175" s="63"/>
      <c r="D175" s="63"/>
      <c r="E175" s="64"/>
      <c r="F175" s="64"/>
      <c r="G175" s="65"/>
      <c r="H175" s="65"/>
      <c r="I175" s="65"/>
      <c r="J175" s="4"/>
      <c r="K175" s="4"/>
      <c r="L175" s="4"/>
      <c r="M175" s="66"/>
      <c r="N175" s="40"/>
      <c r="O175" s="41"/>
      <c r="P175" s="67"/>
      <c r="Q175" s="68"/>
    </row>
    <row r="176" spans="2:17" ht="18" customHeight="1" x14ac:dyDescent="0.15">
      <c r="B176" s="4"/>
      <c r="C176" s="63"/>
      <c r="D176" s="63"/>
      <c r="E176" s="64"/>
      <c r="F176" s="64"/>
      <c r="G176" s="65"/>
      <c r="H176" s="65"/>
      <c r="I176" s="65"/>
      <c r="J176" s="4"/>
      <c r="K176" s="4"/>
      <c r="L176" s="4"/>
      <c r="M176" s="66"/>
      <c r="N176" s="40"/>
      <c r="O176" s="41"/>
      <c r="P176" s="67"/>
      <c r="Q176" s="68"/>
    </row>
    <row r="177" spans="2:17" ht="18" customHeight="1" x14ac:dyDescent="0.15">
      <c r="B177" s="4"/>
      <c r="C177" s="63"/>
      <c r="D177" s="63"/>
      <c r="E177" s="64"/>
      <c r="F177" s="64"/>
      <c r="G177" s="65"/>
      <c r="H177" s="65"/>
      <c r="I177" s="65"/>
      <c r="J177" s="4"/>
      <c r="K177" s="4"/>
      <c r="L177" s="4"/>
      <c r="M177" s="66"/>
      <c r="N177" s="40"/>
      <c r="O177" s="41"/>
      <c r="P177" s="67"/>
      <c r="Q177" s="68"/>
    </row>
    <row r="178" spans="2:17" ht="18" customHeight="1" x14ac:dyDescent="0.15">
      <c r="B178" s="4"/>
      <c r="C178" s="63"/>
      <c r="D178" s="63"/>
      <c r="E178" s="64"/>
      <c r="F178" s="64"/>
      <c r="G178" s="65"/>
      <c r="H178" s="65"/>
      <c r="I178" s="65"/>
      <c r="J178" s="4"/>
      <c r="K178" s="4"/>
      <c r="L178" s="4"/>
      <c r="M178" s="66"/>
      <c r="N178" s="40"/>
      <c r="O178" s="41"/>
      <c r="P178" s="67"/>
      <c r="Q178" s="68"/>
    </row>
    <row r="179" spans="2:17" ht="18" customHeight="1" x14ac:dyDescent="0.15">
      <c r="B179" s="4"/>
      <c r="C179" s="63"/>
      <c r="D179" s="63"/>
      <c r="E179" s="64"/>
      <c r="F179" s="64"/>
      <c r="G179" s="65"/>
      <c r="H179" s="65"/>
      <c r="I179" s="65"/>
      <c r="J179" s="4"/>
      <c r="K179" s="4"/>
      <c r="L179" s="4"/>
      <c r="M179" s="66"/>
      <c r="N179" s="40"/>
      <c r="O179" s="41"/>
      <c r="P179" s="67"/>
      <c r="Q179" s="68"/>
    </row>
    <row r="180" spans="2:17" ht="18" customHeight="1" x14ac:dyDescent="0.15">
      <c r="B180" s="4"/>
      <c r="C180" s="63"/>
      <c r="D180" s="63"/>
      <c r="E180" s="64"/>
      <c r="F180" s="64"/>
      <c r="G180" s="65"/>
      <c r="H180" s="65"/>
      <c r="I180" s="65"/>
      <c r="J180" s="4"/>
      <c r="K180" s="4"/>
      <c r="L180" s="4"/>
      <c r="M180" s="66"/>
      <c r="N180" s="40"/>
      <c r="O180" s="41"/>
      <c r="P180" s="67"/>
      <c r="Q180" s="68"/>
    </row>
    <row r="181" spans="2:17" ht="18" customHeight="1" x14ac:dyDescent="0.15">
      <c r="B181" s="4"/>
      <c r="C181" s="63"/>
      <c r="D181" s="63"/>
      <c r="E181" s="64"/>
      <c r="F181" s="64"/>
      <c r="G181" s="65"/>
      <c r="H181" s="65"/>
      <c r="I181" s="65"/>
      <c r="J181" s="4"/>
      <c r="K181" s="4"/>
      <c r="L181" s="4"/>
      <c r="M181" s="66"/>
      <c r="N181" s="40"/>
      <c r="O181" s="41"/>
      <c r="P181" s="67"/>
      <c r="Q181" s="68"/>
    </row>
    <row r="182" spans="2:17" ht="18" customHeight="1" x14ac:dyDescent="0.15">
      <c r="B182" s="4"/>
      <c r="C182" s="63"/>
      <c r="D182" s="63"/>
      <c r="E182" s="64"/>
      <c r="F182" s="64"/>
      <c r="G182" s="65"/>
      <c r="H182" s="65"/>
      <c r="I182" s="65"/>
      <c r="J182" s="4"/>
      <c r="K182" s="4"/>
      <c r="L182" s="4"/>
      <c r="M182" s="66"/>
      <c r="N182" s="40"/>
      <c r="O182" s="41"/>
      <c r="P182" s="67"/>
      <c r="Q182" s="68"/>
    </row>
    <row r="183" spans="2:17" ht="18" customHeight="1" x14ac:dyDescent="0.15">
      <c r="B183" s="4"/>
      <c r="C183" s="63"/>
      <c r="D183" s="63"/>
      <c r="E183" s="64"/>
      <c r="F183" s="64"/>
      <c r="G183" s="65"/>
      <c r="H183" s="65"/>
      <c r="I183" s="65"/>
      <c r="J183" s="4"/>
      <c r="K183" s="4"/>
      <c r="L183" s="4"/>
      <c r="M183" s="66"/>
      <c r="N183" s="40"/>
      <c r="O183" s="41"/>
      <c r="P183" s="67"/>
      <c r="Q183" s="68"/>
    </row>
    <row r="184" spans="2:17" ht="18" customHeight="1" x14ac:dyDescent="0.15">
      <c r="B184" s="4"/>
      <c r="C184" s="63"/>
      <c r="D184" s="63"/>
      <c r="E184" s="64"/>
      <c r="F184" s="64"/>
      <c r="G184" s="65"/>
      <c r="H184" s="65"/>
      <c r="I184" s="65"/>
      <c r="J184" s="4"/>
      <c r="K184" s="4"/>
      <c r="L184" s="4"/>
      <c r="M184" s="66"/>
      <c r="N184" s="40"/>
      <c r="O184" s="41"/>
      <c r="P184" s="67"/>
      <c r="Q184" s="68"/>
    </row>
    <row r="185" spans="2:17" ht="18" customHeight="1" x14ac:dyDescent="0.15">
      <c r="B185" s="4"/>
      <c r="C185" s="63"/>
      <c r="D185" s="63"/>
      <c r="E185" s="64"/>
      <c r="F185" s="64"/>
      <c r="G185" s="65"/>
      <c r="H185" s="65"/>
      <c r="I185" s="65"/>
      <c r="J185" s="4"/>
      <c r="K185" s="4"/>
      <c r="L185" s="4"/>
      <c r="M185" s="66"/>
      <c r="N185" s="40"/>
      <c r="O185" s="41"/>
      <c r="P185" s="67"/>
      <c r="Q185" s="68"/>
    </row>
    <row r="186" spans="2:17" ht="18" customHeight="1" x14ac:dyDescent="0.15">
      <c r="B186" s="4"/>
      <c r="C186" s="63"/>
      <c r="D186" s="63"/>
      <c r="E186" s="64"/>
      <c r="F186" s="64"/>
      <c r="G186" s="65"/>
      <c r="H186" s="65"/>
      <c r="I186" s="65"/>
      <c r="J186" s="4"/>
      <c r="K186" s="4"/>
      <c r="L186" s="4"/>
      <c r="M186" s="66"/>
      <c r="N186" s="40"/>
      <c r="O186" s="41"/>
      <c r="P186" s="67"/>
      <c r="Q186" s="68"/>
    </row>
    <row r="187" spans="2:17" ht="18" customHeight="1" x14ac:dyDescent="0.15">
      <c r="B187" s="4"/>
      <c r="C187" s="63"/>
      <c r="D187" s="63"/>
      <c r="E187" s="64"/>
      <c r="F187" s="64"/>
      <c r="G187" s="65"/>
      <c r="H187" s="65"/>
      <c r="I187" s="65"/>
      <c r="J187" s="4"/>
      <c r="K187" s="4"/>
      <c r="L187" s="4"/>
      <c r="M187" s="66"/>
      <c r="N187" s="40"/>
      <c r="O187" s="41"/>
      <c r="P187" s="67"/>
      <c r="Q187" s="68"/>
    </row>
    <row r="188" spans="2:17" ht="18" customHeight="1" x14ac:dyDescent="0.15">
      <c r="B188" s="4"/>
      <c r="C188" s="63"/>
      <c r="D188" s="63"/>
      <c r="E188" s="64"/>
      <c r="F188" s="64"/>
      <c r="G188" s="65"/>
      <c r="H188" s="65"/>
      <c r="I188" s="65"/>
      <c r="J188" s="4"/>
      <c r="K188" s="4"/>
      <c r="L188" s="4"/>
      <c r="M188" s="66"/>
      <c r="N188" s="40"/>
      <c r="O188" s="41"/>
      <c r="P188" s="67"/>
      <c r="Q188" s="68"/>
    </row>
    <row r="189" spans="2:17" ht="18" customHeight="1" x14ac:dyDescent="0.15">
      <c r="B189" s="4"/>
      <c r="C189" s="63"/>
      <c r="D189" s="63"/>
      <c r="E189" s="64"/>
      <c r="F189" s="64"/>
      <c r="G189" s="65"/>
      <c r="H189" s="65"/>
      <c r="I189" s="65"/>
      <c r="J189" s="4"/>
      <c r="K189" s="4"/>
      <c r="L189" s="4"/>
      <c r="M189" s="66"/>
      <c r="N189" s="40"/>
      <c r="O189" s="41"/>
      <c r="P189" s="67"/>
      <c r="Q189" s="68"/>
    </row>
    <row r="190" spans="2:17" ht="18" customHeight="1" x14ac:dyDescent="0.15">
      <c r="B190" s="4"/>
      <c r="C190" s="63"/>
      <c r="D190" s="63"/>
      <c r="E190" s="64"/>
      <c r="F190" s="64"/>
      <c r="G190" s="65"/>
      <c r="H190" s="65"/>
      <c r="I190" s="65"/>
      <c r="J190" s="4"/>
      <c r="K190" s="4"/>
      <c r="L190" s="4"/>
      <c r="M190" s="66"/>
      <c r="N190" s="40"/>
      <c r="O190" s="41"/>
      <c r="P190" s="67"/>
      <c r="Q190" s="68"/>
    </row>
    <row r="191" spans="2:17" ht="18" customHeight="1" x14ac:dyDescent="0.15">
      <c r="B191" s="4"/>
      <c r="C191" s="63"/>
      <c r="D191" s="63"/>
      <c r="E191" s="64"/>
      <c r="F191" s="64"/>
      <c r="G191" s="65"/>
      <c r="H191" s="65"/>
      <c r="I191" s="65"/>
      <c r="J191" s="4"/>
      <c r="K191" s="4"/>
      <c r="L191" s="4"/>
      <c r="M191" s="66"/>
      <c r="N191" s="40"/>
      <c r="O191" s="41"/>
      <c r="P191" s="67"/>
      <c r="Q191" s="68"/>
    </row>
    <row r="192" spans="2:17" ht="18" customHeight="1" x14ac:dyDescent="0.15">
      <c r="B192" s="4"/>
      <c r="C192" s="63"/>
      <c r="D192" s="63"/>
      <c r="E192" s="64"/>
      <c r="F192" s="64"/>
      <c r="G192" s="65"/>
      <c r="H192" s="65"/>
      <c r="I192" s="65"/>
      <c r="J192" s="4"/>
      <c r="K192" s="4"/>
      <c r="L192" s="4"/>
      <c r="M192" s="66"/>
      <c r="N192" s="40"/>
      <c r="O192" s="41"/>
      <c r="P192" s="67"/>
      <c r="Q192" s="68"/>
    </row>
    <row r="193" spans="2:17" ht="18" customHeight="1" x14ac:dyDescent="0.15">
      <c r="B193" s="4"/>
      <c r="C193" s="63"/>
      <c r="D193" s="63"/>
      <c r="E193" s="64"/>
      <c r="F193" s="64"/>
      <c r="G193" s="65"/>
      <c r="H193" s="65"/>
      <c r="I193" s="65"/>
      <c r="J193" s="4"/>
      <c r="K193" s="4"/>
      <c r="L193" s="4"/>
      <c r="M193" s="66"/>
      <c r="N193" s="40"/>
      <c r="O193" s="41"/>
      <c r="P193" s="67"/>
      <c r="Q193" s="68"/>
    </row>
    <row r="194" spans="2:17" ht="18" customHeight="1" x14ac:dyDescent="0.15">
      <c r="B194" s="4"/>
      <c r="C194" s="63"/>
      <c r="D194" s="63"/>
      <c r="E194" s="64"/>
      <c r="F194" s="64"/>
      <c r="G194" s="65"/>
      <c r="H194" s="65"/>
      <c r="I194" s="65"/>
      <c r="J194" s="4"/>
      <c r="K194" s="4"/>
      <c r="L194" s="4"/>
      <c r="M194" s="66"/>
      <c r="N194" s="40"/>
      <c r="O194" s="41"/>
      <c r="P194" s="67"/>
      <c r="Q194" s="68"/>
    </row>
    <row r="195" spans="2:17" ht="18" customHeight="1" x14ac:dyDescent="0.15">
      <c r="B195" s="4"/>
      <c r="C195" s="63"/>
      <c r="D195" s="63"/>
      <c r="E195" s="64"/>
      <c r="F195" s="64"/>
      <c r="G195" s="65"/>
      <c r="H195" s="65"/>
      <c r="I195" s="65"/>
      <c r="J195" s="4"/>
      <c r="K195" s="4"/>
      <c r="L195" s="4"/>
      <c r="M195" s="66"/>
      <c r="N195" s="40"/>
      <c r="O195" s="41"/>
      <c r="P195" s="67"/>
      <c r="Q195" s="68"/>
    </row>
    <row r="196" spans="2:17" ht="18" customHeight="1" x14ac:dyDescent="0.15">
      <c r="B196" s="4"/>
      <c r="C196" s="63"/>
      <c r="D196" s="63"/>
      <c r="E196" s="64"/>
      <c r="F196" s="64"/>
      <c r="G196" s="65"/>
      <c r="H196" s="65"/>
      <c r="I196" s="65"/>
      <c r="J196" s="4"/>
      <c r="K196" s="4"/>
      <c r="L196" s="4"/>
      <c r="M196" s="66"/>
      <c r="N196" s="40"/>
      <c r="O196" s="41"/>
      <c r="P196" s="67"/>
      <c r="Q196" s="68"/>
    </row>
    <row r="197" spans="2:17" ht="18" customHeight="1" x14ac:dyDescent="0.15">
      <c r="B197" s="4"/>
      <c r="C197" s="63"/>
      <c r="D197" s="63"/>
      <c r="E197" s="64"/>
      <c r="F197" s="64"/>
      <c r="G197" s="65"/>
      <c r="H197" s="65"/>
      <c r="I197" s="65"/>
      <c r="J197" s="4"/>
      <c r="K197" s="4"/>
      <c r="L197" s="4"/>
      <c r="M197" s="66"/>
      <c r="N197" s="40"/>
      <c r="O197" s="41"/>
      <c r="P197" s="67"/>
      <c r="Q197" s="68"/>
    </row>
    <row r="198" spans="2:17" ht="18" customHeight="1" x14ac:dyDescent="0.15">
      <c r="B198" s="4"/>
      <c r="C198" s="63"/>
      <c r="D198" s="63"/>
      <c r="E198" s="64"/>
      <c r="F198" s="64"/>
      <c r="G198" s="65"/>
      <c r="H198" s="65"/>
      <c r="I198" s="65"/>
      <c r="J198" s="4"/>
      <c r="K198" s="4"/>
      <c r="L198" s="4"/>
      <c r="M198" s="66"/>
      <c r="N198" s="40"/>
      <c r="O198" s="41"/>
      <c r="P198" s="67"/>
      <c r="Q198" s="68"/>
    </row>
    <row r="199" spans="2:17" ht="18" customHeight="1" x14ac:dyDescent="0.15">
      <c r="B199" s="4"/>
      <c r="C199" s="63"/>
      <c r="D199" s="63"/>
      <c r="E199" s="64"/>
      <c r="F199" s="64"/>
      <c r="G199" s="65"/>
      <c r="H199" s="65"/>
      <c r="I199" s="65"/>
      <c r="J199" s="4"/>
      <c r="K199" s="4"/>
      <c r="L199" s="4"/>
      <c r="M199" s="66"/>
      <c r="N199" s="40"/>
      <c r="O199" s="41"/>
      <c r="P199" s="67"/>
      <c r="Q199" s="68"/>
    </row>
    <row r="200" spans="2:17" ht="18" customHeight="1" x14ac:dyDescent="0.15">
      <c r="B200" s="4"/>
      <c r="C200" s="63"/>
      <c r="D200" s="63"/>
      <c r="E200" s="64"/>
      <c r="F200" s="64"/>
      <c r="G200" s="65"/>
      <c r="H200" s="65"/>
      <c r="I200" s="65"/>
      <c r="J200" s="4"/>
      <c r="K200" s="4"/>
      <c r="L200" s="4"/>
      <c r="M200" s="66"/>
      <c r="N200" s="40"/>
      <c r="O200" s="41"/>
      <c r="P200" s="67"/>
      <c r="Q200" s="68"/>
    </row>
    <row r="201" spans="2:17" ht="18" customHeight="1" x14ac:dyDescent="0.15">
      <c r="B201" s="4"/>
      <c r="C201" s="63"/>
      <c r="D201" s="63"/>
      <c r="E201" s="64"/>
      <c r="F201" s="64"/>
      <c r="G201" s="65"/>
      <c r="H201" s="65"/>
      <c r="I201" s="65"/>
      <c r="J201" s="4"/>
      <c r="K201" s="4"/>
      <c r="L201" s="4"/>
      <c r="M201" s="66"/>
      <c r="N201" s="40"/>
      <c r="O201" s="41"/>
      <c r="P201" s="67"/>
      <c r="Q201" s="68"/>
    </row>
    <row r="202" spans="2:17" ht="18" customHeight="1" x14ac:dyDescent="0.15">
      <c r="B202" s="4"/>
      <c r="C202" s="63"/>
      <c r="D202" s="63"/>
      <c r="E202" s="64"/>
      <c r="F202" s="64"/>
      <c r="G202" s="65"/>
      <c r="H202" s="65"/>
      <c r="I202" s="65"/>
      <c r="J202" s="4"/>
      <c r="K202" s="4"/>
      <c r="L202" s="4"/>
      <c r="M202" s="66"/>
      <c r="N202" s="40"/>
      <c r="O202" s="41"/>
      <c r="P202" s="67"/>
      <c r="Q202" s="68"/>
    </row>
    <row r="203" spans="2:17" ht="18" customHeight="1" x14ac:dyDescent="0.15">
      <c r="B203" s="4"/>
      <c r="C203" s="63"/>
      <c r="D203" s="63"/>
      <c r="E203" s="64"/>
      <c r="F203" s="64"/>
      <c r="G203" s="65"/>
      <c r="H203" s="65"/>
      <c r="I203" s="65"/>
      <c r="J203" s="4"/>
      <c r="K203" s="4"/>
      <c r="L203" s="4"/>
      <c r="M203" s="66"/>
      <c r="N203" s="40"/>
      <c r="O203" s="41"/>
      <c r="P203" s="67"/>
      <c r="Q203" s="68"/>
    </row>
    <row r="204" spans="2:17" ht="18" customHeight="1" x14ac:dyDescent="0.15">
      <c r="B204" s="4"/>
      <c r="C204" s="63"/>
      <c r="D204" s="63"/>
      <c r="E204" s="64"/>
      <c r="F204" s="64"/>
      <c r="G204" s="65"/>
      <c r="H204" s="65"/>
      <c r="I204" s="65"/>
      <c r="J204" s="4"/>
      <c r="K204" s="4"/>
      <c r="L204" s="4"/>
      <c r="M204" s="66"/>
      <c r="N204" s="40"/>
      <c r="O204" s="41"/>
      <c r="P204" s="67"/>
      <c r="Q204" s="68"/>
    </row>
    <row r="205" spans="2:17" ht="18" customHeight="1" x14ac:dyDescent="0.15">
      <c r="B205" s="4"/>
      <c r="C205" s="63"/>
      <c r="D205" s="63"/>
      <c r="E205" s="64"/>
      <c r="F205" s="64"/>
      <c r="G205" s="65"/>
      <c r="H205" s="65"/>
      <c r="I205" s="65"/>
      <c r="J205" s="4"/>
      <c r="K205" s="4"/>
      <c r="L205" s="4"/>
      <c r="M205" s="66"/>
      <c r="N205" s="40"/>
      <c r="O205" s="41"/>
      <c r="P205" s="67"/>
      <c r="Q205" s="68"/>
    </row>
    <row r="206" spans="2:17" ht="18" customHeight="1" x14ac:dyDescent="0.15">
      <c r="B206" s="4"/>
      <c r="C206" s="63"/>
      <c r="D206" s="63"/>
      <c r="E206" s="64"/>
      <c r="F206" s="64"/>
      <c r="G206" s="65"/>
      <c r="H206" s="65"/>
      <c r="I206" s="65"/>
      <c r="J206" s="4"/>
      <c r="K206" s="4"/>
      <c r="L206" s="4"/>
      <c r="M206" s="66"/>
      <c r="N206" s="40"/>
      <c r="O206" s="41"/>
      <c r="P206" s="67"/>
      <c r="Q206" s="68"/>
    </row>
    <row r="207" spans="2:17" ht="18" customHeight="1" x14ac:dyDescent="0.15">
      <c r="B207" s="4"/>
      <c r="C207" s="63"/>
      <c r="D207" s="63"/>
      <c r="E207" s="64"/>
      <c r="F207" s="64"/>
      <c r="G207" s="65"/>
      <c r="H207" s="65"/>
      <c r="I207" s="65"/>
      <c r="J207" s="4"/>
      <c r="K207" s="4"/>
      <c r="L207" s="4"/>
      <c r="M207" s="66"/>
      <c r="N207" s="40"/>
      <c r="O207" s="41"/>
      <c r="P207" s="67"/>
      <c r="Q207" s="68"/>
    </row>
    <row r="208" spans="2:17" ht="18" customHeight="1" x14ac:dyDescent="0.15">
      <c r="B208" s="4"/>
      <c r="C208" s="63"/>
      <c r="D208" s="63"/>
      <c r="E208" s="64"/>
      <c r="F208" s="64"/>
      <c r="G208" s="65"/>
      <c r="H208" s="65"/>
      <c r="I208" s="65"/>
      <c r="J208" s="4"/>
      <c r="K208" s="4"/>
      <c r="L208" s="4"/>
      <c r="M208" s="66"/>
      <c r="N208" s="40"/>
      <c r="O208" s="41"/>
      <c r="P208" s="67"/>
      <c r="Q208" s="68"/>
    </row>
    <row r="209" spans="2:17" ht="18" customHeight="1" x14ac:dyDescent="0.15">
      <c r="B209" s="4"/>
      <c r="C209" s="63"/>
      <c r="D209" s="63"/>
      <c r="E209" s="64"/>
      <c r="F209" s="64"/>
      <c r="G209" s="65"/>
      <c r="H209" s="65"/>
      <c r="I209" s="65"/>
      <c r="J209" s="4"/>
      <c r="K209" s="4"/>
      <c r="L209" s="4"/>
      <c r="M209" s="66"/>
      <c r="N209" s="40"/>
      <c r="O209" s="41"/>
      <c r="P209" s="67"/>
      <c r="Q209" s="68"/>
    </row>
    <row r="210" spans="2:17" ht="18" customHeight="1" x14ac:dyDescent="0.15">
      <c r="B210" s="4"/>
      <c r="C210" s="63"/>
      <c r="D210" s="63"/>
      <c r="E210" s="64"/>
      <c r="F210" s="64"/>
      <c r="G210" s="65"/>
      <c r="H210" s="65"/>
      <c r="I210" s="65"/>
      <c r="J210" s="4"/>
      <c r="K210" s="4"/>
      <c r="L210" s="4"/>
      <c r="M210" s="66"/>
      <c r="N210" s="40"/>
      <c r="O210" s="41"/>
      <c r="P210" s="67"/>
      <c r="Q210" s="68"/>
    </row>
    <row r="211" spans="2:17" ht="18" customHeight="1" x14ac:dyDescent="0.15">
      <c r="B211" s="4"/>
      <c r="C211" s="63"/>
      <c r="D211" s="63"/>
      <c r="E211" s="64"/>
      <c r="F211" s="64"/>
      <c r="G211" s="65"/>
      <c r="H211" s="65"/>
      <c r="I211" s="65"/>
      <c r="J211" s="4"/>
      <c r="K211" s="4"/>
      <c r="L211" s="4"/>
      <c r="M211" s="66"/>
      <c r="N211" s="40"/>
      <c r="O211" s="41"/>
      <c r="P211" s="67"/>
      <c r="Q211" s="68"/>
    </row>
    <row r="212" spans="2:17" ht="18" customHeight="1" x14ac:dyDescent="0.15">
      <c r="B212" s="4"/>
      <c r="C212" s="63"/>
      <c r="D212" s="63"/>
      <c r="E212" s="64"/>
      <c r="F212" s="64"/>
      <c r="G212" s="65"/>
      <c r="H212" s="65"/>
      <c r="I212" s="65"/>
      <c r="J212" s="4"/>
      <c r="K212" s="4"/>
      <c r="L212" s="4"/>
      <c r="M212" s="66"/>
      <c r="N212" s="40"/>
      <c r="O212" s="41"/>
      <c r="P212" s="67"/>
      <c r="Q212" s="68"/>
    </row>
    <row r="213" spans="2:17" ht="18" customHeight="1" x14ac:dyDescent="0.15">
      <c r="B213" s="4"/>
      <c r="C213" s="63"/>
      <c r="D213" s="63"/>
      <c r="E213" s="64"/>
      <c r="F213" s="64"/>
      <c r="G213" s="65"/>
      <c r="H213" s="65"/>
      <c r="I213" s="65"/>
      <c r="J213" s="4"/>
      <c r="K213" s="4"/>
      <c r="L213" s="4"/>
      <c r="M213" s="66"/>
      <c r="N213" s="40"/>
      <c r="O213" s="41"/>
      <c r="P213" s="67"/>
      <c r="Q213" s="68"/>
    </row>
    <row r="214" spans="2:17" ht="18" customHeight="1" x14ac:dyDescent="0.15">
      <c r="B214" s="4"/>
      <c r="C214" s="63"/>
      <c r="D214" s="63"/>
      <c r="E214" s="64"/>
      <c r="F214" s="64"/>
      <c r="G214" s="65"/>
      <c r="H214" s="65"/>
      <c r="I214" s="65"/>
      <c r="J214" s="4"/>
      <c r="K214" s="4"/>
      <c r="L214" s="4"/>
      <c r="M214" s="66"/>
      <c r="N214" s="40"/>
      <c r="O214" s="41"/>
      <c r="P214" s="67"/>
      <c r="Q214" s="68"/>
    </row>
    <row r="215" spans="2:17" ht="18" customHeight="1" x14ac:dyDescent="0.15">
      <c r="B215" s="4"/>
      <c r="C215" s="63"/>
      <c r="D215" s="63"/>
      <c r="E215" s="64"/>
      <c r="F215" s="64"/>
      <c r="G215" s="65"/>
      <c r="H215" s="65"/>
      <c r="I215" s="65"/>
      <c r="J215" s="4"/>
      <c r="K215" s="4"/>
      <c r="L215" s="4"/>
      <c r="M215" s="66"/>
      <c r="N215" s="40"/>
      <c r="O215" s="41"/>
      <c r="P215" s="67"/>
      <c r="Q215" s="68"/>
    </row>
    <row r="216" spans="2:17" ht="18" customHeight="1" x14ac:dyDescent="0.15">
      <c r="B216" s="4"/>
      <c r="C216" s="63"/>
      <c r="D216" s="63"/>
      <c r="E216" s="64"/>
      <c r="F216" s="64"/>
      <c r="G216" s="65"/>
      <c r="H216" s="65"/>
      <c r="I216" s="65"/>
      <c r="J216" s="4"/>
      <c r="K216" s="4"/>
      <c r="L216" s="4"/>
      <c r="M216" s="66"/>
      <c r="N216" s="40"/>
      <c r="O216" s="41"/>
      <c r="P216" s="67"/>
      <c r="Q216" s="68"/>
    </row>
    <row r="217" spans="2:17" ht="18" customHeight="1" x14ac:dyDescent="0.15">
      <c r="B217" s="4"/>
      <c r="C217" s="63"/>
      <c r="D217" s="63"/>
      <c r="E217" s="64"/>
      <c r="F217" s="64"/>
      <c r="G217" s="65"/>
      <c r="H217" s="65"/>
      <c r="I217" s="65"/>
      <c r="J217" s="4"/>
      <c r="K217" s="4"/>
      <c r="L217" s="4"/>
      <c r="M217" s="66"/>
      <c r="N217" s="40"/>
      <c r="O217" s="41"/>
      <c r="P217" s="67"/>
      <c r="Q217" s="68"/>
    </row>
    <row r="218" spans="2:17" ht="18" customHeight="1" x14ac:dyDescent="0.15">
      <c r="B218" s="4"/>
      <c r="C218" s="63"/>
      <c r="D218" s="63"/>
      <c r="E218" s="64"/>
      <c r="F218" s="64"/>
      <c r="G218" s="65"/>
      <c r="H218" s="65"/>
      <c r="I218" s="65"/>
      <c r="J218" s="4"/>
      <c r="K218" s="4"/>
      <c r="L218" s="4"/>
      <c r="M218" s="66"/>
      <c r="N218" s="40"/>
      <c r="O218" s="41"/>
      <c r="P218" s="67"/>
      <c r="Q218" s="68"/>
    </row>
    <row r="219" spans="2:17" ht="18" customHeight="1" x14ac:dyDescent="0.15">
      <c r="B219" s="4"/>
      <c r="C219" s="63"/>
      <c r="D219" s="63"/>
      <c r="E219" s="64"/>
      <c r="F219" s="64"/>
      <c r="G219" s="65"/>
      <c r="H219" s="65"/>
      <c r="I219" s="65"/>
      <c r="J219" s="4"/>
      <c r="K219" s="4"/>
      <c r="L219" s="4"/>
      <c r="M219" s="66"/>
      <c r="N219" s="40"/>
      <c r="O219" s="41"/>
      <c r="P219" s="67"/>
      <c r="Q219" s="68"/>
    </row>
    <row r="220" spans="2:17" ht="18" customHeight="1" x14ac:dyDescent="0.15">
      <c r="B220" s="4"/>
      <c r="C220" s="63"/>
      <c r="D220" s="63"/>
      <c r="E220" s="64"/>
      <c r="F220" s="64"/>
      <c r="G220" s="65"/>
      <c r="H220" s="65"/>
      <c r="I220" s="65"/>
      <c r="J220" s="4"/>
      <c r="K220" s="4"/>
      <c r="L220" s="4"/>
      <c r="M220" s="66"/>
      <c r="N220" s="40"/>
      <c r="O220" s="41"/>
      <c r="P220" s="67"/>
      <c r="Q220" s="68"/>
    </row>
    <row r="221" spans="2:17" ht="18" customHeight="1" x14ac:dyDescent="0.15">
      <c r="B221" s="4"/>
      <c r="C221" s="63"/>
      <c r="D221" s="63"/>
      <c r="E221" s="64"/>
      <c r="F221" s="64"/>
      <c r="G221" s="65"/>
      <c r="H221" s="65"/>
      <c r="I221" s="65"/>
      <c r="J221" s="4"/>
      <c r="K221" s="4"/>
      <c r="L221" s="4"/>
      <c r="M221" s="66"/>
      <c r="N221" s="40"/>
      <c r="O221" s="41"/>
      <c r="P221" s="67"/>
      <c r="Q221" s="68"/>
    </row>
    <row r="222" spans="2:17" ht="18" customHeight="1" x14ac:dyDescent="0.15">
      <c r="B222" s="4"/>
      <c r="C222" s="63"/>
      <c r="D222" s="63"/>
      <c r="E222" s="64"/>
      <c r="F222" s="64"/>
      <c r="G222" s="65"/>
      <c r="H222" s="65"/>
      <c r="I222" s="65"/>
      <c r="J222" s="4"/>
      <c r="K222" s="4"/>
      <c r="L222" s="4"/>
      <c r="M222" s="66"/>
      <c r="N222" s="40"/>
      <c r="O222" s="41"/>
      <c r="P222" s="67"/>
      <c r="Q222" s="68"/>
    </row>
    <row r="223" spans="2:17" ht="18" customHeight="1" x14ac:dyDescent="0.15">
      <c r="B223" s="4"/>
      <c r="C223" s="63"/>
      <c r="D223" s="63"/>
      <c r="E223" s="64"/>
      <c r="F223" s="64"/>
      <c r="G223" s="65"/>
      <c r="H223" s="65"/>
      <c r="I223" s="65"/>
      <c r="J223" s="4"/>
      <c r="K223" s="4"/>
      <c r="L223" s="4"/>
      <c r="M223" s="66"/>
      <c r="N223" s="40"/>
      <c r="O223" s="41"/>
      <c r="P223" s="67"/>
      <c r="Q223" s="68"/>
    </row>
    <row r="224" spans="2:17" ht="18" customHeight="1" x14ac:dyDescent="0.15">
      <c r="B224" s="4"/>
      <c r="C224" s="63"/>
      <c r="D224" s="63"/>
      <c r="E224" s="64"/>
      <c r="F224" s="64"/>
      <c r="G224" s="65"/>
      <c r="H224" s="65"/>
      <c r="I224" s="65"/>
      <c r="J224" s="4"/>
      <c r="K224" s="4"/>
      <c r="L224" s="4"/>
      <c r="M224" s="66"/>
      <c r="N224" s="40"/>
      <c r="O224" s="41"/>
      <c r="P224" s="67"/>
      <c r="Q224" s="68"/>
    </row>
    <row r="225" spans="2:17" ht="18" customHeight="1" x14ac:dyDescent="0.15">
      <c r="B225" s="4"/>
      <c r="C225" s="63"/>
      <c r="D225" s="63"/>
      <c r="E225" s="64"/>
      <c r="F225" s="64"/>
      <c r="G225" s="65"/>
      <c r="H225" s="65"/>
      <c r="I225" s="65"/>
      <c r="J225" s="4"/>
      <c r="K225" s="4"/>
      <c r="L225" s="4"/>
      <c r="M225" s="66"/>
      <c r="N225" s="40"/>
      <c r="O225" s="41"/>
      <c r="P225" s="67"/>
      <c r="Q225" s="68"/>
    </row>
    <row r="226" spans="2:17" ht="18" customHeight="1" x14ac:dyDescent="0.15">
      <c r="B226" s="4"/>
      <c r="C226" s="63"/>
      <c r="D226" s="63"/>
      <c r="E226" s="64"/>
      <c r="F226" s="64"/>
      <c r="G226" s="65"/>
      <c r="H226" s="65"/>
      <c r="I226" s="65"/>
      <c r="J226" s="4"/>
      <c r="K226" s="4"/>
      <c r="L226" s="4"/>
      <c r="M226" s="66"/>
      <c r="N226" s="40"/>
      <c r="O226" s="41"/>
      <c r="P226" s="67"/>
      <c r="Q226" s="68"/>
    </row>
    <row r="227" spans="2:17" ht="18" customHeight="1" x14ac:dyDescent="0.15">
      <c r="B227" s="4"/>
      <c r="C227" s="63"/>
      <c r="D227" s="63"/>
      <c r="E227" s="64"/>
      <c r="F227" s="64"/>
      <c r="G227" s="65"/>
      <c r="H227" s="65"/>
      <c r="I227" s="65"/>
      <c r="J227" s="4"/>
      <c r="K227" s="4"/>
      <c r="L227" s="4"/>
      <c r="M227" s="66"/>
      <c r="N227" s="40"/>
      <c r="O227" s="41"/>
      <c r="P227" s="67"/>
      <c r="Q227" s="68"/>
    </row>
    <row r="228" spans="2:17" ht="18" customHeight="1" x14ac:dyDescent="0.15">
      <c r="B228" s="4"/>
      <c r="C228" s="63"/>
      <c r="D228" s="63"/>
      <c r="E228" s="64"/>
      <c r="F228" s="64"/>
      <c r="G228" s="65"/>
      <c r="H228" s="65"/>
      <c r="I228" s="65"/>
      <c r="J228" s="4"/>
      <c r="K228" s="4"/>
      <c r="L228" s="4"/>
      <c r="M228" s="66"/>
      <c r="N228" s="40"/>
      <c r="O228" s="41"/>
      <c r="P228" s="67"/>
      <c r="Q228" s="68"/>
    </row>
    <row r="229" spans="2:17" ht="18" customHeight="1" x14ac:dyDescent="0.15">
      <c r="B229" s="4"/>
      <c r="C229" s="63"/>
      <c r="D229" s="63"/>
      <c r="E229" s="64"/>
      <c r="F229" s="64"/>
      <c r="G229" s="65"/>
      <c r="H229" s="65"/>
      <c r="I229" s="65"/>
      <c r="J229" s="4"/>
      <c r="K229" s="4"/>
      <c r="L229" s="4"/>
      <c r="M229" s="66"/>
      <c r="N229" s="40"/>
      <c r="O229" s="41"/>
      <c r="P229" s="67"/>
      <c r="Q229" s="68"/>
    </row>
    <row r="230" spans="2:17" ht="18" customHeight="1" x14ac:dyDescent="0.15">
      <c r="B230" s="4"/>
      <c r="C230" s="63"/>
      <c r="D230" s="63"/>
      <c r="E230" s="64"/>
      <c r="F230" s="64"/>
      <c r="G230" s="65"/>
      <c r="H230" s="65"/>
      <c r="I230" s="65"/>
      <c r="J230" s="4"/>
      <c r="K230" s="4"/>
      <c r="L230" s="4"/>
      <c r="M230" s="66"/>
      <c r="N230" s="40"/>
      <c r="O230" s="41"/>
      <c r="P230" s="67"/>
      <c r="Q230" s="68"/>
    </row>
    <row r="231" spans="2:17" ht="18" customHeight="1" x14ac:dyDescent="0.15">
      <c r="B231" s="4"/>
      <c r="C231" s="63"/>
      <c r="D231" s="63"/>
      <c r="E231" s="64"/>
      <c r="F231" s="64"/>
      <c r="G231" s="65"/>
      <c r="H231" s="65"/>
      <c r="I231" s="65"/>
      <c r="J231" s="4"/>
      <c r="K231" s="4"/>
      <c r="L231" s="4"/>
      <c r="M231" s="66"/>
      <c r="N231" s="40"/>
      <c r="O231" s="41"/>
      <c r="P231" s="67"/>
      <c r="Q231" s="68"/>
    </row>
    <row r="232" spans="2:17" ht="18" customHeight="1" x14ac:dyDescent="0.15">
      <c r="B232" s="4"/>
      <c r="C232" s="63"/>
      <c r="D232" s="63"/>
      <c r="E232" s="64"/>
      <c r="F232" s="64"/>
      <c r="G232" s="65"/>
      <c r="H232" s="65"/>
      <c r="I232" s="65"/>
      <c r="J232" s="4"/>
      <c r="K232" s="4"/>
      <c r="L232" s="4"/>
      <c r="M232" s="66"/>
      <c r="N232" s="40"/>
      <c r="O232" s="41"/>
      <c r="P232" s="67"/>
      <c r="Q232" s="68"/>
    </row>
    <row r="233" spans="2:17" ht="18" customHeight="1" x14ac:dyDescent="0.15">
      <c r="B233" s="4"/>
      <c r="C233" s="63"/>
      <c r="D233" s="63"/>
      <c r="E233" s="64"/>
      <c r="F233" s="64"/>
      <c r="G233" s="65"/>
      <c r="H233" s="65"/>
      <c r="I233" s="65"/>
      <c r="J233" s="4"/>
      <c r="K233" s="4"/>
      <c r="L233" s="4"/>
      <c r="M233" s="66"/>
      <c r="N233" s="40"/>
      <c r="O233" s="41"/>
      <c r="P233" s="67"/>
      <c r="Q233" s="68"/>
    </row>
    <row r="234" spans="2:17" ht="18" customHeight="1" x14ac:dyDescent="0.15">
      <c r="B234" s="4"/>
      <c r="C234" s="63"/>
      <c r="D234" s="63"/>
      <c r="E234" s="64"/>
      <c r="F234" s="64"/>
      <c r="G234" s="65"/>
      <c r="H234" s="65"/>
      <c r="I234" s="65"/>
      <c r="J234" s="4"/>
      <c r="K234" s="4"/>
      <c r="L234" s="4"/>
      <c r="M234" s="66"/>
      <c r="N234" s="40"/>
      <c r="O234" s="41"/>
      <c r="P234" s="67"/>
      <c r="Q234" s="68"/>
    </row>
    <row r="235" spans="2:17" ht="18" customHeight="1" x14ac:dyDescent="0.15">
      <c r="B235" s="4"/>
      <c r="C235" s="63"/>
      <c r="D235" s="63"/>
      <c r="E235" s="64"/>
      <c r="F235" s="64"/>
      <c r="G235" s="65"/>
      <c r="H235" s="65"/>
      <c r="I235" s="65"/>
      <c r="J235" s="4"/>
      <c r="K235" s="4"/>
      <c r="L235" s="4"/>
      <c r="M235" s="66"/>
      <c r="N235" s="40"/>
      <c r="O235" s="41"/>
      <c r="P235" s="67"/>
      <c r="Q235" s="68"/>
    </row>
    <row r="236" spans="2:17" ht="18" customHeight="1" x14ac:dyDescent="0.15">
      <c r="B236" s="4"/>
      <c r="C236" s="63"/>
      <c r="D236" s="63"/>
      <c r="E236" s="64"/>
      <c r="F236" s="64"/>
      <c r="G236" s="65"/>
      <c r="H236" s="65"/>
      <c r="I236" s="65"/>
      <c r="J236" s="4"/>
      <c r="K236" s="4"/>
      <c r="L236" s="4"/>
      <c r="M236" s="66"/>
      <c r="N236" s="40"/>
      <c r="O236" s="41"/>
      <c r="P236" s="67"/>
      <c r="Q236" s="68"/>
    </row>
    <row r="237" spans="2:17" ht="18" customHeight="1" x14ac:dyDescent="0.15">
      <c r="M237" s="49"/>
      <c r="Q237" s="22"/>
    </row>
    <row r="238" spans="2:17" x14ac:dyDescent="0.15">
      <c r="Q238" s="22"/>
    </row>
    <row r="239" spans="2:17" x14ac:dyDescent="0.15">
      <c r="Q239" s="22"/>
    </row>
    <row r="240" spans="2:17" x14ac:dyDescent="0.15">
      <c r="Q240" s="22"/>
    </row>
    <row r="241" spans="2:19" x14ac:dyDescent="0.15">
      <c r="Q241" s="22"/>
    </row>
    <row r="242" spans="2:19" x14ac:dyDescent="0.15">
      <c r="Q242" s="22"/>
    </row>
    <row r="243" spans="2:19" x14ac:dyDescent="0.15">
      <c r="Q243" s="22"/>
    </row>
    <row r="244" spans="2:19" x14ac:dyDescent="0.15">
      <c r="Q244" s="22"/>
    </row>
    <row r="245" spans="2:19" x14ac:dyDescent="0.15">
      <c r="Q245" s="22"/>
    </row>
    <row r="246" spans="2:19" x14ac:dyDescent="0.15">
      <c r="Q246" s="22"/>
    </row>
    <row r="247" spans="2:19" x14ac:dyDescent="0.15">
      <c r="Q247" s="22"/>
    </row>
    <row r="248" spans="2:19" x14ac:dyDescent="0.15">
      <c r="Q248" s="22"/>
    </row>
    <row r="249" spans="2:19" x14ac:dyDescent="0.15">
      <c r="Q249" s="22"/>
    </row>
    <row r="255" spans="2:19" x14ac:dyDescent="0.15">
      <c r="G255" s="41"/>
      <c r="H255" s="41"/>
      <c r="I255" s="41"/>
      <c r="J255" s="4"/>
    </row>
    <row r="256" spans="2:19" ht="12.75" customHeight="1" x14ac:dyDescent="0.15">
      <c r="B256" s="4"/>
      <c r="C256" s="40"/>
      <c r="D256" s="40"/>
      <c r="E256" s="37"/>
      <c r="F256" s="38"/>
      <c r="G256" s="118"/>
      <c r="H256" s="118"/>
      <c r="I256" s="41"/>
      <c r="J256" s="4"/>
      <c r="K256" s="37"/>
      <c r="L256" s="4"/>
      <c r="M256" s="4"/>
      <c r="N256" s="40"/>
      <c r="O256" s="41"/>
      <c r="P256" s="82"/>
      <c r="Q256" s="82"/>
      <c r="R256" s="40"/>
      <c r="S256" s="40"/>
    </row>
    <row r="257" spans="2:19" x14ac:dyDescent="0.15">
      <c r="B257" s="4"/>
      <c r="C257" s="40"/>
      <c r="D257" s="40"/>
      <c r="E257" s="4"/>
      <c r="F257" s="4"/>
      <c r="G257" s="41"/>
      <c r="H257" s="41"/>
      <c r="I257" s="41"/>
      <c r="J257" s="4"/>
      <c r="K257" s="4"/>
      <c r="L257" s="4"/>
      <c r="M257" s="4"/>
      <c r="N257" s="40"/>
      <c r="O257" s="41"/>
      <c r="P257" s="82"/>
      <c r="Q257" s="82"/>
      <c r="R257" s="40"/>
      <c r="S257" s="40"/>
    </row>
  </sheetData>
  <autoFilter ref="B10:O255"/>
  <mergeCells count="14">
    <mergeCell ref="C81:D81"/>
    <mergeCell ref="J6:K8"/>
    <mergeCell ref="B7:D7"/>
    <mergeCell ref="B8:D8"/>
    <mergeCell ref="C17:D17"/>
    <mergeCell ref="C44:D44"/>
    <mergeCell ref="C62:D62"/>
    <mergeCell ref="B6:D6"/>
    <mergeCell ref="G6:I8"/>
    <mergeCell ref="B2:D2"/>
    <mergeCell ref="G2:I2"/>
    <mergeCell ref="B4:D4"/>
    <mergeCell ref="G4:I4"/>
    <mergeCell ref="B5:D5"/>
  </mergeCells>
  <phoneticPr fontId="17"/>
  <dataValidations count="1">
    <dataValidation imeMode="hiragana" allowBlank="1" showInputMessage="1" showErrorMessage="1" sqref="J32:J53 J56:J63 E46:E52"/>
  </dataValidation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Sheet1 ()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2011-12-26T07:27:44Z</cp:lastPrinted>
  <dcterms:created xsi:type="dcterms:W3CDTF">2011-12-13T06:48:43Z</dcterms:created>
  <dcterms:modified xsi:type="dcterms:W3CDTF">2014-03-20T08:57:27Z</dcterms:modified>
</cp:coreProperties>
</file>