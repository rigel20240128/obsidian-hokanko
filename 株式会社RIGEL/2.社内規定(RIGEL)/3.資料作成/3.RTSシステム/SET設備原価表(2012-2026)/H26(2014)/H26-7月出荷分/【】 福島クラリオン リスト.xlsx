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4830" windowWidth="19440" windowHeight="489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Sheet1!$B$8:$O$8</definedName>
  </definedNames>
  <calcPr calcId="145621"/>
</workbook>
</file>

<file path=xl/calcChain.xml><?xml version="1.0" encoding="utf-8"?>
<calcChain xmlns="http://schemas.openxmlformats.org/spreadsheetml/2006/main">
  <c r="H13" i="1" l="1"/>
  <c r="H19" i="1" l="1"/>
  <c r="H24" i="1"/>
  <c r="H23" i="1"/>
  <c r="H14" i="1"/>
  <c r="H12" i="1"/>
  <c r="H11" i="1"/>
  <c r="H10" i="1"/>
  <c r="H9" i="1"/>
  <c r="H15" i="1"/>
  <c r="H16" i="1"/>
  <c r="H17" i="1"/>
  <c r="H22" i="1"/>
  <c r="H20" i="1"/>
  <c r="H18" i="1"/>
  <c r="H21" i="1"/>
  <c r="J2" i="1" l="1"/>
</calcChain>
</file>

<file path=xl/sharedStrings.xml><?xml version="1.0" encoding="utf-8"?>
<sst xmlns="http://schemas.openxmlformats.org/spreadsheetml/2006/main" count="96" uniqueCount="65">
  <si>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</si>
  <si>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</si>
  <si>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</si>
  <si>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</si>
  <si>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</si>
  <si>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</si>
  <si>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</si>
  <si>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</si>
  <si>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</si>
  <si>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</si>
  <si>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</si>
  <si>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</si>
  <si>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</si>
  <si>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</si>
  <si>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</si>
  <si>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</si>
  <si>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</si>
  <si>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</si>
  <si>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</si>
  <si>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</si>
  <si>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</si>
  <si>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</si>
  <si>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六角穴付止めネジ</t>
  </si>
  <si>
    <t>ミスミ</t>
  </si>
  <si>
    <t>MSSFS3-4</t>
    <phoneticPr fontId="1"/>
  </si>
  <si>
    <t>SBCB3-5</t>
    <phoneticPr fontId="1"/>
  </si>
  <si>
    <t>六角穴付ボタンネジ</t>
    <phoneticPr fontId="1"/>
  </si>
  <si>
    <t>SCB3-8</t>
    <phoneticPr fontId="1"/>
  </si>
  <si>
    <t>六角穴付ｷｬｯﾌﾟﾈｼﾞ　　M3×8</t>
    <rPh sb="0" eb="2">
      <t>ロッカク</t>
    </rPh>
    <rPh sb="2" eb="3">
      <t>アナ</t>
    </rPh>
    <rPh sb="3" eb="4">
      <t>ツキ</t>
    </rPh>
    <phoneticPr fontId="1"/>
  </si>
  <si>
    <t>ﾉｯｸﾋﾟﾝ　　φ3-10</t>
    <phoneticPr fontId="1"/>
  </si>
  <si>
    <t>MS3-10</t>
    <phoneticPr fontId="1"/>
  </si>
  <si>
    <t>ﾏｸﾞﾈｯﾄ　φ5-10　　丸ﾀｲﾌﾟ</t>
    <rPh sb="14" eb="15">
      <t>マル</t>
    </rPh>
    <phoneticPr fontId="1"/>
  </si>
  <si>
    <t>HXNN5-10</t>
    <phoneticPr fontId="1"/>
  </si>
  <si>
    <t>位置決めﾋﾟﾝ用ﾌﾞｯｼｭ</t>
    <rPh sb="0" eb="2">
      <t>イチ</t>
    </rPh>
    <rPh sb="2" eb="3">
      <t>ギ</t>
    </rPh>
    <rPh sb="7" eb="8">
      <t>ヨウ</t>
    </rPh>
    <phoneticPr fontId="1"/>
  </si>
  <si>
    <t>ヒンジピンツバ付止め輪ﾀｲﾌﾟ</t>
    <rPh sb="7" eb="8">
      <t>ツキ</t>
    </rPh>
    <rPh sb="8" eb="9">
      <t>ト</t>
    </rPh>
    <rPh sb="10" eb="11">
      <t>ワ</t>
    </rPh>
    <phoneticPr fontId="1"/>
  </si>
  <si>
    <t>日本電計㈱（福島ｸﾗﾘｵﾝ）</t>
    <rPh sb="0" eb="2">
      <t>ニホン</t>
    </rPh>
    <rPh sb="2" eb="4">
      <t>デンケイ</t>
    </rPh>
    <rPh sb="6" eb="8">
      <t>フクシマ</t>
    </rPh>
    <phoneticPr fontId="1"/>
  </si>
  <si>
    <t>基板セット冶具カバー</t>
  </si>
  <si>
    <t>基板セット冶具リンクブロック</t>
  </si>
  <si>
    <t>基板セット冶具リンクベース</t>
  </si>
  <si>
    <t>ミスミ</t>
    <phoneticPr fontId="1"/>
  </si>
  <si>
    <t>ミスミ</t>
    <phoneticPr fontId="1"/>
  </si>
  <si>
    <t>基板受け位置合わせﾌﾞﾛｯｸ</t>
    <rPh sb="0" eb="2">
      <t>キバン</t>
    </rPh>
    <rPh sb="2" eb="3">
      <t>ウ</t>
    </rPh>
    <rPh sb="4" eb="6">
      <t>イチ</t>
    </rPh>
    <rPh sb="6" eb="7">
      <t>ア</t>
    </rPh>
    <phoneticPr fontId="1"/>
  </si>
  <si>
    <t>2012年品同じ</t>
    <rPh sb="4" eb="5">
      <t>ネン</t>
    </rPh>
    <rPh sb="5" eb="6">
      <t>ヒン</t>
    </rPh>
    <rPh sb="6" eb="7">
      <t>オナ</t>
    </rPh>
    <phoneticPr fontId="1"/>
  </si>
  <si>
    <t>改良新規</t>
    <rPh sb="0" eb="2">
      <t>カイリョウ</t>
    </rPh>
    <rPh sb="2" eb="4">
      <t>シンキ</t>
    </rPh>
    <phoneticPr fontId="1"/>
  </si>
  <si>
    <t>2014年同じ</t>
    <rPh sb="4" eb="5">
      <t>ネン</t>
    </rPh>
    <rPh sb="5" eb="6">
      <t>オナ</t>
    </rPh>
    <phoneticPr fontId="1"/>
  </si>
  <si>
    <t>2014同じ</t>
    <rPh sb="4" eb="5">
      <t>オナ</t>
    </rPh>
    <phoneticPr fontId="1"/>
  </si>
  <si>
    <t>基板基準ﾌﾞﾛｯｸ</t>
    <phoneticPr fontId="1"/>
  </si>
  <si>
    <t>位置決ﾋﾟﾝ　φ1.92</t>
    <rPh sb="0" eb="2">
      <t>イチ</t>
    </rPh>
    <rPh sb="2" eb="3">
      <t>ギ</t>
    </rPh>
    <phoneticPr fontId="1"/>
  </si>
  <si>
    <t>位置決ﾋﾟﾝ　φ3.92</t>
    <rPh sb="0" eb="2">
      <t>イチ</t>
    </rPh>
    <rPh sb="2" eb="3">
      <t>ギ</t>
    </rPh>
    <phoneticPr fontId="1"/>
  </si>
  <si>
    <t>価格概算</t>
    <rPh sb="0" eb="2">
      <t>カカク</t>
    </rPh>
    <rPh sb="2" eb="4">
      <t>ガイサン</t>
    </rPh>
    <phoneticPr fontId="1"/>
  </si>
  <si>
    <t>CBSTS4-6</t>
    <phoneticPr fontId="1"/>
  </si>
  <si>
    <t>極低頭六角穴付ネジ</t>
    <rPh sb="0" eb="1">
      <t>ゴク</t>
    </rPh>
    <rPh sb="1" eb="3">
      <t>テイトウ</t>
    </rPh>
    <rPh sb="3" eb="5">
      <t>ロッカク</t>
    </rPh>
    <rPh sb="5" eb="6">
      <t>アナ</t>
    </rPh>
    <rPh sb="6" eb="7">
      <t>ツキ</t>
    </rPh>
    <phoneticPr fontId="1"/>
  </si>
  <si>
    <t>FPSA3-P1.92-L5-B2</t>
    <phoneticPr fontId="1"/>
  </si>
  <si>
    <t>X002-2</t>
    <phoneticPr fontId="1"/>
  </si>
  <si>
    <t>基板受け冶具ﾍﾞｰｽ</t>
    <rPh sb="0" eb="2">
      <t>キバン</t>
    </rPh>
    <rPh sb="2" eb="3">
      <t>ウ</t>
    </rPh>
    <rPh sb="4" eb="5">
      <t>ジ</t>
    </rPh>
    <rPh sb="5" eb="6">
      <t>グ</t>
    </rPh>
    <phoneticPr fontId="1"/>
  </si>
  <si>
    <t>X003-4</t>
    <phoneticPr fontId="1"/>
  </si>
  <si>
    <t>X004</t>
    <phoneticPr fontId="1"/>
  </si>
  <si>
    <t>X005</t>
    <phoneticPr fontId="1"/>
  </si>
  <si>
    <t>X006</t>
    <phoneticPr fontId="1"/>
  </si>
  <si>
    <t>X0007-1</t>
    <phoneticPr fontId="1"/>
  </si>
  <si>
    <t>東北ﾏﾃﾘｱﾙ</t>
    <rPh sb="0" eb="2">
      <t>トウホク</t>
    </rPh>
    <phoneticPr fontId="1"/>
  </si>
  <si>
    <t>HCCG3-40</t>
    <phoneticPr fontId="1"/>
  </si>
  <si>
    <t>JBAM8-10</t>
    <phoneticPr fontId="1"/>
  </si>
  <si>
    <t xml:space="preserve">LPESB3-P3.92-B2-G3-L5 </t>
    <phoneticPr fontId="1"/>
  </si>
  <si>
    <t>青木(谷田部）</t>
    <rPh sb="0" eb="2">
      <t>アオキ</t>
    </rPh>
    <rPh sb="3" eb="6">
      <t>ヤタベ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</si>
</sst>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</numFmts>
  <fonts count="13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rgb="FF9C6500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/>
    <xf numFmtId="0" fontId="11" fillId="3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Fill="1" applyBorder="1" applyAlignment="1">
      <alignment horizontal="center" vertical="center" shrinkToFit="1"/>
    </xf>
    <xf numFmtId="0" fontId="0" fillId="0" borderId="1" xfId="0" applyFill="1" applyBorder="1" applyAlignment="1">
      <alignment vertical="center" shrinkToFit="1"/>
    </xf>
    <xf numFmtId="176" fontId="0" fillId="0" borderId="1" xfId="0" applyNumberFormat="1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7" fontId="0" fillId="0" borderId="1" xfId="0" applyNumberFormat="1" applyFill="1" applyBorder="1" applyAlignment="1">
      <alignment horizontal="right" vertical="center"/>
    </xf>
    <xf numFmtId="176" fontId="0" fillId="0" borderId="1" xfId="0" applyNumberFormat="1" applyFill="1" applyBorder="1" applyAlignment="1"/>
    <xf numFmtId="177" fontId="0" fillId="0" borderId="0" xfId="0" applyNumberFormat="1">
      <alignment vertical="center"/>
    </xf>
    <xf numFmtId="0" fontId="0" fillId="0" borderId="1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0" fontId="9" fillId="0" borderId="1" xfId="1" applyFont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0" fontId="8" fillId="0" borderId="1" xfId="1" applyFont="1" applyFill="1" applyBorder="1" applyAlignment="1">
      <alignment vertical="center"/>
    </xf>
    <xf numFmtId="0" fontId="8" fillId="0" borderId="1" xfId="1" applyFont="1" applyFill="1" applyBorder="1" applyAlignment="1">
      <alignment horizontal="left" vertical="center"/>
    </xf>
    <xf numFmtId="0" fontId="5" fillId="0" borderId="1" xfId="1" applyFont="1" applyFill="1" applyBorder="1" applyAlignment="1">
      <alignment vertical="center"/>
    </xf>
    <xf numFmtId="0" fontId="5" fillId="0" borderId="1" xfId="1" applyFill="1" applyBorder="1" applyAlignment="1">
      <alignment horizontal="left" vertical="center"/>
    </xf>
    <xf numFmtId="0" fontId="0" fillId="0" borderId="0" xfId="0" applyFill="1">
      <alignment vertical="center"/>
    </xf>
    <xf numFmtId="0" fontId="6" fillId="0" borderId="1" xfId="1" applyFont="1" applyFill="1" applyBorder="1" applyAlignment="1">
      <alignment horizontal="left" vertical="center"/>
    </xf>
    <xf numFmtId="0" fontId="5" fillId="0" borderId="1" xfId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 shrinkToFit="1"/>
    </xf>
    <xf numFmtId="176" fontId="10" fillId="0" borderId="1" xfId="0" applyNumberFormat="1" applyFont="1" applyFill="1" applyBorder="1" applyAlignment="1">
      <alignment vertical="center"/>
    </xf>
    <xf numFmtId="176" fontId="10" fillId="0" borderId="1" xfId="0" applyNumberFormat="1" applyFont="1" applyFill="1" applyBorder="1" applyAlignment="1"/>
    <xf numFmtId="17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shrinkToFi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56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0" borderId="1" xfId="0" applyNumberFormat="1" applyBorder="1">
      <alignment vertical="center"/>
    </xf>
    <xf numFmtId="0" fontId="5" fillId="0" borderId="1" xfId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vertical="center"/>
    </xf>
    <xf numFmtId="176" fontId="9" fillId="0" borderId="1" xfId="0" applyNumberFormat="1" applyFont="1" applyFill="1" applyBorder="1" applyAlignment="1"/>
    <xf numFmtId="0" fontId="0" fillId="0" borderId="3" xfId="0" applyFill="1" applyBorder="1">
      <alignment vertical="center"/>
    </xf>
    <xf numFmtId="176" fontId="5" fillId="0" borderId="1" xfId="1" applyNumberFormat="1" applyFont="1" applyFill="1" applyBorder="1" applyAlignment="1">
      <alignment vertical="center"/>
    </xf>
    <xf numFmtId="176" fontId="5" fillId="0" borderId="1" xfId="1" applyNumberFormat="1" applyFill="1" applyBorder="1" applyAlignment="1">
      <alignment vertical="center"/>
    </xf>
    <xf numFmtId="176" fontId="8" fillId="0" borderId="1" xfId="1" applyNumberFormat="1" applyFont="1" applyFill="1" applyBorder="1" applyAlignment="1">
      <alignment vertical="center"/>
    </xf>
    <xf numFmtId="176" fontId="0" fillId="0" borderId="1" xfId="0" applyNumberFormat="1" applyBorder="1">
      <alignment vertical="center"/>
    </xf>
    <xf numFmtId="0" fontId="0" fillId="0" borderId="1" xfId="0" applyFill="1" applyBorder="1">
      <alignment vertical="center"/>
    </xf>
    <xf numFmtId="176" fontId="0" fillId="0" borderId="1" xfId="0" applyNumberFormat="1" applyFill="1" applyBorder="1">
      <alignment vertical="center"/>
    </xf>
    <xf numFmtId="3" fontId="12" fillId="0" borderId="1" xfId="2" applyNumberFormat="1" applyFont="1" applyFill="1" applyBorder="1" applyAlignment="1">
      <alignment horizontal="center" vertical="center"/>
    </xf>
    <xf numFmtId="0" fontId="12" fillId="0" borderId="1" xfId="2" applyFont="1" applyFill="1" applyBorder="1" applyAlignment="1">
      <alignment vertical="center" shrinkToFit="1"/>
    </xf>
    <xf numFmtId="0" fontId="12" fillId="0" borderId="1" xfId="2" applyFont="1" applyFill="1" applyBorder="1" applyAlignment="1">
      <alignment horizontal="center" vertical="center"/>
    </xf>
    <xf numFmtId="176" fontId="12" fillId="0" borderId="1" xfId="2" applyNumberFormat="1" applyFont="1" applyFill="1" applyBorder="1">
      <alignment vertical="center"/>
    </xf>
    <xf numFmtId="0" fontId="12" fillId="0" borderId="1" xfId="2" applyFont="1" applyFill="1" applyBorder="1" applyAlignment="1">
      <alignment horizontal="right" vertical="center"/>
    </xf>
    <xf numFmtId="0" fontId="12" fillId="0" borderId="1" xfId="2" applyFont="1" applyFill="1" applyBorder="1" applyAlignment="1">
      <alignment horizontal="left" vertical="center" shrinkToFit="1"/>
    </xf>
    <xf numFmtId="179" fontId="12" fillId="0" borderId="1" xfId="2" applyNumberFormat="1" applyFont="1" applyFill="1" applyBorder="1" applyAlignment="1">
      <alignment horizontal="center" vertical="center"/>
    </xf>
    <xf numFmtId="178" fontId="12" fillId="0" borderId="1" xfId="2" applyNumberFormat="1" applyFont="1" applyFill="1" applyBorder="1" applyAlignment="1">
      <alignment horizontal="center" vertical="center"/>
    </xf>
    <xf numFmtId="0" fontId="12" fillId="0" borderId="0" xfId="2" applyFont="1" applyFill="1" applyAlignment="1">
      <alignment horizontal="center" vertical="center"/>
    </xf>
    <xf numFmtId="0" fontId="0" fillId="0" borderId="1" xfId="0" applyFill="1" applyBorder="1" applyAlignment="1">
      <alignment horizontal="right" vertical="center"/>
    </xf>
    <xf numFmtId="0" fontId="5" fillId="0" borderId="1" xfId="1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8" fontId="0" fillId="0" borderId="0" xfId="0" applyNumberFormat="1">
      <alignment vertical="center"/>
    </xf>
  </cellXfs>
  <cellStyles count="3">
    <cellStyle name="どちらでもない" xfId="2" builtinId="28"/>
    <cellStyle name="標準" xfId="0" builtinId="0"/>
    <cellStyle name="標準_発注管理表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66"/>
  <sheetViews>
    <sheetView tabSelected="1" zoomScale="85" zoomScaleNormal="85" workbookViewId="0">
      <pane xSplit="10" ySplit="8" topLeftCell="N9" activePane="bottomRight" state="frozen"/>
      <selection pane="topRight" activeCell="K1" sqref="K1"/>
      <selection pane="bottomLeft" activeCell="A9" sqref="A9"/>
      <selection pane="bottomRight" activeCell="Q16" sqref="Q16:Q24"/>
    </sheetView>
  </sheetViews>
  <sheetFormatPr defaultRowHeight="13.5" x14ac:dyDescent="0.15"/>
  <cols>
    <col min="1" max="1" width="2.625" customWidth="1"/>
    <col min="2" max="2" width="5.125" style="5" customWidth="1"/>
    <col min="3" max="3" width="12.375" customWidth="1"/>
    <col min="4" max="4" width="12.625" customWidth="1"/>
    <col min="5" max="5" width="33.875" customWidth="1"/>
    <col min="6" max="6" width="8.75" customWidth="1"/>
    <col min="7" max="8" width="9.875" bestFit="1" customWidth="1"/>
    <col min="9" max="9" width="5.75" style="15" customWidth="1"/>
    <col min="10" max="10" width="30.5" customWidth="1"/>
    <col min="11" max="11" width="17.875" customWidth="1"/>
    <col min="12" max="12" width="6.625" style="5" customWidth="1"/>
    <col min="13" max="13" width="13.75" style="5" customWidth="1"/>
    <col min="14" max="14" width="6.375" customWidth="1"/>
    <col min="15" max="15" width="13.25" style="15" customWidth="1"/>
    <col min="16" max="16" width="14.5" style="18" customWidth="1"/>
    <col min="17" max="17" width="15.625" style="70" customWidth="1"/>
  </cols>
  <sheetData>
    <row r="2" spans="2:17" ht="20.100000000000001" customHeight="1" x14ac:dyDescent="0.15">
      <c r="B2" s="66" t="s">
        <v>11</v>
      </c>
      <c r="C2" s="66"/>
      <c r="D2" s="66"/>
      <c r="E2" s="12" t="s">
        <v>35</v>
      </c>
      <c r="G2" s="67" t="s">
        <v>15</v>
      </c>
      <c r="H2" s="68"/>
      <c r="I2" s="69"/>
      <c r="J2" s="14">
        <f>SUM(H:H)</f>
        <v>99170</v>
      </c>
      <c r="K2" s="6"/>
      <c r="L2" s="10"/>
    </row>
    <row r="3" spans="2:17" ht="20.100000000000001" customHeight="1" x14ac:dyDescent="0.15">
      <c r="B3" s="66" t="s">
        <v>10</v>
      </c>
      <c r="C3" s="66"/>
      <c r="D3" s="66"/>
      <c r="E3" s="12" t="s">
        <v>64</v>
      </c>
    </row>
    <row r="4" spans="2:17" ht="20.100000000000001" customHeight="1" x14ac:dyDescent="0.15">
      <c r="B4" s="66" t="s">
        <v>12</v>
      </c>
      <c r="C4" s="66"/>
      <c r="D4" s="66"/>
      <c r="E4" s="12">
        <v>120603</v>
      </c>
    </row>
    <row r="5" spans="2:17" ht="20.100000000000001" customHeight="1" x14ac:dyDescent="0.15">
      <c r="B5" s="66" t="s">
        <v>13</v>
      </c>
      <c r="C5" s="66"/>
      <c r="D5" s="66"/>
      <c r="E5" s="13">
        <v>41834</v>
      </c>
    </row>
    <row r="6" spans="2:17" ht="20.100000000000001" customHeight="1" x14ac:dyDescent="0.15">
      <c r="B6" s="66" t="s">
        <v>14</v>
      </c>
      <c r="C6" s="66"/>
      <c r="D6" s="66"/>
      <c r="E6" s="13"/>
    </row>
    <row r="8" spans="2:17" s="3" customFormat="1" ht="19.5" customHeight="1" x14ac:dyDescent="0.15">
      <c r="B8" s="4" t="s">
        <v>4</v>
      </c>
      <c r="C8" s="4" t="s">
        <v>9</v>
      </c>
      <c r="D8" s="4" t="s">
        <v>5</v>
      </c>
      <c r="E8" s="1" t="s">
        <v>8</v>
      </c>
      <c r="F8" s="1" t="s">
        <v>0</v>
      </c>
      <c r="G8" s="1" t="s">
        <v>1</v>
      </c>
      <c r="H8" s="2" t="s">
        <v>2</v>
      </c>
      <c r="I8" s="2" t="s">
        <v>18</v>
      </c>
      <c r="J8" s="1" t="s">
        <v>3</v>
      </c>
      <c r="K8" s="1" t="s">
        <v>17</v>
      </c>
      <c r="L8" s="1" t="s">
        <v>16</v>
      </c>
      <c r="M8" s="21" t="s">
        <v>6</v>
      </c>
      <c r="N8" s="4" t="s">
        <v>19</v>
      </c>
      <c r="O8" s="1" t="s">
        <v>7</v>
      </c>
      <c r="P8" s="21" t="s">
        <v>20</v>
      </c>
      <c r="Q8" s="20" t="s">
        <v>21</v>
      </c>
    </row>
    <row r="9" spans="2:17" s="63" customFormat="1" ht="19.5" customHeight="1" x14ac:dyDescent="0.15">
      <c r="B9" s="55"/>
      <c r="C9" s="4" t="s">
        <v>60</v>
      </c>
      <c r="D9" s="4" t="s">
        <v>60</v>
      </c>
      <c r="E9" s="56" t="s">
        <v>53</v>
      </c>
      <c r="F9" s="57">
        <v>1</v>
      </c>
      <c r="G9" s="58">
        <v>43500</v>
      </c>
      <c r="H9" s="58">
        <f t="shared" ref="H9:H24" si="0">F9*G9</f>
        <v>43500</v>
      </c>
      <c r="I9" s="59"/>
      <c r="J9" s="60" t="s">
        <v>54</v>
      </c>
      <c r="K9" s="57" t="s">
        <v>43</v>
      </c>
      <c r="L9" s="57"/>
      <c r="M9" s="61">
        <v>41822</v>
      </c>
      <c r="N9" s="55"/>
      <c r="O9" s="57"/>
      <c r="P9" s="61">
        <v>41834</v>
      </c>
      <c r="Q9" s="62"/>
    </row>
    <row r="10" spans="2:17" s="3" customFormat="1" ht="19.5" customHeight="1" x14ac:dyDescent="0.15">
      <c r="B10" s="4"/>
      <c r="C10" s="4" t="s">
        <v>60</v>
      </c>
      <c r="D10" s="4" t="s">
        <v>60</v>
      </c>
      <c r="E10" s="39" t="s">
        <v>55</v>
      </c>
      <c r="F10" s="38">
        <v>1</v>
      </c>
      <c r="G10" s="52">
        <v>7500</v>
      </c>
      <c r="H10" s="52">
        <f t="shared" si="0"/>
        <v>7500</v>
      </c>
      <c r="I10" s="40"/>
      <c r="J10" s="39" t="s">
        <v>36</v>
      </c>
      <c r="K10" s="1" t="s">
        <v>42</v>
      </c>
      <c r="L10" s="1"/>
      <c r="M10" s="61">
        <v>41822</v>
      </c>
      <c r="N10" s="4"/>
      <c r="O10" s="1"/>
      <c r="P10" s="61">
        <v>41834</v>
      </c>
      <c r="Q10" s="20"/>
    </row>
    <row r="11" spans="2:17" s="3" customFormat="1" ht="19.5" customHeight="1" x14ac:dyDescent="0.15">
      <c r="B11" s="4"/>
      <c r="C11" s="4" t="s">
        <v>60</v>
      </c>
      <c r="D11" s="4" t="s">
        <v>60</v>
      </c>
      <c r="E11" s="39" t="s">
        <v>56</v>
      </c>
      <c r="F11" s="38">
        <v>2</v>
      </c>
      <c r="G11" s="52">
        <v>5200</v>
      </c>
      <c r="H11" s="52">
        <f t="shared" si="0"/>
        <v>10400</v>
      </c>
      <c r="I11" s="40"/>
      <c r="J11" s="39" t="s">
        <v>37</v>
      </c>
      <c r="K11" s="1" t="s">
        <v>44</v>
      </c>
      <c r="L11" s="1"/>
      <c r="M11" s="61">
        <v>41822</v>
      </c>
      <c r="N11" s="4"/>
      <c r="O11" s="1"/>
      <c r="P11" s="61">
        <v>41834</v>
      </c>
      <c r="Q11" s="20"/>
    </row>
    <row r="12" spans="2:17" s="3" customFormat="1" ht="19.5" customHeight="1" x14ac:dyDescent="0.15">
      <c r="B12" s="4"/>
      <c r="C12" s="4" t="s">
        <v>60</v>
      </c>
      <c r="D12" s="4" t="s">
        <v>60</v>
      </c>
      <c r="E12" s="39" t="s">
        <v>57</v>
      </c>
      <c r="F12" s="38">
        <v>2</v>
      </c>
      <c r="G12" s="52">
        <v>7200</v>
      </c>
      <c r="H12" s="52">
        <f t="shared" si="0"/>
        <v>14400</v>
      </c>
      <c r="I12" s="40"/>
      <c r="J12" s="39" t="s">
        <v>38</v>
      </c>
      <c r="K12" s="1" t="s">
        <v>44</v>
      </c>
      <c r="L12" s="1"/>
      <c r="M12" s="61">
        <v>41822</v>
      </c>
      <c r="N12" s="4"/>
      <c r="O12" s="1"/>
      <c r="P12" s="61">
        <v>41834</v>
      </c>
      <c r="Q12" s="20"/>
    </row>
    <row r="13" spans="2:17" s="29" customFormat="1" ht="18" customHeight="1" x14ac:dyDescent="0.15">
      <c r="B13" s="4"/>
      <c r="C13" s="4" t="s">
        <v>60</v>
      </c>
      <c r="D13" s="4" t="s">
        <v>60</v>
      </c>
      <c r="E13" s="39" t="s">
        <v>58</v>
      </c>
      <c r="F13" s="38">
        <v>3</v>
      </c>
      <c r="G13" s="52">
        <v>3700</v>
      </c>
      <c r="H13" s="52">
        <f t="shared" ref="H13" si="1">F13*G13</f>
        <v>11100</v>
      </c>
      <c r="I13" s="40"/>
      <c r="J13" s="39" t="s">
        <v>41</v>
      </c>
      <c r="K13" s="1" t="s">
        <v>45</v>
      </c>
      <c r="L13" s="1"/>
      <c r="M13" s="61">
        <v>41822</v>
      </c>
      <c r="N13" s="4"/>
      <c r="O13" s="1"/>
      <c r="P13" s="61">
        <v>41834</v>
      </c>
      <c r="Q13" s="20"/>
    </row>
    <row r="14" spans="2:17" s="29" customFormat="1" ht="18" customHeight="1" x14ac:dyDescent="0.15">
      <c r="B14" s="4"/>
      <c r="C14" s="4" t="s">
        <v>60</v>
      </c>
      <c r="D14" s="4" t="s">
        <v>60</v>
      </c>
      <c r="E14" s="53" t="s">
        <v>59</v>
      </c>
      <c r="F14" s="1">
        <v>1</v>
      </c>
      <c r="G14" s="54">
        <v>4200</v>
      </c>
      <c r="H14" s="54">
        <f>F14*G14</f>
        <v>4200</v>
      </c>
      <c r="I14" s="64"/>
      <c r="J14" s="53" t="s">
        <v>46</v>
      </c>
      <c r="K14" s="1" t="s">
        <v>43</v>
      </c>
      <c r="L14" s="1"/>
      <c r="M14" s="61">
        <v>41822</v>
      </c>
      <c r="N14" s="4"/>
      <c r="O14" s="1"/>
      <c r="P14" s="61">
        <v>41834</v>
      </c>
      <c r="Q14" s="20"/>
    </row>
    <row r="15" spans="2:17" s="3" customFormat="1" ht="19.5" customHeight="1" x14ac:dyDescent="0.15">
      <c r="B15" s="23"/>
      <c r="C15" s="45" t="s">
        <v>39</v>
      </c>
      <c r="D15" s="45" t="s">
        <v>39</v>
      </c>
      <c r="E15" s="27" t="s">
        <v>61</v>
      </c>
      <c r="F15" s="45">
        <v>2</v>
      </c>
      <c r="G15" s="49">
        <v>480</v>
      </c>
      <c r="H15" s="46">
        <f t="shared" si="0"/>
        <v>960</v>
      </c>
      <c r="I15" s="47"/>
      <c r="J15" s="32" t="s">
        <v>34</v>
      </c>
      <c r="K15" s="8"/>
      <c r="L15" s="7"/>
      <c r="M15" s="61">
        <v>41822</v>
      </c>
      <c r="N15" s="11"/>
      <c r="O15" s="16"/>
      <c r="P15" s="21">
        <v>41827</v>
      </c>
      <c r="Q15" s="20">
        <v>41827</v>
      </c>
    </row>
    <row r="16" spans="2:17" s="29" customFormat="1" ht="18" customHeight="1" x14ac:dyDescent="0.15">
      <c r="B16" s="23"/>
      <c r="C16" s="45" t="s">
        <v>40</v>
      </c>
      <c r="D16" s="45" t="s">
        <v>40</v>
      </c>
      <c r="E16" s="27" t="s">
        <v>62</v>
      </c>
      <c r="F16" s="45">
        <v>2</v>
      </c>
      <c r="G16" s="49">
        <v>570</v>
      </c>
      <c r="H16" s="46">
        <f t="shared" si="0"/>
        <v>1140</v>
      </c>
      <c r="I16" s="47"/>
      <c r="J16" s="32" t="s">
        <v>33</v>
      </c>
      <c r="K16" s="8"/>
      <c r="L16" s="7"/>
      <c r="M16" s="61">
        <v>41822</v>
      </c>
      <c r="N16" s="11"/>
      <c r="O16" s="16"/>
      <c r="P16" s="21">
        <v>41827</v>
      </c>
      <c r="Q16" s="20">
        <v>41827</v>
      </c>
    </row>
    <row r="17" spans="2:17" s="29" customFormat="1" ht="18" customHeight="1" x14ac:dyDescent="0.15">
      <c r="B17" s="23"/>
      <c r="C17" s="24" t="s">
        <v>23</v>
      </c>
      <c r="D17" s="24" t="s">
        <v>23</v>
      </c>
      <c r="E17" s="27" t="s">
        <v>32</v>
      </c>
      <c r="F17" s="31">
        <v>2</v>
      </c>
      <c r="G17" s="50">
        <v>370</v>
      </c>
      <c r="H17" s="9">
        <f t="shared" si="0"/>
        <v>740</v>
      </c>
      <c r="I17" s="17"/>
      <c r="J17" s="28" t="s">
        <v>31</v>
      </c>
      <c r="K17" s="8"/>
      <c r="L17" s="7"/>
      <c r="M17" s="61">
        <v>41822</v>
      </c>
      <c r="N17" s="11"/>
      <c r="O17" s="16"/>
      <c r="P17" s="21">
        <v>41827</v>
      </c>
      <c r="Q17" s="20">
        <v>41827</v>
      </c>
    </row>
    <row r="18" spans="2:17" s="29" customFormat="1" ht="18" customHeight="1" x14ac:dyDescent="0.15">
      <c r="B18" s="23"/>
      <c r="C18" s="24" t="s">
        <v>23</v>
      </c>
      <c r="D18" s="24" t="s">
        <v>23</v>
      </c>
      <c r="E18" s="27" t="s">
        <v>25</v>
      </c>
      <c r="F18" s="31">
        <v>4</v>
      </c>
      <c r="G18" s="50">
        <v>29</v>
      </c>
      <c r="H18" s="9">
        <f t="shared" si="0"/>
        <v>116</v>
      </c>
      <c r="I18" s="17"/>
      <c r="J18" s="28" t="s">
        <v>26</v>
      </c>
      <c r="K18" s="8"/>
      <c r="L18" s="7"/>
      <c r="M18" s="61">
        <v>41822</v>
      </c>
      <c r="N18" s="11"/>
      <c r="O18" s="16"/>
      <c r="P18" s="21">
        <v>41827</v>
      </c>
      <c r="Q18" s="20">
        <v>41827</v>
      </c>
    </row>
    <row r="19" spans="2:17" s="29" customFormat="1" ht="18" customHeight="1" x14ac:dyDescent="0.15">
      <c r="B19" s="23"/>
      <c r="C19" s="24" t="s">
        <v>23</v>
      </c>
      <c r="D19" s="24" t="s">
        <v>23</v>
      </c>
      <c r="E19" s="27" t="s">
        <v>50</v>
      </c>
      <c r="F19" s="31">
        <v>5</v>
      </c>
      <c r="G19" s="50">
        <v>140</v>
      </c>
      <c r="H19" s="9">
        <f>F19*G19</f>
        <v>700</v>
      </c>
      <c r="I19" s="17"/>
      <c r="J19" s="28" t="s">
        <v>51</v>
      </c>
      <c r="K19" s="8"/>
      <c r="L19" s="7"/>
      <c r="M19" s="61">
        <v>41822</v>
      </c>
      <c r="N19" s="11"/>
      <c r="O19" s="16"/>
      <c r="P19" s="21">
        <v>41827</v>
      </c>
      <c r="Q19" s="20">
        <v>41827</v>
      </c>
    </row>
    <row r="20" spans="2:17" s="29" customFormat="1" ht="18" customHeight="1" x14ac:dyDescent="0.15">
      <c r="B20" s="23"/>
      <c r="C20" s="24" t="s">
        <v>23</v>
      </c>
      <c r="D20" s="24" t="s">
        <v>23</v>
      </c>
      <c r="E20" s="27" t="s">
        <v>27</v>
      </c>
      <c r="F20" s="31">
        <v>4</v>
      </c>
      <c r="G20" s="50">
        <v>70</v>
      </c>
      <c r="H20" s="9">
        <f t="shared" si="0"/>
        <v>280</v>
      </c>
      <c r="I20" s="17"/>
      <c r="J20" s="28" t="s">
        <v>28</v>
      </c>
      <c r="K20" s="8"/>
      <c r="L20" s="7"/>
      <c r="M20" s="61">
        <v>41822</v>
      </c>
      <c r="N20" s="11"/>
      <c r="O20" s="16"/>
      <c r="P20" s="21">
        <v>41827</v>
      </c>
      <c r="Q20" s="20">
        <v>41827</v>
      </c>
    </row>
    <row r="21" spans="2:17" s="29" customFormat="1" ht="18" customHeight="1" x14ac:dyDescent="0.15">
      <c r="B21" s="23"/>
      <c r="C21" s="24" t="s">
        <v>23</v>
      </c>
      <c r="D21" s="24" t="s">
        <v>23</v>
      </c>
      <c r="E21" s="27" t="s">
        <v>24</v>
      </c>
      <c r="F21" s="31">
        <v>4</v>
      </c>
      <c r="G21" s="50">
        <v>106</v>
      </c>
      <c r="H21" s="9">
        <f t="shared" si="0"/>
        <v>424</v>
      </c>
      <c r="I21" s="17"/>
      <c r="J21" s="28" t="s">
        <v>22</v>
      </c>
      <c r="K21" s="8"/>
      <c r="L21" s="7"/>
      <c r="M21" s="61">
        <v>41822</v>
      </c>
      <c r="N21" s="11"/>
      <c r="O21" s="16"/>
      <c r="P21" s="21">
        <v>41827</v>
      </c>
      <c r="Q21" s="20">
        <v>41827</v>
      </c>
    </row>
    <row r="22" spans="2:17" s="29" customFormat="1" ht="18" customHeight="1" x14ac:dyDescent="0.15">
      <c r="B22" s="23"/>
      <c r="C22" s="24" t="s">
        <v>23</v>
      </c>
      <c r="D22" s="24" t="s">
        <v>23</v>
      </c>
      <c r="E22" s="27" t="s">
        <v>30</v>
      </c>
      <c r="F22" s="31">
        <v>10</v>
      </c>
      <c r="G22" s="50">
        <v>69</v>
      </c>
      <c r="H22" s="9">
        <f t="shared" si="0"/>
        <v>690</v>
      </c>
      <c r="I22" s="17"/>
      <c r="J22" s="28" t="s">
        <v>29</v>
      </c>
      <c r="K22" s="8"/>
      <c r="L22" s="7"/>
      <c r="M22" s="61">
        <v>41822</v>
      </c>
      <c r="N22" s="11"/>
      <c r="O22" s="16"/>
      <c r="P22" s="21">
        <v>41827</v>
      </c>
      <c r="Q22" s="20">
        <v>41827</v>
      </c>
    </row>
    <row r="23" spans="2:17" s="29" customFormat="1" ht="18" customHeight="1" x14ac:dyDescent="0.15">
      <c r="B23" s="23"/>
      <c r="C23" s="24" t="s">
        <v>23</v>
      </c>
      <c r="D23" s="24" t="s">
        <v>23</v>
      </c>
      <c r="E23" s="27" t="s">
        <v>52</v>
      </c>
      <c r="F23" s="31">
        <v>2</v>
      </c>
      <c r="G23" s="50">
        <v>710</v>
      </c>
      <c r="H23" s="9">
        <f t="shared" si="0"/>
        <v>1420</v>
      </c>
      <c r="I23" s="17"/>
      <c r="J23" s="32" t="s">
        <v>47</v>
      </c>
      <c r="K23" s="8" t="s">
        <v>49</v>
      </c>
      <c r="L23" s="7"/>
      <c r="M23" s="61">
        <v>41822</v>
      </c>
      <c r="N23" s="11"/>
      <c r="O23" s="16"/>
      <c r="P23" s="21">
        <v>41827</v>
      </c>
      <c r="Q23" s="20">
        <v>41827</v>
      </c>
    </row>
    <row r="24" spans="2:17" s="29" customFormat="1" ht="18" customHeight="1" x14ac:dyDescent="0.15">
      <c r="B24" s="23"/>
      <c r="C24" s="24" t="s">
        <v>23</v>
      </c>
      <c r="D24" s="24" t="s">
        <v>23</v>
      </c>
      <c r="E24" s="65" t="s">
        <v>63</v>
      </c>
      <c r="F24" s="31">
        <v>2</v>
      </c>
      <c r="G24" s="50">
        <v>800</v>
      </c>
      <c r="H24" s="9">
        <f t="shared" si="0"/>
        <v>1600</v>
      </c>
      <c r="I24" s="17"/>
      <c r="J24" s="32" t="s">
        <v>48</v>
      </c>
      <c r="K24" s="8" t="s">
        <v>49</v>
      </c>
      <c r="L24" s="7"/>
      <c r="M24" s="61">
        <v>41822</v>
      </c>
      <c r="N24" s="11"/>
      <c r="O24" s="16"/>
      <c r="P24" s="21">
        <v>41827</v>
      </c>
      <c r="Q24" s="20">
        <v>41827</v>
      </c>
    </row>
    <row r="25" spans="2:17" s="29" customFormat="1" ht="18" customHeight="1" x14ac:dyDescent="0.15">
      <c r="B25" s="23"/>
      <c r="C25" s="45"/>
      <c r="D25" s="45"/>
      <c r="E25" s="27"/>
      <c r="F25" s="45"/>
      <c r="G25" s="49"/>
      <c r="H25" s="46"/>
      <c r="I25" s="47"/>
      <c r="J25" s="32"/>
      <c r="K25" s="8"/>
      <c r="L25" s="7"/>
      <c r="M25" s="21"/>
      <c r="N25" s="11"/>
      <c r="O25" s="16"/>
      <c r="P25" s="21"/>
      <c r="Q25" s="20"/>
    </row>
    <row r="26" spans="2:17" s="29" customFormat="1" ht="18" customHeight="1" x14ac:dyDescent="0.15">
      <c r="B26" s="23"/>
      <c r="C26" s="45"/>
      <c r="D26" s="45"/>
      <c r="E26" s="27"/>
      <c r="F26" s="45"/>
      <c r="G26" s="49"/>
      <c r="H26" s="46"/>
      <c r="I26" s="47"/>
      <c r="J26" s="32"/>
      <c r="K26" s="8"/>
      <c r="L26" s="7"/>
      <c r="M26" s="21"/>
      <c r="N26" s="11"/>
      <c r="O26" s="16"/>
      <c r="P26" s="21"/>
      <c r="Q26" s="20"/>
    </row>
    <row r="27" spans="2:17" s="29" customFormat="1" ht="18" customHeight="1" x14ac:dyDescent="0.15">
      <c r="B27" s="23"/>
      <c r="C27" s="45"/>
      <c r="D27" s="45"/>
      <c r="E27" s="27"/>
      <c r="F27" s="45"/>
      <c r="G27" s="49"/>
      <c r="H27" s="46"/>
      <c r="I27" s="47"/>
      <c r="J27" s="32"/>
      <c r="K27" s="8"/>
      <c r="L27" s="7"/>
      <c r="M27" s="21"/>
      <c r="N27" s="11"/>
      <c r="O27" s="16"/>
      <c r="P27" s="21"/>
      <c r="Q27" s="20"/>
    </row>
    <row r="28" spans="2:17" s="29" customFormat="1" ht="18" customHeight="1" x14ac:dyDescent="0.15">
      <c r="B28" s="23"/>
      <c r="C28" s="24"/>
      <c r="D28" s="24"/>
      <c r="E28" s="25"/>
      <c r="F28" s="24"/>
      <c r="G28" s="51"/>
      <c r="H28" s="34"/>
      <c r="I28" s="35"/>
      <c r="J28" s="26"/>
      <c r="K28" s="8"/>
      <c r="L28" s="7"/>
      <c r="M28" s="21"/>
      <c r="N28" s="11"/>
      <c r="O28" s="16"/>
      <c r="P28" s="21"/>
      <c r="Q28" s="20"/>
    </row>
    <row r="29" spans="2:17" s="29" customFormat="1" ht="18" customHeight="1" x14ac:dyDescent="0.15">
      <c r="B29" s="23"/>
      <c r="C29" s="31"/>
      <c r="D29" s="31"/>
      <c r="E29" s="27"/>
      <c r="F29" s="31"/>
      <c r="G29" s="50"/>
      <c r="H29" s="9"/>
      <c r="I29" s="17"/>
      <c r="J29" s="32"/>
      <c r="K29" s="8"/>
      <c r="L29" s="7"/>
      <c r="M29" s="21"/>
      <c r="N29" s="11"/>
      <c r="O29" s="16"/>
      <c r="P29" s="21"/>
      <c r="Q29" s="20"/>
    </row>
    <row r="30" spans="2:17" s="29" customFormat="1" ht="18" customHeight="1" x14ac:dyDescent="0.15">
      <c r="B30" s="23"/>
      <c r="C30" s="31"/>
      <c r="D30" s="31"/>
      <c r="E30" s="27"/>
      <c r="F30" s="31"/>
      <c r="G30" s="50"/>
      <c r="H30" s="9"/>
      <c r="I30" s="17"/>
      <c r="J30" s="32"/>
      <c r="K30" s="8"/>
      <c r="L30" s="7"/>
      <c r="M30" s="21"/>
      <c r="N30" s="11"/>
      <c r="O30" s="16"/>
      <c r="P30" s="21"/>
      <c r="Q30" s="20"/>
    </row>
    <row r="31" spans="2:17" s="29" customFormat="1" ht="18" customHeight="1" x14ac:dyDescent="0.15">
      <c r="B31" s="23"/>
      <c r="C31" s="31"/>
      <c r="D31" s="31"/>
      <c r="E31" s="32"/>
      <c r="F31" s="31"/>
      <c r="G31" s="50"/>
      <c r="H31" s="9"/>
      <c r="I31" s="17"/>
      <c r="J31" s="32"/>
      <c r="K31" s="8"/>
      <c r="L31" s="7"/>
      <c r="M31" s="21"/>
      <c r="N31" s="11"/>
      <c r="O31" s="16"/>
      <c r="P31" s="21"/>
      <c r="Q31" s="20"/>
    </row>
    <row r="32" spans="2:17" s="29" customFormat="1" ht="18" customHeight="1" x14ac:dyDescent="0.15">
      <c r="B32" s="23"/>
      <c r="C32" s="31"/>
      <c r="D32" s="31"/>
      <c r="E32" s="27"/>
      <c r="F32" s="31"/>
      <c r="G32" s="50"/>
      <c r="H32" s="9"/>
      <c r="I32" s="17"/>
      <c r="J32" s="32"/>
      <c r="K32" s="8"/>
      <c r="L32" s="7"/>
      <c r="M32" s="21"/>
      <c r="N32" s="11"/>
      <c r="O32" s="16"/>
      <c r="P32" s="21"/>
      <c r="Q32" s="20"/>
    </row>
    <row r="33" spans="2:17" s="29" customFormat="1" ht="18" customHeight="1" x14ac:dyDescent="0.15">
      <c r="B33" s="23"/>
      <c r="C33" s="31"/>
      <c r="D33" s="31"/>
      <c r="E33" s="27"/>
      <c r="F33" s="31"/>
      <c r="G33" s="50"/>
      <c r="H33" s="9"/>
      <c r="I33" s="17"/>
      <c r="J33" s="32"/>
      <c r="K33" s="8"/>
      <c r="L33" s="7"/>
      <c r="M33" s="21"/>
      <c r="N33" s="11"/>
      <c r="O33" s="16"/>
      <c r="P33" s="21"/>
      <c r="Q33" s="20"/>
    </row>
    <row r="34" spans="2:17" s="29" customFormat="1" ht="18" customHeight="1" x14ac:dyDescent="0.15">
      <c r="B34" s="23"/>
      <c r="C34" s="31"/>
      <c r="D34" s="31"/>
      <c r="E34" s="27"/>
      <c r="F34" s="31"/>
      <c r="G34" s="50"/>
      <c r="H34" s="9"/>
      <c r="I34" s="17"/>
      <c r="J34" s="32"/>
      <c r="K34" s="8"/>
      <c r="L34" s="7"/>
      <c r="M34" s="21"/>
      <c r="N34" s="11"/>
      <c r="O34" s="16"/>
      <c r="P34" s="21"/>
      <c r="Q34" s="20"/>
    </row>
    <row r="35" spans="2:17" s="29" customFormat="1" ht="18" customHeight="1" x14ac:dyDescent="0.15">
      <c r="B35" s="23"/>
      <c r="C35" s="31"/>
      <c r="D35" s="31"/>
      <c r="E35" s="27"/>
      <c r="F35" s="31"/>
      <c r="G35" s="50"/>
      <c r="H35" s="9"/>
      <c r="I35" s="17"/>
      <c r="J35" s="32"/>
      <c r="K35" s="8"/>
      <c r="L35" s="7"/>
      <c r="M35" s="21"/>
      <c r="N35" s="11"/>
      <c r="O35" s="16"/>
      <c r="P35" s="21"/>
      <c r="Q35" s="20"/>
    </row>
    <row r="36" spans="2:17" s="29" customFormat="1" ht="18" customHeight="1" x14ac:dyDescent="0.15">
      <c r="B36" s="23"/>
      <c r="C36" s="31"/>
      <c r="D36" s="31"/>
      <c r="E36" s="27"/>
      <c r="F36" s="31"/>
      <c r="G36" s="50"/>
      <c r="H36" s="9"/>
      <c r="I36" s="17"/>
      <c r="J36" s="32"/>
      <c r="K36" s="8"/>
      <c r="L36" s="7"/>
      <c r="M36" s="21"/>
      <c r="N36" s="11"/>
      <c r="O36" s="16"/>
      <c r="P36" s="21"/>
      <c r="Q36" s="20"/>
    </row>
    <row r="37" spans="2:17" s="29" customFormat="1" ht="18" customHeight="1" x14ac:dyDescent="0.15">
      <c r="B37" s="23"/>
      <c r="C37" s="31"/>
      <c r="D37" s="31"/>
      <c r="E37" s="27"/>
      <c r="F37" s="31"/>
      <c r="G37" s="50"/>
      <c r="H37" s="9"/>
      <c r="I37" s="17"/>
      <c r="J37" s="32"/>
      <c r="K37" s="8"/>
      <c r="L37" s="7"/>
      <c r="M37" s="21"/>
      <c r="N37" s="11"/>
      <c r="O37" s="16"/>
      <c r="P37" s="21"/>
      <c r="Q37" s="20"/>
    </row>
    <row r="38" spans="2:17" s="29" customFormat="1" ht="18" customHeight="1" x14ac:dyDescent="0.15">
      <c r="B38" s="23"/>
      <c r="C38" s="31"/>
      <c r="D38" s="31"/>
      <c r="E38" s="27"/>
      <c r="F38" s="31"/>
      <c r="G38" s="50"/>
      <c r="H38" s="9"/>
      <c r="I38" s="17"/>
      <c r="J38" s="32"/>
      <c r="K38" s="8"/>
      <c r="L38" s="7"/>
      <c r="M38" s="21"/>
      <c r="N38" s="11"/>
      <c r="O38" s="16"/>
      <c r="P38" s="21"/>
      <c r="Q38" s="20"/>
    </row>
    <row r="39" spans="2:17" s="29" customFormat="1" ht="18" customHeight="1" x14ac:dyDescent="0.15">
      <c r="B39" s="23"/>
      <c r="C39" s="4"/>
      <c r="D39" s="4"/>
      <c r="E39" s="27"/>
      <c r="F39" s="31"/>
      <c r="G39" s="50"/>
      <c r="H39" s="9"/>
      <c r="I39" s="17"/>
      <c r="J39" s="32"/>
      <c r="K39" s="8"/>
      <c r="L39" s="7"/>
      <c r="M39" s="21"/>
      <c r="N39" s="11"/>
      <c r="O39" s="16"/>
      <c r="P39" s="21"/>
      <c r="Q39" s="20"/>
    </row>
    <row r="40" spans="2:17" s="29" customFormat="1" ht="18" customHeight="1" x14ac:dyDescent="0.15">
      <c r="B40" s="23"/>
      <c r="C40" s="31"/>
      <c r="D40" s="31"/>
      <c r="E40" s="27"/>
      <c r="F40" s="31"/>
      <c r="G40" s="50"/>
      <c r="H40" s="9"/>
      <c r="I40" s="17"/>
      <c r="J40" s="32"/>
      <c r="K40" s="8"/>
      <c r="L40" s="7"/>
      <c r="M40" s="21"/>
      <c r="N40" s="11"/>
      <c r="O40" s="16"/>
      <c r="P40" s="21"/>
      <c r="Q40" s="20"/>
    </row>
    <row r="41" spans="2:17" s="29" customFormat="1" ht="18" customHeight="1" x14ac:dyDescent="0.15">
      <c r="B41" s="23"/>
      <c r="C41" s="45"/>
      <c r="D41" s="45"/>
      <c r="E41" s="27"/>
      <c r="F41" s="45"/>
      <c r="G41" s="49"/>
      <c r="H41" s="46"/>
      <c r="I41" s="47"/>
      <c r="J41" s="32"/>
      <c r="K41" s="8"/>
      <c r="L41" s="7"/>
      <c r="M41" s="21"/>
      <c r="N41" s="11"/>
      <c r="O41" s="16"/>
      <c r="P41" s="21"/>
      <c r="Q41" s="20"/>
    </row>
    <row r="42" spans="2:17" s="29" customFormat="1" ht="18" customHeight="1" x14ac:dyDescent="0.15">
      <c r="B42" s="23"/>
      <c r="C42" s="45"/>
      <c r="D42" s="45"/>
      <c r="E42" s="27"/>
      <c r="F42" s="31"/>
      <c r="G42" s="50"/>
      <c r="H42" s="46"/>
      <c r="I42" s="17"/>
      <c r="J42" s="32"/>
      <c r="K42" s="8"/>
      <c r="L42" s="7"/>
      <c r="M42" s="21"/>
      <c r="N42" s="11"/>
      <c r="O42" s="16"/>
      <c r="P42" s="21"/>
      <c r="Q42" s="20"/>
    </row>
    <row r="43" spans="2:17" s="29" customFormat="1" ht="18" customHeight="1" x14ac:dyDescent="0.15">
      <c r="B43" s="23"/>
      <c r="C43" s="45"/>
      <c r="D43" s="45"/>
      <c r="E43" s="27"/>
      <c r="F43" s="31"/>
      <c r="G43" s="50"/>
      <c r="H43" s="46"/>
      <c r="I43" s="17"/>
      <c r="J43" s="32"/>
      <c r="K43" s="8"/>
      <c r="L43" s="7"/>
      <c r="M43" s="21"/>
      <c r="N43" s="11"/>
      <c r="O43" s="16"/>
      <c r="P43" s="21"/>
      <c r="Q43" s="20"/>
    </row>
    <row r="44" spans="2:17" s="29" customFormat="1" ht="18" customHeight="1" x14ac:dyDescent="0.15">
      <c r="B44" s="23"/>
      <c r="C44" s="45"/>
      <c r="D44" s="45"/>
      <c r="E44" s="27"/>
      <c r="F44" s="31"/>
      <c r="G44" s="50"/>
      <c r="H44" s="46"/>
      <c r="I44" s="17"/>
      <c r="J44" s="32"/>
      <c r="K44" s="8"/>
      <c r="L44" s="7"/>
      <c r="M44" s="21"/>
      <c r="N44" s="11"/>
      <c r="O44" s="16"/>
      <c r="P44" s="21"/>
      <c r="Q44" s="20"/>
    </row>
    <row r="45" spans="2:17" s="29" customFormat="1" ht="18" customHeight="1" x14ac:dyDescent="0.15">
      <c r="B45" s="23"/>
      <c r="C45" s="45"/>
      <c r="D45" s="45"/>
      <c r="E45" s="27"/>
      <c r="F45" s="31"/>
      <c r="G45" s="50"/>
      <c r="H45" s="46"/>
      <c r="I45" s="17"/>
      <c r="J45" s="28"/>
      <c r="K45" s="8"/>
      <c r="L45" s="7"/>
      <c r="M45" s="21"/>
      <c r="N45" s="11"/>
      <c r="O45" s="16"/>
      <c r="P45" s="21"/>
      <c r="Q45" s="20"/>
    </row>
    <row r="46" spans="2:17" s="29" customFormat="1" ht="18" customHeight="1" x14ac:dyDescent="0.15">
      <c r="B46" s="23"/>
      <c r="C46" s="45"/>
      <c r="D46" s="45"/>
      <c r="E46" s="27"/>
      <c r="F46" s="31"/>
      <c r="G46" s="50"/>
      <c r="H46" s="46"/>
      <c r="I46" s="17"/>
      <c r="J46" s="28"/>
      <c r="K46" s="8"/>
      <c r="L46" s="7"/>
      <c r="M46" s="21"/>
      <c r="N46" s="11"/>
      <c r="O46" s="16"/>
      <c r="P46" s="21"/>
      <c r="Q46" s="20"/>
    </row>
    <row r="47" spans="2:17" s="29" customFormat="1" ht="18" customHeight="1" x14ac:dyDescent="0.15">
      <c r="B47" s="23"/>
      <c r="C47" s="45"/>
      <c r="D47" s="45"/>
      <c r="E47" s="27"/>
      <c r="F47" s="31"/>
      <c r="G47" s="50"/>
      <c r="H47" s="46"/>
      <c r="I47" s="17"/>
      <c r="J47" s="28"/>
      <c r="K47" s="8"/>
      <c r="L47" s="7"/>
      <c r="M47" s="21"/>
      <c r="N47" s="11"/>
      <c r="O47" s="16"/>
      <c r="P47" s="21"/>
      <c r="Q47" s="20"/>
    </row>
    <row r="48" spans="2:17" s="29" customFormat="1" ht="18" customHeight="1" x14ac:dyDescent="0.15">
      <c r="B48" s="23"/>
      <c r="C48" s="45"/>
      <c r="D48" s="45"/>
      <c r="E48" s="27"/>
      <c r="F48" s="31"/>
      <c r="G48" s="50"/>
      <c r="H48" s="9"/>
      <c r="I48" s="17"/>
      <c r="J48" s="30"/>
      <c r="K48" s="8"/>
      <c r="L48" s="7"/>
      <c r="M48" s="21"/>
      <c r="N48" s="11"/>
      <c r="O48" s="16"/>
      <c r="P48" s="21"/>
      <c r="Q48" s="20"/>
    </row>
    <row r="49" spans="2:17" s="29" customFormat="1" ht="18" customHeight="1" x14ac:dyDescent="0.15">
      <c r="B49" s="23"/>
      <c r="C49" s="31"/>
      <c r="D49" s="31"/>
      <c r="E49" s="27"/>
      <c r="F49" s="31"/>
      <c r="G49" s="50"/>
      <c r="H49" s="9"/>
      <c r="I49" s="17"/>
      <c r="J49" s="28"/>
      <c r="K49" s="8"/>
      <c r="L49" s="7"/>
      <c r="M49" s="21"/>
      <c r="N49" s="11"/>
      <c r="O49" s="16"/>
      <c r="P49" s="21"/>
      <c r="Q49" s="20"/>
    </row>
    <row r="50" spans="2:17" ht="18" customHeight="1" x14ac:dyDescent="0.15">
      <c r="B50" s="1"/>
      <c r="C50" s="4"/>
      <c r="D50" s="4"/>
      <c r="E50" s="8"/>
      <c r="F50" s="36"/>
      <c r="G50" s="9"/>
      <c r="H50" s="9"/>
      <c r="I50" s="17"/>
      <c r="J50" s="8"/>
      <c r="K50" s="8"/>
      <c r="L50" s="7"/>
      <c r="M50" s="21"/>
      <c r="N50" s="11"/>
      <c r="O50" s="16"/>
      <c r="P50" s="21"/>
      <c r="Q50" s="20"/>
    </row>
    <row r="51" spans="2:17" ht="18" customHeight="1" x14ac:dyDescent="0.15">
      <c r="B51" s="19"/>
      <c r="C51" s="19"/>
      <c r="D51" s="19"/>
      <c r="E51" s="8"/>
      <c r="F51" s="36"/>
      <c r="G51" s="9"/>
      <c r="H51" s="9"/>
      <c r="I51" s="17"/>
      <c r="J51" s="22"/>
      <c r="K51" s="8"/>
      <c r="L51" s="7"/>
      <c r="M51" s="21"/>
      <c r="N51" s="11"/>
      <c r="O51" s="16"/>
      <c r="P51" s="21"/>
      <c r="Q51" s="20"/>
    </row>
    <row r="52" spans="2:17" ht="18" customHeight="1" x14ac:dyDescent="0.15">
      <c r="B52" s="19"/>
      <c r="C52" s="19"/>
      <c r="D52" s="19"/>
      <c r="E52" s="8"/>
      <c r="F52" s="9"/>
      <c r="G52" s="9"/>
      <c r="H52" s="9"/>
      <c r="I52" s="17"/>
      <c r="J52" s="22"/>
      <c r="K52" s="8"/>
      <c r="L52" s="7"/>
      <c r="M52" s="21"/>
      <c r="N52" s="11"/>
      <c r="O52" s="16"/>
      <c r="P52" s="21"/>
      <c r="Q52" s="20"/>
    </row>
    <row r="53" spans="2:17" ht="18" customHeight="1" x14ac:dyDescent="0.15">
      <c r="B53" s="38"/>
      <c r="C53" s="45"/>
      <c r="D53" s="45"/>
      <c r="E53" s="27"/>
      <c r="F53" s="45"/>
      <c r="G53" s="49"/>
      <c r="H53" s="46"/>
      <c r="I53" s="47"/>
      <c r="J53" s="32"/>
      <c r="K53" s="8"/>
      <c r="L53" s="7"/>
      <c r="M53" s="21"/>
      <c r="N53" s="39"/>
      <c r="O53" s="40"/>
      <c r="P53" s="42"/>
      <c r="Q53" s="43"/>
    </row>
    <row r="54" spans="2:17" ht="18" customHeight="1" x14ac:dyDescent="0.15">
      <c r="B54" s="38"/>
      <c r="C54" s="45"/>
      <c r="D54" s="45"/>
      <c r="E54" s="27"/>
      <c r="F54" s="45"/>
      <c r="G54" s="49"/>
      <c r="H54" s="46"/>
      <c r="I54" s="47"/>
      <c r="J54" s="32"/>
      <c r="K54" s="8"/>
      <c r="L54" s="7"/>
      <c r="M54" s="21"/>
      <c r="N54" s="39"/>
      <c r="O54" s="40"/>
      <c r="P54" s="42"/>
      <c r="Q54" s="44"/>
    </row>
    <row r="55" spans="2:17" ht="18" customHeight="1" x14ac:dyDescent="0.15">
      <c r="B55" s="38"/>
      <c r="C55" s="38"/>
      <c r="D55" s="38"/>
      <c r="E55" s="39"/>
      <c r="F55" s="38"/>
      <c r="G55" s="52"/>
      <c r="H55" s="52"/>
      <c r="I55" s="40"/>
      <c r="J55" s="39"/>
      <c r="K55" s="39"/>
      <c r="L55" s="38"/>
      <c r="M55" s="21"/>
      <c r="N55" s="39"/>
      <c r="O55" s="40"/>
      <c r="P55" s="42"/>
      <c r="Q55" s="43"/>
    </row>
    <row r="56" spans="2:17" ht="18" customHeight="1" x14ac:dyDescent="0.15">
      <c r="B56" s="38"/>
      <c r="C56" s="38"/>
      <c r="D56" s="38"/>
      <c r="E56" s="8"/>
      <c r="F56" s="38"/>
      <c r="G56" s="52"/>
      <c r="H56" s="52"/>
      <c r="I56" s="40"/>
      <c r="J56" s="37"/>
      <c r="K56" s="39"/>
      <c r="L56" s="38"/>
      <c r="M56" s="21"/>
      <c r="N56" s="39"/>
      <c r="O56" s="40"/>
      <c r="P56" s="42"/>
      <c r="Q56" s="43"/>
    </row>
    <row r="57" spans="2:17" ht="18" customHeight="1" x14ac:dyDescent="0.15">
      <c r="B57" s="38"/>
      <c r="C57" s="38"/>
      <c r="D57" s="38"/>
      <c r="E57" s="39"/>
      <c r="F57" s="38"/>
      <c r="G57" s="52"/>
      <c r="H57" s="52"/>
      <c r="I57" s="40"/>
      <c r="J57" s="39"/>
      <c r="K57" s="39"/>
      <c r="L57" s="38"/>
      <c r="M57" s="21"/>
      <c r="N57" s="39"/>
      <c r="O57" s="40"/>
      <c r="P57" s="42"/>
      <c r="Q57" s="43"/>
    </row>
    <row r="58" spans="2:17" ht="18" customHeight="1" x14ac:dyDescent="0.15">
      <c r="B58" s="38"/>
      <c r="C58" s="38"/>
      <c r="D58" s="38"/>
      <c r="E58" s="39"/>
      <c r="F58" s="38"/>
      <c r="G58" s="52"/>
      <c r="H58" s="52"/>
      <c r="I58" s="40"/>
      <c r="J58" s="39"/>
      <c r="K58" s="39"/>
      <c r="L58" s="38"/>
      <c r="M58" s="21"/>
      <c r="N58" s="39"/>
      <c r="O58" s="40"/>
      <c r="P58" s="42"/>
      <c r="Q58" s="43"/>
    </row>
    <row r="59" spans="2:17" ht="18" customHeight="1" x14ac:dyDescent="0.15">
      <c r="B59" s="38"/>
      <c r="C59" s="38"/>
      <c r="D59" s="38"/>
      <c r="E59" s="39"/>
      <c r="F59" s="38"/>
      <c r="G59" s="52"/>
      <c r="H59" s="52"/>
      <c r="I59" s="40"/>
      <c r="J59" s="39"/>
      <c r="K59" s="39"/>
      <c r="L59" s="38"/>
      <c r="M59" s="21"/>
      <c r="N59" s="39"/>
      <c r="O59" s="40"/>
      <c r="P59" s="42"/>
      <c r="Q59" s="43"/>
    </row>
    <row r="60" spans="2:17" ht="18" customHeight="1" x14ac:dyDescent="0.15">
      <c r="B60" s="38"/>
      <c r="C60" s="38"/>
      <c r="D60" s="38"/>
      <c r="E60" s="8"/>
      <c r="F60" s="38"/>
      <c r="G60" s="52"/>
      <c r="H60" s="52"/>
      <c r="I60" s="40"/>
      <c r="J60" s="37"/>
      <c r="K60" s="39"/>
      <c r="L60" s="38"/>
      <c r="M60" s="41"/>
      <c r="N60" s="39"/>
      <c r="O60" s="40"/>
      <c r="P60" s="42"/>
      <c r="Q60" s="44"/>
    </row>
    <row r="61" spans="2:17" ht="18" customHeight="1" x14ac:dyDescent="0.15">
      <c r="B61" s="38"/>
      <c r="C61" s="38"/>
      <c r="D61" s="38"/>
      <c r="E61" s="53"/>
      <c r="F61" s="1"/>
      <c r="G61" s="54"/>
      <c r="H61" s="54"/>
      <c r="I61" s="40"/>
      <c r="J61" s="53"/>
      <c r="K61" s="39"/>
      <c r="L61" s="38"/>
      <c r="M61" s="41"/>
      <c r="N61" s="39"/>
      <c r="O61" s="40"/>
      <c r="P61" s="42"/>
      <c r="Q61" s="43"/>
    </row>
    <row r="62" spans="2:17" ht="18" customHeight="1" x14ac:dyDescent="0.15">
      <c r="J62" s="48"/>
    </row>
    <row r="63" spans="2:17" ht="18" customHeight="1" x14ac:dyDescent="0.15"/>
    <row r="64" spans="2:17" ht="18" customHeight="1" x14ac:dyDescent="0.15"/>
    <row r="65" spans="5:5" ht="18" customHeight="1" x14ac:dyDescent="0.15"/>
    <row r="66" spans="5:5" ht="18" customHeight="1" x14ac:dyDescent="0.15">
      <c r="E66" s="33"/>
    </row>
  </sheetData>
  <autoFilter ref="B8:O8">
    <sortState ref="B9:O24">
      <sortCondition ref="F8"/>
    </sortState>
  </autoFilter>
  <mergeCells count="6">
    <mergeCell ref="B6:D6"/>
    <mergeCell ref="G2:I2"/>
    <mergeCell ref="B2:D2"/>
    <mergeCell ref="B3:D3"/>
    <mergeCell ref="B4:D4"/>
    <mergeCell ref="B5:D5"/>
  </mergeCells>
  <phoneticPr fontId="1"/>
  <pageMargins left="0.2" right="0.2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workbookViewId="0">
      <selection activeCell="D7" sqref="D7:D57"/>
    </sheetView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2011-12-20T02:06:02Z</cp:lastPrinted>
  <dcterms:created xsi:type="dcterms:W3CDTF">2011-12-13T06:48:43Z</dcterms:created>
  <dcterms:modified xsi:type="dcterms:W3CDTF">2014-07-07T03:52:51Z</dcterms:modified>
</cp:coreProperties>
</file>