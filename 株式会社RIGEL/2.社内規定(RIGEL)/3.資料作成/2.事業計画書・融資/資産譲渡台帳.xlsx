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5720" tabRatio="600" firstSheet="0" activeTab="0" autoFilterDateGrouping="1"/>
  </bookViews>
  <sheets>
    <sheet xmlns:r="http://schemas.openxmlformats.org/officeDocument/2006/relationships" name="資産台帳" sheetId="1" state="visible" r:id="rId1"/>
    <sheet xmlns:r="http://schemas.openxmlformats.org/officeDocument/2006/relationships" name="キャッシュフロー" sheetId="2" state="visible" r:id="rId2"/>
    <sheet xmlns:r="http://schemas.openxmlformats.org/officeDocument/2006/relationships" name="創業時資金計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&quot;円&quot;"/>
    <numFmt numFmtId="165" formatCode="yyyy&quot;年&quot;m&quot;月&quot;;@"/>
    <numFmt numFmtId="166" formatCode="0&quot;万円&quot;"/>
  </numFmts>
  <fonts count="11">
    <font>
      <name val="游ゴシック"/>
      <charset val="128"/>
      <family val="2"/>
      <color theme="1"/>
      <sz val="11"/>
      <scheme val="minor"/>
    </font>
    <font>
      <name val="游ゴシック"/>
      <family val="2"/>
      <color theme="1"/>
      <sz val="11"/>
      <scheme val="minor"/>
    </font>
    <font>
      <name val="Yu Gothic"/>
      <charset val="128"/>
      <family val="2"/>
      <b val="1"/>
      <color rgb="FFFFFFFF"/>
      <sz val="11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6"/>
      <scheme val="minor"/>
    </font>
    <font>
      <name val="ＭＳ ゴシック"/>
      <charset val="128"/>
      <family val="3"/>
      <color theme="1"/>
      <sz val="11"/>
    </font>
    <font>
      <name val="Calibri"/>
      <family val="2"/>
      <b val="1"/>
      <color rgb="FFFFFFFF"/>
      <sz val="11"/>
    </font>
    <font>
      <name val="ＭＳ ゴシック"/>
      <charset val="128"/>
      <family val="3"/>
      <b val="1"/>
      <color rgb="FFFFFFFF"/>
      <sz val="11"/>
    </font>
    <font>
      <name val="ＭＳ Ｐゴシック"/>
      <charset val="128"/>
      <family val="2"/>
      <b val="1"/>
      <color rgb="FFFFFFFF"/>
      <sz val="11"/>
    </font>
    <font>
      <name val="Calibri"/>
      <charset val="128"/>
      <family val="3"/>
      <b val="1"/>
      <color rgb="FFFFFFFF"/>
      <sz val="11"/>
    </font>
    <font>
      <name val="Calibri"/>
      <family val="3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4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0" fillId="0" borderId="1" applyAlignment="1" pivotButton="0" quotePrefix="0" xfId="1">
      <alignment vertical="center"/>
    </xf>
    <xf numFmtId="0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right" vertical="center"/>
    </xf>
    <xf numFmtId="0" fontId="0" fillId="0" borderId="2" applyAlignment="1" pivotButton="0" quotePrefix="0" xfId="1">
      <alignment horizontal="center" vertical="center"/>
    </xf>
    <xf numFmtId="0" fontId="0" fillId="0" borderId="2" applyAlignment="1" pivotButton="0" quotePrefix="0" xfId="1">
      <alignment horizontal="right" vertical="center"/>
    </xf>
    <xf numFmtId="164" fontId="0" fillId="0" borderId="3" applyAlignment="1" pivotButton="0" quotePrefix="0" xfId="1">
      <alignment horizontal="right" vertical="center"/>
    </xf>
    <xf numFmtId="164" fontId="0" fillId="4" borderId="1" applyAlignment="1" pivotButton="0" quotePrefix="0" xfId="1">
      <alignment horizontal="right" vertical="center"/>
    </xf>
    <xf numFmtId="0" fontId="0" fillId="0" borderId="4" applyAlignment="1" pivotButton="0" quotePrefix="0" xfId="1">
      <alignment vertical="center"/>
    </xf>
    <xf numFmtId="0" fontId="7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/>
    </xf>
    <xf numFmtId="0" fontId="8" fillId="2" borderId="1" applyAlignment="1" pivotButton="0" quotePrefix="0" xfId="1">
      <alignment horizontal="center" vertical="center"/>
    </xf>
    <xf numFmtId="0" fontId="0" fillId="0" borderId="1" pivotButton="0" quotePrefix="0" xfId="0"/>
    <xf numFmtId="165" fontId="0" fillId="0" borderId="0" pivotButton="0" quotePrefix="0" xfId="0"/>
    <xf numFmtId="165" fontId="6" fillId="2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5" fontId="0" fillId="0" borderId="2" applyAlignment="1" pivotButton="0" quotePrefix="0" xfId="1">
      <alignment horizontal="right" vertical="center"/>
    </xf>
    <xf numFmtId="165" fontId="8" fillId="2" borderId="1" applyAlignment="1" pivotButton="0" quotePrefix="0" xfId="1">
      <alignment horizontal="center" vertical="center"/>
    </xf>
    <xf numFmtId="164" fontId="0" fillId="5" borderId="1" applyAlignment="1" pivotButton="0" quotePrefix="0" xfId="1">
      <alignment horizontal="right" vertical="center"/>
    </xf>
    <xf numFmtId="0" fontId="9" fillId="2" borderId="1" applyAlignment="1" pivotButton="0" quotePrefix="0" xfId="1">
      <alignment horizontal="center" vertical="center"/>
    </xf>
    <xf numFmtId="3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horizontal="right" vertical="center" wrapText="1"/>
    </xf>
    <xf numFmtId="0" fontId="2" fillId="2" borderId="5" applyAlignment="1" pivotButton="0" quotePrefix="0" xfId="1">
      <alignment horizontal="left" vertical="center" wrapText="1"/>
    </xf>
    <xf numFmtId="0" fontId="2" fillId="2" borderId="0" applyAlignment="1" pivotButton="0" quotePrefix="0" xfId="1">
      <alignment horizontal="left" vertical="center" wrapText="1"/>
    </xf>
    <xf numFmtId="0" fontId="2" fillId="2" borderId="1" applyAlignment="1" pivotButton="0" quotePrefix="0" xfId="1">
      <alignment vertical="center" wrapText="1"/>
    </xf>
    <xf numFmtId="0" fontId="0" fillId="0" borderId="1" pivotButton="0" quotePrefix="0" xfId="1"/>
    <xf numFmtId="165" fontId="0" fillId="0" borderId="0" pivotButton="0" quotePrefix="0" xfId="0"/>
    <xf numFmtId="165" fontId="6" fillId="2" borderId="1" applyAlignment="1" pivotButton="0" quotePrefix="0" xfId="1">
      <alignment horizontal="center" vertical="center"/>
    </xf>
    <xf numFmtId="164" fontId="0" fillId="0" borderId="1" applyAlignment="1" pivotButton="0" quotePrefix="0" xfId="1">
      <alignment horizontal="right" vertical="center"/>
    </xf>
    <xf numFmtId="165" fontId="0" fillId="0" borderId="1" applyAlignment="1" pivotButton="0" quotePrefix="0" xfId="1">
      <alignment horizontal="center" vertical="center"/>
    </xf>
    <xf numFmtId="164" fontId="0" fillId="0" borderId="3" applyAlignment="1" pivotButton="0" quotePrefix="0" xfId="1">
      <alignment horizontal="right" vertical="center"/>
    </xf>
    <xf numFmtId="164" fontId="0" fillId="4" borderId="1" applyAlignment="1" pivotButton="0" quotePrefix="0" xfId="1">
      <alignment horizontal="right" vertical="center"/>
    </xf>
    <xf numFmtId="165" fontId="0" fillId="0" borderId="2" applyAlignment="1" pivotButton="0" quotePrefix="0" xfId="1">
      <alignment horizontal="right" vertical="center"/>
    </xf>
    <xf numFmtId="165" fontId="8" fillId="2" borderId="1" applyAlignment="1" pivotButton="0" quotePrefix="0" xfId="1">
      <alignment horizontal="center" vertical="center"/>
    </xf>
    <xf numFmtId="164" fontId="0" fillId="5" borderId="1" applyAlignment="1" pivotButton="0" quotePrefix="0" xfId="1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166" fontId="0" fillId="0" borderId="1" applyAlignment="1" pivotButton="0" quotePrefix="0" xfId="0">
      <alignment horizontal="right" vertical="center" wrapText="1"/>
    </xf>
  </cellXfs>
  <cellStyles count="3">
    <cellStyle name="標準" xfId="0" builtinId="0"/>
    <cellStyle name="Normal" xfId="1"/>
    <cellStyle name="標準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6" workbookViewId="0">
      <selection activeCell="B29" sqref="B29"/>
    </sheetView>
  </sheetViews>
  <sheetFormatPr baseColWidth="8" defaultRowHeight="18.75"/>
  <cols>
    <col width="26.875" customWidth="1" style="1" min="1" max="5"/>
    <col width="24.5" bestFit="1" customWidth="1" style="33" min="6" max="6"/>
    <col width="26.875" customWidth="1" style="1" min="7" max="8"/>
    <col width="9" customWidth="1" style="1" min="9" max="16384"/>
  </cols>
  <sheetData>
    <row r="1" ht="24" customHeight="1" s="1">
      <c r="A1" s="29" t="inlineStr">
        <is>
          <t>資産台帳</t>
        </is>
      </c>
    </row>
    <row r="2" ht="19.5" customHeight="1" s="1"/>
    <row r="3">
      <c r="A3" s="2" t="inlineStr">
        <is>
          <t>卓上ロボット</t>
        </is>
      </c>
    </row>
    <row r="4">
      <c r="A4" s="3" t="inlineStr">
        <is>
          <t>機種</t>
        </is>
      </c>
      <c r="B4" s="3" t="inlineStr">
        <is>
          <t>台数</t>
        </is>
      </c>
      <c r="C4" s="13" t="inlineStr">
        <is>
          <t>中古購入価格</t>
        </is>
      </c>
      <c r="D4" s="3" t="inlineStr">
        <is>
          <t>中古購入総額</t>
        </is>
      </c>
      <c r="E4" s="15" t="inlineStr">
        <is>
          <t>売却（譲渡）金額</t>
        </is>
      </c>
      <c r="F4" s="34" t="inlineStr">
        <is>
          <t>購入年</t>
        </is>
      </c>
      <c r="G4" s="4" t="inlineStr">
        <is>
          <t>新品販売価格</t>
        </is>
      </c>
    </row>
    <row r="5">
      <c r="A5" s="5" t="inlineStr">
        <is>
          <t>JR3203（現行型）</t>
        </is>
      </c>
      <c r="B5" s="6" t="n">
        <v>8</v>
      </c>
      <c r="C5" s="35" t="n">
        <v>100000</v>
      </c>
      <c r="D5" s="35">
        <f>B5*C5</f>
        <v/>
      </c>
      <c r="E5" s="35">
        <f>D5</f>
        <v/>
      </c>
      <c r="F5" s="36" t="n">
        <v>45992</v>
      </c>
      <c r="G5" s="35" t="n">
        <v>800000</v>
      </c>
    </row>
    <row r="6">
      <c r="A6" s="5" t="inlineStr">
        <is>
          <t>JR3504（現行型）</t>
        </is>
      </c>
      <c r="B6" s="6" t="n">
        <v>1</v>
      </c>
      <c r="C6" s="35" t="n">
        <v>200000</v>
      </c>
      <c r="D6" s="35">
        <f>B6*C6</f>
        <v/>
      </c>
      <c r="E6" s="35">
        <f>D6</f>
        <v/>
      </c>
      <c r="F6" s="36" t="n">
        <v>45992</v>
      </c>
      <c r="G6" s="35" t="n">
        <v>1600000</v>
      </c>
    </row>
    <row r="7">
      <c r="A7" s="5" t="inlineStr">
        <is>
          <t>JR2303（旧型）</t>
        </is>
      </c>
      <c r="B7" s="6" t="n">
        <v>1</v>
      </c>
      <c r="C7" s="35" t="n">
        <v>100000</v>
      </c>
      <c r="D7" s="35">
        <f>B7*C7</f>
        <v/>
      </c>
      <c r="E7" s="35">
        <f>D7</f>
        <v/>
      </c>
      <c r="F7" s="36" t="n">
        <v>45261</v>
      </c>
      <c r="G7" s="35" t="n">
        <v>1200000</v>
      </c>
    </row>
    <row r="8">
      <c r="A8" s="5" t="inlineStr">
        <is>
          <t>JR2203（旧型）</t>
        </is>
      </c>
      <c r="B8" s="6" t="n">
        <v>1</v>
      </c>
      <c r="C8" s="35" t="n">
        <v>50000</v>
      </c>
      <c r="D8" s="35">
        <f>B8*C8</f>
        <v/>
      </c>
      <c r="E8" s="35">
        <f>D8</f>
        <v/>
      </c>
      <c r="F8" s="36" t="n">
        <v>45261</v>
      </c>
      <c r="G8" s="35" t="n">
        <v>800000</v>
      </c>
    </row>
    <row r="9">
      <c r="A9" s="8" t="inlineStr">
        <is>
          <t>合計</t>
        </is>
      </c>
      <c r="B9" s="9" t="n"/>
      <c r="C9" s="37" t="n"/>
      <c r="D9" s="35">
        <f>SUM(D5:D8)</f>
        <v/>
      </c>
      <c r="E9" s="38">
        <f>SUM(E5:E8)</f>
        <v/>
      </c>
      <c r="F9" s="39" t="n"/>
      <c r="G9" s="35">
        <f>SUM(G5:G8)</f>
        <v/>
      </c>
    </row>
    <row r="11">
      <c r="A11" s="2" t="inlineStr">
        <is>
          <t>車両</t>
        </is>
      </c>
    </row>
    <row r="12">
      <c r="A12" s="3" t="inlineStr">
        <is>
          <t>機種</t>
        </is>
      </c>
      <c r="B12" s="3" t="inlineStr">
        <is>
          <t>台数</t>
        </is>
      </c>
      <c r="C12" s="3" t="inlineStr">
        <is>
          <t>中古購入単価</t>
        </is>
      </c>
      <c r="D12" s="3" t="inlineStr">
        <is>
          <t>中古購入総額</t>
        </is>
      </c>
      <c r="E12" s="15" t="inlineStr">
        <is>
          <t>売却（譲渡）金額</t>
        </is>
      </c>
      <c r="F12" s="34" t="inlineStr">
        <is>
          <t>購入年</t>
        </is>
      </c>
      <c r="G12" s="13" t="inlineStr">
        <is>
          <t>備考</t>
        </is>
      </c>
    </row>
    <row r="13">
      <c r="A13" s="5" t="inlineStr">
        <is>
          <t>フィットシャトルハイブリッド</t>
        </is>
      </c>
      <c r="B13" s="6" t="n">
        <v>1</v>
      </c>
      <c r="C13" s="35" t="n">
        <v>500000</v>
      </c>
      <c r="D13" s="35">
        <f>B13*C13</f>
        <v/>
      </c>
      <c r="E13" s="35">
        <f>D13</f>
        <v/>
      </c>
      <c r="F13" s="36" t="n">
        <v>45352</v>
      </c>
      <c r="G13" s="16" t="n"/>
    </row>
    <row r="14">
      <c r="A14" s="5" t="n"/>
      <c r="B14" s="6" t="n"/>
      <c r="C14" s="35" t="n"/>
      <c r="D14" s="35" t="n"/>
      <c r="E14" s="35" t="n"/>
      <c r="F14" s="36" t="n"/>
      <c r="G14" s="16" t="n"/>
    </row>
    <row r="15">
      <c r="A15" s="8" t="inlineStr">
        <is>
          <t>合計</t>
        </is>
      </c>
      <c r="B15" s="9" t="n"/>
      <c r="C15" s="37" t="n"/>
      <c r="D15" s="35">
        <f>SUM(D13:D14)</f>
        <v/>
      </c>
      <c r="E15" s="38">
        <f>SUM(E13:E14)</f>
        <v/>
      </c>
      <c r="F15" s="39" t="n"/>
    </row>
    <row r="16">
      <c r="A16" s="2" t="n"/>
    </row>
    <row r="17">
      <c r="A17" s="2" t="inlineStr">
        <is>
          <t>パソコン</t>
        </is>
      </c>
    </row>
    <row r="18">
      <c r="A18" s="3" t="inlineStr">
        <is>
          <t>機種</t>
        </is>
      </c>
      <c r="B18" s="3" t="inlineStr">
        <is>
          <t>台数</t>
        </is>
      </c>
      <c r="C18" s="4" t="inlineStr">
        <is>
          <t>新品販売価格</t>
        </is>
      </c>
      <c r="D18" s="13" t="inlineStr">
        <is>
          <t>購入総額</t>
        </is>
      </c>
      <c r="E18" s="15" t="inlineStr">
        <is>
          <t>売却（譲渡）金額</t>
        </is>
      </c>
      <c r="F18" s="34" t="inlineStr">
        <is>
          <t>購入年</t>
        </is>
      </c>
      <c r="G18" s="13" t="inlineStr">
        <is>
          <t>備考</t>
        </is>
      </c>
    </row>
    <row r="19">
      <c r="A19" s="5" t="inlineStr">
        <is>
          <t>WU4-K3</t>
        </is>
      </c>
      <c r="B19" s="6" t="n">
        <v>1</v>
      </c>
      <c r="C19" s="35" t="n">
        <v>280000</v>
      </c>
      <c r="D19" s="35">
        <f>B19*C19</f>
        <v/>
      </c>
      <c r="E19" s="35">
        <f>D19</f>
        <v/>
      </c>
      <c r="F19" s="36" t="n">
        <v>46213</v>
      </c>
      <c r="G19" s="14" t="inlineStr">
        <is>
          <t>メインPC</t>
        </is>
      </c>
    </row>
    <row r="20">
      <c r="A20" s="5" t="inlineStr">
        <is>
          <t>Victus15</t>
        </is>
      </c>
      <c r="B20" s="6" t="n">
        <v>1</v>
      </c>
      <c r="C20" s="35" t="n">
        <v>150000</v>
      </c>
      <c r="D20" s="35">
        <f>B20*C20</f>
        <v/>
      </c>
      <c r="E20" s="35">
        <f>D20*0.75</f>
        <v/>
      </c>
      <c r="F20" s="36" t="n">
        <v>45597</v>
      </c>
      <c r="G20" s="14" t="inlineStr">
        <is>
          <t>サブPC</t>
        </is>
      </c>
    </row>
    <row r="21">
      <c r="A21" s="8" t="inlineStr">
        <is>
          <t>合計</t>
        </is>
      </c>
      <c r="B21" s="9" t="n"/>
      <c r="C21" s="9" t="n"/>
      <c r="D21" s="35">
        <f>SUM(D19:D20)</f>
        <v/>
      </c>
      <c r="E21" s="38">
        <f>SUM(E19:E20)</f>
        <v/>
      </c>
      <c r="F21" s="39" t="n"/>
      <c r="G21" s="37" t="n"/>
    </row>
    <row r="23">
      <c r="A23" s="2" t="inlineStr">
        <is>
          <t>オンラインスクール</t>
        </is>
      </c>
    </row>
    <row r="24">
      <c r="A24" s="3" t="inlineStr">
        <is>
          <t>機種</t>
        </is>
      </c>
      <c r="B24" s="13" t="inlineStr">
        <is>
          <t>期間</t>
        </is>
      </c>
      <c r="C24" s="4" t="n"/>
      <c r="D24" s="13" t="inlineStr">
        <is>
          <t>購入総額</t>
        </is>
      </c>
      <c r="E24" s="15" t="inlineStr">
        <is>
          <t>売却（譲渡）金額</t>
        </is>
      </c>
      <c r="F24" s="34" t="inlineStr">
        <is>
          <t>購入年</t>
        </is>
      </c>
      <c r="G24" s="13" t="inlineStr">
        <is>
          <t>備考</t>
        </is>
      </c>
    </row>
    <row r="25">
      <c r="A25" s="5" t="n"/>
      <c r="B25" s="6" t="n"/>
      <c r="C25" s="35" t="n"/>
      <c r="D25" s="35" t="n"/>
      <c r="E25" s="35" t="n"/>
      <c r="F25" s="36" t="n"/>
      <c r="G25" s="14" t="n"/>
    </row>
    <row r="26">
      <c r="A26" s="8" t="inlineStr">
        <is>
          <t>合計</t>
        </is>
      </c>
      <c r="B26" s="9" t="n"/>
      <c r="C26" s="9" t="n"/>
      <c r="D26" s="9" t="n"/>
      <c r="E26" s="38">
        <f>SUM(E25:E25)</f>
        <v/>
      </c>
      <c r="F26" s="39" t="n"/>
      <c r="G26" s="37" t="n"/>
    </row>
    <row r="27">
      <c r="A27" s="2" t="n"/>
    </row>
    <row r="28">
      <c r="E28" s="15" t="inlineStr">
        <is>
          <t>売却（譲渡）金額合計</t>
        </is>
      </c>
      <c r="F28" s="40" t="inlineStr">
        <is>
          <t>譲渡日</t>
        </is>
      </c>
      <c r="G28" s="13" t="inlineStr">
        <is>
          <t>備考</t>
        </is>
      </c>
    </row>
    <row r="29">
      <c r="E29" s="41">
        <f>E9+E15+E21</f>
        <v/>
      </c>
      <c r="F29" s="36" t="n"/>
      <c r="G29" s="35" t="inlineStr">
        <is>
          <t>設立日以降（設立日確定後に記入）</t>
        </is>
      </c>
    </row>
    <row r="30"/>
    <row r="31"/>
    <row r="32"/>
    <row r="33">
      <c r="E33" s="12" t="n"/>
      <c r="F33" s="39" t="n"/>
      <c r="G33" s="37" t="n"/>
    </row>
    <row r="34">
      <c r="A34" s="2" t="n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B22" sqref="B22"/>
    </sheetView>
  </sheetViews>
  <sheetFormatPr baseColWidth="8" defaultRowHeight="18.75"/>
  <cols>
    <col width="26.875" customWidth="1" style="1" min="1" max="7"/>
    <col width="9" customWidth="1" style="1" min="8" max="16384"/>
  </cols>
  <sheetData>
    <row r="1">
      <c r="A1" s="31" t="inlineStr">
        <is>
          <t>5年間キャッシュフロー計画（概算）</t>
        </is>
      </c>
      <c r="B1" s="42" t="n"/>
      <c r="C1" s="42" t="n"/>
      <c r="D1" s="42" t="n"/>
      <c r="E1" s="42" t="n"/>
      <c r="F1" s="43" t="n"/>
    </row>
    <row r="3">
      <c r="A3" s="15" t="inlineStr">
        <is>
          <t>年度</t>
        </is>
      </c>
      <c r="B3" s="13" t="inlineStr">
        <is>
          <t>売上</t>
        </is>
      </c>
      <c r="C3" s="13" t="inlineStr">
        <is>
          <t>営業利益</t>
        </is>
      </c>
      <c r="D3" s="13" t="inlineStr">
        <is>
          <t>借入返済</t>
        </is>
      </c>
      <c r="E3" s="23" t="inlineStr">
        <is>
          <t>年間CF</t>
        </is>
      </c>
      <c r="F3" s="13" t="inlineStr">
        <is>
          <t>期末現預金</t>
        </is>
      </c>
    </row>
    <row r="4">
      <c r="A4" s="25" t="inlineStr">
        <is>
          <t>創業時</t>
        </is>
      </c>
      <c r="B4" s="25" t="inlineStr">
        <is>
          <t>-</t>
        </is>
      </c>
      <c r="C4" s="25" t="inlineStr">
        <is>
          <t>-</t>
        </is>
      </c>
      <c r="D4" s="25" t="inlineStr">
        <is>
          <t>-</t>
        </is>
      </c>
      <c r="E4" s="25" t="inlineStr">
        <is>
          <t>-</t>
        </is>
      </c>
      <c r="F4" s="26" t="inlineStr">
        <is>
          <t>1,300万円</t>
        </is>
      </c>
    </row>
    <row r="5">
      <c r="A5" s="25" t="inlineStr">
        <is>
          <t>1年目</t>
        </is>
      </c>
      <c r="B5" s="26" t="inlineStr">
        <is>
          <t>1,500万円</t>
        </is>
      </c>
      <c r="C5" s="26" t="inlineStr">
        <is>
          <t>500万円</t>
        </is>
      </c>
      <c r="D5" s="26" t="inlineStr">
        <is>
          <t>160万円</t>
        </is>
      </c>
      <c r="E5" s="26" t="inlineStr">
        <is>
          <t>340万円</t>
        </is>
      </c>
      <c r="F5" s="26" t="inlineStr">
        <is>
          <t>1,640万円</t>
        </is>
      </c>
    </row>
    <row r="6">
      <c r="A6" s="25" t="inlineStr">
        <is>
          <t>2年目</t>
        </is>
      </c>
      <c r="B6" s="26" t="inlineStr">
        <is>
          <t>3,000万円</t>
        </is>
      </c>
      <c r="C6" s="26" t="inlineStr">
        <is>
          <t>800万円</t>
        </is>
      </c>
      <c r="D6" s="26" t="inlineStr">
        <is>
          <t>160万円</t>
        </is>
      </c>
      <c r="E6" s="26" t="inlineStr">
        <is>
          <t>640万円</t>
        </is>
      </c>
      <c r="F6" s="26" t="inlineStr">
        <is>
          <t>2,280万円</t>
        </is>
      </c>
    </row>
    <row r="7">
      <c r="A7" s="25" t="inlineStr">
        <is>
          <t>3年目</t>
        </is>
      </c>
      <c r="B7" s="26" t="inlineStr">
        <is>
          <t>8,000万円</t>
        </is>
      </c>
      <c r="C7" s="26" t="inlineStr">
        <is>
          <t>1,500万円</t>
        </is>
      </c>
      <c r="D7" s="26" t="inlineStr">
        <is>
          <t>160万円</t>
        </is>
      </c>
      <c r="E7" s="26" t="inlineStr">
        <is>
          <t>1,340万円</t>
        </is>
      </c>
      <c r="F7" s="26" t="inlineStr">
        <is>
          <t>3,620万円</t>
        </is>
      </c>
    </row>
    <row r="8">
      <c r="A8" s="25" t="inlineStr">
        <is>
          <t>4年目</t>
        </is>
      </c>
      <c r="B8" s="26" t="inlineStr">
        <is>
          <t>3億円</t>
        </is>
      </c>
      <c r="C8" s="26" t="inlineStr">
        <is>
          <t>5,000万円</t>
        </is>
      </c>
      <c r="D8" s="26" t="inlineStr">
        <is>
          <t>160万円</t>
        </is>
      </c>
      <c r="E8" s="26" t="inlineStr">
        <is>
          <t>4,840万円</t>
        </is>
      </c>
      <c r="F8" s="26" t="inlineStr">
        <is>
          <t>8,460万円</t>
        </is>
      </c>
    </row>
    <row r="9">
      <c r="A9" s="25" t="inlineStr">
        <is>
          <t>5年目</t>
        </is>
      </c>
      <c r="B9" s="26" t="inlineStr">
        <is>
          <t>5億円</t>
        </is>
      </c>
      <c r="C9" s="26" t="inlineStr">
        <is>
          <t>7,500万円</t>
        </is>
      </c>
      <c r="D9" s="26" t="inlineStr">
        <is>
          <t>160万円</t>
        </is>
      </c>
      <c r="E9" s="26" t="inlineStr">
        <is>
          <t>7,340万円</t>
        </is>
      </c>
      <c r="F9" s="26" t="inlineStr">
        <is>
          <t>1億5,800万円</t>
        </is>
      </c>
    </row>
    <row r="10">
      <c r="C10" s="24" t="n"/>
      <c r="D10" s="24" t="n"/>
      <c r="E10" s="24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B23" sqref="B23"/>
    </sheetView>
  </sheetViews>
  <sheetFormatPr baseColWidth="8" defaultRowHeight="18.75"/>
  <cols>
    <col width="26.875" customWidth="1" style="1" min="1" max="4"/>
    <col width="9" customWidth="1" style="1" min="5" max="16384"/>
  </cols>
  <sheetData>
    <row r="1">
      <c r="A1" s="31" t="inlineStr">
        <is>
          <t>創業時資金計画</t>
        </is>
      </c>
      <c r="B1" s="42" t="n"/>
      <c r="C1" s="43" t="n"/>
    </row>
    <row r="3">
      <c r="A3" s="15" t="inlineStr">
        <is>
          <t>項目</t>
        </is>
      </c>
      <c r="B3" s="13" t="inlineStr">
        <is>
          <t>金額</t>
        </is>
      </c>
    </row>
    <row r="4">
      <c r="A4" s="27" t="inlineStr">
        <is>
          <t>自己資金</t>
        </is>
      </c>
      <c r="B4" s="44" t="n">
        <v>300</v>
      </c>
    </row>
    <row r="5">
      <c r="A5" s="27" t="inlineStr">
        <is>
          <t>借入金</t>
        </is>
      </c>
      <c r="B5" s="44" t="n">
        <v>1000</v>
      </c>
    </row>
    <row r="6">
      <c r="A6" s="27" t="inlineStr">
        <is>
          <t>調達資金合計</t>
        </is>
      </c>
      <c r="B6" s="44">
        <f>SUM(B4:B5)</f>
        <v/>
      </c>
    </row>
    <row r="7">
      <c r="C7" s="24" t="n"/>
    </row>
    <row r="8">
      <c r="A8" s="15" t="inlineStr">
        <is>
          <t>用途</t>
        </is>
      </c>
      <c r="B8" s="13" t="inlineStr">
        <is>
          <t>金額</t>
        </is>
      </c>
    </row>
    <row r="9">
      <c r="A9" s="27" t="inlineStr">
        <is>
          <t>RTS教育設備製作</t>
        </is>
      </c>
      <c r="B9" s="44" t="n">
        <v>400</v>
      </c>
    </row>
    <row r="10">
      <c r="A10" s="27" t="inlineStr">
        <is>
          <t>治具・センサー・教材設備</t>
        </is>
      </c>
      <c r="B10" s="44" t="n">
        <v>300</v>
      </c>
    </row>
    <row r="11">
      <c r="A11" s="27" t="inlineStr">
        <is>
          <t>営業活動費</t>
        </is>
      </c>
      <c r="B11" s="44" t="n">
        <v>100</v>
      </c>
    </row>
    <row r="12">
      <c r="A12" s="27" t="inlineStr">
        <is>
          <t>PC・IT環境</t>
        </is>
      </c>
      <c r="B12" s="44" t="n">
        <v>100</v>
      </c>
    </row>
    <row r="13">
      <c r="A13" s="27" t="inlineStr">
        <is>
          <t>車両</t>
        </is>
      </c>
      <c r="B13" s="44" t="n">
        <v>100</v>
      </c>
    </row>
    <row r="14">
      <c r="A14" s="27" t="inlineStr">
        <is>
          <t>運転資金</t>
        </is>
      </c>
      <c r="B14" s="44" t="n">
        <v>300</v>
      </c>
    </row>
    <row r="15">
      <c r="A15" s="27" t="inlineStr">
        <is>
          <t>合計</t>
        </is>
      </c>
      <c r="B15" s="44">
        <f>SUM(B9:B14)</f>
        <v/>
      </c>
    </row>
    <row r="16">
      <c r="A16" s="0" t="n"/>
      <c r="B16" s="0" t="n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佐藤貴久</dc:creator>
  <dcterms:created xmlns:dcterms="http://purl.org/dc/terms/" xmlns:xsi="http://www.w3.org/2001/XMLSchema-instance" xsi:type="dcterms:W3CDTF">2026-07-13T08:34:18Z</dcterms:created>
  <dcterms:modified xmlns:dcterms="http://purl.org/dc/terms/" xmlns:xsi="http://www.w3.org/2001/XMLSchema-instance" xsi:type="dcterms:W3CDTF">2026-09-19T08:40:25Z</dcterms:modified>
  <cp:lastModifiedBy>佐藤貴久</cp:lastModifiedBy>
</cp:coreProperties>
</file>