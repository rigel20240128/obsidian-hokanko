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C:\Users\saito\Desktop\2022.05.20【196631】泰光  追加_変更分\原価資料\"/>
    </mc:Choice>
  </mc:AlternateContent>
  <bookViews>
    <workbookView xWindow="0" yWindow="0" windowWidth="21570" windowHeight="8625"/>
  </bookViews>
  <sheets>
    <sheet name="Sheet1" sheetId="1" r:id="rId1"/>
    <sheet name="表紙" sheetId="2" r:id="rId2"/>
  </sheets>
  <definedNames>
    <definedName name="_xlnm._FilterDatabase" localSheetId="0" hidden="1">Sheet1!$B$8:$O$18</definedName>
    <definedName name="_xlnm.Print_Area" localSheetId="1">表紙!$A$1:$B$5</definedName>
  </definedNames>
  <calcPr calcId="152511"/>
  <extLst>
    <ext xmlns:x14="http://schemas.microsoft.com/office/spreadsheetml/2009/9/main" uri="{79F54976-1DA5-4618-B147-4CDE4B953A38}">
      <x14:workbookPr/>
    </ext>
    <ext xmlns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H12" i="1" l="1"/>
  <c r="H13" i="1"/>
  <c r="H14" i="1"/>
  <c r="H15" i="1"/>
  <c r="H16" i="1"/>
  <c r="H17" i="1"/>
  <c r="H18" i="1"/>
  <c r="H10" i="1"/>
  <c r="H9" i="1"/>
  <c r="H11" i="1" l="1"/>
  <c r="J2" i="1" l="1"/>
</calcChain>
</file>

<file path=xl/sharedStrings.xml><?xml version="1.0" encoding="utf-8"?>
<sst xmlns="http://purl.oclc.org/ooxml/spreadsheetml/main" count="65" uniqueCount="38">
  <si>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</si>
  <si>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</si>
  <si>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</si>
  <si>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</si>
  <si>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</si>
  <si>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</si>
  <si>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</si>
  <si>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</si>
  <si>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</si>
  <si>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</si>
  <si>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</si>
  <si>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</si>
  <si>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</si>
  <si>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</si>
  <si>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</si>
  <si>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</si>
  <si>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</si>
  <si>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</si>
  <si>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</si>
  <si>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</si>
  <si>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</si>
  <si>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平山</t>
    <rPh sb="0" eb="2">
      <t>ヒラヤマ</t>
    </rPh>
    <phoneticPr fontId="1"/>
  </si>
  <si>
    <t>ミスミ</t>
    <phoneticPr fontId="1"/>
  </si>
  <si>
    <t xml:space="preserve">富士通テレコムネットワーク　　　　　　　　　　　　　　　　　　　　　　(渡辺精工社) </t>
    <phoneticPr fontId="1"/>
  </si>
  <si>
    <t>泰光</t>
    <rPh sb="0" eb="2">
      <t>ヤスミツ</t>
    </rPh>
    <phoneticPr fontId="1"/>
  </si>
  <si>
    <t>山澤</t>
    <rPh sb="0" eb="2">
      <t>ヤマサワ</t>
    </rPh>
    <phoneticPr fontId="1"/>
  </si>
  <si>
    <t>捨て打ちカップユニット</t>
    <phoneticPr fontId="1"/>
  </si>
  <si>
    <t>ロボットベース</t>
    <phoneticPr fontId="1"/>
  </si>
  <si>
    <t>位置決めピン(丸)</t>
    <rPh sb="0" eb="3">
      <t>イチキ</t>
    </rPh>
    <rPh sb="7" eb="8">
      <t>マル</t>
    </rPh>
    <phoneticPr fontId="1"/>
  </si>
  <si>
    <t>AFPBHA6-P10.10-L7-B4-E3</t>
    <phoneticPr fontId="1"/>
  </si>
  <si>
    <t>AFPBHA6-P10.05-L7-B4-E3</t>
    <phoneticPr fontId="1"/>
  </si>
  <si>
    <t>金属カラー</t>
    <phoneticPr fontId="1"/>
  </si>
  <si>
    <t>NCLSS4-10-11</t>
    <phoneticPr fontId="1"/>
  </si>
  <si>
    <t>FESB-SU-D12.05-L4-F7-P6-M0-E3</t>
    <phoneticPr fontId="1"/>
  </si>
  <si>
    <t>フィードピン(丸)</t>
    <rPh sb="7" eb="8">
      <t>マル</t>
    </rPh>
    <phoneticPr fontId="1"/>
  </si>
  <si>
    <t>FESB-SU-D12.10-L4-F7-P6-M0-E3</t>
    <phoneticPr fontId="1"/>
  </si>
  <si>
    <t>196631(SAITO-TETSU)で発注済</t>
    <rPh sb="20" eb="22">
      <t>ハッチュウ</t>
    </rPh>
    <rPh sb="22" eb="23">
      <t>スミ</t>
    </rPh>
    <phoneticPr fontId="1"/>
  </si>
  <si>
    <t>5/16(神奈川営 着)</t>
    <rPh sb="5" eb="8">
      <t>カナガワ</t>
    </rPh>
    <rPh sb="8" eb="9">
      <t>エイ</t>
    </rPh>
    <rPh sb="10" eb="11">
      <t>チャク</t>
    </rPh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</si>
</sst>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mc:Ignorable="x14ac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1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8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49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38" fontId="0" fillId="0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38" fontId="0" fillId="3" borderId="3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56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  <xf numFmtId="180" fontId="8" fillId="3" borderId="5" xfId="1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4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2">
    <cellStyle name="標準" xfId="0" builtinId="0"/>
    <cellStyle name="標準_発注管理表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B2:R31"/>
  <sheetViews>
    <sheetView tabSelected="1" zoomScale="74" zoomScaleNormal="74" workbookViewId="0">
      <selection activeCell="E7" sqref="E7"/>
    </sheetView>
  </sheetViews>
  <sheetFormatPr defaultRowHeight="13.5" x14ac:dyDescent="0.15"/>
  <cols>
    <col min="1" max="1" width="2.625" customWidth="1"/>
    <col min="2" max="2" width="5.75" style="5" customWidth="1"/>
    <col min="3" max="4" width="20.75" customWidth="1"/>
    <col min="5" max="5" width="68.625" customWidth="1"/>
    <col min="6" max="6" width="6.25" customWidth="1"/>
    <col min="7" max="8" width="9.875" bestFit="1" customWidth="1"/>
    <col min="9" max="9" width="5.75" style="11" customWidth="1"/>
    <col min="10" max="10" width="57.375" customWidth="1"/>
    <col min="11" max="11" width="40.625" customWidth="1"/>
    <col min="12" max="12" width="40.75" style="5" customWidth="1"/>
    <col min="13" max="13" width="13.75" style="13" customWidth="1"/>
    <col min="14" max="14" width="6.375" customWidth="1"/>
    <col min="15" max="15" width="13.25" style="11" customWidth="1"/>
    <col min="16" max="16" width="14.5" style="15" customWidth="1"/>
    <col min="17" max="17" width="15.625" style="16" customWidth="1"/>
  </cols>
  <sheetData>
    <row r="2" spans="2:18" ht="20.100000000000001" customHeight="1" x14ac:dyDescent="0.15">
      <c r="B2" s="45" t="s">
        <v>10</v>
      </c>
      <c r="C2" s="45"/>
      <c r="D2" s="45"/>
      <c r="E2" s="12" t="s">
        <v>24</v>
      </c>
      <c r="G2" s="46" t="s">
        <v>14</v>
      </c>
      <c r="H2" s="47"/>
      <c r="I2" s="48"/>
      <c r="J2" s="10">
        <f>SUM(H:H)</f>
        <v>9740</v>
      </c>
      <c r="K2" s="6"/>
      <c r="L2" s="7"/>
    </row>
    <row r="3" spans="2:18" ht="20.100000000000001" customHeight="1" x14ac:dyDescent="0.15">
      <c r="B3" s="45" t="s">
        <v>9</v>
      </c>
      <c r="C3" s="45"/>
      <c r="D3" s="45"/>
      <c r="E3" s="8" t="s">
        <v>25</v>
      </c>
    </row>
    <row r="4" spans="2:18" ht="20.100000000000001" customHeight="1" x14ac:dyDescent="0.15">
      <c r="B4" s="45" t="s">
        <v>11</v>
      </c>
      <c r="C4" s="45"/>
      <c r="D4" s="45"/>
      <c r="E4" s="8">
        <v>196631</v>
      </c>
      <c r="G4" s="37"/>
    </row>
    <row r="5" spans="2:18" ht="20.100000000000001" customHeight="1" x14ac:dyDescent="0.15">
      <c r="B5" s="45" t="s">
        <v>12</v>
      </c>
      <c r="C5" s="45"/>
      <c r="D5" s="45"/>
      <c r="E5" s="9" t="d">
        <v>2022-05-16</v>
      </c>
    </row>
    <row r="6" spans="2:18" ht="20.100000000000001" customHeight="1" x14ac:dyDescent="0.15">
      <c r="B6" s="45" t="s">
        <v>13</v>
      </c>
      <c r="C6" s="45"/>
      <c r="D6" s="45"/>
      <c r="E6" s="9" t="d">
        <v>2022-05-20</v>
      </c>
    </row>
    <row r="7" spans="2:18" x14ac:dyDescent="0.15">
      <c r="B7" s="7"/>
      <c r="C7" s="6"/>
      <c r="D7" s="6"/>
      <c r="E7" s="6"/>
      <c r="F7" s="1"/>
      <c r="G7" s="6"/>
      <c r="H7" s="6"/>
      <c r="I7" s="22"/>
      <c r="J7" s="6"/>
      <c r="K7" s="6"/>
      <c r="L7" s="7"/>
    </row>
    <row r="8" spans="2:18" s="3" customFormat="1" ht="19.899999999999999" customHeight="1" x14ac:dyDescent="0.15">
      <c r="B8" s="4" t="s">
        <v>3</v>
      </c>
      <c r="C8" s="4" t="s">
        <v>8</v>
      </c>
      <c r="D8" s="4" t="s">
        <v>4</v>
      </c>
      <c r="E8" s="1" t="s">
        <v>7</v>
      </c>
      <c r="F8" s="1"/>
      <c r="G8" s="1" t="s">
        <v>0</v>
      </c>
      <c r="H8" s="2" t="s">
        <v>1</v>
      </c>
      <c r="I8" s="2" t="s">
        <v>17</v>
      </c>
      <c r="J8" s="1" t="s">
        <v>2</v>
      </c>
      <c r="K8" s="1" t="s">
        <v>16</v>
      </c>
      <c r="L8" s="1" t="s">
        <v>15</v>
      </c>
      <c r="M8" s="14" t="s">
        <v>5</v>
      </c>
      <c r="N8" s="4" t="s">
        <v>18</v>
      </c>
      <c r="O8" s="1" t="s">
        <v>6</v>
      </c>
      <c r="P8" s="14" t="s">
        <v>19</v>
      </c>
      <c r="Q8" s="17" t="s">
        <v>20</v>
      </c>
    </row>
    <row r="9" spans="2:18" s="27" customFormat="1" ht="19.899999999999999" customHeight="1" x14ac:dyDescent="0.15">
      <c r="B9" s="24">
        <v>1</v>
      </c>
      <c r="C9" s="21" t="s">
        <v>22</v>
      </c>
      <c r="D9" s="21" t="s">
        <v>22</v>
      </c>
      <c r="E9" s="33" t="s">
        <v>30</v>
      </c>
      <c r="F9" s="34">
        <v>1</v>
      </c>
      <c r="G9" s="28">
        <v>630</v>
      </c>
      <c r="H9" s="29">
        <f t="shared" ref="H9:H10" si="0">F9*G9</f>
        <v>630</v>
      </c>
      <c r="I9" s="20"/>
      <c r="J9" s="30" t="s">
        <v>28</v>
      </c>
      <c r="K9" s="35" t="s">
        <v>36</v>
      </c>
      <c r="L9" s="36" t="s">
        <v>27</v>
      </c>
      <c r="M9" s="25" t="d">
        <v>2022-05-09</v>
      </c>
      <c r="N9" s="24"/>
      <c r="O9" s="31"/>
      <c r="P9" s="31" t="d">
        <v>2022-05-16</v>
      </c>
      <c r="Q9" s="26" t="s">
        <v>37</v>
      </c>
    </row>
    <row r="10" spans="2:18" s="27" customFormat="1" ht="19.899999999999999" customHeight="1" x14ac:dyDescent="0.15">
      <c r="B10" s="24">
        <v>1</v>
      </c>
      <c r="C10" s="21" t="s">
        <v>22</v>
      </c>
      <c r="D10" s="21" t="s">
        <v>22</v>
      </c>
      <c r="E10" s="33" t="s">
        <v>29</v>
      </c>
      <c r="F10" s="34">
        <v>1</v>
      </c>
      <c r="G10" s="28">
        <v>630</v>
      </c>
      <c r="H10" s="29">
        <f t="shared" si="0"/>
        <v>630</v>
      </c>
      <c r="I10" s="20"/>
      <c r="J10" s="30" t="s">
        <v>28</v>
      </c>
      <c r="K10" s="35" t="s">
        <v>36</v>
      </c>
      <c r="L10" s="36" t="s">
        <v>27</v>
      </c>
      <c r="M10" s="25" t="d">
        <v>2022-05-09</v>
      </c>
      <c r="N10" s="24"/>
      <c r="O10" s="31"/>
      <c r="P10" s="31" t="d">
        <v>2022-05-16</v>
      </c>
      <c r="Q10" s="26" t="s">
        <v>37</v>
      </c>
    </row>
    <row r="11" spans="2:18" s="27" customFormat="1" ht="19.899999999999999" customHeight="1" x14ac:dyDescent="0.15">
      <c r="B11" s="24">
        <v>1</v>
      </c>
      <c r="C11" s="21" t="s">
        <v>22</v>
      </c>
      <c r="D11" s="21" t="s">
        <v>22</v>
      </c>
      <c r="E11" s="33" t="s">
        <v>33</v>
      </c>
      <c r="F11" s="34">
        <v>1</v>
      </c>
      <c r="G11" s="28">
        <v>3800</v>
      </c>
      <c r="H11" s="29">
        <f t="shared" ref="H11:H18" si="1">F11*G11</f>
        <v>3800</v>
      </c>
      <c r="I11" s="20"/>
      <c r="J11" s="30" t="s">
        <v>34</v>
      </c>
      <c r="K11" s="35" t="s">
        <v>36</v>
      </c>
      <c r="L11" s="36" t="s">
        <v>27</v>
      </c>
      <c r="M11" s="25" t="d">
        <v>2022-05-09</v>
      </c>
      <c r="N11" s="24"/>
      <c r="O11" s="31"/>
      <c r="P11" s="31" t="d">
        <v>2022-05-16</v>
      </c>
      <c r="Q11" s="26" t="s">
        <v>37</v>
      </c>
      <c r="R11" s="44"/>
    </row>
    <row r="12" spans="2:18" s="27" customFormat="1" ht="19.899999999999999" customHeight="1" x14ac:dyDescent="0.15">
      <c r="B12" s="24">
        <v>1</v>
      </c>
      <c r="C12" s="21" t="s">
        <v>22</v>
      </c>
      <c r="D12" s="21" t="s">
        <v>22</v>
      </c>
      <c r="E12" s="33" t="s">
        <v>35</v>
      </c>
      <c r="F12" s="34">
        <v>1</v>
      </c>
      <c r="G12" s="28">
        <v>3800</v>
      </c>
      <c r="H12" s="29">
        <f t="shared" si="1"/>
        <v>3800</v>
      </c>
      <c r="I12" s="20"/>
      <c r="J12" s="30" t="s">
        <v>34</v>
      </c>
      <c r="K12" s="35" t="s">
        <v>36</v>
      </c>
      <c r="L12" s="36" t="s">
        <v>27</v>
      </c>
      <c r="M12" s="25" t="d">
        <v>2022-05-09</v>
      </c>
      <c r="N12" s="24"/>
      <c r="O12" s="31"/>
      <c r="P12" s="31" t="d">
        <v>2022-05-16</v>
      </c>
      <c r="Q12" s="26" t="s">
        <v>37</v>
      </c>
      <c r="R12" s="44"/>
    </row>
    <row r="13" spans="2:18" s="27" customFormat="1" ht="19.899999999999999" customHeight="1" x14ac:dyDescent="0.15">
      <c r="B13" s="24">
        <v>3</v>
      </c>
      <c r="C13" s="21" t="s">
        <v>22</v>
      </c>
      <c r="D13" s="21" t="s">
        <v>22</v>
      </c>
      <c r="E13" s="33" t="s">
        <v>32</v>
      </c>
      <c r="F13" s="34">
        <v>2</v>
      </c>
      <c r="G13" s="28">
        <v>440</v>
      </c>
      <c r="H13" s="29">
        <f t="shared" si="1"/>
        <v>880</v>
      </c>
      <c r="I13" s="20"/>
      <c r="J13" s="30" t="s">
        <v>31</v>
      </c>
      <c r="K13" s="35" t="s">
        <v>36</v>
      </c>
      <c r="L13" s="36" t="s">
        <v>26</v>
      </c>
      <c r="M13" s="25" t="d">
        <v>2022-05-09</v>
      </c>
      <c r="N13" s="24"/>
      <c r="O13" s="31"/>
      <c r="P13" s="31" t="d">
        <v>2022-05-16</v>
      </c>
      <c r="Q13" s="26" t="s">
        <v>37</v>
      </c>
      <c r="R13" s="44"/>
    </row>
    <row r="14" spans="2:18" s="27" customFormat="1" ht="19.899999999999999" customHeight="1" x14ac:dyDescent="0.15">
      <c r="B14" s="24"/>
      <c r="C14" s="21"/>
      <c r="D14" s="21"/>
      <c r="E14" s="33"/>
      <c r="F14" s="34"/>
      <c r="G14" s="28"/>
      <c r="H14" s="29">
        <f t="shared" si="1"/>
        <v>0</v>
      </c>
      <c r="I14" s="20"/>
      <c r="J14" s="30"/>
      <c r="K14" s="43"/>
      <c r="L14" s="36"/>
      <c r="M14" s="25"/>
      <c r="N14" s="24"/>
      <c r="O14" s="31"/>
      <c r="P14" s="25"/>
      <c r="Q14" s="26"/>
      <c r="R14" s="44"/>
    </row>
    <row r="15" spans="2:18" s="27" customFormat="1" ht="19.899999999999999" customHeight="1" x14ac:dyDescent="0.15">
      <c r="B15" s="24"/>
      <c r="C15" s="21"/>
      <c r="D15" s="21"/>
      <c r="E15" s="33"/>
      <c r="F15" s="34"/>
      <c r="G15" s="28"/>
      <c r="H15" s="29">
        <f t="shared" si="1"/>
        <v>0</v>
      </c>
      <c r="I15" s="20"/>
      <c r="J15" s="30"/>
      <c r="K15" s="43"/>
      <c r="L15" s="36"/>
      <c r="M15" s="25"/>
      <c r="N15" s="24"/>
      <c r="O15" s="31"/>
      <c r="P15" s="25"/>
      <c r="Q15" s="26"/>
      <c r="R15" s="44"/>
    </row>
    <row r="16" spans="2:18" s="27" customFormat="1" ht="19.899999999999999" customHeight="1" x14ac:dyDescent="0.15">
      <c r="B16" s="24"/>
      <c r="C16" s="21"/>
      <c r="D16" s="21"/>
      <c r="E16" s="33"/>
      <c r="F16" s="34"/>
      <c r="G16" s="28"/>
      <c r="H16" s="29">
        <f t="shared" si="1"/>
        <v>0</v>
      </c>
      <c r="I16" s="20"/>
      <c r="J16" s="30"/>
      <c r="K16" s="43"/>
      <c r="L16" s="36"/>
      <c r="M16" s="25"/>
      <c r="N16" s="24"/>
      <c r="O16" s="31"/>
      <c r="P16" s="25"/>
      <c r="Q16" s="26"/>
      <c r="R16" s="44"/>
    </row>
    <row r="17" spans="2:17" s="27" customFormat="1" ht="19.899999999999999" customHeight="1" x14ac:dyDescent="0.15">
      <c r="B17" s="24"/>
      <c r="C17" s="21"/>
      <c r="D17" s="21"/>
      <c r="E17" s="33"/>
      <c r="F17" s="34"/>
      <c r="G17" s="23"/>
      <c r="H17" s="29">
        <f t="shared" si="1"/>
        <v>0</v>
      </c>
      <c r="I17" s="20"/>
      <c r="J17" s="30"/>
      <c r="K17" s="35"/>
      <c r="L17" s="32"/>
      <c r="M17" s="25"/>
      <c r="N17" s="24"/>
      <c r="O17" s="31"/>
      <c r="P17" s="25"/>
      <c r="Q17" s="26"/>
    </row>
    <row r="18" spans="2:17" s="27" customFormat="1" ht="19.899999999999999" customHeight="1" x14ac:dyDescent="0.15">
      <c r="B18" s="24"/>
      <c r="C18" s="21"/>
      <c r="D18" s="21"/>
      <c r="E18" s="33"/>
      <c r="F18" s="34"/>
      <c r="G18" s="23"/>
      <c r="H18" s="29">
        <f t="shared" si="1"/>
        <v>0</v>
      </c>
      <c r="I18" s="20"/>
      <c r="J18" s="30"/>
      <c r="K18" s="35"/>
      <c r="L18" s="32"/>
      <c r="M18" s="25"/>
      <c r="N18" s="24"/>
      <c r="O18" s="31"/>
      <c r="P18" s="25"/>
      <c r="Q18" s="26"/>
    </row>
    <row r="19" spans="2:17" x14ac:dyDescent="0.15">
      <c r="H19" s="19"/>
    </row>
    <row r="20" spans="2:17" x14ac:dyDescent="0.15">
      <c r="H20" s="19"/>
    </row>
    <row r="21" spans="2:17" x14ac:dyDescent="0.15">
      <c r="H21" s="19"/>
    </row>
    <row r="22" spans="2:17" x14ac:dyDescent="0.15">
      <c r="H22" s="19"/>
    </row>
    <row r="23" spans="2:17" x14ac:dyDescent="0.15">
      <c r="H23" s="19"/>
    </row>
    <row r="24" spans="2:17" x14ac:dyDescent="0.15">
      <c r="H24" s="19"/>
    </row>
    <row r="25" spans="2:17" x14ac:dyDescent="0.15">
      <c r="H25" s="19"/>
    </row>
    <row r="26" spans="2:17" x14ac:dyDescent="0.15">
      <c r="H26" s="19"/>
    </row>
    <row r="27" spans="2:17" x14ac:dyDescent="0.15">
      <c r="H27" s="19"/>
    </row>
    <row r="28" spans="2:17" x14ac:dyDescent="0.15">
      <c r="H28" s="19"/>
    </row>
    <row r="29" spans="2:17" x14ac:dyDescent="0.15">
      <c r="H29" s="19"/>
    </row>
    <row r="30" spans="2:17" x14ac:dyDescent="0.15">
      <c r="H30" s="19"/>
    </row>
    <row r="31" spans="2:17" x14ac:dyDescent="0.15">
      <c r="H31" s="18"/>
    </row>
  </sheetData>
  <autoFilter ref="B8:O18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5"/>
  <sheetViews>
    <sheetView view="pageBreakPreview" zoomScale="60" zoomScaleNormal="100" workbookViewId="0">
      <selection activeCell="C28" sqref="C28"/>
    </sheetView>
  </sheetViews>
  <sheetFormatPr defaultColWidth="25.5" defaultRowHeight="13.5" x14ac:dyDescent="0.15"/>
  <cols>
    <col min="1" max="1" width="13.25" bestFit="1" customWidth="1"/>
    <col min="2" max="2" width="46.875" customWidth="1"/>
  </cols>
  <sheetData>
    <row r="1" spans="1:2" ht="69" customHeight="1" x14ac:dyDescent="0.15">
      <c r="A1" s="38" t="s">
        <v>10</v>
      </c>
      <c r="B1" s="39" t="s">
        <v>23</v>
      </c>
    </row>
    <row r="2" spans="1:2" ht="17.25" x14ac:dyDescent="0.15">
      <c r="A2" s="38" t="s">
        <v>9</v>
      </c>
      <c r="B2" s="40" t="s">
        <v>21</v>
      </c>
    </row>
    <row r="3" spans="1:2" ht="18.75" x14ac:dyDescent="0.15">
      <c r="A3" s="38" t="s">
        <v>11</v>
      </c>
      <c r="B3" s="41">
        <v>190957</v>
      </c>
    </row>
    <row r="4" spans="1:2" ht="17.25" x14ac:dyDescent="0.15">
      <c r="A4" s="38" t="s">
        <v>12</v>
      </c>
      <c r="B4" s="42" t="d">
        <v>2021-10-26</v>
      </c>
    </row>
    <row r="5" spans="1:2" ht="17.25" x14ac:dyDescent="0.15">
      <c r="A5" s="38" t="s">
        <v>13</v>
      </c>
      <c r="B5" s="42"/>
    </row>
  </sheetData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148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Sheet1</vt:lpstr>
      <vt:lpstr>表紙</vt:lpstr>
      <vt:lpstr>表紙!Print_Area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SET T.SAITO</cp:lastModifiedBy>
  <cp:lastPrinted>2022-03-30T05:15:30Z</cp:lastPrinted>
  <dcterms:created xsi:type="dcterms:W3CDTF">2011-12-13T06:48:43Z</dcterms:created>
  <dcterms:modified xsi:type="dcterms:W3CDTF">2022-05-27T05:48:30Z</dcterms:modified>
</cp:coreProperties>
</file>