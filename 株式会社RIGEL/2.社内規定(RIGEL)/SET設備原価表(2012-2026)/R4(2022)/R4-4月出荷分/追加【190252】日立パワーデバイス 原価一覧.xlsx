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BD0F95FC-3BFD-4EA3-B7E2-FAEA6C8BC6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J2" i="1" s="1"/>
  <c r="H16" i="1"/>
  <c r="H17" i="1"/>
  <c r="H18" i="1"/>
  <c r="H12" i="1"/>
  <c r="H9" i="1"/>
  <c r="H10" i="1"/>
  <c r="H11" i="1"/>
</calcChain>
</file>

<file path=xl/sharedStrings.xml><?xml version="1.0" encoding="utf-8"?>
<sst xmlns="http://schemas.openxmlformats.org/spreadsheetml/2006/main" count="59" uniqueCount="38">
  <si>
    <t>数量</t>
  </si>
  <si>
    <t>単価</t>
  </si>
  <si>
    <t>金額</t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</si>
  <si>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</si>
  <si>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</si>
  <si>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</si>
  <si>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</si>
  <si>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</si>
  <si>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</si>
  <si>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</si>
  <si>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</si>
  <si>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</si>
  <si>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</si>
  <si>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</si>
  <si>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</si>
  <si>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</si>
  <si>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</si>
  <si>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</si>
  <si>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</si>
  <si>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</si>
  <si>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</si>
  <si>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ミスミ</t>
    <phoneticPr fontId="1"/>
  </si>
  <si>
    <t>日立パワーデバイス</t>
    <phoneticPr fontId="1"/>
  </si>
  <si>
    <t>冨沢</t>
    <rPh sb="0" eb="2">
      <t>トミザワ</t>
    </rPh>
    <phoneticPr fontId="1"/>
  </si>
  <si>
    <t>端子台カバーユニット</t>
  </si>
  <si>
    <t>MVBLK-AMW-2XA-GWBL1</t>
    <phoneticPr fontId="1"/>
  </si>
  <si>
    <t>メビー加工品(SETD0059-Z01 端子台カバー取付Lベース(背面右))</t>
    <phoneticPr fontId="1"/>
  </si>
  <si>
    <t>MVSHM-3N02050-2XA-SX3UF</t>
    <phoneticPr fontId="1"/>
  </si>
  <si>
    <t>MVSHM-3N03058-2XA-N1UR4</t>
    <phoneticPr fontId="1"/>
  </si>
  <si>
    <t>メビー加工品(SETD0059-Z02 端子台カバー取付Lベース取付L板金(背面右)</t>
    <phoneticPr fontId="1"/>
  </si>
  <si>
    <t>メビー加工(SETD0059-Z03 端子台カバー取付板金L(背面左))</t>
    <phoneticPr fontId="1"/>
  </si>
  <si>
    <t>SLSBWF7-195-LKC</t>
    <phoneticPr fontId="1"/>
  </si>
  <si>
    <t>六角支柱</t>
    <rPh sb="0" eb="4">
      <t>ロッカクシチュウ</t>
    </rPh>
    <phoneticPr fontId="1"/>
  </si>
  <si>
    <t>MVSHM-3N01550-2XA-L6HZE</t>
    <phoneticPr fontId="1"/>
  </si>
  <si>
    <t>メビー加工品(SETD0059-Z04 端子台カバー)</t>
    <phoneticPr fontId="1"/>
  </si>
  <si>
    <t>最短</t>
    <rPh sb="0" eb="2">
      <t>サイタン</t>
    </rPh>
    <phoneticPr fontId="1"/>
  </si>
  <si>
    <t>2022/3/28 神奈川（営）直送</t>
    <rPh sb="10" eb="13">
      <t>カナガワ</t>
    </rPh>
    <rPh sb="14" eb="15">
      <t>エイ</t>
    </rPh>
    <rPh sb="16" eb="18">
      <t>チョクソウ</t>
    </rPh>
    <phoneticPr fontId="1"/>
  </si>
  <si>
    <t>190252(SAITO-TETSU)で発注済</t>
    <rPh sb="20" eb="22">
      <t>ハッチュウ</t>
    </rPh>
    <rPh sb="22" eb="23">
      <t>スミ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</si>
</sst>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</numFmts>
  <fonts count="8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 shrinkToFit="1"/>
    </xf>
    <xf numFmtId="176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5" fillId="0" borderId="0" xfId="0" applyNumberFormat="1" applyFont="1">
      <alignment vertical="center"/>
    </xf>
    <xf numFmtId="180" fontId="0" fillId="0" borderId="0" xfId="0" applyNumberFormat="1">
      <alignment vertical="center"/>
    </xf>
    <xf numFmtId="180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38" fontId="7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38" fontId="5" fillId="3" borderId="1" xfId="0" applyNumberFormat="1" applyFont="1" applyFill="1" applyBorder="1" applyAlignment="1">
      <alignment horizontal="right" vertical="center"/>
    </xf>
    <xf numFmtId="49" fontId="0" fillId="0" borderId="1" xfId="0" applyNumberFormat="1" applyBorder="1" applyAlignment="1">
      <alignment horizontal="left" vertical="center"/>
    </xf>
    <xf numFmtId="181" fontId="0" fillId="0" borderId="1" xfId="0" applyNumberFormat="1" applyBorder="1" applyAlignment="1">
      <alignment horizontal="right" vertical="center"/>
    </xf>
    <xf numFmtId="0" fontId="7" fillId="3" borderId="1" xfId="0" applyFont="1" applyFill="1" applyBorder="1">
      <alignment vertical="center"/>
    </xf>
    <xf numFmtId="179" fontId="0" fillId="0" borderId="1" xfId="0" applyNumberFormat="1" applyBorder="1" applyAlignment="1">
      <alignment horizontal="center" vertical="center"/>
    </xf>
    <xf numFmtId="38" fontId="0" fillId="0" borderId="1" xfId="0" applyNumberFormat="1" applyFill="1" applyBorder="1">
      <alignment vertical="center"/>
    </xf>
    <xf numFmtId="38" fontId="0" fillId="0" borderId="1" xfId="0" applyNumberFormat="1" applyFill="1" applyBorder="1" applyAlignment="1">
      <alignment horizontal="right" vertical="center"/>
    </xf>
    <xf numFmtId="0" fontId="7" fillId="0" borderId="3" xfId="0" applyFont="1" applyFill="1" applyBorder="1">
      <alignment vertical="center"/>
    </xf>
    <xf numFmtId="180" fontId="5" fillId="0" borderId="3" xfId="0" applyNumberFormat="1" applyFont="1" applyFill="1" applyBorder="1" applyAlignment="1">
      <alignment horizontal="right" vertical="center"/>
    </xf>
    <xf numFmtId="38" fontId="0" fillId="0" borderId="3" xfId="0" applyNumberFormat="1" applyFill="1" applyBorder="1" applyAlignment="1">
      <alignment horizontal="right" vertical="center"/>
    </xf>
    <xf numFmtId="38" fontId="5" fillId="0" borderId="3" xfId="0" applyNumberFormat="1" applyFont="1" applyFill="1" applyBorder="1">
      <alignment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3" fontId="0" fillId="3" borderId="1" xfId="0" applyNumberFormat="1" applyFont="1" applyFill="1" applyBorder="1" applyAlignment="1">
      <alignment horizontal="center" vertical="center"/>
    </xf>
    <xf numFmtId="180" fontId="7" fillId="3" borderId="1" xfId="0" applyNumberFormat="1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8"/>
  <sheetViews>
    <sheetView tabSelected="1" zoomScale="85" zoomScaleNormal="85" workbookViewId="0">
      <pane ySplit="8" topLeftCell="A9" activePane="bottomLeft" state="frozen"/>
      <selection pane="bottomLeft" activeCell="E7" sqref="E7"/>
    </sheetView>
  </sheetViews>
  <sheetFormatPr defaultRowHeight="13.5" x14ac:dyDescent="0.15"/>
  <cols>
    <col min="1" max="1" width="2.625" customWidth="1"/>
    <col min="2" max="2" width="5.125" style="5" customWidth="1"/>
    <col min="3" max="3" width="20.625" customWidth="1"/>
    <col min="4" max="4" width="20.75" customWidth="1"/>
    <col min="5" max="5" width="75.75" customWidth="1"/>
    <col min="6" max="6" width="6.25" style="20" customWidth="1"/>
    <col min="7" max="8" width="11.625" customWidth="1"/>
    <col min="9" max="9" width="5.75" style="12" customWidth="1"/>
    <col min="10" max="10" width="65.625" customWidth="1"/>
    <col min="11" max="11" width="35.75" customWidth="1"/>
    <col min="12" max="12" width="55.75" style="5" customWidth="1"/>
    <col min="13" max="13" width="13.75" style="5" customWidth="1"/>
    <col min="14" max="14" width="6.375" customWidth="1"/>
    <col min="15" max="15" width="13.25" style="12" customWidth="1"/>
    <col min="16" max="16" width="14.5" style="13" customWidth="1"/>
    <col min="17" max="17" width="15.625" style="15" customWidth="1"/>
  </cols>
  <sheetData>
    <row r="2" spans="2:17" ht="20.100000000000001" customHeight="1" x14ac:dyDescent="0.15">
      <c r="B2" s="46" t="s">
        <v>10</v>
      </c>
      <c r="C2" s="46"/>
      <c r="D2" s="46"/>
      <c r="E2" s="16" t="s">
        <v>22</v>
      </c>
      <c r="G2" s="47" t="s">
        <v>14</v>
      </c>
      <c r="H2" s="48"/>
      <c r="I2" s="49"/>
      <c r="J2" s="11">
        <f>SUM(H:H)</f>
        <v>24719</v>
      </c>
      <c r="K2" s="6"/>
      <c r="L2" s="7"/>
    </row>
    <row r="3" spans="2:17" ht="20.100000000000001" customHeight="1" x14ac:dyDescent="0.15">
      <c r="B3" s="46" t="s">
        <v>9</v>
      </c>
      <c r="C3" s="46"/>
      <c r="D3" s="46"/>
      <c r="E3" s="9" t="s">
        <v>23</v>
      </c>
    </row>
    <row r="4" spans="2:17" ht="20.100000000000001" customHeight="1" x14ac:dyDescent="0.15">
      <c r="B4" s="46" t="s">
        <v>11</v>
      </c>
      <c r="C4" s="46"/>
      <c r="D4" s="46"/>
      <c r="E4" s="16">
        <v>190252</v>
      </c>
    </row>
    <row r="5" spans="2:17" ht="20.100000000000001" customHeight="1" x14ac:dyDescent="0.15">
      <c r="B5" s="46" t="s">
        <v>12</v>
      </c>
      <c r="C5" s="46"/>
      <c r="D5" s="46"/>
      <c r="E5" s="10" t="s">
        <v>35</v>
      </c>
    </row>
    <row r="6" spans="2:17" ht="20.100000000000001" customHeight="1" x14ac:dyDescent="0.15">
      <c r="B6" s="46" t="s">
        <v>13</v>
      </c>
      <c r="C6" s="46"/>
      <c r="D6" s="46"/>
      <c r="E6" s="10">
        <v>44652</v>
      </c>
    </row>
    <row r="8" spans="2:17" s="3" customFormat="1" ht="19.7" customHeight="1" x14ac:dyDescent="0.15">
      <c r="B8" s="4" t="s">
        <v>3</v>
      </c>
      <c r="C8" s="4" t="s">
        <v>8</v>
      </c>
      <c r="D8" s="4" t="s">
        <v>4</v>
      </c>
      <c r="E8" s="1" t="s">
        <v>7</v>
      </c>
      <c r="F8" s="21" t="s">
        <v>0</v>
      </c>
      <c r="G8" s="1" t="s">
        <v>1</v>
      </c>
      <c r="H8" s="2" t="s">
        <v>2</v>
      </c>
      <c r="I8" s="2" t="s">
        <v>17</v>
      </c>
      <c r="J8" s="1"/>
      <c r="K8" s="1" t="s">
        <v>16</v>
      </c>
      <c r="L8" s="1" t="s">
        <v>15</v>
      </c>
      <c r="M8" s="4" t="s">
        <v>5</v>
      </c>
      <c r="N8" s="4" t="s">
        <v>18</v>
      </c>
      <c r="O8" s="1" t="s">
        <v>6</v>
      </c>
      <c r="P8" s="8" t="s">
        <v>19</v>
      </c>
      <c r="Q8" s="22" t="s">
        <v>20</v>
      </c>
    </row>
    <row r="9" spans="2:17" s="7" customFormat="1" ht="19.7" customHeight="1" x14ac:dyDescent="0.15">
      <c r="B9" s="4"/>
      <c r="C9" s="4" t="s">
        <v>21</v>
      </c>
      <c r="D9" s="4" t="s">
        <v>21</v>
      </c>
      <c r="E9" s="27" t="s">
        <v>25</v>
      </c>
      <c r="F9" s="28">
        <v>1</v>
      </c>
      <c r="G9" s="24">
        <v>10369</v>
      </c>
      <c r="H9" s="26">
        <f>F9*G9</f>
        <v>10369</v>
      </c>
      <c r="I9" s="2"/>
      <c r="J9" s="40" t="s">
        <v>26</v>
      </c>
      <c r="K9" s="40" t="s">
        <v>37</v>
      </c>
      <c r="L9" s="41" t="s">
        <v>24</v>
      </c>
      <c r="M9" s="30">
        <v>44635</v>
      </c>
      <c r="N9" s="4"/>
      <c r="O9" s="1"/>
      <c r="P9" s="30" t="s">
        <v>36</v>
      </c>
      <c r="Q9" s="22"/>
    </row>
    <row r="10" spans="2:17" s="7" customFormat="1" ht="19.7" customHeight="1" x14ac:dyDescent="0.15">
      <c r="B10" s="4"/>
      <c r="C10" s="4" t="s">
        <v>21</v>
      </c>
      <c r="D10" s="4" t="s">
        <v>21</v>
      </c>
      <c r="E10" s="27" t="s">
        <v>27</v>
      </c>
      <c r="F10" s="28">
        <v>1</v>
      </c>
      <c r="G10" s="24">
        <v>2160</v>
      </c>
      <c r="H10" s="26">
        <f t="shared" ref="H10:H18" si="0">F10*G10</f>
        <v>2160</v>
      </c>
      <c r="I10" s="2"/>
      <c r="J10" s="40" t="s">
        <v>29</v>
      </c>
      <c r="K10" s="40" t="s">
        <v>37</v>
      </c>
      <c r="L10" s="41" t="s">
        <v>24</v>
      </c>
      <c r="M10" s="30">
        <v>44635</v>
      </c>
      <c r="N10" s="4"/>
      <c r="O10" s="1"/>
      <c r="P10" s="30" t="s">
        <v>36</v>
      </c>
      <c r="Q10" s="22"/>
    </row>
    <row r="11" spans="2:17" s="7" customFormat="1" ht="19.7" customHeight="1" x14ac:dyDescent="0.15">
      <c r="B11" s="4"/>
      <c r="C11" s="4" t="s">
        <v>21</v>
      </c>
      <c r="D11" s="4" t="s">
        <v>21</v>
      </c>
      <c r="E11" s="27" t="s">
        <v>28</v>
      </c>
      <c r="F11" s="28">
        <v>1</v>
      </c>
      <c r="G11" s="24">
        <v>2910</v>
      </c>
      <c r="H11" s="26">
        <f t="shared" si="0"/>
        <v>2910</v>
      </c>
      <c r="I11" s="2"/>
      <c r="J11" s="40" t="s">
        <v>30</v>
      </c>
      <c r="K11" s="40" t="s">
        <v>37</v>
      </c>
      <c r="L11" s="41" t="s">
        <v>24</v>
      </c>
      <c r="M11" s="30">
        <v>44635</v>
      </c>
      <c r="N11" s="4"/>
      <c r="O11" s="1"/>
      <c r="P11" s="30" t="s">
        <v>36</v>
      </c>
      <c r="Q11" s="22"/>
    </row>
    <row r="12" spans="2:17" s="7" customFormat="1" ht="19.7" customHeight="1" x14ac:dyDescent="0.15">
      <c r="B12" s="4"/>
      <c r="C12" s="4" t="s">
        <v>21</v>
      </c>
      <c r="D12" s="4" t="s">
        <v>21</v>
      </c>
      <c r="E12" s="33" t="s">
        <v>31</v>
      </c>
      <c r="F12" s="34">
        <v>2</v>
      </c>
      <c r="G12" s="35">
        <v>1140</v>
      </c>
      <c r="H12" s="26">
        <f>F12*G12</f>
        <v>2280</v>
      </c>
      <c r="I12" s="36"/>
      <c r="J12" s="40" t="s">
        <v>32</v>
      </c>
      <c r="K12" s="40" t="s">
        <v>37</v>
      </c>
      <c r="L12" s="41" t="s">
        <v>24</v>
      </c>
      <c r="M12" s="30">
        <v>44635</v>
      </c>
      <c r="N12" s="37"/>
      <c r="O12" s="38"/>
      <c r="P12" s="30" t="s">
        <v>36</v>
      </c>
      <c r="Q12" s="39"/>
    </row>
    <row r="13" spans="2:17" s="7" customFormat="1" ht="19.7" customHeight="1" x14ac:dyDescent="0.15">
      <c r="B13" s="4"/>
      <c r="C13" s="4" t="s">
        <v>21</v>
      </c>
      <c r="D13" s="4" t="s">
        <v>21</v>
      </c>
      <c r="E13" s="27" t="s">
        <v>33</v>
      </c>
      <c r="F13" s="28">
        <v>1</v>
      </c>
      <c r="G13" s="32">
        <v>7000</v>
      </c>
      <c r="H13" s="31">
        <f t="shared" si="0"/>
        <v>7000</v>
      </c>
      <c r="I13" s="2"/>
      <c r="J13" s="40" t="s">
        <v>34</v>
      </c>
      <c r="K13" s="40" t="s">
        <v>37</v>
      </c>
      <c r="L13" s="41" t="s">
        <v>24</v>
      </c>
      <c r="M13" s="30">
        <v>44635</v>
      </c>
      <c r="N13" s="4"/>
      <c r="O13" s="1"/>
      <c r="P13" s="30" t="s">
        <v>36</v>
      </c>
      <c r="Q13" s="22"/>
    </row>
    <row r="14" spans="2:17" s="7" customFormat="1" ht="19.7" customHeight="1" x14ac:dyDescent="0.15">
      <c r="B14" s="4"/>
      <c r="C14" s="42"/>
      <c r="D14" s="42"/>
      <c r="E14" s="29"/>
      <c r="F14" s="43"/>
      <c r="G14" s="24"/>
      <c r="H14" s="31">
        <f t="shared" si="0"/>
        <v>0</v>
      </c>
      <c r="I14" s="44"/>
      <c r="J14" s="40"/>
      <c r="K14" s="23"/>
      <c r="L14" s="25"/>
      <c r="M14" s="30"/>
      <c r="N14" s="4"/>
      <c r="O14" s="1"/>
      <c r="P14" s="8"/>
      <c r="Q14" s="22"/>
    </row>
    <row r="15" spans="2:17" s="7" customFormat="1" ht="19.7" customHeight="1" x14ac:dyDescent="0.15">
      <c r="B15" s="4"/>
      <c r="C15" s="42"/>
      <c r="D15" s="42"/>
      <c r="E15" s="29"/>
      <c r="F15" s="43"/>
      <c r="G15" s="24"/>
      <c r="H15" s="31">
        <f t="shared" si="0"/>
        <v>0</v>
      </c>
      <c r="I15" s="44"/>
      <c r="J15" s="23"/>
      <c r="K15" s="45"/>
      <c r="L15" s="25"/>
      <c r="M15" s="30"/>
      <c r="N15" s="4"/>
      <c r="O15" s="1"/>
      <c r="P15" s="8"/>
      <c r="Q15" s="22"/>
    </row>
    <row r="16" spans="2:17" s="7" customFormat="1" ht="19.7" customHeight="1" x14ac:dyDescent="0.15">
      <c r="B16" s="4"/>
      <c r="C16" s="42"/>
      <c r="D16" s="42"/>
      <c r="E16" s="29"/>
      <c r="F16" s="43"/>
      <c r="G16" s="24"/>
      <c r="H16" s="31">
        <f t="shared" si="0"/>
        <v>0</v>
      </c>
      <c r="I16" s="44"/>
      <c r="J16" s="23"/>
      <c r="K16" s="45"/>
      <c r="L16" s="25"/>
      <c r="M16" s="30"/>
      <c r="N16" s="4"/>
      <c r="O16" s="1"/>
      <c r="P16" s="8"/>
      <c r="Q16" s="22"/>
    </row>
    <row r="17" spans="2:17" s="7" customFormat="1" ht="19.7" customHeight="1" x14ac:dyDescent="0.15">
      <c r="B17" s="4"/>
      <c r="C17" s="42"/>
      <c r="D17" s="42"/>
      <c r="E17" s="29"/>
      <c r="F17" s="43"/>
      <c r="G17" s="24"/>
      <c r="H17" s="31">
        <f t="shared" si="0"/>
        <v>0</v>
      </c>
      <c r="I17" s="44"/>
      <c r="J17" s="23"/>
      <c r="K17" s="45"/>
      <c r="L17" s="25"/>
      <c r="M17" s="30"/>
      <c r="N17" s="4"/>
      <c r="O17" s="1"/>
      <c r="P17" s="8"/>
      <c r="Q17" s="22"/>
    </row>
    <row r="18" spans="2:17" s="7" customFormat="1" ht="19.7" customHeight="1" x14ac:dyDescent="0.15">
      <c r="B18" s="4"/>
      <c r="C18" s="42"/>
      <c r="D18" s="42"/>
      <c r="E18" s="29"/>
      <c r="F18" s="43"/>
      <c r="G18" s="24"/>
      <c r="H18" s="31">
        <f t="shared" si="0"/>
        <v>0</v>
      </c>
      <c r="I18" s="44"/>
      <c r="J18" s="23"/>
      <c r="K18" s="45"/>
      <c r="L18" s="25"/>
      <c r="M18" s="30"/>
      <c r="N18" s="4"/>
      <c r="O18" s="1"/>
      <c r="P18" s="8"/>
      <c r="Q18" s="22"/>
    </row>
    <row r="22" spans="2:17" x14ac:dyDescent="0.15">
      <c r="M22" s="14"/>
    </row>
    <row r="23" spans="2:17" x14ac:dyDescent="0.15">
      <c r="M23" s="7"/>
    </row>
    <row r="24" spans="2:17" x14ac:dyDescent="0.15">
      <c r="M24" s="14"/>
    </row>
    <row r="25" spans="2:17" x14ac:dyDescent="0.15">
      <c r="M25" s="7"/>
    </row>
    <row r="26" spans="2:17" x14ac:dyDescent="0.15">
      <c r="H26" s="18"/>
    </row>
    <row r="27" spans="2:17" x14ac:dyDescent="0.15">
      <c r="H27" s="18"/>
    </row>
    <row r="28" spans="2:17" x14ac:dyDescent="0.15">
      <c r="H28" s="18"/>
    </row>
    <row r="29" spans="2:17" x14ac:dyDescent="0.15">
      <c r="H29" s="18"/>
    </row>
    <row r="30" spans="2:17" x14ac:dyDescent="0.15">
      <c r="H30" s="18"/>
    </row>
    <row r="31" spans="2:17" x14ac:dyDescent="0.15">
      <c r="H31" s="18"/>
    </row>
    <row r="32" spans="2:17" x14ac:dyDescent="0.15">
      <c r="H32" s="18"/>
    </row>
    <row r="33" spans="8:8" x14ac:dyDescent="0.15">
      <c r="H33" s="18"/>
    </row>
    <row r="34" spans="8:8" x14ac:dyDescent="0.15">
      <c r="H34" s="18"/>
    </row>
    <row r="35" spans="8:8" x14ac:dyDescent="0.15">
      <c r="H35" s="18"/>
    </row>
    <row r="36" spans="8:8" x14ac:dyDescent="0.15">
      <c r="H36" s="18"/>
    </row>
    <row r="37" spans="8:8" x14ac:dyDescent="0.15">
      <c r="H37" s="19"/>
    </row>
    <row r="38" spans="8:8" x14ac:dyDescent="0.15">
      <c r="H38" s="18"/>
    </row>
    <row r="39" spans="8:8" x14ac:dyDescent="0.15">
      <c r="H39" s="18"/>
    </row>
    <row r="40" spans="8:8" x14ac:dyDescent="0.15">
      <c r="H40" s="18"/>
    </row>
    <row r="41" spans="8:8" x14ac:dyDescent="0.15">
      <c r="H41" s="18"/>
    </row>
    <row r="42" spans="8:8" x14ac:dyDescent="0.15">
      <c r="H42" s="18"/>
    </row>
    <row r="43" spans="8:8" x14ac:dyDescent="0.15">
      <c r="H43" s="18"/>
    </row>
    <row r="44" spans="8:8" x14ac:dyDescent="0.15">
      <c r="H44" s="18"/>
    </row>
    <row r="45" spans="8:8" x14ac:dyDescent="0.15">
      <c r="H45" s="18"/>
    </row>
    <row r="46" spans="8:8" x14ac:dyDescent="0.15">
      <c r="H46" s="18"/>
    </row>
    <row r="48" spans="8:8" x14ac:dyDescent="0.15">
      <c r="H48" s="17"/>
    </row>
  </sheetData>
  <autoFilter ref="B8:O18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斉藤鉄也</cp:lastModifiedBy>
  <cp:lastPrinted>2013-11-12T01:42:54Z</cp:lastPrinted>
  <dcterms:created xsi:type="dcterms:W3CDTF">2011-12-13T06:48:43Z</dcterms:created>
  <dcterms:modified xsi:type="dcterms:W3CDTF">2022-04-05T01:19:40Z</dcterms:modified>
</cp:coreProperties>
</file>