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5028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9_{CDC31C3C-9530-4106-B298-5FD10F05BC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表紙" sheetId="2" r:id="rId2"/>
  </sheets>
  <definedNames>
    <definedName name="_xlnm._FilterDatabase" localSheetId="0" hidden="1">Sheet1!$B$8:$O$120</definedName>
    <definedName name="_xlnm.Print_Area" localSheetId="1">表紙!$A$1:$B$5</definedName>
  </definedNames>
  <calcPr calcId="18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purl.oclc.org/ooxml/spreadsheetml/main">
  <c r="H116" i="1" l="1"/>
  <c r="H109" i="1"/>
  <c r="H108" i="1"/>
  <c r="H107" i="1"/>
  <c r="H106" i="1"/>
  <c r="H105" i="1"/>
  <c r="H104" i="1"/>
  <c r="H101" i="1" l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5" i="1"/>
  <c r="H46" i="1"/>
  <c r="H102" i="1"/>
  <c r="H103" i="1"/>
  <c r="H110" i="1"/>
  <c r="H111" i="1"/>
  <c r="H112" i="1"/>
  <c r="H113" i="1"/>
  <c r="H114" i="1"/>
  <c r="H115" i="1"/>
  <c r="H117" i="1"/>
  <c r="H118" i="1"/>
  <c r="H119" i="1"/>
  <c r="H120" i="1"/>
  <c r="H23" i="1" l="1"/>
  <c r="H24" i="1"/>
  <c r="H25" i="1"/>
  <c r="H26" i="1"/>
  <c r="H27" i="1"/>
  <c r="H28" i="1"/>
  <c r="H44" i="1" l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2" i="1"/>
  <c r="H21" i="1"/>
  <c r="H20" i="1"/>
  <c r="H19" i="1"/>
  <c r="H17" i="1"/>
  <c r="H16" i="1"/>
  <c r="H15" i="1"/>
  <c r="H14" i="1"/>
  <c r="H13" i="1"/>
  <c r="H12" i="1"/>
  <c r="H11" i="1"/>
  <c r="H10" i="1"/>
  <c r="H9" i="1"/>
  <c r="H18" i="1"/>
  <c r="J2" i="1" l="1"/>
</calcChain>
</file>

<file path=xl/sharedStrings.xml><?xml version="1.0" encoding="utf-8"?>
<sst xmlns="http://purl.oclc.org/ooxml/spreadsheetml/main" count="494" uniqueCount="238">
  <si>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</si>
  <si>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</si>
  <si>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</si>
  <si>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</si>
  <si>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</si>
  <si>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</si>
  <si>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</si>
  <si>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</si>
  <si>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</si>
  <si>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</si>
  <si>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</si>
  <si>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</si>
  <si>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</si>
  <si>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</si>
  <si>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</si>
  <si>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</si>
  <si>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</si>
  <si>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</si>
  <si>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</si>
  <si>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</si>
  <si>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</si>
  <si>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平山</t>
    <rPh sb="0" eb="2">
      <t>ヒラヤマ</t>
    </rPh>
    <phoneticPr fontId="1"/>
  </si>
  <si>
    <t>ミスミ</t>
    <phoneticPr fontId="1"/>
  </si>
  <si>
    <t>制御機材</t>
    <rPh sb="0" eb="4">
      <t>セイギョキザイ</t>
    </rPh>
    <phoneticPr fontId="1"/>
  </si>
  <si>
    <t>FWRBN-D51-V32-T2</t>
    <phoneticPr fontId="1"/>
  </si>
  <si>
    <t>森清化工</t>
    <phoneticPr fontId="1"/>
  </si>
  <si>
    <t>JASO-F404-19022-NBR-70-1</t>
    <phoneticPr fontId="1"/>
  </si>
  <si>
    <t>NOK</t>
    <phoneticPr fontId="1"/>
  </si>
  <si>
    <t>P5-1B</t>
    <phoneticPr fontId="1"/>
  </si>
  <si>
    <t>P10-1B</t>
    <phoneticPr fontId="1"/>
  </si>
  <si>
    <t>ミスミ</t>
    <phoneticPr fontId="1"/>
  </si>
  <si>
    <t>MNCNL6-M5</t>
    <phoneticPr fontId="1"/>
  </si>
  <si>
    <t>MPLGN</t>
    <phoneticPr fontId="1"/>
  </si>
  <si>
    <t>MSSL5</t>
    <phoneticPr fontId="1"/>
  </si>
  <si>
    <t>MNCNL6-1</t>
    <phoneticPr fontId="1"/>
  </si>
  <si>
    <t>ゴムワッシャ</t>
    <phoneticPr fontId="1"/>
  </si>
  <si>
    <t>"O"リング</t>
    <phoneticPr fontId="1"/>
  </si>
  <si>
    <t>ミニチュアワンタッチ継手　エルボ</t>
    <phoneticPr fontId="1"/>
  </si>
  <si>
    <t>ミニチュア管継手　プラグ</t>
    <phoneticPr fontId="1"/>
  </si>
  <si>
    <t>サイレンサ</t>
    <phoneticPr fontId="1"/>
  </si>
  <si>
    <t>ハンドバルブ</t>
    <phoneticPr fontId="1"/>
  </si>
  <si>
    <t>SMC</t>
    <phoneticPr fontId="1"/>
  </si>
  <si>
    <t>エアシリンダ</t>
    <phoneticPr fontId="1"/>
  </si>
  <si>
    <t>ARX21-01BG</t>
    <phoneticPr fontId="1"/>
  </si>
  <si>
    <t>レギュレータ</t>
    <phoneticPr fontId="1"/>
  </si>
  <si>
    <r>
      <t>CDJ2B16-200Z-C73C</t>
    </r>
    <r>
      <rPr>
        <sz val="11"/>
        <rFont val="ＭＳ Ｐゴシック"/>
        <family val="3"/>
        <charset val="128"/>
      </rPr>
      <t>ZS-B</t>
    </r>
    <phoneticPr fontId="1"/>
  </si>
  <si>
    <t>SC40309</t>
    <phoneticPr fontId="1"/>
  </si>
  <si>
    <t>SC40311-01</t>
    <phoneticPr fontId="1"/>
  </si>
  <si>
    <t>トップキャップ</t>
    <phoneticPr fontId="1"/>
  </si>
  <si>
    <t>シールキャップ</t>
    <phoneticPr fontId="1"/>
  </si>
  <si>
    <t>シールナット</t>
    <phoneticPr fontId="1"/>
  </si>
  <si>
    <t>AIRSYS-SPX-W1</t>
    <phoneticPr fontId="1"/>
  </si>
  <si>
    <t>アダプタナット</t>
    <phoneticPr fontId="1"/>
  </si>
  <si>
    <t>遠藤製作所</t>
    <rPh sb="0" eb="2">
      <t>エンドウ</t>
    </rPh>
    <rPh sb="2" eb="5">
      <t>セイサクジョ</t>
    </rPh>
    <phoneticPr fontId="1"/>
  </si>
  <si>
    <t>シリンダ/液剤 加圧用レギュレータユニット</t>
    <rPh sb="5" eb="7">
      <t>エキザイ</t>
    </rPh>
    <rPh sb="8" eb="10">
      <t>カアツ</t>
    </rPh>
    <rPh sb="10" eb="11">
      <t>ヨウ</t>
    </rPh>
    <phoneticPr fontId="1"/>
  </si>
  <si>
    <t>SET</t>
    <phoneticPr fontId="1"/>
  </si>
  <si>
    <t>300CVﾖｳ　ｶﾞｲﾖｳｷ</t>
  </si>
  <si>
    <t>P15-1B</t>
    <phoneticPr fontId="1"/>
  </si>
  <si>
    <t>FWRBS-D20-V14-T2</t>
    <phoneticPr fontId="1"/>
  </si>
  <si>
    <t>"O"リング（ドロップインアダプタパッキン部予備）</t>
    <rPh sb="21" eb="22">
      <t>ブ</t>
    </rPh>
    <rPh sb="22" eb="24">
      <t>ヨビ</t>
    </rPh>
    <phoneticPr fontId="1"/>
  </si>
  <si>
    <t>ゴムワッシャ（シリコン）　ドロップインアダプタ部パッキン</t>
    <rPh sb="23" eb="24">
      <t>ブ</t>
    </rPh>
    <phoneticPr fontId="1"/>
  </si>
  <si>
    <t xml:space="preserve">富士通テレコムネットワーク　　　　　　　　　　　　　　　　　　　　　　(渡辺精工社) </t>
    <phoneticPr fontId="1"/>
  </si>
  <si>
    <t>泰光</t>
    <rPh sb="0" eb="2">
      <t>ヤスミツ</t>
    </rPh>
    <phoneticPr fontId="1"/>
  </si>
  <si>
    <t>山澤</t>
    <rPh sb="0" eb="2">
      <t>ヤマサワ</t>
    </rPh>
    <phoneticPr fontId="1"/>
  </si>
  <si>
    <t>コネクト</t>
    <phoneticPr fontId="1"/>
  </si>
  <si>
    <t>SETD0001-Z01</t>
    <phoneticPr fontId="1"/>
  </si>
  <si>
    <t>樹脂プッシャボス</t>
    <rPh sb="0" eb="2">
      <t>ジュシ</t>
    </rPh>
    <phoneticPr fontId="1"/>
  </si>
  <si>
    <t>SETD0001-Z02</t>
  </si>
  <si>
    <t>樹脂丸プッシャ</t>
    <rPh sb="0" eb="2">
      <t>ジュシ</t>
    </rPh>
    <rPh sb="2" eb="3">
      <t>マル</t>
    </rPh>
    <phoneticPr fontId="1"/>
  </si>
  <si>
    <t>見積りNo：22TM-0090-00を添付致します。</t>
    <rPh sb="0" eb="2">
      <t>ミツモリ</t>
    </rPh>
    <rPh sb="19" eb="21">
      <t>テンプ</t>
    </rPh>
    <rPh sb="21" eb="22">
      <t>イタ</t>
    </rPh>
    <phoneticPr fontId="1"/>
  </si>
  <si>
    <t>SETD0081-DOSK01</t>
    <phoneticPr fontId="1"/>
  </si>
  <si>
    <t>見積りNo：16098を添付致します。</t>
    <rPh sb="0" eb="2">
      <t>ミツモリ</t>
    </rPh>
    <rPh sb="12" eb="14">
      <t>テンプ</t>
    </rPh>
    <rPh sb="14" eb="15">
      <t>イタ</t>
    </rPh>
    <phoneticPr fontId="1"/>
  </si>
  <si>
    <t>ドロップインアダプタ(セキスイボンド）</t>
    <phoneticPr fontId="1"/>
  </si>
  <si>
    <t>CBSTS5-6</t>
    <phoneticPr fontId="1"/>
  </si>
  <si>
    <t>極低頭六角穴付ボルト</t>
    <phoneticPr fontId="1"/>
  </si>
  <si>
    <t>スリーエムジャパン</t>
    <phoneticPr fontId="1"/>
  </si>
  <si>
    <t>残検ｴｱシリンダカートリッジ</t>
    <rPh sb="0" eb="1">
      <t>ザン</t>
    </rPh>
    <rPh sb="1" eb="2">
      <t>ケン</t>
    </rPh>
    <phoneticPr fontId="1"/>
  </si>
  <si>
    <t>ミスミ</t>
    <phoneticPr fontId="1"/>
  </si>
  <si>
    <t>SECON-S-U-3-2</t>
    <phoneticPr fontId="1"/>
  </si>
  <si>
    <t>MNUNY6</t>
    <phoneticPr fontId="1"/>
  </si>
  <si>
    <t>ミニチュアワンタッチ継手　ユニオンワイ</t>
    <phoneticPr fontId="1"/>
  </si>
  <si>
    <t>37103-3101-000 FL</t>
    <phoneticPr fontId="1"/>
  </si>
  <si>
    <t>e-conコネクタ オス(スリーエムジャパン)</t>
    <phoneticPr fontId="1"/>
  </si>
  <si>
    <t>e-conコネクタハーネス（メスコネクタ）</t>
    <phoneticPr fontId="1"/>
  </si>
  <si>
    <t>APMMS-T2-T2</t>
    <phoneticPr fontId="1"/>
  </si>
  <si>
    <t>ねじ変換継手</t>
    <phoneticPr fontId="1"/>
  </si>
  <si>
    <t>残検ｴｱシリンダカートリッジ用継手</t>
    <rPh sb="0" eb="1">
      <t>ザン</t>
    </rPh>
    <rPh sb="1" eb="2">
      <t>ケン</t>
    </rPh>
    <rPh sb="14" eb="15">
      <t>ヨウ</t>
    </rPh>
    <rPh sb="15" eb="17">
      <t>ツギテ</t>
    </rPh>
    <phoneticPr fontId="1"/>
  </si>
  <si>
    <t>PT-8A</t>
    <phoneticPr fontId="1"/>
  </si>
  <si>
    <t>ステンレス鋼製チーズ継手ねじ込み(キッツ)</t>
    <phoneticPr fontId="1"/>
  </si>
  <si>
    <t>キッツ</t>
    <phoneticPr fontId="1"/>
  </si>
  <si>
    <t>AP-8A-SU6</t>
    <phoneticPr fontId="1"/>
  </si>
  <si>
    <t>エヤー抜きバルブ(フジトク）</t>
    <phoneticPr fontId="1"/>
  </si>
  <si>
    <t>フジトク</t>
    <phoneticPr fontId="1"/>
  </si>
  <si>
    <t>ワンタッチ継手 ソケットエルボ(PISCO)</t>
    <phoneticPr fontId="1"/>
  </si>
  <si>
    <t>日本ピスコ</t>
    <rPh sb="0" eb="2">
      <t>ニホン</t>
    </rPh>
    <phoneticPr fontId="1"/>
  </si>
  <si>
    <t>ATP300A</t>
    <phoneticPr fontId="1"/>
  </si>
  <si>
    <t>PLJ6</t>
    <phoneticPr fontId="1"/>
  </si>
  <si>
    <t>BVHV6-1-3-B</t>
    <phoneticPr fontId="1"/>
  </si>
  <si>
    <t>SC40310</t>
    <phoneticPr fontId="1"/>
  </si>
  <si>
    <t>MVBLK-AMW-2YX-GEXWR</t>
    <phoneticPr fontId="1"/>
  </si>
  <si>
    <t>メビー加工品(JR3303ケーブルベアベース)</t>
    <phoneticPr fontId="1"/>
  </si>
  <si>
    <t>ヘッド部ケーブルキャリア</t>
    <phoneticPr fontId="1"/>
  </si>
  <si>
    <t>CBSTSR4-14</t>
    <phoneticPr fontId="1"/>
  </si>
  <si>
    <t>超極低頭六角穴付ボルト</t>
    <phoneticPr fontId="1"/>
  </si>
  <si>
    <t>CBSTSR4-8</t>
    <phoneticPr fontId="1"/>
  </si>
  <si>
    <t>SZ16F-4-060-25</t>
    <phoneticPr fontId="1"/>
  </si>
  <si>
    <t>ケーブルキャリア</t>
    <phoneticPr fontId="1"/>
  </si>
  <si>
    <t>MVSHM-3N02052-2YX-8ZM26</t>
    <phoneticPr fontId="1"/>
  </si>
  <si>
    <t>メビー加工品(JR3303ケーブルキャリアL板金)</t>
    <phoneticPr fontId="1"/>
  </si>
  <si>
    <t>FADAS-SUD-T2-A70-B20-L42-X21-H20-G37-M5-Y5-V32-S10-NA4</t>
    <phoneticPr fontId="1"/>
  </si>
  <si>
    <t xml:space="preserve"> L型板金</t>
    <phoneticPr fontId="1"/>
  </si>
  <si>
    <t>SUNCO</t>
    <phoneticPr fontId="1"/>
  </si>
  <si>
    <t>CSPRD-SUS-M5-6</t>
    <phoneticPr fontId="1"/>
  </si>
  <si>
    <t>十字穴付（+）丸皿小ねじ(SUNCO）</t>
    <phoneticPr fontId="1"/>
  </si>
  <si>
    <t>MVSHM-3N02058-2YX-K9985</t>
    <phoneticPr fontId="1"/>
  </si>
  <si>
    <t>メビィー加工品(JR3303端子台取付L板金)</t>
    <phoneticPr fontId="1"/>
  </si>
  <si>
    <t>I/O端子台ユニット</t>
    <phoneticPr fontId="1"/>
  </si>
  <si>
    <t>鍋屋バイテック</t>
    <phoneticPr fontId="1"/>
  </si>
  <si>
    <t>SHAS-M4X20</t>
    <phoneticPr fontId="1"/>
  </si>
  <si>
    <t>六角支柱(鍋屋バイテック)</t>
    <phoneticPr fontId="1"/>
  </si>
  <si>
    <t>MRB-290</t>
    <phoneticPr fontId="1"/>
  </si>
  <si>
    <t>DINレール</t>
    <phoneticPr fontId="1"/>
  </si>
  <si>
    <t>MWS-DS37A-HT37</t>
    <phoneticPr fontId="1"/>
  </si>
  <si>
    <t>Dsubコネクタ端子台</t>
    <phoneticPr fontId="1"/>
  </si>
  <si>
    <t>興和化成</t>
    <phoneticPr fontId="1"/>
  </si>
  <si>
    <t>KD-36-20-T</t>
    <phoneticPr fontId="1"/>
  </si>
  <si>
    <t>カッチンダクト（興和化成）</t>
    <phoneticPr fontId="1"/>
  </si>
  <si>
    <t>タカチ電機工業</t>
    <phoneticPr fontId="1"/>
  </si>
  <si>
    <t>TKR-TWE1</t>
    <phoneticPr fontId="1"/>
  </si>
  <si>
    <t>DINレール止め金具（タカチ電機工業）</t>
    <phoneticPr fontId="1"/>
  </si>
  <si>
    <t>GLDJ-PS-WA-37-2</t>
    <phoneticPr fontId="1"/>
  </si>
  <si>
    <t>Dsubコネクタハーネス</t>
    <phoneticPr fontId="1"/>
  </si>
  <si>
    <t>I/O-SYS⇔端子台ケーブル</t>
    <rPh sb="8" eb="11">
      <t>タンシダイ</t>
    </rPh>
    <phoneticPr fontId="1"/>
  </si>
  <si>
    <t>GLDU-PT-WA-9-2-00F</t>
    <phoneticPr fontId="1"/>
  </si>
  <si>
    <t xml:space="preserve"> Dsubコネクタハーネス</t>
    <phoneticPr fontId="1"/>
  </si>
  <si>
    <t>SDP420⇔端子台ケーブル</t>
    <rPh sb="7" eb="10">
      <t>タンシダイ</t>
    </rPh>
    <phoneticPr fontId="1"/>
  </si>
  <si>
    <t>大同端子製造</t>
    <phoneticPr fontId="1"/>
  </si>
  <si>
    <t>F1.25-M3</t>
    <phoneticPr fontId="1"/>
  </si>
  <si>
    <t>裸圧着端子 Y型（大同端子製造）</t>
    <phoneticPr fontId="1"/>
  </si>
  <si>
    <t>NAUL1007-20-BE-10</t>
    <phoneticPr fontId="1"/>
  </si>
  <si>
    <t>単芯電線UL</t>
    <phoneticPr fontId="1"/>
  </si>
  <si>
    <t>JPLRS4-P5-B7</t>
    <phoneticPr fontId="1"/>
  </si>
  <si>
    <t>マーカーピン</t>
    <phoneticPr fontId="1"/>
  </si>
  <si>
    <t>ツールユニット</t>
    <phoneticPr fontId="1"/>
  </si>
  <si>
    <t>MVBLK-AMW-2Z3-CXP5H</t>
    <phoneticPr fontId="1"/>
  </si>
  <si>
    <t>メビー加工品(ツール板)</t>
    <phoneticPr fontId="1"/>
  </si>
  <si>
    <t>MVBLK-AMW-2Z4-2T1EN</t>
    <phoneticPr fontId="1"/>
  </si>
  <si>
    <t>メビー加工品(3軸調整取付板(XYZEG25))</t>
    <phoneticPr fontId="1"/>
  </si>
  <si>
    <t>3軸調整ユニット</t>
    <phoneticPr fontId="1"/>
  </si>
  <si>
    <t>XYZEG25</t>
    <phoneticPr fontId="1"/>
  </si>
  <si>
    <t>XYZ軸ステージ</t>
    <rPh sb="3" eb="4">
      <t>ジク</t>
    </rPh>
    <phoneticPr fontId="1"/>
  </si>
  <si>
    <t>MVBLK-AMW-2Z4-1JF7W</t>
    <phoneticPr fontId="1"/>
  </si>
  <si>
    <t>メビー加工品(3軸調整バルブ取付板(XYZEG25))</t>
    <phoneticPr fontId="1"/>
  </si>
  <si>
    <t>CSH-SUS-M2-10</t>
    <phoneticPr fontId="1"/>
  </si>
  <si>
    <t>六角穴付ボルト(SUNCO)</t>
    <phoneticPr fontId="1"/>
  </si>
  <si>
    <t>DBGS4-8.2-7-LTC-PC</t>
    <phoneticPr fontId="1"/>
  </si>
  <si>
    <t>段付ボルト</t>
    <phoneticPr fontId="1"/>
  </si>
  <si>
    <t>残検エアシリンダカートリッジ取付ユニット</t>
    <phoneticPr fontId="1"/>
  </si>
  <si>
    <t>LRLB4-10</t>
    <phoneticPr fontId="1"/>
  </si>
  <si>
    <t>長尺ローレット付ボルト</t>
    <phoneticPr fontId="1"/>
  </si>
  <si>
    <t>HXN-ST-M4-65</t>
    <phoneticPr fontId="1"/>
  </si>
  <si>
    <t xml:space="preserve">六角ボルト(SUNCO) </t>
    <phoneticPr fontId="1"/>
  </si>
  <si>
    <t>NKMS4</t>
    <phoneticPr fontId="1"/>
  </si>
  <si>
    <t xml:space="preserve">ローレットノブ (段付めねじ) </t>
    <phoneticPr fontId="1"/>
  </si>
  <si>
    <t>MVSHM-3N01000-2Z4-TSGR4</t>
    <phoneticPr fontId="1"/>
  </si>
  <si>
    <t>メビー加工品(六角ボルトカバ―)</t>
    <phoneticPr fontId="1"/>
  </si>
  <si>
    <t>CSH-SUS-M2-6</t>
    <phoneticPr fontId="1"/>
  </si>
  <si>
    <t xml:space="preserve">六角穴付ボルト(SUNCO) </t>
    <phoneticPr fontId="1"/>
  </si>
  <si>
    <t>MVSHM-3N02052-2Z1-HMWAD</t>
    <phoneticPr fontId="1"/>
  </si>
  <si>
    <t>メビー加工品(ARX21レギュレータ取付板金)</t>
    <phoneticPr fontId="1"/>
  </si>
  <si>
    <t>MVBLK-AMW-2Z3-5ASA3</t>
    <phoneticPr fontId="1"/>
  </si>
  <si>
    <t>メビィー加工品（No30カップベーススライド板）</t>
    <phoneticPr fontId="1"/>
  </si>
  <si>
    <t>捨て打ちカップユニット</t>
    <phoneticPr fontId="1"/>
  </si>
  <si>
    <t>AJPNGB3-P4.30-B6.0-G4-GC</t>
    <phoneticPr fontId="1"/>
  </si>
  <si>
    <t>位置決めピン</t>
    <phoneticPr fontId="1"/>
  </si>
  <si>
    <t>RSCB4-15</t>
    <phoneticPr fontId="1"/>
  </si>
  <si>
    <t xml:space="preserve"> 六角ボルト</t>
    <phoneticPr fontId="1"/>
  </si>
  <si>
    <t>CHNS4</t>
    <phoneticPr fontId="1"/>
  </si>
  <si>
    <t>蝶ナット</t>
    <phoneticPr fontId="1"/>
  </si>
  <si>
    <t>MVBLK-AMW-2Z3-FYSZX</t>
    <phoneticPr fontId="1"/>
  </si>
  <si>
    <t>メビィー加工品(No30カップベース）</t>
    <phoneticPr fontId="1"/>
  </si>
  <si>
    <t>P1-SWBC-19233253</t>
    <phoneticPr fontId="1"/>
  </si>
  <si>
    <t>Z曲げﾌﾞﾗｹｯﾄ(No30カップガイド板金H15)</t>
    <phoneticPr fontId="1"/>
  </si>
  <si>
    <t>MVBLK-AMW-2Z4-54BYH</t>
    <phoneticPr fontId="1"/>
  </si>
  <si>
    <t>メビー加工品(ロボットベース)</t>
    <phoneticPr fontId="1"/>
  </si>
  <si>
    <t>ロボットベース</t>
    <phoneticPr fontId="1"/>
  </si>
  <si>
    <t>AFPBHD6-P12-L7-B4</t>
    <phoneticPr fontId="1"/>
  </si>
  <si>
    <t>位置決めピン(ダイヤ)</t>
    <rPh sb="0" eb="3">
      <t>イチキ</t>
    </rPh>
    <phoneticPr fontId="1"/>
  </si>
  <si>
    <t>AFPBHA6-P10-L7-B4-E3</t>
    <phoneticPr fontId="1"/>
  </si>
  <si>
    <t>位置決めピン(丸)</t>
    <rPh sb="0" eb="3">
      <t>イチキ</t>
    </rPh>
    <rPh sb="7" eb="8">
      <t>マル</t>
    </rPh>
    <phoneticPr fontId="1"/>
  </si>
  <si>
    <t>SSHCA-SUS-M3-8</t>
    <phoneticPr fontId="1"/>
  </si>
  <si>
    <t xml:space="preserve">六角穴付 止めねじ くぼみ先(SUNCO) </t>
    <phoneticPr fontId="1"/>
  </si>
  <si>
    <t>STSG-SUH-D8-L45-E11-F7-J10-K10-W6-M4</t>
    <phoneticPr fontId="1"/>
  </si>
  <si>
    <t>シャフト(テーパ)</t>
    <phoneticPr fontId="1"/>
  </si>
  <si>
    <t>ノズル位置決めピン</t>
    <rPh sb="3" eb="6">
      <t>イチキ</t>
    </rPh>
    <phoneticPr fontId="1"/>
  </si>
  <si>
    <t>MVBLK-AMW-2Z4-L92SG</t>
    <phoneticPr fontId="1"/>
  </si>
  <si>
    <t>メビー加工品(FLSワークパレットベース)</t>
    <phoneticPr fontId="1"/>
  </si>
  <si>
    <t>ワーク治具パレット FLS</t>
    <phoneticPr fontId="1"/>
  </si>
  <si>
    <t>MVBLK-MCL-2Z4-1Z7NF</t>
    <phoneticPr fontId="1"/>
  </si>
  <si>
    <t>メビー加工品(FLS固定Lブロック(奥))</t>
    <phoneticPr fontId="1"/>
  </si>
  <si>
    <t>MVBLK-MCL-2Z4-R7N7Y</t>
    <phoneticPr fontId="1"/>
  </si>
  <si>
    <t>メビー加工品(FLS固定Lブロック(手前))</t>
    <phoneticPr fontId="1"/>
  </si>
  <si>
    <t>AYHK15-10</t>
    <phoneticPr fontId="1"/>
  </si>
  <si>
    <t>金属ワッシャ付クッション</t>
    <phoneticPr fontId="1"/>
  </si>
  <si>
    <t>東洋技研</t>
    <rPh sb="0" eb="4">
      <t>トウヨウギケン</t>
    </rPh>
    <phoneticPr fontId="1"/>
  </si>
  <si>
    <t>モノタロウ</t>
    <phoneticPr fontId="1"/>
  </si>
  <si>
    <t>PCN-COM201 注文コード： 34818804</t>
    <rPh sb="11" eb="13">
      <t>チュウモン</t>
    </rPh>
    <phoneticPr fontId="1"/>
  </si>
  <si>
    <t xml:space="preserve">コモン端子台(東洋技研) </t>
    <phoneticPr fontId="1"/>
  </si>
  <si>
    <t>マルエム</t>
    <phoneticPr fontId="1"/>
  </si>
  <si>
    <t xml:space="preserve">0615-04 注文コード：26979137 </t>
    <rPh sb="8" eb="10">
      <t>チュウモン</t>
    </rPh>
    <phoneticPr fontId="1"/>
  </si>
  <si>
    <t>ネオ・ミニカップ（No.30） No.30（マルエム）</t>
    <phoneticPr fontId="1"/>
  </si>
  <si>
    <t>送料</t>
    <rPh sb="0" eb="2">
      <t>ソウリョウ</t>
    </rPh>
    <phoneticPr fontId="1"/>
  </si>
  <si>
    <t>SETD0022-Y08</t>
    <phoneticPr fontId="1"/>
  </si>
  <si>
    <t>725D,725DA用ホルダ（P=25）</t>
    <phoneticPr fontId="1"/>
  </si>
  <si>
    <t>SETD0081-Y01</t>
    <phoneticPr fontId="1"/>
  </si>
  <si>
    <t>カートリッジホルダスライドレール</t>
    <phoneticPr fontId="1"/>
  </si>
  <si>
    <t>SETD0081-Y02</t>
  </si>
  <si>
    <t>新カートリッジスライド式ホルダ</t>
    <phoneticPr fontId="1"/>
  </si>
  <si>
    <t>見積待ち</t>
    <rPh sb="0" eb="2">
      <t>ミツモリ</t>
    </rPh>
    <rPh sb="2" eb="3">
      <t>マ</t>
    </rPh>
    <phoneticPr fontId="1"/>
  </si>
  <si>
    <t>MVBLK-AMW-2ZR-D3XAW</t>
    <phoneticPr fontId="1"/>
  </si>
  <si>
    <t>メビー加工品(FLWワークパレットベース)</t>
    <phoneticPr fontId="1"/>
  </si>
  <si>
    <t>194646(SAITO-TETSU)で発注済</t>
    <rPh sb="20" eb="22">
      <t>ハッチュウ</t>
    </rPh>
    <rPh sb="22" eb="23">
      <t>スミ</t>
    </rPh>
    <phoneticPr fontId="1"/>
  </si>
  <si>
    <t>ワーク治具パレット FLW</t>
    <phoneticPr fontId="1"/>
  </si>
  <si>
    <t>MVBLK-MCL-2ZR-8NZTE</t>
    <phoneticPr fontId="1"/>
  </si>
  <si>
    <t>メビー加工品(FLW固定Lブロック(奥))</t>
    <phoneticPr fontId="1"/>
  </si>
  <si>
    <t>MVBLK-MCL-2ZR-DYY2T</t>
    <phoneticPr fontId="1"/>
  </si>
  <si>
    <t>メビー加工品(FLW固定Lブロック(手前右))</t>
    <phoneticPr fontId="1"/>
  </si>
  <si>
    <t>MVBLK-MCL-2ZR-AX4GA</t>
    <phoneticPr fontId="1"/>
  </si>
  <si>
    <t>メビー加工品(FLW固定Lブロック(手前左))</t>
    <phoneticPr fontId="1"/>
  </si>
  <si>
    <t>PACK10-CIMRS4-6-0.1</t>
    <phoneticPr fontId="1"/>
  </si>
  <si>
    <t>シムリング</t>
    <phoneticPr fontId="1"/>
  </si>
  <si>
    <t>ミスミ</t>
    <phoneticPr fontId="1"/>
  </si>
  <si>
    <t>SBBSS5-12</t>
    <phoneticPr fontId="1"/>
  </si>
  <si>
    <t>小径頭ボルト</t>
    <rPh sb="0" eb="2">
      <t>ショウケイ</t>
    </rPh>
    <rPh sb="2" eb="3">
      <t>トウ</t>
    </rPh>
    <phoneticPr fontId="1"/>
  </si>
  <si>
    <t>KBBS5-12</t>
    <phoneticPr fontId="1"/>
  </si>
  <si>
    <t>低頭小径ボルト</t>
    <rPh sb="0" eb="1">
      <t>テイ</t>
    </rPh>
    <rPh sb="1" eb="2">
      <t>アタマ</t>
    </rPh>
    <rPh sb="2" eb="4">
      <t>ショウケイ</t>
    </rPh>
    <phoneticPr fontId="1"/>
  </si>
  <si>
    <t>AFPBHA6-P12-L7-B4-E3</t>
    <phoneticPr fontId="1"/>
  </si>
  <si>
    <t>＊神奈川(営)直送</t>
    <rPh sb="1" eb="4">
      <t>カナガワ</t>
    </rPh>
    <rPh sb="5" eb="6">
      <t>エイ</t>
    </rPh>
    <rPh sb="7" eb="9">
      <t>チョクソウ</t>
    </rPh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</si>
</sst>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);[Red]\(0\)"/>
  </numFmts>
  <fonts count="11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6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8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97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38" fontId="0" fillId="0" borderId="1" xfId="0" applyNumberFormat="1" applyFill="1" applyBorder="1" applyAlignment="1">
      <alignment horizontal="right" vertical="center"/>
    </xf>
    <xf numFmtId="56" fontId="0" fillId="0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8" fontId="0" fillId="0" borderId="3" xfId="0" applyNumberForma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38" fontId="0" fillId="3" borderId="1" xfId="0" applyNumberFormat="1" applyFill="1" applyBorder="1" applyAlignment="1">
      <alignment horizontal="right" vertical="center"/>
    </xf>
    <xf numFmtId="38" fontId="0" fillId="3" borderId="3" xfId="0" applyNumberFormat="1" applyFill="1" applyBorder="1" applyAlignment="1">
      <alignment horizontal="right" vertical="center"/>
    </xf>
    <xf numFmtId="0" fontId="0" fillId="3" borderId="5" xfId="0" applyFill="1" applyBorder="1" applyAlignment="1">
      <alignment horizontal="left" vertical="center"/>
    </xf>
    <xf numFmtId="181" fontId="8" fillId="3" borderId="1" xfId="1" applyNumberFormat="1" applyFont="1" applyFill="1" applyBorder="1" applyAlignment="1">
      <alignment vertical="center"/>
    </xf>
    <xf numFmtId="56" fontId="5" fillId="3" borderId="1" xfId="0" applyNumberFormat="1" applyFont="1" applyFill="1" applyBorder="1" applyAlignment="1">
      <alignment horizontal="left" vertical="center"/>
    </xf>
    <xf numFmtId="56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38" fontId="0" fillId="0" borderId="3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/>
    </xf>
    <xf numFmtId="181" fontId="8" fillId="0" borderId="1" xfId="1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181" fontId="8" fillId="0" borderId="5" xfId="1" applyNumberFormat="1" applyFont="1" applyFill="1" applyBorder="1" applyAlignment="1">
      <alignment vertical="center"/>
    </xf>
    <xf numFmtId="0" fontId="0" fillId="3" borderId="4" xfId="0" applyFill="1" applyBorder="1" applyAlignment="1">
      <alignment horizontal="left" vertical="center"/>
    </xf>
    <xf numFmtId="181" fontId="8" fillId="3" borderId="5" xfId="1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181" fontId="6" fillId="0" borderId="1" xfId="0" applyNumberFormat="1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181" fontId="0" fillId="0" borderId="1" xfId="0" applyNumberFormat="1" applyFill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3" borderId="4" xfId="0" applyFont="1" applyFill="1" applyBorder="1" applyAlignment="1">
      <alignment horizontal="left" vertical="center"/>
    </xf>
    <xf numFmtId="0" fontId="9" fillId="0" borderId="0" xfId="0" applyFont="1">
      <alignment vertical="center"/>
    </xf>
    <xf numFmtId="0" fontId="4" fillId="2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80" fontId="6" fillId="0" borderId="1" xfId="0" applyNumberFormat="1" applyFont="1" applyBorder="1">
      <alignment vertical="center"/>
    </xf>
    <xf numFmtId="38" fontId="6" fillId="0" borderId="1" xfId="0" applyNumberFormat="1" applyFont="1" applyBorder="1" applyAlignment="1">
      <alignment horizontal="right" vertical="center"/>
    </xf>
    <xf numFmtId="38" fontId="7" fillId="0" borderId="1" xfId="0" applyNumberFormat="1" applyFont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left" vertical="center"/>
    </xf>
    <xf numFmtId="181" fontId="6" fillId="3" borderId="1" xfId="0" applyNumberFormat="1" applyFont="1" applyFill="1" applyBorder="1" applyAlignment="1">
      <alignment horizontal="right" vertical="center"/>
    </xf>
    <xf numFmtId="38" fontId="6" fillId="3" borderId="1" xfId="0" applyNumberFormat="1" applyFont="1" applyFill="1" applyBorder="1" applyAlignment="1">
      <alignment horizontal="right" vertical="center"/>
    </xf>
    <xf numFmtId="38" fontId="6" fillId="3" borderId="3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179" fontId="6" fillId="3" borderId="1" xfId="0" applyNumberFormat="1" applyFont="1" applyFill="1" applyBorder="1" applyAlignment="1">
      <alignment horizontal="center" vertical="center"/>
    </xf>
    <xf numFmtId="178" fontId="6" fillId="3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2">
    <cellStyle name="標準" xfId="0" builtinId="0"/>
    <cellStyle name="標準_発注管理表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33"/>
  <sheetViews>
    <sheetView tabSelected="1" zoomScale="74" zoomScaleNormal="74" workbookViewId="0">
      <selection activeCell="E7" sqref="E7"/>
    </sheetView>
  </sheetViews>
  <sheetFormatPr defaultRowHeight="13.5" x14ac:dyDescent="0.15"/>
  <cols>
    <col min="1" max="1" width="2.625" customWidth="1"/>
    <col min="2" max="2" width="5.75" style="5" customWidth="1"/>
    <col min="3" max="4" width="20.75" customWidth="1"/>
    <col min="5" max="5" width="68.625" customWidth="1"/>
    <col min="6" max="6" width="6.25" customWidth="1"/>
    <col min="7" max="8" width="9.875" bestFit="1" customWidth="1"/>
    <col min="9" max="9" width="5.75" style="11" customWidth="1"/>
    <col min="10" max="10" width="57.375" customWidth="1"/>
    <col min="11" max="11" width="40.625" customWidth="1"/>
    <col min="12" max="12" width="40.75" style="5" customWidth="1"/>
    <col min="13" max="13" width="13.75" style="13" customWidth="1"/>
    <col min="14" max="14" width="6.375" customWidth="1"/>
    <col min="15" max="15" width="13.25" style="11" customWidth="1"/>
    <col min="16" max="16" width="14.5" style="15" customWidth="1"/>
    <col min="17" max="17" width="15.625" style="16" customWidth="1"/>
  </cols>
  <sheetData>
    <row r="2" spans="2:17" ht="20.100000000000001" customHeight="1" x14ac:dyDescent="0.15">
      <c r="B2" s="93" t="s">
        <v>10</v>
      </c>
      <c r="C2" s="93"/>
      <c r="D2" s="93"/>
      <c r="E2" s="12" t="s">
        <v>62</v>
      </c>
      <c r="G2" s="94" t="s">
        <v>14</v>
      </c>
      <c r="H2" s="95"/>
      <c r="I2" s="96"/>
      <c r="J2" s="10">
        <f>SUM(H:H)</f>
        <v>369679</v>
      </c>
      <c r="K2" s="6"/>
      <c r="L2" s="7"/>
    </row>
    <row r="3" spans="2:17" ht="20.100000000000001" customHeight="1" x14ac:dyDescent="0.15">
      <c r="B3" s="93" t="s">
        <v>9</v>
      </c>
      <c r="C3" s="93"/>
      <c r="D3" s="93"/>
      <c r="E3" s="8" t="s">
        <v>63</v>
      </c>
    </row>
    <row r="4" spans="2:17" ht="20.100000000000001" customHeight="1" x14ac:dyDescent="0.15">
      <c r="B4" s="93" t="s">
        <v>11</v>
      </c>
      <c r="C4" s="93"/>
      <c r="D4" s="93"/>
      <c r="E4" s="8">
        <v>194646</v>
      </c>
      <c r="G4" s="69"/>
    </row>
    <row r="5" spans="2:17" ht="20.100000000000001" customHeight="1" x14ac:dyDescent="0.15">
      <c r="B5" s="93" t="s">
        <v>12</v>
      </c>
      <c r="C5" s="93"/>
      <c r="D5" s="93"/>
      <c r="E5" s="9" t="d">
        <v>2022-03-23</v>
      </c>
    </row>
    <row r="6" spans="2:17" ht="20.100000000000001" customHeight="1" x14ac:dyDescent="0.15">
      <c r="B6" s="93" t="s">
        <v>13</v>
      </c>
      <c r="C6" s="93"/>
      <c r="D6" s="93"/>
      <c r="E6" s="9" t="d">
        <v>2022-04-20</v>
      </c>
    </row>
    <row r="7" spans="2:17" x14ac:dyDescent="0.15">
      <c r="B7" s="7"/>
      <c r="C7" s="6"/>
      <c r="D7" s="6"/>
      <c r="E7" s="6"/>
      <c r="F7" s="1"/>
      <c r="G7" s="6"/>
      <c r="H7" s="6"/>
      <c r="I7" s="23"/>
      <c r="J7" s="6"/>
      <c r="K7" s="6"/>
      <c r="L7" s="7"/>
    </row>
    <row r="8" spans="2:17" s="3" customFormat="1" ht="19.899999999999999" customHeight="1" x14ac:dyDescent="0.15">
      <c r="B8" s="4" t="s">
        <v>3</v>
      </c>
      <c r="C8" s="4" t="s">
        <v>8</v>
      </c>
      <c r="D8" s="4" t="s">
        <v>4</v>
      </c>
      <c r="E8" s="1" t="s">
        <v>7</v>
      </c>
      <c r="F8" s="1"/>
      <c r="G8" s="1" t="s">
        <v>0</v>
      </c>
      <c r="H8" s="2" t="s">
        <v>1</v>
      </c>
      <c r="I8" s="2" t="s">
        <v>17</v>
      </c>
      <c r="J8" s="1" t="s">
        <v>2</v>
      </c>
      <c r="K8" s="1" t="s">
        <v>16</v>
      </c>
      <c r="L8" s="1" t="s">
        <v>15</v>
      </c>
      <c r="M8" s="14" t="s">
        <v>5</v>
      </c>
      <c r="N8" s="4" t="s">
        <v>18</v>
      </c>
      <c r="O8" s="1" t="s">
        <v>6</v>
      </c>
      <c r="P8" s="14" t="s">
        <v>19</v>
      </c>
      <c r="Q8" s="17" t="s">
        <v>20</v>
      </c>
    </row>
    <row r="9" spans="2:17" s="44" customFormat="1" ht="19.899999999999999" customHeight="1" x14ac:dyDescent="0.15">
      <c r="B9" s="45">
        <v>15</v>
      </c>
      <c r="C9" s="60" t="s">
        <v>22</v>
      </c>
      <c r="D9" s="60" t="s">
        <v>22</v>
      </c>
      <c r="E9" s="61" t="s">
        <v>24</v>
      </c>
      <c r="F9" s="62">
        <v>1</v>
      </c>
      <c r="G9" s="36">
        <v>460</v>
      </c>
      <c r="H9" s="37">
        <f t="shared" ref="H9:H16" si="0">F9*G9</f>
        <v>460</v>
      </c>
      <c r="I9" s="20"/>
      <c r="J9" s="63" t="s">
        <v>35</v>
      </c>
      <c r="K9" s="22"/>
      <c r="L9" s="59" t="s">
        <v>76</v>
      </c>
      <c r="M9" s="46" t="d">
        <v>2022-03-07</v>
      </c>
      <c r="N9" s="45"/>
      <c r="O9" s="42"/>
      <c r="P9" s="46" t="d">
        <v>2022-03-16</v>
      </c>
      <c r="Q9" s="47" t="d">
        <v>2022-03-16</v>
      </c>
    </row>
    <row r="10" spans="2:17" s="44" customFormat="1" ht="19.899999999999999" customHeight="1" x14ac:dyDescent="0.15">
      <c r="B10" s="45">
        <v>15</v>
      </c>
      <c r="C10" s="60" t="s">
        <v>25</v>
      </c>
      <c r="D10" s="60" t="s">
        <v>22</v>
      </c>
      <c r="E10" s="61" t="s">
        <v>26</v>
      </c>
      <c r="F10" s="62">
        <v>10</v>
      </c>
      <c r="G10" s="36">
        <v>28</v>
      </c>
      <c r="H10" s="37">
        <f t="shared" si="0"/>
        <v>280</v>
      </c>
      <c r="I10" s="20"/>
      <c r="J10" s="63" t="s">
        <v>36</v>
      </c>
      <c r="K10" s="22"/>
      <c r="L10" s="59" t="s">
        <v>76</v>
      </c>
      <c r="M10" s="46" t="d">
        <v>2022-03-07</v>
      </c>
      <c r="N10" s="45"/>
      <c r="O10" s="42"/>
      <c r="P10" s="46" t="d">
        <v>2022-03-16</v>
      </c>
      <c r="Q10" s="47" t="d">
        <v>2022-03-16</v>
      </c>
    </row>
    <row r="11" spans="2:17" s="44" customFormat="1" ht="19.899999999999999" customHeight="1" x14ac:dyDescent="0.15">
      <c r="B11" s="45">
        <v>15</v>
      </c>
      <c r="C11" s="60" t="s">
        <v>27</v>
      </c>
      <c r="D11" s="60" t="s">
        <v>22</v>
      </c>
      <c r="E11" s="61" t="s">
        <v>28</v>
      </c>
      <c r="F11" s="62">
        <v>10</v>
      </c>
      <c r="G11" s="36">
        <v>14</v>
      </c>
      <c r="H11" s="37">
        <f t="shared" si="0"/>
        <v>140</v>
      </c>
      <c r="I11" s="20"/>
      <c r="J11" s="63" t="s">
        <v>36</v>
      </c>
      <c r="K11" s="22"/>
      <c r="L11" s="59" t="s">
        <v>76</v>
      </c>
      <c r="M11" s="46" t="d">
        <v>2022-03-07</v>
      </c>
      <c r="N11" s="45"/>
      <c r="O11" s="42"/>
      <c r="P11" s="46" t="d">
        <v>2022-03-16</v>
      </c>
      <c r="Q11" s="47" t="d">
        <v>2022-03-16</v>
      </c>
    </row>
    <row r="12" spans="2:17" s="44" customFormat="1" ht="19.899999999999999" customHeight="1" x14ac:dyDescent="0.15">
      <c r="B12" s="45">
        <v>15</v>
      </c>
      <c r="C12" s="60" t="s">
        <v>27</v>
      </c>
      <c r="D12" s="60" t="s">
        <v>22</v>
      </c>
      <c r="E12" s="61" t="s">
        <v>29</v>
      </c>
      <c r="F12" s="62">
        <v>10</v>
      </c>
      <c r="G12" s="36">
        <v>13</v>
      </c>
      <c r="H12" s="37">
        <f t="shared" si="0"/>
        <v>130</v>
      </c>
      <c r="I12" s="20"/>
      <c r="J12" s="63" t="s">
        <v>36</v>
      </c>
      <c r="K12" s="22"/>
      <c r="L12" s="59" t="s">
        <v>76</v>
      </c>
      <c r="M12" s="46" t="d">
        <v>2022-03-07</v>
      </c>
      <c r="N12" s="45"/>
      <c r="O12" s="42"/>
      <c r="P12" s="46" t="d">
        <v>2022-03-16</v>
      </c>
      <c r="Q12" s="47" t="d">
        <v>2022-03-16</v>
      </c>
    </row>
    <row r="13" spans="2:17" s="44" customFormat="1" ht="19.899999999999999" customHeight="1" x14ac:dyDescent="0.15">
      <c r="B13" s="45">
        <v>15</v>
      </c>
      <c r="C13" s="60" t="s">
        <v>27</v>
      </c>
      <c r="D13" s="60" t="s">
        <v>30</v>
      </c>
      <c r="E13" s="61" t="s">
        <v>57</v>
      </c>
      <c r="F13" s="62">
        <v>10</v>
      </c>
      <c r="G13" s="36">
        <v>47</v>
      </c>
      <c r="H13" s="37">
        <f t="shared" si="0"/>
        <v>470</v>
      </c>
      <c r="I13" s="20"/>
      <c r="J13" s="63" t="s">
        <v>59</v>
      </c>
      <c r="K13" s="22"/>
      <c r="L13" s="59" t="s">
        <v>76</v>
      </c>
      <c r="M13" s="46" t="d">
        <v>2022-03-07</v>
      </c>
      <c r="N13" s="45"/>
      <c r="O13" s="42"/>
      <c r="P13" s="46" t="d">
        <v>2022-03-16</v>
      </c>
      <c r="Q13" s="47" t="d">
        <v>2022-03-16</v>
      </c>
    </row>
    <row r="14" spans="2:17" s="44" customFormat="1" ht="19.899999999999999" customHeight="1" x14ac:dyDescent="0.15">
      <c r="B14" s="45">
        <v>15</v>
      </c>
      <c r="C14" s="60" t="s">
        <v>22</v>
      </c>
      <c r="D14" s="60" t="s">
        <v>22</v>
      </c>
      <c r="E14" s="61" t="s">
        <v>31</v>
      </c>
      <c r="F14" s="62">
        <v>2</v>
      </c>
      <c r="G14" s="36">
        <v>270</v>
      </c>
      <c r="H14" s="37">
        <f t="shared" si="0"/>
        <v>540</v>
      </c>
      <c r="I14" s="20"/>
      <c r="J14" s="63" t="s">
        <v>37</v>
      </c>
      <c r="K14" s="22"/>
      <c r="L14" s="59" t="s">
        <v>76</v>
      </c>
      <c r="M14" s="46" t="d">
        <v>2022-03-07</v>
      </c>
      <c r="N14" s="45"/>
      <c r="O14" s="42"/>
      <c r="P14" s="46" t="d">
        <v>2022-03-16</v>
      </c>
      <c r="Q14" s="47" t="d">
        <v>2022-03-16</v>
      </c>
    </row>
    <row r="15" spans="2:17" s="44" customFormat="1" ht="19.899999999999999" customHeight="1" x14ac:dyDescent="0.15">
      <c r="B15" s="45">
        <v>15</v>
      </c>
      <c r="C15" s="60" t="s">
        <v>22</v>
      </c>
      <c r="D15" s="60" t="s">
        <v>22</v>
      </c>
      <c r="E15" s="61" t="s">
        <v>32</v>
      </c>
      <c r="F15" s="62">
        <v>1</v>
      </c>
      <c r="G15" s="36">
        <v>130</v>
      </c>
      <c r="H15" s="37">
        <f t="shared" si="0"/>
        <v>130</v>
      </c>
      <c r="I15" s="20"/>
      <c r="J15" s="63" t="s">
        <v>38</v>
      </c>
      <c r="K15" s="22"/>
      <c r="L15" s="59" t="s">
        <v>76</v>
      </c>
      <c r="M15" s="46" t="d">
        <v>2022-03-07</v>
      </c>
      <c r="N15" s="45"/>
      <c r="O15" s="42"/>
      <c r="P15" s="46" t="d">
        <v>2022-03-16</v>
      </c>
      <c r="Q15" s="47" t="d">
        <v>2022-03-16</v>
      </c>
    </row>
    <row r="16" spans="2:17" s="44" customFormat="1" ht="19.899999999999999" customHeight="1" x14ac:dyDescent="0.15">
      <c r="B16" s="45">
        <v>15</v>
      </c>
      <c r="C16" s="60" t="s">
        <v>22</v>
      </c>
      <c r="D16" s="60" t="s">
        <v>22</v>
      </c>
      <c r="E16" s="61" t="s">
        <v>33</v>
      </c>
      <c r="F16" s="62">
        <v>1</v>
      </c>
      <c r="G16" s="36">
        <v>280</v>
      </c>
      <c r="H16" s="37">
        <f t="shared" si="0"/>
        <v>280</v>
      </c>
      <c r="I16" s="20"/>
      <c r="J16" s="63" t="s">
        <v>39</v>
      </c>
      <c r="K16" s="22"/>
      <c r="L16" s="59" t="s">
        <v>76</v>
      </c>
      <c r="M16" s="46" t="d">
        <v>2022-03-07</v>
      </c>
      <c r="N16" s="45"/>
      <c r="O16" s="42"/>
      <c r="P16" s="46" t="d">
        <v>2022-03-16</v>
      </c>
      <c r="Q16" s="47" t="d">
        <v>2022-03-16</v>
      </c>
    </row>
    <row r="17" spans="2:17" s="44" customFormat="1" ht="19.899999999999999" customHeight="1" x14ac:dyDescent="0.15">
      <c r="B17" s="45">
        <v>15</v>
      </c>
      <c r="C17" s="60" t="s">
        <v>22</v>
      </c>
      <c r="D17" s="60" t="s">
        <v>22</v>
      </c>
      <c r="E17" s="64" t="s">
        <v>58</v>
      </c>
      <c r="F17" s="65">
        <v>5</v>
      </c>
      <c r="G17" s="36">
        <v>450</v>
      </c>
      <c r="H17" s="24">
        <f>F17*G17</f>
        <v>2250</v>
      </c>
      <c r="I17" s="43"/>
      <c r="J17" s="50" t="s">
        <v>60</v>
      </c>
      <c r="K17" s="50"/>
      <c r="L17" s="59" t="s">
        <v>76</v>
      </c>
      <c r="M17" s="46" t="d">
        <v>2022-03-07</v>
      </c>
      <c r="N17" s="45"/>
      <c r="O17" s="42"/>
      <c r="P17" s="46" t="d">
        <v>2022-03-16</v>
      </c>
      <c r="Q17" s="47" t="d">
        <v>2022-03-16</v>
      </c>
    </row>
    <row r="18" spans="2:17" s="35" customFormat="1" ht="19.899999999999999" customHeight="1" x14ac:dyDescent="0.15">
      <c r="B18" s="45">
        <v>15</v>
      </c>
      <c r="C18" s="60" t="s">
        <v>22</v>
      </c>
      <c r="D18" s="60" t="s">
        <v>22</v>
      </c>
      <c r="E18" s="61" t="s">
        <v>73</v>
      </c>
      <c r="F18" s="62">
        <v>1</v>
      </c>
      <c r="G18" s="36">
        <v>235</v>
      </c>
      <c r="H18" s="37">
        <f t="shared" ref="H18" si="1">F18*G18</f>
        <v>235</v>
      </c>
      <c r="I18" s="20"/>
      <c r="J18" s="67" t="s">
        <v>74</v>
      </c>
      <c r="K18" s="22"/>
      <c r="L18" s="59" t="s">
        <v>76</v>
      </c>
      <c r="M18" s="46" t="d">
        <v>2022-03-07</v>
      </c>
      <c r="N18" s="32"/>
      <c r="O18" s="22"/>
      <c r="P18" s="46" t="d">
        <v>2022-03-16</v>
      </c>
      <c r="Q18" s="47" t="d">
        <v>2022-03-16</v>
      </c>
    </row>
    <row r="19" spans="2:17" s="35" customFormat="1" ht="19.899999999999999" customHeight="1" x14ac:dyDescent="0.15">
      <c r="B19" s="45">
        <v>15</v>
      </c>
      <c r="C19" s="77" t="s">
        <v>75</v>
      </c>
      <c r="D19" s="77" t="s">
        <v>22</v>
      </c>
      <c r="E19" s="78" t="s">
        <v>81</v>
      </c>
      <c r="F19" s="79">
        <v>1</v>
      </c>
      <c r="G19" s="80">
        <v>886</v>
      </c>
      <c r="H19" s="81">
        <f>F19*G19</f>
        <v>886</v>
      </c>
      <c r="I19" s="66"/>
      <c r="J19" s="67" t="s">
        <v>82</v>
      </c>
      <c r="K19" s="77"/>
      <c r="L19" s="59" t="s">
        <v>76</v>
      </c>
      <c r="M19" s="46" t="d">
        <v>2022-03-07</v>
      </c>
      <c r="N19" s="32"/>
      <c r="O19" s="22"/>
      <c r="P19" s="46" t="d">
        <v>2022-03-16</v>
      </c>
      <c r="Q19" s="47" t="d">
        <v>2022-03-16</v>
      </c>
    </row>
    <row r="20" spans="2:17" s="35" customFormat="1" ht="19.899999999999999" customHeight="1" x14ac:dyDescent="0.15">
      <c r="B20" s="45">
        <v>15</v>
      </c>
      <c r="C20" s="77" t="s">
        <v>77</v>
      </c>
      <c r="D20" s="77" t="s">
        <v>22</v>
      </c>
      <c r="E20" s="78" t="s">
        <v>78</v>
      </c>
      <c r="F20" s="79">
        <v>1</v>
      </c>
      <c r="G20" s="80">
        <v>1973</v>
      </c>
      <c r="H20" s="81">
        <f>F20*G20</f>
        <v>1973</v>
      </c>
      <c r="I20" s="66"/>
      <c r="J20" s="67" t="s">
        <v>83</v>
      </c>
      <c r="K20" s="77"/>
      <c r="L20" s="59" t="s">
        <v>76</v>
      </c>
      <c r="M20" s="46" t="d">
        <v>2022-03-07</v>
      </c>
      <c r="N20" s="32"/>
      <c r="O20" s="22"/>
      <c r="P20" s="46" t="d">
        <v>2022-03-16</v>
      </c>
      <c r="Q20" s="47" t="d">
        <v>2022-03-16</v>
      </c>
    </row>
    <row r="21" spans="2:17" s="35" customFormat="1" ht="19.899999999999999" customHeight="1" x14ac:dyDescent="0.15">
      <c r="B21" s="45">
        <v>15</v>
      </c>
      <c r="C21" s="60" t="s">
        <v>22</v>
      </c>
      <c r="D21" s="60" t="s">
        <v>22</v>
      </c>
      <c r="E21" s="61" t="s">
        <v>79</v>
      </c>
      <c r="F21" s="62">
        <v>2</v>
      </c>
      <c r="G21" s="36">
        <v>370</v>
      </c>
      <c r="H21" s="37">
        <f t="shared" ref="H21:H120" si="2">F21*G21</f>
        <v>740</v>
      </c>
      <c r="I21" s="20"/>
      <c r="J21" s="63" t="s">
        <v>80</v>
      </c>
      <c r="K21" s="22"/>
      <c r="L21" s="22" t="s">
        <v>54</v>
      </c>
      <c r="M21" s="46" t="d">
        <v>2022-03-07</v>
      </c>
      <c r="N21" s="32"/>
      <c r="O21" s="41"/>
      <c r="P21" s="46" t="d">
        <v>2022-03-16</v>
      </c>
      <c r="Q21" s="47" t="d">
        <v>2022-03-16</v>
      </c>
    </row>
    <row r="22" spans="2:17" s="35" customFormat="1" ht="19.899999999999999" customHeight="1" x14ac:dyDescent="0.15">
      <c r="B22" s="45">
        <v>15</v>
      </c>
      <c r="C22" s="60" t="s">
        <v>22</v>
      </c>
      <c r="D22" s="60" t="s">
        <v>30</v>
      </c>
      <c r="E22" s="61" t="s">
        <v>97</v>
      </c>
      <c r="F22" s="62">
        <v>2</v>
      </c>
      <c r="G22" s="36">
        <v>1000</v>
      </c>
      <c r="H22" s="27">
        <f t="shared" si="2"/>
        <v>2000</v>
      </c>
      <c r="I22" s="28"/>
      <c r="J22" s="63" t="s">
        <v>40</v>
      </c>
      <c r="K22" s="29"/>
      <c r="L22" s="22" t="s">
        <v>54</v>
      </c>
      <c r="M22" s="46" t="d">
        <v>2022-03-07</v>
      </c>
      <c r="N22" s="32"/>
      <c r="O22" s="41"/>
      <c r="P22" s="46" t="d">
        <v>2022-03-16</v>
      </c>
      <c r="Q22" s="47" t="d">
        <v>2022-03-16</v>
      </c>
    </row>
    <row r="23" spans="2:17" s="35" customFormat="1" ht="19.899999999999999" customHeight="1" x14ac:dyDescent="0.15">
      <c r="B23" s="45">
        <v>15</v>
      </c>
      <c r="C23" s="60" t="s">
        <v>94</v>
      </c>
      <c r="D23" s="60" t="s">
        <v>22</v>
      </c>
      <c r="E23" s="61" t="s">
        <v>96</v>
      </c>
      <c r="F23" s="62">
        <v>2</v>
      </c>
      <c r="G23" s="36">
        <v>219</v>
      </c>
      <c r="H23" s="27">
        <f t="shared" si="2"/>
        <v>438</v>
      </c>
      <c r="I23" s="28"/>
      <c r="J23" s="63" t="s">
        <v>93</v>
      </c>
      <c r="K23" s="29"/>
      <c r="L23" s="22" t="s">
        <v>54</v>
      </c>
      <c r="M23" s="46" t="d">
        <v>2022-03-07</v>
      </c>
      <c r="N23" s="32"/>
      <c r="O23" s="41"/>
      <c r="P23" s="46" t="d">
        <v>2022-03-16</v>
      </c>
      <c r="Q23" s="47" t="d">
        <v>2022-03-16</v>
      </c>
    </row>
    <row r="24" spans="2:17" s="35" customFormat="1" ht="19.899999999999999" customHeight="1" x14ac:dyDescent="0.15">
      <c r="B24" s="45">
        <v>15</v>
      </c>
      <c r="C24" s="60" t="s">
        <v>22</v>
      </c>
      <c r="D24" s="60" t="s">
        <v>22</v>
      </c>
      <c r="E24" s="61" t="s">
        <v>34</v>
      </c>
      <c r="F24" s="62">
        <v>2</v>
      </c>
      <c r="G24" s="36">
        <v>230</v>
      </c>
      <c r="H24" s="27">
        <f t="shared" si="2"/>
        <v>460</v>
      </c>
      <c r="I24" s="20"/>
      <c r="J24" s="63" t="s">
        <v>37</v>
      </c>
      <c r="K24" s="40"/>
      <c r="L24" s="22" t="s">
        <v>54</v>
      </c>
      <c r="M24" s="46" t="d">
        <v>2022-03-07</v>
      </c>
      <c r="N24" s="32"/>
      <c r="O24" s="41"/>
      <c r="P24" s="46" t="d">
        <v>2022-03-16</v>
      </c>
      <c r="Q24" s="47" t="d">
        <v>2022-03-16</v>
      </c>
    </row>
    <row r="25" spans="2:17" s="35" customFormat="1" ht="19.899999999999999" customHeight="1" x14ac:dyDescent="0.15">
      <c r="B25" s="45">
        <v>15</v>
      </c>
      <c r="C25" s="60" t="s">
        <v>22</v>
      </c>
      <c r="D25" s="60" t="s">
        <v>22</v>
      </c>
      <c r="E25" s="61" t="s">
        <v>84</v>
      </c>
      <c r="F25" s="62">
        <v>1</v>
      </c>
      <c r="G25" s="36">
        <v>1250</v>
      </c>
      <c r="H25" s="27">
        <f t="shared" si="2"/>
        <v>1250</v>
      </c>
      <c r="I25" s="20"/>
      <c r="J25" s="63" t="s">
        <v>85</v>
      </c>
      <c r="K25" s="40"/>
      <c r="L25" s="59" t="s">
        <v>86</v>
      </c>
      <c r="M25" s="46" t="d">
        <v>2022-03-07</v>
      </c>
      <c r="N25" s="32"/>
      <c r="O25" s="41"/>
      <c r="P25" s="46" t="d">
        <v>2022-03-16</v>
      </c>
      <c r="Q25" s="47" t="d">
        <v>2022-03-16</v>
      </c>
    </row>
    <row r="26" spans="2:17" s="35" customFormat="1" ht="19.899999999999999" customHeight="1" x14ac:dyDescent="0.15">
      <c r="B26" s="45">
        <v>15</v>
      </c>
      <c r="C26" s="60" t="s">
        <v>89</v>
      </c>
      <c r="D26" s="60" t="s">
        <v>22</v>
      </c>
      <c r="E26" s="61" t="s">
        <v>87</v>
      </c>
      <c r="F26" s="62">
        <v>1</v>
      </c>
      <c r="G26" s="36">
        <v>480</v>
      </c>
      <c r="H26" s="27">
        <f t="shared" si="2"/>
        <v>480</v>
      </c>
      <c r="I26" s="20"/>
      <c r="J26" s="63" t="s">
        <v>88</v>
      </c>
      <c r="K26" s="40"/>
      <c r="L26" s="59" t="s">
        <v>86</v>
      </c>
      <c r="M26" s="46" t="d">
        <v>2022-03-07</v>
      </c>
      <c r="N26" s="32"/>
      <c r="O26" s="41"/>
      <c r="P26" s="46" t="d">
        <v>2022-03-16</v>
      </c>
      <c r="Q26" s="47" t="d">
        <v>2022-03-16</v>
      </c>
    </row>
    <row r="27" spans="2:17" s="35" customFormat="1" ht="19.899999999999999" customHeight="1" x14ac:dyDescent="0.15">
      <c r="B27" s="45">
        <v>15</v>
      </c>
      <c r="C27" s="60" t="s">
        <v>92</v>
      </c>
      <c r="D27" s="60" t="s">
        <v>22</v>
      </c>
      <c r="E27" s="61" t="s">
        <v>90</v>
      </c>
      <c r="F27" s="62">
        <v>1</v>
      </c>
      <c r="G27" s="36">
        <v>2484</v>
      </c>
      <c r="H27" s="27">
        <f t="shared" si="2"/>
        <v>2484</v>
      </c>
      <c r="I27" s="20"/>
      <c r="J27" s="63" t="s">
        <v>91</v>
      </c>
      <c r="K27" s="40"/>
      <c r="L27" s="59" t="s">
        <v>86</v>
      </c>
      <c r="M27" s="46" t="d">
        <v>2022-03-07</v>
      </c>
      <c r="N27" s="32"/>
      <c r="O27" s="41"/>
      <c r="P27" s="46" t="d">
        <v>2022-03-16</v>
      </c>
      <c r="Q27" s="47" t="d">
        <v>2022-03-16</v>
      </c>
    </row>
    <row r="28" spans="2:17" s="35" customFormat="1" ht="19.899999999999999" customHeight="1" x14ac:dyDescent="0.15">
      <c r="B28" s="32"/>
      <c r="C28" s="60"/>
      <c r="D28" s="60"/>
      <c r="E28" s="61"/>
      <c r="F28" s="62"/>
      <c r="G28" s="36"/>
      <c r="H28" s="27">
        <f t="shared" si="2"/>
        <v>0</v>
      </c>
      <c r="I28" s="28"/>
      <c r="J28" s="63"/>
      <c r="K28" s="29"/>
      <c r="L28" s="29"/>
      <c r="M28" s="33"/>
      <c r="N28" s="32"/>
      <c r="O28" s="41"/>
      <c r="P28" s="33"/>
      <c r="Q28" s="34"/>
    </row>
    <row r="29" spans="2:17" s="35" customFormat="1" ht="19.899999999999999" customHeight="1" x14ac:dyDescent="0.15">
      <c r="B29" s="32"/>
      <c r="C29" s="60"/>
      <c r="D29" s="60"/>
      <c r="E29" s="61"/>
      <c r="F29" s="62"/>
      <c r="G29" s="36"/>
      <c r="H29" s="27">
        <f t="shared" si="2"/>
        <v>0</v>
      </c>
      <c r="I29" s="28"/>
      <c r="J29" s="63"/>
      <c r="K29" s="29"/>
      <c r="L29" s="29"/>
      <c r="M29" s="33"/>
      <c r="N29" s="32"/>
      <c r="O29" s="41"/>
      <c r="P29" s="33"/>
      <c r="Q29" s="34"/>
    </row>
    <row r="30" spans="2:17" s="35" customFormat="1" ht="19.899999999999999" customHeight="1" x14ac:dyDescent="0.15">
      <c r="B30" s="45">
        <v>15</v>
      </c>
      <c r="C30" s="60" t="s">
        <v>41</v>
      </c>
      <c r="D30" s="60" t="s">
        <v>23</v>
      </c>
      <c r="E30" s="61" t="s">
        <v>45</v>
      </c>
      <c r="F30" s="62">
        <v>1</v>
      </c>
      <c r="G30" s="36">
        <v>5000</v>
      </c>
      <c r="H30" s="27">
        <f t="shared" si="2"/>
        <v>5000</v>
      </c>
      <c r="I30" s="66"/>
      <c r="J30" s="67" t="s">
        <v>42</v>
      </c>
      <c r="K30" s="57"/>
      <c r="L30" s="59" t="s">
        <v>76</v>
      </c>
      <c r="M30" s="46" t="d">
        <v>2022-03-07</v>
      </c>
      <c r="N30" s="32"/>
      <c r="O30" s="25" t="d">
        <v>2022-03-23</v>
      </c>
      <c r="P30" s="33" t="d">
        <v>2022-03-22</v>
      </c>
      <c r="Q30" s="34" t="d">
        <v>2022-03-18</v>
      </c>
    </row>
    <row r="31" spans="2:17" s="35" customFormat="1" ht="19.899999999999999" customHeight="1" x14ac:dyDescent="0.15">
      <c r="B31" s="45">
        <v>15</v>
      </c>
      <c r="C31" s="60" t="s">
        <v>41</v>
      </c>
      <c r="D31" s="60" t="s">
        <v>23</v>
      </c>
      <c r="E31" s="61" t="s">
        <v>43</v>
      </c>
      <c r="F31" s="62">
        <v>2</v>
      </c>
      <c r="G31" s="36">
        <v>2290</v>
      </c>
      <c r="H31" s="27">
        <f t="shared" si="2"/>
        <v>4580</v>
      </c>
      <c r="I31" s="66"/>
      <c r="J31" s="67" t="s">
        <v>44</v>
      </c>
      <c r="K31" s="57"/>
      <c r="L31" s="22" t="s">
        <v>54</v>
      </c>
      <c r="M31" s="46" t="d">
        <v>2022-03-07</v>
      </c>
      <c r="N31" s="32"/>
      <c r="O31" s="25" t="d">
        <v>2022-03-23</v>
      </c>
      <c r="P31" s="33" t="d">
        <v>2022-03-22</v>
      </c>
      <c r="Q31" s="34" t="d">
        <v>2022-03-18</v>
      </c>
    </row>
    <row r="32" spans="2:17" s="35" customFormat="1" ht="19.899999999999999" customHeight="1" x14ac:dyDescent="0.15">
      <c r="B32" s="32"/>
      <c r="C32" s="22"/>
      <c r="D32" s="22"/>
      <c r="E32" s="55"/>
      <c r="F32" s="56"/>
      <c r="G32" s="36"/>
      <c r="H32" s="27">
        <f t="shared" si="2"/>
        <v>0</v>
      </c>
      <c r="I32" s="20"/>
      <c r="J32" s="38"/>
      <c r="K32" s="57"/>
      <c r="L32" s="22"/>
      <c r="M32" s="33"/>
      <c r="N32" s="32"/>
      <c r="O32" s="41"/>
      <c r="P32" s="33"/>
      <c r="Q32" s="34"/>
    </row>
    <row r="33" spans="2:17" s="5" customFormat="1" ht="19.899999999999999" customHeight="1" x14ac:dyDescent="0.15">
      <c r="B33" s="32"/>
      <c r="C33" s="22"/>
      <c r="D33" s="22"/>
      <c r="E33" s="21"/>
      <c r="F33" s="39"/>
      <c r="G33" s="36"/>
      <c r="H33" s="37">
        <f t="shared" si="2"/>
        <v>0</v>
      </c>
      <c r="I33" s="20"/>
      <c r="J33" s="21"/>
      <c r="K33" s="57"/>
      <c r="L33" s="22"/>
      <c r="M33" s="30"/>
      <c r="N33" s="26"/>
      <c r="O33" s="29"/>
      <c r="P33" s="30"/>
      <c r="Q33" s="34"/>
    </row>
    <row r="34" spans="2:17" s="35" customFormat="1" ht="19.899999999999999" customHeight="1" x14ac:dyDescent="0.15">
      <c r="B34" s="45">
        <v>15</v>
      </c>
      <c r="C34" s="42" t="s">
        <v>64</v>
      </c>
      <c r="D34" s="42" t="s">
        <v>64</v>
      </c>
      <c r="E34" s="75" t="s">
        <v>46</v>
      </c>
      <c r="F34" s="54">
        <v>1</v>
      </c>
      <c r="G34" s="24">
        <v>16100</v>
      </c>
      <c r="H34" s="49">
        <f t="shared" si="2"/>
        <v>16100</v>
      </c>
      <c r="I34" s="43"/>
      <c r="J34" s="76" t="s">
        <v>48</v>
      </c>
      <c r="K34" s="52" t="s">
        <v>69</v>
      </c>
      <c r="L34" s="59" t="s">
        <v>76</v>
      </c>
      <c r="M34" s="46" t="d">
        <v>2022-03-07</v>
      </c>
      <c r="N34" s="32"/>
      <c r="O34" s="25" t="d">
        <v>2022-03-23</v>
      </c>
      <c r="P34" s="33" t="d">
        <v>2022-03-24</v>
      </c>
      <c r="Q34" s="34"/>
    </row>
    <row r="35" spans="2:17" s="5" customFormat="1" ht="19.899999999999999" customHeight="1" x14ac:dyDescent="0.15">
      <c r="B35" s="45">
        <v>15</v>
      </c>
      <c r="C35" s="42" t="s">
        <v>64</v>
      </c>
      <c r="D35" s="42" t="s">
        <v>64</v>
      </c>
      <c r="E35" s="75" t="s">
        <v>98</v>
      </c>
      <c r="F35" s="54">
        <v>1</v>
      </c>
      <c r="G35" s="24">
        <v>11500</v>
      </c>
      <c r="H35" s="49">
        <f t="shared" si="2"/>
        <v>11500</v>
      </c>
      <c r="I35" s="43"/>
      <c r="J35" s="76" t="s">
        <v>49</v>
      </c>
      <c r="K35" s="52" t="s">
        <v>69</v>
      </c>
      <c r="L35" s="59" t="s">
        <v>76</v>
      </c>
      <c r="M35" s="46" t="d">
        <v>2022-03-07</v>
      </c>
      <c r="N35" s="26"/>
      <c r="O35" s="25" t="d">
        <v>2022-03-23</v>
      </c>
      <c r="P35" s="33" t="d">
        <v>2022-03-24</v>
      </c>
      <c r="Q35" s="31"/>
    </row>
    <row r="36" spans="2:17" s="5" customFormat="1" ht="19.899999999999999" customHeight="1" x14ac:dyDescent="0.15">
      <c r="B36" s="45">
        <v>15</v>
      </c>
      <c r="C36" s="42" t="s">
        <v>64</v>
      </c>
      <c r="D36" s="42" t="s">
        <v>64</v>
      </c>
      <c r="E36" s="75" t="s">
        <v>47</v>
      </c>
      <c r="F36" s="54">
        <v>1</v>
      </c>
      <c r="G36" s="24">
        <v>6800</v>
      </c>
      <c r="H36" s="49">
        <f t="shared" si="2"/>
        <v>6800</v>
      </c>
      <c r="I36" s="43"/>
      <c r="J36" s="76" t="s">
        <v>50</v>
      </c>
      <c r="K36" s="52" t="s">
        <v>69</v>
      </c>
      <c r="L36" s="59" t="s">
        <v>76</v>
      </c>
      <c r="M36" s="46" t="d">
        <v>2022-03-07</v>
      </c>
      <c r="N36" s="26"/>
      <c r="O36" s="25" t="d">
        <v>2022-03-23</v>
      </c>
      <c r="P36" s="33" t="d">
        <v>2022-03-24</v>
      </c>
      <c r="Q36" s="31"/>
    </row>
    <row r="37" spans="2:17" s="35" customFormat="1" ht="19.899999999999999" customHeight="1" x14ac:dyDescent="0.15">
      <c r="B37" s="45">
        <v>15</v>
      </c>
      <c r="C37" s="42" t="s">
        <v>64</v>
      </c>
      <c r="D37" s="42" t="s">
        <v>64</v>
      </c>
      <c r="E37" s="68" t="s">
        <v>65</v>
      </c>
      <c r="F37" s="56">
        <v>1</v>
      </c>
      <c r="G37" s="36">
        <v>2900</v>
      </c>
      <c r="H37" s="37">
        <f t="shared" si="2"/>
        <v>2900</v>
      </c>
      <c r="I37" s="20"/>
      <c r="J37" s="38" t="s">
        <v>66</v>
      </c>
      <c r="K37" s="52" t="s">
        <v>69</v>
      </c>
      <c r="L37" s="59" t="s">
        <v>76</v>
      </c>
      <c r="M37" s="46" t="d">
        <v>2022-03-07</v>
      </c>
      <c r="N37" s="32"/>
      <c r="O37" s="25" t="d">
        <v>2022-03-23</v>
      </c>
      <c r="P37" s="33" t="d">
        <v>2022-03-24</v>
      </c>
      <c r="Q37" s="34"/>
    </row>
    <row r="38" spans="2:17" s="35" customFormat="1" ht="19.899999999999999" customHeight="1" x14ac:dyDescent="0.15">
      <c r="B38" s="45">
        <v>15</v>
      </c>
      <c r="C38" s="42" t="s">
        <v>64</v>
      </c>
      <c r="D38" s="42" t="s">
        <v>64</v>
      </c>
      <c r="E38" s="68" t="s">
        <v>67</v>
      </c>
      <c r="F38" s="56">
        <v>1</v>
      </c>
      <c r="G38" s="36">
        <v>3300</v>
      </c>
      <c r="H38" s="37">
        <f t="shared" si="2"/>
        <v>3300</v>
      </c>
      <c r="I38" s="20"/>
      <c r="J38" s="38" t="s">
        <v>68</v>
      </c>
      <c r="K38" s="52" t="s">
        <v>69</v>
      </c>
      <c r="L38" s="59" t="s">
        <v>76</v>
      </c>
      <c r="M38" s="46" t="d">
        <v>2022-03-07</v>
      </c>
      <c r="N38" s="32"/>
      <c r="O38" s="25" t="d">
        <v>2022-03-23</v>
      </c>
      <c r="P38" s="33" t="d">
        <v>2022-03-24</v>
      </c>
      <c r="Q38" s="34"/>
    </row>
    <row r="39" spans="2:17" s="35" customFormat="1" ht="19.899999999999999" customHeight="1" x14ac:dyDescent="0.15">
      <c r="B39" s="32"/>
      <c r="C39" s="22"/>
      <c r="D39" s="22"/>
      <c r="E39" s="68"/>
      <c r="F39" s="56"/>
      <c r="G39" s="36"/>
      <c r="H39" s="37">
        <f t="shared" si="2"/>
        <v>0</v>
      </c>
      <c r="I39" s="20"/>
      <c r="J39" s="58"/>
      <c r="K39" s="57"/>
      <c r="L39" s="22"/>
      <c r="M39" s="33"/>
      <c r="N39" s="32"/>
      <c r="O39" s="41"/>
      <c r="P39" s="33"/>
      <c r="Q39" s="34"/>
    </row>
    <row r="40" spans="2:17" s="44" customFormat="1" ht="19.899999999999999" customHeight="1" x14ac:dyDescent="0.15">
      <c r="B40" s="45">
        <v>15</v>
      </c>
      <c r="C40" s="42" t="s">
        <v>53</v>
      </c>
      <c r="D40" s="42" t="s">
        <v>53</v>
      </c>
      <c r="E40" s="75" t="s">
        <v>70</v>
      </c>
      <c r="F40" s="54">
        <v>1</v>
      </c>
      <c r="G40" s="24">
        <v>19500</v>
      </c>
      <c r="H40" s="49">
        <f t="shared" si="2"/>
        <v>19500</v>
      </c>
      <c r="I40" s="43"/>
      <c r="J40" s="50" t="s">
        <v>72</v>
      </c>
      <c r="K40" s="52" t="s">
        <v>71</v>
      </c>
      <c r="L40" s="59" t="s">
        <v>76</v>
      </c>
      <c r="M40" s="46" t="d">
        <v>2022-03-07</v>
      </c>
      <c r="N40" s="45"/>
      <c r="O40" s="25" t="d">
        <v>2022-03-23</v>
      </c>
      <c r="P40" s="46" t="d">
        <v>2022-03-24</v>
      </c>
      <c r="Q40" s="47" t="d">
        <v>2022-03-23</v>
      </c>
    </row>
    <row r="41" spans="2:17" s="44" customFormat="1" ht="19.899999999999999" customHeight="1" x14ac:dyDescent="0.15">
      <c r="B41" s="45">
        <v>15</v>
      </c>
      <c r="C41" s="42" t="s">
        <v>53</v>
      </c>
      <c r="D41" s="42" t="s">
        <v>53</v>
      </c>
      <c r="E41" s="75" t="s">
        <v>51</v>
      </c>
      <c r="F41" s="54">
        <v>1</v>
      </c>
      <c r="G41" s="24">
        <v>4200</v>
      </c>
      <c r="H41" s="49">
        <f t="shared" si="2"/>
        <v>4200</v>
      </c>
      <c r="I41" s="43"/>
      <c r="J41" s="50" t="s">
        <v>52</v>
      </c>
      <c r="K41" s="52" t="s">
        <v>71</v>
      </c>
      <c r="L41" s="59" t="s">
        <v>76</v>
      </c>
      <c r="M41" s="46" t="d">
        <v>2022-03-07</v>
      </c>
      <c r="N41" s="45"/>
      <c r="O41" s="25" t="d">
        <v>2022-03-23</v>
      </c>
      <c r="P41" s="46" t="d">
        <v>2022-03-24</v>
      </c>
      <c r="Q41" s="47" t="d">
        <v>2022-03-23</v>
      </c>
    </row>
    <row r="42" spans="2:17" s="44" customFormat="1" ht="19.899999999999999" customHeight="1" x14ac:dyDescent="0.15">
      <c r="B42" s="45"/>
      <c r="C42" s="42"/>
      <c r="D42" s="42"/>
      <c r="E42" s="53"/>
      <c r="F42" s="54"/>
      <c r="G42" s="36"/>
      <c r="H42" s="49">
        <f t="shared" si="2"/>
        <v>0</v>
      </c>
      <c r="I42" s="43"/>
      <c r="J42" s="48"/>
      <c r="K42" s="52"/>
      <c r="L42" s="42"/>
      <c r="M42" s="46"/>
      <c r="N42" s="45"/>
      <c r="O42" s="25"/>
      <c r="P42" s="46"/>
      <c r="Q42" s="47"/>
    </row>
    <row r="43" spans="2:17" s="44" customFormat="1" ht="19.899999999999999" customHeight="1" x14ac:dyDescent="0.15">
      <c r="B43" s="45"/>
      <c r="C43" s="42"/>
      <c r="D43" s="42"/>
      <c r="E43" s="50"/>
      <c r="F43" s="51"/>
      <c r="G43" s="36"/>
      <c r="H43" s="49">
        <f t="shared" si="2"/>
        <v>0</v>
      </c>
      <c r="I43" s="43"/>
      <c r="J43" s="50"/>
      <c r="K43" s="52"/>
      <c r="L43" s="42"/>
      <c r="M43" s="46"/>
      <c r="N43" s="45"/>
      <c r="O43" s="25"/>
      <c r="P43" s="46"/>
      <c r="Q43" s="47"/>
    </row>
    <row r="44" spans="2:17" s="35" customFormat="1" ht="19.899999999999999" customHeight="1" x14ac:dyDescent="0.15">
      <c r="B44" s="32">
        <v>14</v>
      </c>
      <c r="C44" s="22" t="s">
        <v>55</v>
      </c>
      <c r="D44" s="22" t="s">
        <v>55</v>
      </c>
      <c r="E44" s="55" t="s">
        <v>95</v>
      </c>
      <c r="F44" s="56">
        <v>1</v>
      </c>
      <c r="G44" s="24"/>
      <c r="H44" s="37">
        <f t="shared" si="2"/>
        <v>0</v>
      </c>
      <c r="I44" s="20"/>
      <c r="J44" s="38" t="s">
        <v>56</v>
      </c>
      <c r="K44" s="57"/>
      <c r="L44" s="59" t="s">
        <v>76</v>
      </c>
      <c r="M44" s="33"/>
      <c r="N44" s="32"/>
      <c r="O44" s="41"/>
      <c r="P44" s="33"/>
      <c r="Q44" s="34"/>
    </row>
    <row r="45" spans="2:17" s="35" customFormat="1" ht="19.899999999999999" customHeight="1" x14ac:dyDescent="0.15">
      <c r="B45" s="32"/>
      <c r="C45" s="22"/>
      <c r="D45" s="22"/>
      <c r="E45" s="55"/>
      <c r="F45" s="56"/>
      <c r="G45" s="24"/>
      <c r="H45" s="37">
        <f t="shared" si="2"/>
        <v>0</v>
      </c>
      <c r="I45" s="20"/>
      <c r="J45" s="38"/>
      <c r="K45" s="57"/>
      <c r="L45" s="42"/>
      <c r="M45" s="33"/>
      <c r="N45" s="32"/>
      <c r="O45" s="41"/>
      <c r="P45" s="33"/>
      <c r="Q45" s="34"/>
    </row>
    <row r="46" spans="2:17" s="35" customFormat="1" ht="19.899999999999999" customHeight="1" x14ac:dyDescent="0.15">
      <c r="B46" s="32"/>
      <c r="C46" s="22"/>
      <c r="D46" s="22"/>
      <c r="E46" s="55"/>
      <c r="F46" s="56"/>
      <c r="G46" s="24"/>
      <c r="H46" s="37">
        <f t="shared" si="2"/>
        <v>0</v>
      </c>
      <c r="I46" s="20"/>
      <c r="J46" s="38"/>
      <c r="K46" s="57"/>
      <c r="L46" s="42"/>
      <c r="M46" s="33"/>
      <c r="N46" s="32"/>
      <c r="O46" s="41"/>
      <c r="P46" s="33"/>
      <c r="Q46" s="34"/>
    </row>
    <row r="47" spans="2:17" s="35" customFormat="1" ht="19.899999999999999" customHeight="1" x14ac:dyDescent="0.15">
      <c r="B47" s="32">
        <v>3</v>
      </c>
      <c r="C47" s="22" t="s">
        <v>22</v>
      </c>
      <c r="D47" s="22" t="s">
        <v>22</v>
      </c>
      <c r="E47" s="55" t="s">
        <v>99</v>
      </c>
      <c r="F47" s="56">
        <v>1</v>
      </c>
      <c r="G47" s="36">
        <v>13743</v>
      </c>
      <c r="H47" s="37">
        <f t="shared" ref="H47:H78" si="3">F47*G47</f>
        <v>13743</v>
      </c>
      <c r="I47" s="20"/>
      <c r="J47" s="38" t="s">
        <v>100</v>
      </c>
      <c r="K47" s="57"/>
      <c r="L47" s="59" t="s">
        <v>101</v>
      </c>
      <c r="M47" s="33" t="d">
        <v>2022-03-18</v>
      </c>
      <c r="N47" s="32"/>
      <c r="O47" s="41"/>
      <c r="P47" s="41" t="d">
        <v>2022-04-12</v>
      </c>
      <c r="Q47" s="34" t="d">
        <v>2022-04-12</v>
      </c>
    </row>
    <row r="48" spans="2:17" s="35" customFormat="1" ht="19.899999999999999" customHeight="1" x14ac:dyDescent="0.15">
      <c r="B48" s="32">
        <v>3</v>
      </c>
      <c r="C48" s="22" t="s">
        <v>22</v>
      </c>
      <c r="D48" s="22" t="s">
        <v>22</v>
      </c>
      <c r="E48" s="55" t="s">
        <v>102</v>
      </c>
      <c r="F48" s="56">
        <v>2</v>
      </c>
      <c r="G48" s="36">
        <v>280</v>
      </c>
      <c r="H48" s="37">
        <f t="shared" si="3"/>
        <v>560</v>
      </c>
      <c r="I48" s="20"/>
      <c r="J48" s="38" t="s">
        <v>103</v>
      </c>
      <c r="K48" s="57"/>
      <c r="L48" s="59" t="s">
        <v>101</v>
      </c>
      <c r="M48" s="33" t="d">
        <v>2022-03-18</v>
      </c>
      <c r="N48" s="32"/>
      <c r="O48" s="41"/>
      <c r="P48" s="41" t="d">
        <v>2022-04-12</v>
      </c>
      <c r="Q48" s="34" t="d">
        <v>2022-04-12</v>
      </c>
    </row>
    <row r="49" spans="2:17" s="35" customFormat="1" ht="19.899999999999999" customHeight="1" x14ac:dyDescent="0.15">
      <c r="B49" s="32">
        <v>3</v>
      </c>
      <c r="C49" s="22" t="s">
        <v>22</v>
      </c>
      <c r="D49" s="22" t="s">
        <v>22</v>
      </c>
      <c r="E49" s="55" t="s">
        <v>104</v>
      </c>
      <c r="F49" s="56">
        <v>3</v>
      </c>
      <c r="G49" s="36">
        <v>280</v>
      </c>
      <c r="H49" s="37">
        <f t="shared" si="3"/>
        <v>840</v>
      </c>
      <c r="I49" s="20"/>
      <c r="J49" s="38" t="s">
        <v>103</v>
      </c>
      <c r="K49" s="57"/>
      <c r="L49" s="59" t="s">
        <v>101</v>
      </c>
      <c r="M49" s="33" t="d">
        <v>2022-03-18</v>
      </c>
      <c r="N49" s="32"/>
      <c r="O49" s="41"/>
      <c r="P49" s="41" t="d">
        <v>2022-04-12</v>
      </c>
      <c r="Q49" s="34" t="d">
        <v>2022-04-12</v>
      </c>
    </row>
    <row r="50" spans="2:17" s="35" customFormat="1" ht="19.899999999999999" customHeight="1" x14ac:dyDescent="0.15">
      <c r="B50" s="32">
        <v>3</v>
      </c>
      <c r="C50" s="22" t="s">
        <v>22</v>
      </c>
      <c r="D50" s="22" t="s">
        <v>22</v>
      </c>
      <c r="E50" s="55" t="s">
        <v>105</v>
      </c>
      <c r="F50" s="56">
        <v>1</v>
      </c>
      <c r="G50" s="36">
        <v>5660</v>
      </c>
      <c r="H50" s="37">
        <f t="shared" si="3"/>
        <v>5660</v>
      </c>
      <c r="I50" s="20"/>
      <c r="J50" s="38" t="s">
        <v>106</v>
      </c>
      <c r="K50" s="57"/>
      <c r="L50" s="59" t="s">
        <v>101</v>
      </c>
      <c r="M50" s="33" t="d">
        <v>2022-03-18</v>
      </c>
      <c r="N50" s="32"/>
      <c r="O50" s="41"/>
      <c r="P50" s="41" t="d">
        <v>2022-04-12</v>
      </c>
      <c r="Q50" s="34" t="d">
        <v>2022-04-12</v>
      </c>
    </row>
    <row r="51" spans="2:17" s="35" customFormat="1" ht="19.899999999999999" customHeight="1" x14ac:dyDescent="0.15">
      <c r="B51" s="32">
        <v>3</v>
      </c>
      <c r="C51" s="22" t="s">
        <v>22</v>
      </c>
      <c r="D51" s="22" t="s">
        <v>22</v>
      </c>
      <c r="E51" s="55" t="s">
        <v>107</v>
      </c>
      <c r="F51" s="56">
        <v>1</v>
      </c>
      <c r="G51" s="36">
        <v>3050</v>
      </c>
      <c r="H51" s="37">
        <f t="shared" si="3"/>
        <v>3050</v>
      </c>
      <c r="I51" s="20"/>
      <c r="J51" s="38" t="s">
        <v>108</v>
      </c>
      <c r="K51" s="57"/>
      <c r="L51" s="59" t="s">
        <v>101</v>
      </c>
      <c r="M51" s="33" t="d">
        <v>2022-03-18</v>
      </c>
      <c r="N51" s="32"/>
      <c r="O51" s="41"/>
      <c r="P51" s="41" t="d">
        <v>2022-04-12</v>
      </c>
      <c r="Q51" s="34" t="d">
        <v>2022-04-12</v>
      </c>
    </row>
    <row r="52" spans="2:17" s="35" customFormat="1" ht="19.899999999999999" customHeight="1" x14ac:dyDescent="0.15">
      <c r="B52" s="32">
        <v>3</v>
      </c>
      <c r="C52" s="22" t="s">
        <v>22</v>
      </c>
      <c r="D52" s="22" t="s">
        <v>22</v>
      </c>
      <c r="E52" s="55" t="s">
        <v>109</v>
      </c>
      <c r="F52" s="56">
        <v>1</v>
      </c>
      <c r="G52" s="36">
        <v>2030</v>
      </c>
      <c r="H52" s="37">
        <f t="shared" si="3"/>
        <v>2030</v>
      </c>
      <c r="I52" s="20"/>
      <c r="J52" s="38" t="s">
        <v>110</v>
      </c>
      <c r="K52" s="57"/>
      <c r="L52" s="59" t="s">
        <v>101</v>
      </c>
      <c r="M52" s="33" t="d">
        <v>2022-03-18</v>
      </c>
      <c r="N52" s="32"/>
      <c r="O52" s="41"/>
      <c r="P52" s="41" t="d">
        <v>2022-04-12</v>
      </c>
      <c r="Q52" s="34" t="d">
        <v>2022-04-12</v>
      </c>
    </row>
    <row r="53" spans="2:17" s="35" customFormat="1" ht="19.899999999999999" customHeight="1" x14ac:dyDescent="0.15">
      <c r="B53" s="32">
        <v>3</v>
      </c>
      <c r="C53" s="22" t="s">
        <v>111</v>
      </c>
      <c r="D53" s="22" t="s">
        <v>22</v>
      </c>
      <c r="E53" s="55" t="s">
        <v>112</v>
      </c>
      <c r="F53" s="56">
        <v>10</v>
      </c>
      <c r="G53" s="36">
        <v>43</v>
      </c>
      <c r="H53" s="37">
        <f t="shared" si="3"/>
        <v>430</v>
      </c>
      <c r="I53" s="20"/>
      <c r="J53" s="38" t="s">
        <v>113</v>
      </c>
      <c r="K53" s="57"/>
      <c r="L53" s="59" t="s">
        <v>101</v>
      </c>
      <c r="M53" s="33" t="d">
        <v>2022-03-18</v>
      </c>
      <c r="N53" s="32"/>
      <c r="O53" s="41"/>
      <c r="P53" s="41" t="d">
        <v>2022-04-12</v>
      </c>
      <c r="Q53" s="34" t="d">
        <v>2022-04-12</v>
      </c>
    </row>
    <row r="54" spans="2:17" s="35" customFormat="1" ht="19.899999999999999" customHeight="1" x14ac:dyDescent="0.15">
      <c r="B54" s="32">
        <v>3</v>
      </c>
      <c r="C54" s="22" t="s">
        <v>22</v>
      </c>
      <c r="D54" s="22" t="s">
        <v>22</v>
      </c>
      <c r="E54" s="55" t="s">
        <v>114</v>
      </c>
      <c r="F54" s="56">
        <v>1</v>
      </c>
      <c r="G54" s="36">
        <v>5040</v>
      </c>
      <c r="H54" s="37">
        <f t="shared" si="3"/>
        <v>5040</v>
      </c>
      <c r="I54" s="20"/>
      <c r="J54" s="38" t="s">
        <v>115</v>
      </c>
      <c r="K54" s="57"/>
      <c r="L54" s="59" t="s">
        <v>116</v>
      </c>
      <c r="M54" s="33" t="d">
        <v>2022-03-18</v>
      </c>
      <c r="N54" s="32"/>
      <c r="O54" s="41"/>
      <c r="P54" s="41" t="d">
        <v>2022-04-12</v>
      </c>
      <c r="Q54" s="34" t="d">
        <v>2022-04-12</v>
      </c>
    </row>
    <row r="55" spans="2:17" s="35" customFormat="1" ht="19.899999999999999" customHeight="1" x14ac:dyDescent="0.15">
      <c r="B55" s="32">
        <v>3</v>
      </c>
      <c r="C55" s="22" t="s">
        <v>117</v>
      </c>
      <c r="D55" s="22" t="s">
        <v>22</v>
      </c>
      <c r="E55" s="55" t="s">
        <v>118</v>
      </c>
      <c r="F55" s="56">
        <v>3</v>
      </c>
      <c r="G55" s="36">
        <v>314</v>
      </c>
      <c r="H55" s="37">
        <f t="shared" si="3"/>
        <v>942</v>
      </c>
      <c r="I55" s="20"/>
      <c r="J55" s="38" t="s">
        <v>119</v>
      </c>
      <c r="K55" s="57"/>
      <c r="L55" s="59" t="s">
        <v>116</v>
      </c>
      <c r="M55" s="33" t="d">
        <v>2022-03-18</v>
      </c>
      <c r="N55" s="32"/>
      <c r="O55" s="41"/>
      <c r="P55" s="41" t="d">
        <v>2022-04-12</v>
      </c>
      <c r="Q55" s="34" t="d">
        <v>2022-04-12</v>
      </c>
    </row>
    <row r="56" spans="2:17" s="35" customFormat="1" ht="19.899999999999999" customHeight="1" x14ac:dyDescent="0.15">
      <c r="B56" s="32">
        <v>3</v>
      </c>
      <c r="C56" s="22" t="s">
        <v>22</v>
      </c>
      <c r="D56" s="22" t="s">
        <v>22</v>
      </c>
      <c r="E56" s="55" t="s">
        <v>120</v>
      </c>
      <c r="F56" s="56">
        <v>1</v>
      </c>
      <c r="G56" s="36">
        <v>977</v>
      </c>
      <c r="H56" s="37">
        <f t="shared" si="3"/>
        <v>977</v>
      </c>
      <c r="I56" s="20"/>
      <c r="J56" s="38" t="s">
        <v>121</v>
      </c>
      <c r="K56" s="57"/>
      <c r="L56" s="59" t="s">
        <v>116</v>
      </c>
      <c r="M56" s="33" t="d">
        <v>2022-03-18</v>
      </c>
      <c r="N56" s="32"/>
      <c r="O56" s="41"/>
      <c r="P56" s="41" t="d">
        <v>2022-04-12</v>
      </c>
      <c r="Q56" s="34" t="d">
        <v>2022-04-12</v>
      </c>
    </row>
    <row r="57" spans="2:17" s="35" customFormat="1" ht="19.899999999999999" customHeight="1" x14ac:dyDescent="0.15">
      <c r="B57" s="32">
        <v>3</v>
      </c>
      <c r="C57" s="22" t="s">
        <v>22</v>
      </c>
      <c r="D57" s="22" t="s">
        <v>22</v>
      </c>
      <c r="E57" s="55" t="s">
        <v>122</v>
      </c>
      <c r="F57" s="56">
        <v>1</v>
      </c>
      <c r="G57" s="36">
        <v>4570</v>
      </c>
      <c r="H57" s="37">
        <f t="shared" si="3"/>
        <v>4570</v>
      </c>
      <c r="I57" s="20"/>
      <c r="J57" s="38" t="s">
        <v>123</v>
      </c>
      <c r="K57" s="57"/>
      <c r="L57" s="59" t="s">
        <v>116</v>
      </c>
      <c r="M57" s="33" t="d">
        <v>2022-03-18</v>
      </c>
      <c r="N57" s="32"/>
      <c r="O57" s="41"/>
      <c r="P57" s="41" t="d">
        <v>2022-04-12</v>
      </c>
      <c r="Q57" s="34" t="d">
        <v>2022-04-12</v>
      </c>
    </row>
    <row r="58" spans="2:17" s="35" customFormat="1" ht="19.899999999999999" customHeight="1" x14ac:dyDescent="0.15">
      <c r="B58" s="32">
        <v>3</v>
      </c>
      <c r="C58" s="22" t="s">
        <v>124</v>
      </c>
      <c r="D58" s="22" t="s">
        <v>22</v>
      </c>
      <c r="E58" s="55" t="s">
        <v>125</v>
      </c>
      <c r="F58" s="56">
        <v>1</v>
      </c>
      <c r="G58" s="36">
        <v>1426</v>
      </c>
      <c r="H58" s="37">
        <f t="shared" si="3"/>
        <v>1426</v>
      </c>
      <c r="I58" s="20"/>
      <c r="J58" s="38" t="s">
        <v>126</v>
      </c>
      <c r="K58" s="57"/>
      <c r="L58" s="59" t="s">
        <v>116</v>
      </c>
      <c r="M58" s="33" t="d">
        <v>2022-03-18</v>
      </c>
      <c r="N58" s="32"/>
      <c r="O58" s="41"/>
      <c r="P58" s="41" t="d">
        <v>2022-04-12</v>
      </c>
      <c r="Q58" s="34" t="d">
        <v>2022-04-12</v>
      </c>
    </row>
    <row r="59" spans="2:17" s="35" customFormat="1" ht="19.899999999999999" customHeight="1" x14ac:dyDescent="0.15">
      <c r="B59" s="32">
        <v>3</v>
      </c>
      <c r="C59" s="22" t="s">
        <v>127</v>
      </c>
      <c r="D59" s="22" t="s">
        <v>22</v>
      </c>
      <c r="E59" s="55" t="s">
        <v>128</v>
      </c>
      <c r="F59" s="56">
        <v>1</v>
      </c>
      <c r="G59" s="36">
        <v>251</v>
      </c>
      <c r="H59" s="37">
        <f t="shared" si="3"/>
        <v>251</v>
      </c>
      <c r="I59" s="20"/>
      <c r="J59" s="38" t="s">
        <v>129</v>
      </c>
      <c r="K59" s="57"/>
      <c r="L59" s="59" t="s">
        <v>116</v>
      </c>
      <c r="M59" s="33" t="d">
        <v>2022-03-18</v>
      </c>
      <c r="N59" s="32"/>
      <c r="O59" s="41"/>
      <c r="P59" s="41" t="d">
        <v>2022-04-12</v>
      </c>
      <c r="Q59" s="34" t="d">
        <v>2022-04-12</v>
      </c>
    </row>
    <row r="60" spans="2:17" s="35" customFormat="1" ht="19.899999999999999" customHeight="1" x14ac:dyDescent="0.15">
      <c r="B60" s="32">
        <v>3</v>
      </c>
      <c r="C60" s="22" t="s">
        <v>22</v>
      </c>
      <c r="D60" s="22" t="s">
        <v>22</v>
      </c>
      <c r="E60" s="55" t="s">
        <v>130</v>
      </c>
      <c r="F60" s="56">
        <v>1</v>
      </c>
      <c r="G60" s="36">
        <v>3876</v>
      </c>
      <c r="H60" s="37">
        <f t="shared" si="3"/>
        <v>3876</v>
      </c>
      <c r="I60" s="20"/>
      <c r="J60" s="38" t="s">
        <v>131</v>
      </c>
      <c r="K60" s="57"/>
      <c r="L60" s="59" t="s">
        <v>132</v>
      </c>
      <c r="M60" s="33" t="d">
        <v>2022-03-18</v>
      </c>
      <c r="N60" s="32"/>
      <c r="O60" s="41"/>
      <c r="P60" s="41" t="d">
        <v>2022-04-12</v>
      </c>
      <c r="Q60" s="34" t="d">
        <v>2022-04-12</v>
      </c>
    </row>
    <row r="61" spans="2:17" s="35" customFormat="1" ht="19.899999999999999" customHeight="1" x14ac:dyDescent="0.15">
      <c r="B61" s="32">
        <v>3</v>
      </c>
      <c r="C61" s="22" t="s">
        <v>22</v>
      </c>
      <c r="D61" s="22" t="s">
        <v>22</v>
      </c>
      <c r="E61" s="55" t="s">
        <v>133</v>
      </c>
      <c r="F61" s="56">
        <v>1</v>
      </c>
      <c r="G61" s="36">
        <v>1260</v>
      </c>
      <c r="H61" s="37">
        <f t="shared" si="3"/>
        <v>1260</v>
      </c>
      <c r="I61" s="20"/>
      <c r="J61" s="38" t="s">
        <v>134</v>
      </c>
      <c r="K61" s="57"/>
      <c r="L61" s="59" t="s">
        <v>135</v>
      </c>
      <c r="M61" s="33" t="d">
        <v>2022-03-18</v>
      </c>
      <c r="N61" s="32"/>
      <c r="O61" s="41"/>
      <c r="P61" s="41" t="d">
        <v>2022-04-12</v>
      </c>
      <c r="Q61" s="34" t="d">
        <v>2022-04-12</v>
      </c>
    </row>
    <row r="62" spans="2:17" s="35" customFormat="1" ht="19.899999999999999" customHeight="1" x14ac:dyDescent="0.15">
      <c r="B62" s="32">
        <v>3</v>
      </c>
      <c r="C62" s="22" t="s">
        <v>136</v>
      </c>
      <c r="D62" s="22" t="s">
        <v>22</v>
      </c>
      <c r="E62" s="55" t="s">
        <v>137</v>
      </c>
      <c r="F62" s="56">
        <v>1</v>
      </c>
      <c r="G62" s="36">
        <v>436</v>
      </c>
      <c r="H62" s="37">
        <f t="shared" si="3"/>
        <v>436</v>
      </c>
      <c r="I62" s="20"/>
      <c r="J62" s="38" t="s">
        <v>138</v>
      </c>
      <c r="K62" s="57"/>
      <c r="L62" s="59" t="s">
        <v>116</v>
      </c>
      <c r="M62" s="33" t="d">
        <v>2022-03-18</v>
      </c>
      <c r="N62" s="32"/>
      <c r="O62" s="41"/>
      <c r="P62" s="41" t="d">
        <v>2022-04-12</v>
      </c>
      <c r="Q62" s="34" t="d">
        <v>2022-04-12</v>
      </c>
    </row>
    <row r="63" spans="2:17" s="35" customFormat="1" ht="19.899999999999999" customHeight="1" x14ac:dyDescent="0.15">
      <c r="B63" s="32">
        <v>15</v>
      </c>
      <c r="C63" s="22" t="s">
        <v>22</v>
      </c>
      <c r="D63" s="22" t="s">
        <v>22</v>
      </c>
      <c r="E63" s="55" t="s">
        <v>139</v>
      </c>
      <c r="F63" s="56">
        <v>1</v>
      </c>
      <c r="G63" s="36">
        <v>768</v>
      </c>
      <c r="H63" s="37">
        <f t="shared" si="3"/>
        <v>768</v>
      </c>
      <c r="I63" s="20"/>
      <c r="J63" s="38" t="s">
        <v>140</v>
      </c>
      <c r="K63" s="57"/>
      <c r="L63" s="59" t="s">
        <v>116</v>
      </c>
      <c r="M63" s="33" t="d">
        <v>2022-03-18</v>
      </c>
      <c r="N63" s="32"/>
      <c r="O63" s="41"/>
      <c r="P63" s="41" t="d">
        <v>2022-04-12</v>
      </c>
      <c r="Q63" s="34" t="d">
        <v>2022-04-12</v>
      </c>
    </row>
    <row r="64" spans="2:17" s="35" customFormat="1" ht="19.899999999999999" customHeight="1" x14ac:dyDescent="0.15">
      <c r="B64" s="32">
        <v>4</v>
      </c>
      <c r="C64" s="22" t="s">
        <v>22</v>
      </c>
      <c r="D64" s="22" t="s">
        <v>22</v>
      </c>
      <c r="E64" s="55" t="s">
        <v>141</v>
      </c>
      <c r="F64" s="56">
        <v>2</v>
      </c>
      <c r="G64" s="36">
        <v>1260</v>
      </c>
      <c r="H64" s="37">
        <f t="shared" si="3"/>
        <v>2520</v>
      </c>
      <c r="I64" s="20"/>
      <c r="J64" s="38" t="s">
        <v>142</v>
      </c>
      <c r="K64" s="57"/>
      <c r="L64" s="59" t="s">
        <v>143</v>
      </c>
      <c r="M64" s="33" t="d">
        <v>2022-03-18</v>
      </c>
      <c r="N64" s="32"/>
      <c r="O64" s="41"/>
      <c r="P64" s="41" t="d">
        <v>2022-04-12</v>
      </c>
      <c r="Q64" s="34" t="d">
        <v>2022-04-12</v>
      </c>
    </row>
    <row r="65" spans="2:17" s="35" customFormat="1" ht="19.899999999999999" customHeight="1" x14ac:dyDescent="0.15">
      <c r="B65" s="32">
        <v>4</v>
      </c>
      <c r="C65" s="22" t="s">
        <v>22</v>
      </c>
      <c r="D65" s="22" t="s">
        <v>22</v>
      </c>
      <c r="E65" s="55" t="s">
        <v>144</v>
      </c>
      <c r="F65" s="56">
        <v>1</v>
      </c>
      <c r="G65" s="36">
        <v>14948</v>
      </c>
      <c r="H65" s="37">
        <f t="shared" si="3"/>
        <v>14948</v>
      </c>
      <c r="I65" s="20"/>
      <c r="J65" s="38" t="s">
        <v>145</v>
      </c>
      <c r="K65" s="57"/>
      <c r="L65" s="59" t="s">
        <v>143</v>
      </c>
      <c r="M65" s="33" t="d">
        <v>2022-03-18</v>
      </c>
      <c r="N65" s="32"/>
      <c r="O65" s="41"/>
      <c r="P65" s="41" t="d">
        <v>2022-04-12</v>
      </c>
      <c r="Q65" s="34" t="d">
        <v>2022-04-12</v>
      </c>
    </row>
    <row r="66" spans="2:17" s="35" customFormat="1" ht="19.899999999999999" customHeight="1" x14ac:dyDescent="0.15">
      <c r="B66" s="32">
        <v>5</v>
      </c>
      <c r="C66" s="22" t="s">
        <v>22</v>
      </c>
      <c r="D66" s="22" t="s">
        <v>22</v>
      </c>
      <c r="E66" s="55" t="s">
        <v>146</v>
      </c>
      <c r="F66" s="56">
        <v>1</v>
      </c>
      <c r="G66" s="36">
        <v>4343</v>
      </c>
      <c r="H66" s="37">
        <f t="shared" si="3"/>
        <v>4343</v>
      </c>
      <c r="I66" s="20"/>
      <c r="J66" s="38" t="s">
        <v>147</v>
      </c>
      <c r="K66" s="57"/>
      <c r="L66" s="59" t="s">
        <v>148</v>
      </c>
      <c r="M66" s="33" t="d">
        <v>2022-03-18</v>
      </c>
      <c r="N66" s="32"/>
      <c r="O66" s="41"/>
      <c r="P66" s="41" t="d">
        <v>2022-04-12</v>
      </c>
      <c r="Q66" s="34" t="d">
        <v>2022-04-12</v>
      </c>
    </row>
    <row r="67" spans="2:17" s="35" customFormat="1" ht="19.899999999999999" customHeight="1" x14ac:dyDescent="0.15">
      <c r="B67" s="32">
        <v>5</v>
      </c>
      <c r="C67" s="22" t="s">
        <v>22</v>
      </c>
      <c r="D67" s="22" t="s">
        <v>22</v>
      </c>
      <c r="E67" s="55" t="s">
        <v>149</v>
      </c>
      <c r="F67" s="56">
        <v>1</v>
      </c>
      <c r="G67" s="36">
        <v>37480</v>
      </c>
      <c r="H67" s="37">
        <f t="shared" si="3"/>
        <v>37480</v>
      </c>
      <c r="I67" s="20"/>
      <c r="J67" s="38" t="s">
        <v>150</v>
      </c>
      <c r="K67" s="57"/>
      <c r="L67" s="59" t="s">
        <v>148</v>
      </c>
      <c r="M67" s="33" t="d">
        <v>2022-03-18</v>
      </c>
      <c r="N67" s="32"/>
      <c r="O67" s="41"/>
      <c r="P67" s="41" t="d">
        <v>2022-04-12</v>
      </c>
      <c r="Q67" s="34" t="d">
        <v>2022-04-12</v>
      </c>
    </row>
    <row r="68" spans="2:17" s="35" customFormat="1" ht="19.899999999999999" customHeight="1" x14ac:dyDescent="0.15">
      <c r="B68" s="32">
        <v>5</v>
      </c>
      <c r="C68" s="22" t="s">
        <v>22</v>
      </c>
      <c r="D68" s="22" t="s">
        <v>22</v>
      </c>
      <c r="E68" s="55" t="s">
        <v>151</v>
      </c>
      <c r="F68" s="56">
        <v>1</v>
      </c>
      <c r="G68" s="36">
        <v>3834</v>
      </c>
      <c r="H68" s="37">
        <f t="shared" si="3"/>
        <v>3834</v>
      </c>
      <c r="I68" s="20"/>
      <c r="J68" s="38" t="s">
        <v>152</v>
      </c>
      <c r="K68" s="57"/>
      <c r="L68" s="59" t="s">
        <v>148</v>
      </c>
      <c r="M68" s="33" t="d">
        <v>2022-03-18</v>
      </c>
      <c r="N68" s="32"/>
      <c r="O68" s="41"/>
      <c r="P68" s="41" t="d">
        <v>2022-04-12</v>
      </c>
      <c r="Q68" s="34" t="d">
        <v>2022-04-12</v>
      </c>
    </row>
    <row r="69" spans="2:17" s="35" customFormat="1" ht="19.899999999999999" customHeight="1" x14ac:dyDescent="0.15">
      <c r="B69" s="32">
        <v>5</v>
      </c>
      <c r="C69" s="22" t="s">
        <v>111</v>
      </c>
      <c r="D69" s="22" t="s">
        <v>22</v>
      </c>
      <c r="E69" s="55" t="s">
        <v>153</v>
      </c>
      <c r="F69" s="56">
        <v>10</v>
      </c>
      <c r="G69" s="36">
        <v>41</v>
      </c>
      <c r="H69" s="37">
        <f t="shared" si="3"/>
        <v>410</v>
      </c>
      <c r="I69" s="20"/>
      <c r="J69" s="38" t="s">
        <v>154</v>
      </c>
      <c r="K69" s="57"/>
      <c r="L69" s="59" t="s">
        <v>148</v>
      </c>
      <c r="M69" s="33" t="d">
        <v>2022-03-18</v>
      </c>
      <c r="N69" s="32"/>
      <c r="O69" s="41"/>
      <c r="P69" s="41" t="d">
        <v>2022-04-12</v>
      </c>
      <c r="Q69" s="34" t="d">
        <v>2022-04-12</v>
      </c>
    </row>
    <row r="70" spans="2:17" s="35" customFormat="1" ht="19.899999999999999" customHeight="1" x14ac:dyDescent="0.15">
      <c r="B70" s="32">
        <v>4</v>
      </c>
      <c r="C70" s="22" t="s">
        <v>22</v>
      </c>
      <c r="D70" s="22" t="s">
        <v>22</v>
      </c>
      <c r="E70" s="55" t="s">
        <v>155</v>
      </c>
      <c r="F70" s="56">
        <v>2</v>
      </c>
      <c r="G70" s="36">
        <v>1310</v>
      </c>
      <c r="H70" s="37">
        <f t="shared" si="3"/>
        <v>2620</v>
      </c>
      <c r="I70" s="20"/>
      <c r="J70" s="38" t="s">
        <v>156</v>
      </c>
      <c r="K70" s="57"/>
      <c r="L70" s="22" t="s">
        <v>157</v>
      </c>
      <c r="M70" s="33" t="d">
        <v>2022-03-18</v>
      </c>
      <c r="N70" s="32"/>
      <c r="O70" s="41"/>
      <c r="P70" s="41" t="d">
        <v>2022-04-12</v>
      </c>
      <c r="Q70" s="34" t="d">
        <v>2022-04-12</v>
      </c>
    </row>
    <row r="71" spans="2:17" s="35" customFormat="1" ht="19.899999999999999" customHeight="1" x14ac:dyDescent="0.15">
      <c r="B71" s="32">
        <v>4</v>
      </c>
      <c r="C71" s="22" t="s">
        <v>22</v>
      </c>
      <c r="D71" s="22" t="s">
        <v>22</v>
      </c>
      <c r="E71" s="55" t="s">
        <v>158</v>
      </c>
      <c r="F71" s="56">
        <v>1</v>
      </c>
      <c r="G71" s="36">
        <v>470</v>
      </c>
      <c r="H71" s="37">
        <f t="shared" si="3"/>
        <v>470</v>
      </c>
      <c r="I71" s="20"/>
      <c r="J71" s="38" t="s">
        <v>159</v>
      </c>
      <c r="K71" s="57"/>
      <c r="L71" s="22" t="s">
        <v>157</v>
      </c>
      <c r="M71" s="33" t="d">
        <v>2022-03-18</v>
      </c>
      <c r="N71" s="32"/>
      <c r="O71" s="41"/>
      <c r="P71" s="41" t="d">
        <v>2022-04-12</v>
      </c>
      <c r="Q71" s="34" t="d">
        <v>2022-04-12</v>
      </c>
    </row>
    <row r="72" spans="2:17" s="35" customFormat="1" ht="19.899999999999999" customHeight="1" x14ac:dyDescent="0.15">
      <c r="B72" s="32">
        <v>4</v>
      </c>
      <c r="C72" s="22" t="s">
        <v>111</v>
      </c>
      <c r="D72" s="22" t="s">
        <v>22</v>
      </c>
      <c r="E72" s="55" t="s">
        <v>160</v>
      </c>
      <c r="F72" s="56">
        <v>2</v>
      </c>
      <c r="G72" s="36">
        <v>8597</v>
      </c>
      <c r="H72" s="37">
        <f t="shared" si="3"/>
        <v>17194</v>
      </c>
      <c r="I72" s="20"/>
      <c r="J72" s="38" t="s">
        <v>161</v>
      </c>
      <c r="K72" s="57"/>
      <c r="L72" s="22" t="s">
        <v>157</v>
      </c>
      <c r="M72" s="33" t="d">
        <v>2022-03-18</v>
      </c>
      <c r="N72" s="32"/>
      <c r="O72" s="41"/>
      <c r="P72" s="41" t="d">
        <v>2022-04-12</v>
      </c>
      <c r="Q72" s="34" t="d">
        <v>2022-04-12</v>
      </c>
    </row>
    <row r="73" spans="2:17" s="35" customFormat="1" ht="19.899999999999999" customHeight="1" x14ac:dyDescent="0.15">
      <c r="B73" s="32">
        <v>4</v>
      </c>
      <c r="C73" s="22" t="s">
        <v>22</v>
      </c>
      <c r="D73" s="22" t="s">
        <v>22</v>
      </c>
      <c r="E73" s="55" t="s">
        <v>162</v>
      </c>
      <c r="F73" s="56">
        <v>2</v>
      </c>
      <c r="G73" s="36">
        <v>220</v>
      </c>
      <c r="H73" s="37">
        <f t="shared" si="3"/>
        <v>440</v>
      </c>
      <c r="I73" s="20"/>
      <c r="J73" s="38" t="s">
        <v>163</v>
      </c>
      <c r="K73" s="57"/>
      <c r="L73" s="22" t="s">
        <v>157</v>
      </c>
      <c r="M73" s="33" t="d">
        <v>2022-03-18</v>
      </c>
      <c r="N73" s="32"/>
      <c r="O73" s="41"/>
      <c r="P73" s="41" t="d">
        <v>2022-04-12</v>
      </c>
      <c r="Q73" s="34" t="d">
        <v>2022-04-12</v>
      </c>
    </row>
    <row r="74" spans="2:17" s="35" customFormat="1" ht="19.899999999999999" customHeight="1" x14ac:dyDescent="0.15">
      <c r="B74" s="32">
        <v>4</v>
      </c>
      <c r="C74" s="22" t="s">
        <v>22</v>
      </c>
      <c r="D74" s="22" t="s">
        <v>22</v>
      </c>
      <c r="E74" s="55" t="s">
        <v>164</v>
      </c>
      <c r="F74" s="56">
        <v>2</v>
      </c>
      <c r="G74" s="36">
        <v>1350</v>
      </c>
      <c r="H74" s="37">
        <f t="shared" si="3"/>
        <v>2700</v>
      </c>
      <c r="I74" s="20"/>
      <c r="J74" s="38" t="s">
        <v>165</v>
      </c>
      <c r="K74" s="57"/>
      <c r="L74" s="22" t="s">
        <v>157</v>
      </c>
      <c r="M74" s="33" t="d">
        <v>2022-03-18</v>
      </c>
      <c r="N74" s="32"/>
      <c r="O74" s="41"/>
      <c r="P74" s="41" t="d">
        <v>2022-04-12</v>
      </c>
      <c r="Q74" s="34" t="d">
        <v>2022-04-12</v>
      </c>
    </row>
    <row r="75" spans="2:17" s="35" customFormat="1" ht="19.899999999999999" customHeight="1" x14ac:dyDescent="0.15">
      <c r="B75" s="32">
        <v>4</v>
      </c>
      <c r="C75" s="22" t="s">
        <v>111</v>
      </c>
      <c r="D75" s="22" t="s">
        <v>22</v>
      </c>
      <c r="E75" s="55" t="s">
        <v>166</v>
      </c>
      <c r="F75" s="56">
        <v>10</v>
      </c>
      <c r="G75" s="36">
        <v>41</v>
      </c>
      <c r="H75" s="37">
        <f t="shared" si="3"/>
        <v>410</v>
      </c>
      <c r="I75" s="20"/>
      <c r="J75" s="38" t="s">
        <v>167</v>
      </c>
      <c r="K75" s="57"/>
      <c r="L75" s="22" t="s">
        <v>157</v>
      </c>
      <c r="M75" s="33" t="d">
        <v>2022-03-18</v>
      </c>
      <c r="N75" s="32"/>
      <c r="O75" s="41"/>
      <c r="P75" s="41" t="d">
        <v>2022-04-12</v>
      </c>
      <c r="Q75" s="34" t="d">
        <v>2022-04-12</v>
      </c>
    </row>
    <row r="76" spans="2:17" s="35" customFormat="1" ht="19.899999999999999" customHeight="1" x14ac:dyDescent="0.15">
      <c r="B76" s="32">
        <v>15</v>
      </c>
      <c r="C76" s="22" t="s">
        <v>22</v>
      </c>
      <c r="D76" s="22" t="s">
        <v>22</v>
      </c>
      <c r="E76" s="55" t="s">
        <v>168</v>
      </c>
      <c r="F76" s="56">
        <v>1</v>
      </c>
      <c r="G76" s="36">
        <v>3010</v>
      </c>
      <c r="H76" s="37">
        <f t="shared" si="3"/>
        <v>3010</v>
      </c>
      <c r="I76" s="20"/>
      <c r="J76" s="38" t="s">
        <v>169</v>
      </c>
      <c r="K76" s="57"/>
      <c r="L76" s="22" t="s">
        <v>54</v>
      </c>
      <c r="M76" s="33" t="d">
        <v>2022-03-18</v>
      </c>
      <c r="N76" s="32"/>
      <c r="O76" s="41"/>
      <c r="P76" s="41" t="d">
        <v>2022-04-12</v>
      </c>
      <c r="Q76" s="34" t="d">
        <v>2022-04-12</v>
      </c>
    </row>
    <row r="77" spans="2:17" s="35" customFormat="1" ht="19.899999999999999" customHeight="1" x14ac:dyDescent="0.15">
      <c r="B77" s="32">
        <v>8</v>
      </c>
      <c r="C77" s="22" t="s">
        <v>22</v>
      </c>
      <c r="D77" s="22" t="s">
        <v>22</v>
      </c>
      <c r="E77" s="55" t="s">
        <v>170</v>
      </c>
      <c r="F77" s="56">
        <v>1</v>
      </c>
      <c r="G77" s="36">
        <v>5675</v>
      </c>
      <c r="H77" s="37">
        <f t="shared" si="3"/>
        <v>5675</v>
      </c>
      <c r="I77" s="20"/>
      <c r="J77" s="38" t="s">
        <v>171</v>
      </c>
      <c r="K77" s="57"/>
      <c r="L77" s="59" t="s">
        <v>172</v>
      </c>
      <c r="M77" s="33" t="d">
        <v>2022-03-18</v>
      </c>
      <c r="N77" s="32"/>
      <c r="O77" s="41"/>
      <c r="P77" s="41" t="d">
        <v>2022-04-12</v>
      </c>
      <c r="Q77" s="34" t="d">
        <v>2022-04-12</v>
      </c>
    </row>
    <row r="78" spans="2:17" s="35" customFormat="1" ht="19.899999999999999" customHeight="1" x14ac:dyDescent="0.15">
      <c r="B78" s="32">
        <v>8</v>
      </c>
      <c r="C78" s="22" t="s">
        <v>22</v>
      </c>
      <c r="D78" s="22" t="s">
        <v>22</v>
      </c>
      <c r="E78" s="55" t="s">
        <v>173</v>
      </c>
      <c r="F78" s="56">
        <v>2</v>
      </c>
      <c r="G78" s="36">
        <v>680</v>
      </c>
      <c r="H78" s="37">
        <f t="shared" si="3"/>
        <v>1360</v>
      </c>
      <c r="I78" s="20"/>
      <c r="J78" s="38" t="s">
        <v>174</v>
      </c>
      <c r="K78" s="57"/>
      <c r="L78" s="59" t="s">
        <v>172</v>
      </c>
      <c r="M78" s="33" t="d">
        <v>2022-03-18</v>
      </c>
      <c r="N78" s="32"/>
      <c r="O78" s="41"/>
      <c r="P78" s="41" t="d">
        <v>2022-04-12</v>
      </c>
      <c r="Q78" s="34" t="d">
        <v>2022-04-12</v>
      </c>
    </row>
    <row r="79" spans="2:17" s="35" customFormat="1" ht="19.899999999999999" customHeight="1" x14ac:dyDescent="0.15">
      <c r="B79" s="32">
        <v>8</v>
      </c>
      <c r="C79" s="22" t="s">
        <v>22</v>
      </c>
      <c r="D79" s="22" t="s">
        <v>22</v>
      </c>
      <c r="E79" s="55" t="s">
        <v>175</v>
      </c>
      <c r="F79" s="56">
        <v>1</v>
      </c>
      <c r="G79" s="36">
        <v>30</v>
      </c>
      <c r="H79" s="37">
        <f t="shared" ref="H79:H101" si="4">F79*G79</f>
        <v>30</v>
      </c>
      <c r="I79" s="20"/>
      <c r="J79" s="38" t="s">
        <v>176</v>
      </c>
      <c r="K79" s="57"/>
      <c r="L79" s="59" t="s">
        <v>172</v>
      </c>
      <c r="M79" s="33" t="d">
        <v>2022-03-18</v>
      </c>
      <c r="N79" s="32"/>
      <c r="O79" s="41"/>
      <c r="P79" s="41" t="d">
        <v>2022-04-12</v>
      </c>
      <c r="Q79" s="34" t="d">
        <v>2022-04-12</v>
      </c>
    </row>
    <row r="80" spans="2:17" s="35" customFormat="1" ht="19.899999999999999" customHeight="1" x14ac:dyDescent="0.15">
      <c r="B80" s="32">
        <v>8</v>
      </c>
      <c r="C80" s="22" t="s">
        <v>22</v>
      </c>
      <c r="D80" s="22" t="s">
        <v>22</v>
      </c>
      <c r="E80" s="55" t="s">
        <v>177</v>
      </c>
      <c r="F80" s="56">
        <v>1</v>
      </c>
      <c r="G80" s="36">
        <v>71</v>
      </c>
      <c r="H80" s="37">
        <f t="shared" si="4"/>
        <v>71</v>
      </c>
      <c r="I80" s="20"/>
      <c r="J80" s="38" t="s">
        <v>178</v>
      </c>
      <c r="K80" s="57"/>
      <c r="L80" s="59" t="s">
        <v>172</v>
      </c>
      <c r="M80" s="33" t="d">
        <v>2022-03-18</v>
      </c>
      <c r="N80" s="32"/>
      <c r="O80" s="41"/>
      <c r="P80" s="41" t="d">
        <v>2022-04-12</v>
      </c>
      <c r="Q80" s="34" t="d">
        <v>2022-04-12</v>
      </c>
    </row>
    <row r="81" spans="2:17" s="35" customFormat="1" ht="19.899999999999999" customHeight="1" x14ac:dyDescent="0.15">
      <c r="B81" s="32">
        <v>8</v>
      </c>
      <c r="C81" s="22" t="s">
        <v>22</v>
      </c>
      <c r="D81" s="22" t="s">
        <v>22</v>
      </c>
      <c r="E81" s="55" t="s">
        <v>179</v>
      </c>
      <c r="F81" s="56">
        <v>1</v>
      </c>
      <c r="G81" s="36">
        <v>4750</v>
      </c>
      <c r="H81" s="37">
        <f t="shared" si="4"/>
        <v>4750</v>
      </c>
      <c r="I81" s="20"/>
      <c r="J81" s="38" t="s">
        <v>180</v>
      </c>
      <c r="K81" s="57"/>
      <c r="L81" s="59" t="s">
        <v>172</v>
      </c>
      <c r="M81" s="33" t="d">
        <v>2022-03-18</v>
      </c>
      <c r="N81" s="32"/>
      <c r="O81" s="41"/>
      <c r="P81" s="41" t="d">
        <v>2022-04-12</v>
      </c>
      <c r="Q81" s="34" t="d">
        <v>2022-04-12</v>
      </c>
    </row>
    <row r="82" spans="2:17" s="35" customFormat="1" ht="19.899999999999999" customHeight="1" x14ac:dyDescent="0.15">
      <c r="B82" s="32">
        <v>8</v>
      </c>
      <c r="C82" s="22" t="s">
        <v>22</v>
      </c>
      <c r="D82" s="22" t="s">
        <v>22</v>
      </c>
      <c r="E82" s="55" t="s">
        <v>181</v>
      </c>
      <c r="F82" s="56">
        <v>1</v>
      </c>
      <c r="G82" s="36">
        <v>1872</v>
      </c>
      <c r="H82" s="37">
        <f t="shared" si="4"/>
        <v>1872</v>
      </c>
      <c r="I82" s="20"/>
      <c r="J82" s="38" t="s">
        <v>182</v>
      </c>
      <c r="K82" s="57"/>
      <c r="L82" s="59" t="s">
        <v>172</v>
      </c>
      <c r="M82" s="33" t="d">
        <v>2022-03-18</v>
      </c>
      <c r="N82" s="32"/>
      <c r="O82" s="41"/>
      <c r="P82" s="41" t="d">
        <v>2022-04-12</v>
      </c>
      <c r="Q82" s="34" t="d">
        <v>2022-04-12</v>
      </c>
    </row>
    <row r="83" spans="2:17" s="35" customFormat="1" ht="19.899999999999999" customHeight="1" x14ac:dyDescent="0.15">
      <c r="B83" s="32">
        <v>6</v>
      </c>
      <c r="C83" s="22" t="s">
        <v>22</v>
      </c>
      <c r="D83" s="22" t="s">
        <v>22</v>
      </c>
      <c r="E83" s="55" t="s">
        <v>183</v>
      </c>
      <c r="F83" s="56">
        <v>1</v>
      </c>
      <c r="G83" s="36">
        <v>24000</v>
      </c>
      <c r="H83" s="37">
        <f t="shared" si="4"/>
        <v>24000</v>
      </c>
      <c r="I83" s="20"/>
      <c r="J83" s="38" t="s">
        <v>184</v>
      </c>
      <c r="K83" s="57"/>
      <c r="L83" s="59" t="s">
        <v>185</v>
      </c>
      <c r="M83" s="33" t="d">
        <v>2022-03-18</v>
      </c>
      <c r="N83" s="32"/>
      <c r="O83" s="41"/>
      <c r="P83" s="41" t="d">
        <v>2022-04-12</v>
      </c>
      <c r="Q83" s="34" t="d">
        <v>2022-04-12</v>
      </c>
    </row>
    <row r="84" spans="2:17" s="35" customFormat="1" ht="19.899999999999999" customHeight="1" x14ac:dyDescent="0.15">
      <c r="B84" s="32">
        <v>6</v>
      </c>
      <c r="C84" s="22" t="s">
        <v>22</v>
      </c>
      <c r="D84" s="22" t="s">
        <v>22</v>
      </c>
      <c r="E84" s="55" t="s">
        <v>186</v>
      </c>
      <c r="F84" s="56">
        <v>1</v>
      </c>
      <c r="G84" s="36">
        <v>780</v>
      </c>
      <c r="H84" s="37">
        <f t="shared" si="4"/>
        <v>780</v>
      </c>
      <c r="I84" s="20"/>
      <c r="J84" s="38" t="s">
        <v>187</v>
      </c>
      <c r="K84" s="57"/>
      <c r="L84" s="59" t="s">
        <v>185</v>
      </c>
      <c r="M84" s="33" t="d">
        <v>2022-03-18</v>
      </c>
      <c r="N84" s="32"/>
      <c r="O84" s="41"/>
      <c r="P84" s="41" t="d">
        <v>2022-04-12</v>
      </c>
      <c r="Q84" s="34" t="d">
        <v>2022-04-12</v>
      </c>
    </row>
    <row r="85" spans="2:17" s="35" customFormat="1" ht="19.899999999999999" customHeight="1" x14ac:dyDescent="0.15">
      <c r="B85" s="32">
        <v>6</v>
      </c>
      <c r="C85" s="22" t="s">
        <v>22</v>
      </c>
      <c r="D85" s="22" t="s">
        <v>22</v>
      </c>
      <c r="E85" s="55" t="s">
        <v>188</v>
      </c>
      <c r="F85" s="56">
        <v>1</v>
      </c>
      <c r="G85" s="36">
        <v>630</v>
      </c>
      <c r="H85" s="37">
        <f t="shared" si="4"/>
        <v>630</v>
      </c>
      <c r="I85" s="20"/>
      <c r="J85" s="38" t="s">
        <v>189</v>
      </c>
      <c r="K85" s="57"/>
      <c r="L85" s="59" t="s">
        <v>185</v>
      </c>
      <c r="M85" s="33" t="d">
        <v>2022-03-18</v>
      </c>
      <c r="N85" s="32"/>
      <c r="O85" s="41"/>
      <c r="P85" s="41" t="d">
        <v>2022-04-12</v>
      </c>
      <c r="Q85" s="34" t="d">
        <v>2022-04-12</v>
      </c>
    </row>
    <row r="86" spans="2:17" s="35" customFormat="1" ht="19.899999999999999" customHeight="1" x14ac:dyDescent="0.15">
      <c r="B86" s="32">
        <v>6</v>
      </c>
      <c r="C86" s="22" t="s">
        <v>111</v>
      </c>
      <c r="D86" s="22" t="s">
        <v>22</v>
      </c>
      <c r="E86" s="55" t="s">
        <v>190</v>
      </c>
      <c r="F86" s="56">
        <v>5</v>
      </c>
      <c r="G86" s="36">
        <v>78</v>
      </c>
      <c r="H86" s="37">
        <f t="shared" si="4"/>
        <v>390</v>
      </c>
      <c r="I86" s="20"/>
      <c r="J86" s="38" t="s">
        <v>191</v>
      </c>
      <c r="K86" s="57"/>
      <c r="L86" s="59" t="s">
        <v>185</v>
      </c>
      <c r="M86" s="33" t="d">
        <v>2022-03-18</v>
      </c>
      <c r="N86" s="32"/>
      <c r="O86" s="41"/>
      <c r="P86" s="41" t="d">
        <v>2022-04-12</v>
      </c>
      <c r="Q86" s="34" t="d">
        <v>2022-04-12</v>
      </c>
    </row>
    <row r="87" spans="2:17" s="35" customFormat="1" ht="19.899999999999999" customHeight="1" x14ac:dyDescent="0.15">
      <c r="B87" s="32">
        <v>6</v>
      </c>
      <c r="C87" s="22" t="s">
        <v>22</v>
      </c>
      <c r="D87" s="22" t="s">
        <v>22</v>
      </c>
      <c r="E87" s="55" t="s">
        <v>192</v>
      </c>
      <c r="F87" s="56">
        <v>1</v>
      </c>
      <c r="G87" s="36">
        <v>2640</v>
      </c>
      <c r="H87" s="37">
        <f t="shared" si="4"/>
        <v>2640</v>
      </c>
      <c r="I87" s="20"/>
      <c r="J87" s="38" t="s">
        <v>193</v>
      </c>
      <c r="K87" s="57"/>
      <c r="L87" s="59" t="s">
        <v>194</v>
      </c>
      <c r="M87" s="33" t="d">
        <v>2022-03-18</v>
      </c>
      <c r="N87" s="32"/>
      <c r="O87" s="41"/>
      <c r="P87" s="41" t="d">
        <v>2022-04-12</v>
      </c>
      <c r="Q87" s="34" t="d">
        <v>2022-04-12</v>
      </c>
    </row>
    <row r="88" spans="2:17" s="35" customFormat="1" ht="19.899999999999999" customHeight="1" x14ac:dyDescent="0.15">
      <c r="B88" s="32">
        <v>6</v>
      </c>
      <c r="C88" s="22" t="s">
        <v>22</v>
      </c>
      <c r="D88" s="22" t="s">
        <v>22</v>
      </c>
      <c r="E88" s="55" t="s">
        <v>195</v>
      </c>
      <c r="F88" s="56">
        <v>1</v>
      </c>
      <c r="G88" s="36">
        <v>9504</v>
      </c>
      <c r="H88" s="37">
        <f t="shared" si="4"/>
        <v>9504</v>
      </c>
      <c r="I88" s="20"/>
      <c r="J88" s="38" t="s">
        <v>196</v>
      </c>
      <c r="K88" s="57"/>
      <c r="L88" s="59" t="s">
        <v>197</v>
      </c>
      <c r="M88" s="33" t="d">
        <v>2022-03-18</v>
      </c>
      <c r="N88" s="32"/>
      <c r="O88" s="41"/>
      <c r="P88" s="41" t="d">
        <v>2022-04-12</v>
      </c>
      <c r="Q88" s="34" t="d">
        <v>2022-04-12</v>
      </c>
    </row>
    <row r="89" spans="2:17" s="35" customFormat="1" ht="19.899999999999999" customHeight="1" x14ac:dyDescent="0.15">
      <c r="B89" s="32">
        <v>6</v>
      </c>
      <c r="C89" s="22" t="s">
        <v>22</v>
      </c>
      <c r="D89" s="22" t="s">
        <v>22</v>
      </c>
      <c r="E89" s="55" t="s">
        <v>198</v>
      </c>
      <c r="F89" s="56">
        <v>2</v>
      </c>
      <c r="G89" s="36">
        <v>4273</v>
      </c>
      <c r="H89" s="37">
        <f t="shared" si="4"/>
        <v>8546</v>
      </c>
      <c r="I89" s="20"/>
      <c r="J89" s="38" t="s">
        <v>199</v>
      </c>
      <c r="K89" s="57"/>
      <c r="L89" s="59" t="s">
        <v>197</v>
      </c>
      <c r="M89" s="33" t="d">
        <v>2022-03-18</v>
      </c>
      <c r="N89" s="32"/>
      <c r="O89" s="41"/>
      <c r="P89" s="41" t="d">
        <v>2022-04-12</v>
      </c>
      <c r="Q89" s="34" t="d">
        <v>2022-04-12</v>
      </c>
    </row>
    <row r="90" spans="2:17" s="35" customFormat="1" ht="19.899999999999999" customHeight="1" x14ac:dyDescent="0.15">
      <c r="B90" s="32">
        <v>6</v>
      </c>
      <c r="C90" s="22" t="s">
        <v>22</v>
      </c>
      <c r="D90" s="22" t="s">
        <v>22</v>
      </c>
      <c r="E90" s="55" t="s">
        <v>200</v>
      </c>
      <c r="F90" s="56">
        <v>2</v>
      </c>
      <c r="G90" s="36">
        <v>4090</v>
      </c>
      <c r="H90" s="37">
        <f t="shared" si="4"/>
        <v>8180</v>
      </c>
      <c r="I90" s="20"/>
      <c r="J90" s="38" t="s">
        <v>201</v>
      </c>
      <c r="K90" s="57"/>
      <c r="L90" s="59" t="s">
        <v>197</v>
      </c>
      <c r="M90" s="33" t="d">
        <v>2022-03-18</v>
      </c>
      <c r="N90" s="32"/>
      <c r="O90" s="41"/>
      <c r="P90" s="41" t="d">
        <v>2022-04-12</v>
      </c>
      <c r="Q90" s="34" t="d">
        <v>2022-04-12</v>
      </c>
    </row>
    <row r="91" spans="2:17" s="35" customFormat="1" ht="19.899999999999999" customHeight="1" x14ac:dyDescent="0.15">
      <c r="B91" s="32">
        <v>6</v>
      </c>
      <c r="C91" s="22" t="s">
        <v>22</v>
      </c>
      <c r="D91" s="22" t="s">
        <v>22</v>
      </c>
      <c r="E91" s="55" t="s">
        <v>202</v>
      </c>
      <c r="F91" s="56">
        <v>4</v>
      </c>
      <c r="G91" s="36">
        <v>240</v>
      </c>
      <c r="H91" s="37">
        <f t="shared" si="4"/>
        <v>960</v>
      </c>
      <c r="I91" s="20"/>
      <c r="J91" s="38" t="s">
        <v>203</v>
      </c>
      <c r="K91" s="57"/>
      <c r="L91" s="59" t="s">
        <v>197</v>
      </c>
      <c r="M91" s="33" t="d">
        <v>2022-03-18</v>
      </c>
      <c r="N91" s="32"/>
      <c r="O91" s="41"/>
      <c r="P91" s="41" t="d">
        <v>2022-04-12</v>
      </c>
      <c r="Q91" s="34" t="d">
        <v>2022-04-12</v>
      </c>
    </row>
    <row r="92" spans="2:17" s="35" customFormat="1" ht="19.899999999999999" customHeight="1" x14ac:dyDescent="0.15">
      <c r="B92" s="32"/>
      <c r="C92" s="22"/>
      <c r="D92" s="22"/>
      <c r="E92" s="55"/>
      <c r="F92" s="56"/>
      <c r="G92" s="36"/>
      <c r="H92" s="37">
        <f t="shared" si="4"/>
        <v>0</v>
      </c>
      <c r="I92" s="20"/>
      <c r="J92" s="38"/>
      <c r="K92" s="57"/>
      <c r="L92" s="22"/>
      <c r="M92" s="33"/>
      <c r="N92" s="32"/>
      <c r="O92" s="41"/>
      <c r="P92" s="33"/>
      <c r="Q92" s="34"/>
    </row>
    <row r="93" spans="2:17" s="35" customFormat="1" ht="19.899999999999999" customHeight="1" x14ac:dyDescent="0.15">
      <c r="B93" s="32"/>
      <c r="C93" s="22"/>
      <c r="D93" s="22"/>
      <c r="E93" s="55"/>
      <c r="F93" s="56"/>
      <c r="G93" s="36"/>
      <c r="H93" s="37">
        <f t="shared" si="4"/>
        <v>0</v>
      </c>
      <c r="I93" s="20"/>
      <c r="J93" s="38"/>
      <c r="K93" s="57"/>
      <c r="L93" s="22"/>
      <c r="M93" s="33"/>
      <c r="N93" s="32"/>
      <c r="O93" s="41"/>
      <c r="P93" s="33"/>
      <c r="Q93" s="34"/>
    </row>
    <row r="94" spans="2:17" s="35" customFormat="1" ht="19.899999999999999" customHeight="1" x14ac:dyDescent="0.15">
      <c r="B94" s="32">
        <v>3</v>
      </c>
      <c r="C94" s="22" t="s">
        <v>204</v>
      </c>
      <c r="D94" s="22" t="s">
        <v>205</v>
      </c>
      <c r="E94" s="55" t="s">
        <v>206</v>
      </c>
      <c r="F94" s="56">
        <v>1</v>
      </c>
      <c r="G94" s="36">
        <v>2690</v>
      </c>
      <c r="H94" s="37">
        <f t="shared" si="4"/>
        <v>2690</v>
      </c>
      <c r="I94" s="20"/>
      <c r="J94" s="38" t="s">
        <v>207</v>
      </c>
      <c r="K94" s="57"/>
      <c r="L94" s="59" t="s">
        <v>116</v>
      </c>
      <c r="M94" s="33" t="d">
        <v>2022-03-18</v>
      </c>
      <c r="N94" s="32"/>
      <c r="O94" s="41"/>
      <c r="P94" s="33" t="d">
        <v>2022-03-22</v>
      </c>
      <c r="Q94" s="34" t="d">
        <v>2022-03-22</v>
      </c>
    </row>
    <row r="95" spans="2:17" s="35" customFormat="1" ht="19.899999999999999" customHeight="1" x14ac:dyDescent="0.15">
      <c r="B95" s="32">
        <v>3</v>
      </c>
      <c r="C95" s="22" t="s">
        <v>208</v>
      </c>
      <c r="D95" s="22" t="s">
        <v>205</v>
      </c>
      <c r="E95" s="55" t="s">
        <v>209</v>
      </c>
      <c r="F95" s="56">
        <v>1</v>
      </c>
      <c r="G95" s="36">
        <v>1790</v>
      </c>
      <c r="H95" s="37">
        <f t="shared" si="4"/>
        <v>1790</v>
      </c>
      <c r="I95" s="20"/>
      <c r="J95" s="38" t="s">
        <v>210</v>
      </c>
      <c r="K95" s="57"/>
      <c r="L95" s="59" t="s">
        <v>172</v>
      </c>
      <c r="M95" s="33" t="d">
        <v>2022-03-18</v>
      </c>
      <c r="N95" s="32"/>
      <c r="O95" s="41"/>
      <c r="P95" s="33" t="d">
        <v>2022-03-22</v>
      </c>
      <c r="Q95" s="34" t="d">
        <v>2022-03-22</v>
      </c>
    </row>
    <row r="96" spans="2:17" s="35" customFormat="1" ht="19.899999999999999" customHeight="1" x14ac:dyDescent="0.15">
      <c r="B96" s="32">
        <v>8</v>
      </c>
      <c r="C96" s="22" t="s">
        <v>205</v>
      </c>
      <c r="D96" s="22" t="s">
        <v>205</v>
      </c>
      <c r="E96" s="55" t="s">
        <v>211</v>
      </c>
      <c r="F96" s="56">
        <v>1</v>
      </c>
      <c r="G96" s="36">
        <v>500</v>
      </c>
      <c r="H96" s="37">
        <f t="shared" si="4"/>
        <v>500</v>
      </c>
      <c r="I96" s="20"/>
      <c r="J96" s="38"/>
      <c r="K96" s="57"/>
      <c r="L96" s="59" t="s">
        <v>172</v>
      </c>
      <c r="M96" s="33"/>
      <c r="N96" s="32"/>
      <c r="O96" s="41"/>
      <c r="P96" s="33"/>
      <c r="Q96" s="34"/>
    </row>
    <row r="97" spans="2:17" s="44" customFormat="1" ht="19.899999999999999" customHeight="1" x14ac:dyDescent="0.15">
      <c r="B97" s="45"/>
      <c r="C97" s="42"/>
      <c r="D97" s="42"/>
      <c r="E97" s="53"/>
      <c r="F97" s="54"/>
      <c r="G97" s="24"/>
      <c r="H97" s="49">
        <f t="shared" si="4"/>
        <v>0</v>
      </c>
      <c r="I97" s="43"/>
      <c r="J97" s="48"/>
      <c r="K97" s="52"/>
      <c r="L97" s="42"/>
      <c r="M97" s="46"/>
      <c r="N97" s="45"/>
      <c r="O97" s="25"/>
      <c r="P97" s="46"/>
      <c r="Q97" s="47"/>
    </row>
    <row r="98" spans="2:17" s="44" customFormat="1" ht="19.899999999999999" customHeight="1" x14ac:dyDescent="0.15">
      <c r="B98" s="45"/>
      <c r="C98" s="42"/>
      <c r="D98" s="42"/>
      <c r="E98" s="53"/>
      <c r="F98" s="54"/>
      <c r="G98" s="24"/>
      <c r="H98" s="49">
        <f t="shared" si="4"/>
        <v>0</v>
      </c>
      <c r="I98" s="43"/>
      <c r="J98" s="48"/>
      <c r="K98" s="52"/>
      <c r="L98" s="42"/>
      <c r="M98" s="46"/>
      <c r="N98" s="45"/>
      <c r="O98" s="25"/>
      <c r="P98" s="46"/>
      <c r="Q98" s="47"/>
    </row>
    <row r="99" spans="2:17" s="35" customFormat="1" ht="19.899999999999999" customHeight="1" x14ac:dyDescent="0.15">
      <c r="B99" s="32">
        <v>5</v>
      </c>
      <c r="C99" s="22" t="s">
        <v>64</v>
      </c>
      <c r="D99" s="22" t="s">
        <v>64</v>
      </c>
      <c r="E99" s="55" t="s">
        <v>212</v>
      </c>
      <c r="F99" s="56">
        <v>1</v>
      </c>
      <c r="G99" s="36">
        <v>8200</v>
      </c>
      <c r="H99" s="37">
        <f t="shared" si="4"/>
        <v>8200</v>
      </c>
      <c r="I99" s="20"/>
      <c r="J99" s="38" t="s">
        <v>213</v>
      </c>
      <c r="K99" s="82" t="s">
        <v>218</v>
      </c>
      <c r="L99" s="59" t="s">
        <v>148</v>
      </c>
      <c r="M99" s="33" t="d">
        <v>2022-03-22</v>
      </c>
      <c r="N99" s="32"/>
      <c r="O99" s="41"/>
      <c r="P99" s="33"/>
      <c r="Q99" s="34" t="d">
        <v>2022-04-04</v>
      </c>
    </row>
    <row r="100" spans="2:17" s="35" customFormat="1" ht="19.899999999999999" customHeight="1" x14ac:dyDescent="0.15">
      <c r="B100" s="32">
        <v>4</v>
      </c>
      <c r="C100" s="22" t="s">
        <v>64</v>
      </c>
      <c r="D100" s="22" t="s">
        <v>64</v>
      </c>
      <c r="E100" s="55" t="s">
        <v>214</v>
      </c>
      <c r="F100" s="56">
        <v>1</v>
      </c>
      <c r="G100" s="36">
        <v>9300</v>
      </c>
      <c r="H100" s="37">
        <f t="shared" si="4"/>
        <v>9300</v>
      </c>
      <c r="I100" s="20"/>
      <c r="J100" s="38" t="s">
        <v>215</v>
      </c>
      <c r="K100" s="82" t="s">
        <v>218</v>
      </c>
      <c r="L100" s="22" t="s">
        <v>157</v>
      </c>
      <c r="M100" s="33" t="d">
        <v>2022-03-22</v>
      </c>
      <c r="N100" s="32"/>
      <c r="O100" s="41"/>
      <c r="P100" s="33"/>
      <c r="Q100" s="34" t="d">
        <v>2022-04-04</v>
      </c>
    </row>
    <row r="101" spans="2:17" s="35" customFormat="1" ht="19.899999999999999" customHeight="1" x14ac:dyDescent="0.15">
      <c r="B101" s="32">
        <v>4</v>
      </c>
      <c r="C101" s="22" t="s">
        <v>64</v>
      </c>
      <c r="D101" s="22" t="s">
        <v>64</v>
      </c>
      <c r="E101" s="55" t="s">
        <v>216</v>
      </c>
      <c r="F101" s="56">
        <v>1</v>
      </c>
      <c r="G101" s="36">
        <v>20000</v>
      </c>
      <c r="H101" s="37">
        <f t="shared" si="4"/>
        <v>20000</v>
      </c>
      <c r="I101" s="20"/>
      <c r="J101" s="38" t="s">
        <v>217</v>
      </c>
      <c r="K101" s="82" t="s">
        <v>218</v>
      </c>
      <c r="L101" s="22" t="s">
        <v>157</v>
      </c>
      <c r="M101" s="33" t="d">
        <v>2022-03-22</v>
      </c>
      <c r="N101" s="32"/>
      <c r="O101" s="41"/>
      <c r="P101" s="33"/>
      <c r="Q101" s="34" t="d">
        <v>2022-04-04</v>
      </c>
    </row>
    <row r="102" spans="2:17" s="35" customFormat="1" ht="19.899999999999999" customHeight="1" x14ac:dyDescent="0.15">
      <c r="B102" s="32"/>
      <c r="C102" s="22"/>
      <c r="D102" s="22"/>
      <c r="E102" s="55"/>
      <c r="F102" s="56"/>
      <c r="G102" s="24"/>
      <c r="H102" s="37">
        <f t="shared" si="2"/>
        <v>0</v>
      </c>
      <c r="I102" s="20"/>
      <c r="J102" s="38"/>
      <c r="K102" s="57"/>
      <c r="L102" s="42"/>
      <c r="M102" s="33"/>
      <c r="N102" s="32"/>
      <c r="O102" s="41"/>
      <c r="P102" s="33"/>
      <c r="Q102" s="34"/>
    </row>
    <row r="103" spans="2:17" s="35" customFormat="1" ht="19.899999999999999" customHeight="1" x14ac:dyDescent="0.15">
      <c r="B103" s="32"/>
      <c r="C103" s="22"/>
      <c r="D103" s="22"/>
      <c r="E103" s="55"/>
      <c r="F103" s="56"/>
      <c r="G103" s="24"/>
      <c r="H103" s="37">
        <f t="shared" si="2"/>
        <v>0</v>
      </c>
      <c r="I103" s="20"/>
      <c r="J103" s="38"/>
      <c r="K103" s="57"/>
      <c r="L103" s="42"/>
      <c r="M103" s="33"/>
      <c r="N103" s="32"/>
      <c r="O103" s="41"/>
      <c r="P103" s="33"/>
      <c r="Q103" s="34"/>
    </row>
    <row r="104" spans="2:17" s="35" customFormat="1" ht="19.899999999999999" customHeight="1" x14ac:dyDescent="0.15">
      <c r="B104" s="83">
        <v>6</v>
      </c>
      <c r="C104" s="83" t="s">
        <v>22</v>
      </c>
      <c r="D104" s="83" t="s">
        <v>22</v>
      </c>
      <c r="E104" s="84" t="s">
        <v>219</v>
      </c>
      <c r="F104" s="85">
        <v>1</v>
      </c>
      <c r="G104" s="86">
        <v>9549</v>
      </c>
      <c r="H104" s="87">
        <f t="shared" si="2"/>
        <v>9549</v>
      </c>
      <c r="I104" s="88"/>
      <c r="J104" s="89" t="s">
        <v>220</v>
      </c>
      <c r="K104" s="82" t="s">
        <v>221</v>
      </c>
      <c r="L104" s="59" t="s">
        <v>222</v>
      </c>
      <c r="M104" s="90" t="d">
        <v>2022-03-30</v>
      </c>
      <c r="N104" s="83"/>
      <c r="O104" s="59"/>
      <c r="P104" s="90" t="d">
        <v>2022-04-11</v>
      </c>
      <c r="Q104" s="91" t="d">
        <v>2022-04-11</v>
      </c>
    </row>
    <row r="105" spans="2:17" s="35" customFormat="1" ht="19.899999999999999" customHeight="1" x14ac:dyDescent="0.15">
      <c r="B105" s="83">
        <v>6</v>
      </c>
      <c r="C105" s="83" t="s">
        <v>22</v>
      </c>
      <c r="D105" s="83" t="s">
        <v>22</v>
      </c>
      <c r="E105" s="84" t="s">
        <v>223</v>
      </c>
      <c r="F105" s="85">
        <v>2</v>
      </c>
      <c r="G105" s="86">
        <v>4293</v>
      </c>
      <c r="H105" s="87">
        <f t="shared" si="2"/>
        <v>8586</v>
      </c>
      <c r="I105" s="88"/>
      <c r="J105" s="89" t="s">
        <v>224</v>
      </c>
      <c r="K105" s="82" t="s">
        <v>221</v>
      </c>
      <c r="L105" s="59" t="s">
        <v>222</v>
      </c>
      <c r="M105" s="90" t="d">
        <v>2022-03-30</v>
      </c>
      <c r="N105" s="83"/>
      <c r="O105" s="59"/>
      <c r="P105" s="90" t="d">
        <v>2022-04-11</v>
      </c>
      <c r="Q105" s="91" t="d">
        <v>2022-04-11</v>
      </c>
    </row>
    <row r="106" spans="2:17" s="35" customFormat="1" ht="19.899999999999999" customHeight="1" x14ac:dyDescent="0.15">
      <c r="B106" s="83">
        <v>6</v>
      </c>
      <c r="C106" s="83" t="s">
        <v>22</v>
      </c>
      <c r="D106" s="83" t="s">
        <v>22</v>
      </c>
      <c r="E106" s="84" t="s">
        <v>225</v>
      </c>
      <c r="F106" s="85">
        <v>1</v>
      </c>
      <c r="G106" s="86">
        <v>5231</v>
      </c>
      <c r="H106" s="87">
        <f t="shared" si="2"/>
        <v>5231</v>
      </c>
      <c r="I106" s="88"/>
      <c r="J106" s="89" t="s">
        <v>226</v>
      </c>
      <c r="K106" s="82" t="s">
        <v>221</v>
      </c>
      <c r="L106" s="59" t="s">
        <v>222</v>
      </c>
      <c r="M106" s="90" t="d">
        <v>2022-03-30</v>
      </c>
      <c r="N106" s="83"/>
      <c r="O106" s="59"/>
      <c r="P106" s="90" t="d">
        <v>2022-04-11</v>
      </c>
      <c r="Q106" s="91" t="d">
        <v>2022-04-11</v>
      </c>
    </row>
    <row r="107" spans="2:17" s="35" customFormat="1" ht="19.899999999999999" customHeight="1" x14ac:dyDescent="0.15">
      <c r="B107" s="83">
        <v>6</v>
      </c>
      <c r="C107" s="83" t="s">
        <v>22</v>
      </c>
      <c r="D107" s="83" t="s">
        <v>22</v>
      </c>
      <c r="E107" s="84" t="s">
        <v>227</v>
      </c>
      <c r="F107" s="85">
        <v>1</v>
      </c>
      <c r="G107" s="86">
        <v>5231</v>
      </c>
      <c r="H107" s="87">
        <f t="shared" si="2"/>
        <v>5231</v>
      </c>
      <c r="I107" s="88"/>
      <c r="J107" s="89" t="s">
        <v>228</v>
      </c>
      <c r="K107" s="82" t="s">
        <v>221</v>
      </c>
      <c r="L107" s="59" t="s">
        <v>222</v>
      </c>
      <c r="M107" s="90" t="d">
        <v>2022-03-30</v>
      </c>
      <c r="N107" s="83"/>
      <c r="O107" s="59"/>
      <c r="P107" s="90" t="d">
        <v>2022-04-11</v>
      </c>
      <c r="Q107" s="91" t="d">
        <v>2022-04-11</v>
      </c>
    </row>
    <row r="108" spans="2:17" s="35" customFormat="1" ht="19.899999999999999" customHeight="1" x14ac:dyDescent="0.15">
      <c r="B108" s="83">
        <v>6</v>
      </c>
      <c r="C108" s="83" t="s">
        <v>22</v>
      </c>
      <c r="D108" s="83" t="s">
        <v>22</v>
      </c>
      <c r="E108" s="84" t="s">
        <v>202</v>
      </c>
      <c r="F108" s="85">
        <v>4</v>
      </c>
      <c r="G108" s="86">
        <v>240</v>
      </c>
      <c r="H108" s="87">
        <f t="shared" si="2"/>
        <v>960</v>
      </c>
      <c r="I108" s="88"/>
      <c r="J108" s="89" t="s">
        <v>203</v>
      </c>
      <c r="K108" s="82" t="s">
        <v>221</v>
      </c>
      <c r="L108" s="59" t="s">
        <v>222</v>
      </c>
      <c r="M108" s="90" t="d">
        <v>2022-03-30</v>
      </c>
      <c r="N108" s="83"/>
      <c r="O108" s="59"/>
      <c r="P108" s="90" t="d">
        <v>2022-04-11</v>
      </c>
      <c r="Q108" s="91" t="d">
        <v>2022-04-11</v>
      </c>
    </row>
    <row r="109" spans="2:17" s="35" customFormat="1" ht="19.899999999999999" customHeight="1" x14ac:dyDescent="0.15">
      <c r="B109" s="83">
        <v>4</v>
      </c>
      <c r="C109" s="83" t="s">
        <v>22</v>
      </c>
      <c r="D109" s="83" t="s">
        <v>22</v>
      </c>
      <c r="E109" s="84" t="s">
        <v>229</v>
      </c>
      <c r="F109" s="85">
        <v>1</v>
      </c>
      <c r="G109" s="86">
        <v>880</v>
      </c>
      <c r="H109" s="87">
        <f t="shared" si="2"/>
        <v>880</v>
      </c>
      <c r="I109" s="88"/>
      <c r="J109" s="89" t="s">
        <v>230</v>
      </c>
      <c r="K109" s="82" t="s">
        <v>221</v>
      </c>
      <c r="L109" s="22" t="s">
        <v>157</v>
      </c>
      <c r="M109" s="90" t="d">
        <v>2022-03-30</v>
      </c>
      <c r="N109" s="83"/>
      <c r="O109" s="59"/>
      <c r="P109" s="90" t="d">
        <v>2022-04-11</v>
      </c>
      <c r="Q109" s="91" t="d">
        <v>2022-04-11</v>
      </c>
    </row>
    <row r="110" spans="2:17" s="35" customFormat="1" ht="19.899999999999999" customHeight="1" x14ac:dyDescent="0.15">
      <c r="B110" s="32"/>
      <c r="C110" s="22"/>
      <c r="D110" s="22"/>
      <c r="E110" s="55"/>
      <c r="F110" s="56"/>
      <c r="G110" s="24"/>
      <c r="H110" s="37">
        <f t="shared" si="2"/>
        <v>0</v>
      </c>
      <c r="I110" s="20"/>
      <c r="J110" s="38"/>
      <c r="K110" s="57"/>
      <c r="L110" s="42"/>
      <c r="M110" s="33"/>
      <c r="N110" s="32"/>
      <c r="O110" s="41"/>
      <c r="P110" s="33"/>
      <c r="Q110" s="34"/>
    </row>
    <row r="111" spans="2:17" s="35" customFormat="1" ht="19.899999999999999" customHeight="1" x14ac:dyDescent="0.15">
      <c r="B111" s="32"/>
      <c r="C111" s="22"/>
      <c r="D111" s="22"/>
      <c r="E111" s="55"/>
      <c r="F111" s="56"/>
      <c r="G111" s="24"/>
      <c r="H111" s="37">
        <f t="shared" si="2"/>
        <v>0</v>
      </c>
      <c r="I111" s="20"/>
      <c r="J111" s="38"/>
      <c r="K111" s="57"/>
      <c r="L111" s="42"/>
      <c r="M111" s="33"/>
      <c r="N111" s="32"/>
      <c r="O111" s="41"/>
      <c r="P111" s="33"/>
      <c r="Q111" s="34"/>
    </row>
    <row r="112" spans="2:17" s="35" customFormat="1" ht="19.899999999999999" customHeight="1" x14ac:dyDescent="0.15">
      <c r="B112" s="32">
        <v>4</v>
      </c>
      <c r="C112" s="22" t="s">
        <v>231</v>
      </c>
      <c r="D112" s="22" t="s">
        <v>231</v>
      </c>
      <c r="E112" s="55" t="s">
        <v>232</v>
      </c>
      <c r="F112" s="56">
        <v>2</v>
      </c>
      <c r="G112" s="36">
        <v>260</v>
      </c>
      <c r="H112" s="37">
        <f t="shared" si="2"/>
        <v>520</v>
      </c>
      <c r="I112" s="20"/>
      <c r="J112" s="38" t="s">
        <v>233</v>
      </c>
      <c r="K112" s="82" t="s">
        <v>221</v>
      </c>
      <c r="L112" s="59" t="s">
        <v>143</v>
      </c>
      <c r="M112" s="33" t="d">
        <v>2022-04-13</v>
      </c>
      <c r="N112" s="32"/>
      <c r="O112" s="41"/>
      <c r="P112" s="33" t="d">
        <v>2022-04-14</v>
      </c>
      <c r="Q112" s="34" t="d">
        <v>2022-04-14</v>
      </c>
    </row>
    <row r="113" spans="2:18" s="35" customFormat="1" ht="19.899999999999999" customHeight="1" x14ac:dyDescent="0.15">
      <c r="B113" s="32">
        <v>4</v>
      </c>
      <c r="C113" s="22" t="s">
        <v>231</v>
      </c>
      <c r="D113" s="22" t="s">
        <v>231</v>
      </c>
      <c r="E113" s="55" t="s">
        <v>234</v>
      </c>
      <c r="F113" s="56">
        <v>2</v>
      </c>
      <c r="G113" s="36">
        <v>240</v>
      </c>
      <c r="H113" s="37">
        <f t="shared" si="2"/>
        <v>480</v>
      </c>
      <c r="I113" s="20"/>
      <c r="J113" s="38" t="s">
        <v>235</v>
      </c>
      <c r="K113" s="82" t="s">
        <v>221</v>
      </c>
      <c r="L113" s="59" t="s">
        <v>143</v>
      </c>
      <c r="M113" s="33" t="d">
        <v>2022-04-13</v>
      </c>
      <c r="N113" s="32"/>
      <c r="O113" s="41"/>
      <c r="P113" s="33" t="d">
        <v>2022-04-14</v>
      </c>
      <c r="Q113" s="34" t="d">
        <v>2022-04-14</v>
      </c>
    </row>
    <row r="114" spans="2:18" s="35" customFormat="1" ht="19.899999999999999" customHeight="1" x14ac:dyDescent="0.15">
      <c r="B114" s="32"/>
      <c r="C114" s="22"/>
      <c r="D114" s="22"/>
      <c r="E114" s="55"/>
      <c r="F114" s="56"/>
      <c r="G114" s="24"/>
      <c r="H114" s="37">
        <f t="shared" si="2"/>
        <v>0</v>
      </c>
      <c r="I114" s="20"/>
      <c r="J114" s="38"/>
      <c r="K114" s="57"/>
      <c r="L114" s="42"/>
      <c r="M114" s="33"/>
      <c r="N114" s="32"/>
      <c r="O114" s="41"/>
      <c r="P114" s="33"/>
      <c r="Q114" s="34"/>
    </row>
    <row r="115" spans="2:18" s="35" customFormat="1" ht="19.899999999999999" customHeight="1" x14ac:dyDescent="0.15">
      <c r="B115" s="32"/>
      <c r="C115" s="22"/>
      <c r="D115" s="22"/>
      <c r="E115" s="55"/>
      <c r="F115" s="56"/>
      <c r="G115" s="24"/>
      <c r="H115" s="37">
        <f t="shared" si="2"/>
        <v>0</v>
      </c>
      <c r="I115" s="20"/>
      <c r="J115" s="38"/>
      <c r="K115" s="57"/>
      <c r="L115" s="42"/>
      <c r="M115" s="33"/>
      <c r="N115" s="32"/>
      <c r="O115" s="41"/>
      <c r="P115" s="33"/>
      <c r="Q115" s="34"/>
    </row>
    <row r="116" spans="2:18" s="35" customFormat="1" ht="19.899999999999999" customHeight="1" x14ac:dyDescent="0.15">
      <c r="B116" s="32">
        <v>6</v>
      </c>
      <c r="C116" s="22" t="s">
        <v>22</v>
      </c>
      <c r="D116" s="22" t="s">
        <v>22</v>
      </c>
      <c r="E116" s="55" t="s">
        <v>236</v>
      </c>
      <c r="F116" s="56">
        <v>1</v>
      </c>
      <c r="G116" s="36">
        <v>630</v>
      </c>
      <c r="H116" s="37">
        <f t="shared" si="2"/>
        <v>630</v>
      </c>
      <c r="I116" s="20"/>
      <c r="J116" s="38" t="s">
        <v>189</v>
      </c>
      <c r="K116" s="82" t="s">
        <v>221</v>
      </c>
      <c r="L116" s="59" t="s">
        <v>185</v>
      </c>
      <c r="M116" s="33" t="d">
        <v>2022-04-15</v>
      </c>
      <c r="N116" s="32"/>
      <c r="O116" s="41"/>
      <c r="P116" s="33" t="d">
        <v>2022-04-20</v>
      </c>
      <c r="Q116" s="34" t="d">
        <v>2022-04-20</v>
      </c>
      <c r="R116" s="92" t="s">
        <v>237</v>
      </c>
    </row>
    <row r="117" spans="2:18" s="35" customFormat="1" ht="19.899999999999999" customHeight="1" x14ac:dyDescent="0.15">
      <c r="B117" s="32"/>
      <c r="C117" s="22"/>
      <c r="D117" s="22"/>
      <c r="E117" s="55"/>
      <c r="F117" s="56"/>
      <c r="G117" s="24"/>
      <c r="H117" s="37">
        <f t="shared" si="2"/>
        <v>0</v>
      </c>
      <c r="I117" s="20"/>
      <c r="J117" s="38"/>
      <c r="K117" s="57"/>
      <c r="L117" s="42"/>
      <c r="M117" s="33"/>
      <c r="N117" s="32"/>
      <c r="O117" s="41"/>
      <c r="P117" s="33"/>
      <c r="Q117" s="34"/>
    </row>
    <row r="118" spans="2:18" s="35" customFormat="1" ht="19.899999999999999" customHeight="1" x14ac:dyDescent="0.15">
      <c r="B118" s="32"/>
      <c r="C118" s="22"/>
      <c r="D118" s="22"/>
      <c r="E118" s="55"/>
      <c r="F118" s="56"/>
      <c r="G118" s="24"/>
      <c r="H118" s="37">
        <f t="shared" si="2"/>
        <v>0</v>
      </c>
      <c r="I118" s="20"/>
      <c r="J118" s="38"/>
      <c r="K118" s="57"/>
      <c r="L118" s="42"/>
      <c r="M118" s="33"/>
      <c r="N118" s="32"/>
      <c r="O118" s="41"/>
      <c r="P118" s="33"/>
      <c r="Q118" s="34"/>
    </row>
    <row r="119" spans="2:18" s="35" customFormat="1" ht="19.899999999999999" customHeight="1" x14ac:dyDescent="0.15">
      <c r="B119" s="32"/>
      <c r="C119" s="22"/>
      <c r="D119" s="22"/>
      <c r="E119" s="55"/>
      <c r="F119" s="56"/>
      <c r="G119" s="24"/>
      <c r="H119" s="37">
        <f t="shared" si="2"/>
        <v>0</v>
      </c>
      <c r="I119" s="20"/>
      <c r="J119" s="38"/>
      <c r="K119" s="57"/>
      <c r="L119" s="42"/>
      <c r="M119" s="33"/>
      <c r="N119" s="32"/>
      <c r="O119" s="41"/>
      <c r="P119" s="33"/>
      <c r="Q119" s="34"/>
    </row>
    <row r="120" spans="2:18" s="35" customFormat="1" ht="19.899999999999999" customHeight="1" x14ac:dyDescent="0.15">
      <c r="B120" s="32"/>
      <c r="C120" s="22"/>
      <c r="D120" s="22"/>
      <c r="E120" s="55"/>
      <c r="F120" s="56"/>
      <c r="G120" s="24"/>
      <c r="H120" s="37">
        <f t="shared" si="2"/>
        <v>0</v>
      </c>
      <c r="I120" s="20"/>
      <c r="J120" s="38"/>
      <c r="K120" s="57"/>
      <c r="L120" s="42"/>
      <c r="M120" s="33"/>
      <c r="N120" s="32"/>
      <c r="O120" s="41"/>
      <c r="P120" s="33"/>
      <c r="Q120" s="34"/>
    </row>
    <row r="121" spans="2:18" x14ac:dyDescent="0.15">
      <c r="H121" s="19"/>
    </row>
    <row r="122" spans="2:18" x14ac:dyDescent="0.15">
      <c r="H122" s="19"/>
    </row>
    <row r="123" spans="2:18" x14ac:dyDescent="0.15">
      <c r="H123" s="19"/>
    </row>
    <row r="124" spans="2:18" x14ac:dyDescent="0.15">
      <c r="H124" s="19"/>
    </row>
    <row r="125" spans="2:18" x14ac:dyDescent="0.15">
      <c r="H125" s="19"/>
    </row>
    <row r="126" spans="2:18" x14ac:dyDescent="0.15">
      <c r="H126" s="19"/>
    </row>
    <row r="127" spans="2:18" x14ac:dyDescent="0.15">
      <c r="H127" s="19"/>
    </row>
    <row r="128" spans="2:18" x14ac:dyDescent="0.15">
      <c r="H128" s="19"/>
    </row>
    <row r="129" spans="8:8" x14ac:dyDescent="0.15">
      <c r="H129" s="19"/>
    </row>
    <row r="130" spans="8:8" x14ac:dyDescent="0.15">
      <c r="H130" s="19"/>
    </row>
    <row r="131" spans="8:8" x14ac:dyDescent="0.15">
      <c r="H131" s="19"/>
    </row>
    <row r="132" spans="8:8" x14ac:dyDescent="0.15">
      <c r="H132" s="19"/>
    </row>
    <row r="133" spans="8:8" x14ac:dyDescent="0.15">
      <c r="H133" s="18"/>
    </row>
  </sheetData>
  <autoFilter ref="B8:O120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60" zoomScaleNormal="100" workbookViewId="0">
      <selection activeCell="C28" sqref="C28"/>
    </sheetView>
  </sheetViews>
  <sheetFormatPr defaultColWidth="25.5" defaultRowHeight="13.5" x14ac:dyDescent="0.15"/>
  <cols>
    <col min="1" max="1" width="13.25" bestFit="1" customWidth="1"/>
    <col min="2" max="2" width="46.875" customWidth="1"/>
  </cols>
  <sheetData>
    <row r="1" spans="1:2" ht="69" customHeight="1" x14ac:dyDescent="0.15">
      <c r="A1" s="70" t="s">
        <v>10</v>
      </c>
      <c r="B1" s="71" t="s">
        <v>61</v>
      </c>
    </row>
    <row r="2" spans="1:2" ht="17.25" x14ac:dyDescent="0.15">
      <c r="A2" s="70" t="s">
        <v>9</v>
      </c>
      <c r="B2" s="72" t="s">
        <v>21</v>
      </c>
    </row>
    <row r="3" spans="1:2" ht="18.75" x14ac:dyDescent="0.15">
      <c r="A3" s="70" t="s">
        <v>11</v>
      </c>
      <c r="B3" s="73">
        <v>190957</v>
      </c>
    </row>
    <row r="4" spans="1:2" ht="17.25" x14ac:dyDescent="0.15">
      <c r="A4" s="70" t="s">
        <v>12</v>
      </c>
      <c r="B4" s="74" t="d">
        <v>2021-10-26</v>
      </c>
    </row>
    <row r="5" spans="1:2" ht="17.25" x14ac:dyDescent="0.15">
      <c r="A5" s="70" t="s">
        <v>13</v>
      </c>
      <c r="B5" s="74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148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表紙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斉藤鉄也</cp:lastModifiedBy>
  <cp:lastPrinted>2022-03-30T05:15:30Z</cp:lastPrinted>
  <dcterms:created xsi:type="dcterms:W3CDTF">2011-12-13T06:48:43Z</dcterms:created>
  <dcterms:modified xsi:type="dcterms:W3CDTF">2022-04-20T00:56:18Z</dcterms:modified>
</cp:coreProperties>
</file>