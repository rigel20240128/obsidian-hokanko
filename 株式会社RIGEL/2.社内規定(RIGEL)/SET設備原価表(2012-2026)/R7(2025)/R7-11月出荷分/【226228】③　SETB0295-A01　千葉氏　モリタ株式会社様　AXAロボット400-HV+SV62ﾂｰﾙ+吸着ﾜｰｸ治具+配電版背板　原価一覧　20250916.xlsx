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ACD9D9BB-DD72-4354-AC4D-B7FD661553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(226228)  ③20250916  ミスミ発注分" sheetId="17" r:id="rId1"/>
    <sheet name="Sheet1" sheetId="1" r:id="rId2"/>
    <sheet name="Sheet2" sheetId="2" r:id="rId3"/>
    <sheet name="Sheet3" sheetId="3" r:id="rId4"/>
  </sheets>
  <definedNames>
    <definedName name="_xlnm._FilterDatabase" localSheetId="0" hidden="1">'(226228)  ③20250916  ミスミ発注分'!$C$8:$P$186</definedName>
    <definedName name="_xlnm._FilterDatabase" localSheetId="1">Sheet1!$B$8:$O$8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2" i="17" l="1"/>
  <c r="I181" i="17"/>
  <c r="I180" i="17"/>
  <c r="I108" i="17"/>
  <c r="I107" i="17"/>
  <c r="I106" i="17"/>
  <c r="I105" i="17"/>
  <c r="I104" i="17"/>
  <c r="I103" i="17"/>
  <c r="I102" i="17"/>
  <c r="I101" i="17"/>
  <c r="I100" i="17"/>
  <c r="I99" i="17"/>
  <c r="I98" i="17"/>
  <c r="I97" i="17"/>
  <c r="I96" i="17"/>
  <c r="I95" i="17"/>
  <c r="I94" i="17"/>
  <c r="I93" i="17"/>
  <c r="I92" i="17"/>
  <c r="I91" i="17"/>
  <c r="I90" i="17"/>
  <c r="I89" i="17"/>
  <c r="I88" i="17"/>
  <c r="I87" i="17"/>
  <c r="I86" i="17"/>
  <c r="I85" i="17"/>
  <c r="I84" i="17"/>
  <c r="I83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45" i="17"/>
  <c r="F47" i="17" s="1"/>
  <c r="I44" i="17"/>
  <c r="I43" i="17"/>
  <c r="I42" i="17"/>
  <c r="I41" i="17"/>
  <c r="I40" i="17"/>
  <c r="I39" i="17"/>
  <c r="I38" i="17"/>
  <c r="I37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C13" i="17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37" i="17" l="1"/>
  <c r="C38" i="17" s="1"/>
  <c r="C39" i="17" s="1"/>
  <c r="C40" i="17" s="1"/>
  <c r="C41" i="17" s="1"/>
  <c r="C42" i="17" s="1"/>
  <c r="C43" i="17" s="1"/>
  <c r="C44" i="17" s="1"/>
  <c r="C45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C72" i="17" s="1"/>
  <c r="C73" i="17" s="1"/>
  <c r="C74" i="17" s="1"/>
  <c r="C75" i="17" s="1"/>
  <c r="C76" i="17" s="1"/>
  <c r="C83" i="17" s="1"/>
  <c r="C84" i="17" s="1"/>
  <c r="C85" i="17" s="1"/>
  <c r="C86" i="17" s="1"/>
  <c r="C87" i="17" s="1"/>
  <c r="C88" i="17" s="1"/>
  <c r="C89" i="17" s="1"/>
  <c r="C90" i="17" s="1"/>
  <c r="C91" i="17" s="1"/>
  <c r="C92" i="17" s="1"/>
  <c r="C93" i="17" s="1"/>
  <c r="C94" i="17" s="1"/>
  <c r="C95" i="17" s="1"/>
  <c r="C96" i="17" s="1"/>
  <c r="F112" i="17"/>
  <c r="F78" i="17"/>
  <c r="F31" i="17"/>
  <c r="K2" i="17"/>
  <c r="C97" i="17" l="1"/>
  <c r="C98" i="17" s="1"/>
  <c r="C99" i="17" s="1"/>
  <c r="C100" i="17" s="1"/>
  <c r="C101" i="17" s="1"/>
  <c r="C102" i="17" s="1"/>
  <c r="C103" i="17" s="1"/>
  <c r="C104" i="17" s="1"/>
  <c r="C105" i="17" s="1"/>
  <c r="C106" i="17" s="1"/>
  <c r="C107" i="17" s="1"/>
  <c r="C108" i="17" s="1"/>
  <c r="H93" i="1" l="1"/>
  <c r="H92" i="1"/>
  <c r="H91" i="1"/>
  <c r="H83" i="1"/>
  <c r="H82" i="1"/>
  <c r="H81" i="1"/>
  <c r="H80" i="1"/>
  <c r="H79" i="1"/>
  <c r="H78" i="1"/>
  <c r="H77" i="1"/>
  <c r="H76" i="1"/>
  <c r="H75" i="1"/>
  <c r="H71" i="1"/>
  <c r="H70" i="1"/>
  <c r="H69" i="1"/>
  <c r="H68" i="1"/>
  <c r="H67" i="1"/>
  <c r="H66" i="1"/>
  <c r="H65" i="1"/>
  <c r="H64" i="1"/>
  <c r="H63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E84" i="1" l="1"/>
  <c r="E59" i="1"/>
  <c r="E72" i="1"/>
  <c r="E34" i="1"/>
  <c r="J2" i="1"/>
</calcChain>
</file>

<file path=xl/sharedStrings.xml><?xml version="1.0" encoding="utf-8"?>
<sst xmlns="http://schemas.openxmlformats.org/spreadsheetml/2006/main" count="772" uniqueCount="296">
  <si>
    <t>お客先名</t>
  </si>
  <si>
    <t>京セミ（）</t>
  </si>
  <si>
    <t>合計金額</t>
  </si>
  <si>
    <t>担当営業</t>
  </si>
  <si>
    <t>青木、千葉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</si>
  <si>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</si>
  <si>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</si>
  <si>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</si>
  <si>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</si>
  <si>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</si>
  <si>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</si>
  <si>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</si>
  <si>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</si>
  <si>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</si>
  <si>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</si>
  <si>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</si>
  <si>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</si>
  <si>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</si>
  <si>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</si>
  <si>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</si>
  <si>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</si>
  <si>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</si>
  <si>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</si>
  <si>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</si>
  <si>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</si>
  <si>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加工メ－カ</t>
  </si>
  <si>
    <t>スライドプレート上</t>
  </si>
  <si>
    <t>スライドプレート下</t>
  </si>
  <si>
    <t>ガイド板</t>
  </si>
  <si>
    <t>SV51用エルボカバー</t>
  </si>
  <si>
    <t>ライト取付板2</t>
  </si>
  <si>
    <t>ＣＣＤ取付板　　折り曲げ溶接</t>
  </si>
  <si>
    <t>取付板</t>
  </si>
  <si>
    <t>Z調整　変換板</t>
  </si>
  <si>
    <t>Z調整　変換板　スペーサ</t>
  </si>
  <si>
    <t>スライドガイド　スペ－サ</t>
  </si>
  <si>
    <t>SV51用カップホルダ</t>
  </si>
  <si>
    <t>ミスミ</t>
  </si>
  <si>
    <t>SSE2B10-155</t>
  </si>
  <si>
    <t>スライドガイド　　ＣＣＤ側</t>
  </si>
  <si>
    <t>SSE2B10-100</t>
  </si>
  <si>
    <t>スライドガイド　　変換板受け</t>
  </si>
  <si>
    <t>XSG40-CR</t>
  </si>
  <si>
    <t>リニアボールX軸ステージ</t>
  </si>
  <si>
    <t>LRLB4-15</t>
  </si>
  <si>
    <t>長尺ローレット付ボルト</t>
  </si>
  <si>
    <t>ＭＳ３－１０</t>
  </si>
  <si>
    <t>ﾉｯｸﾋﾟﾝ　φ3mm</t>
  </si>
  <si>
    <t>ＭＳ4－１0</t>
  </si>
  <si>
    <t>ﾉｯｸﾋﾟﾝ　φ4mm</t>
  </si>
  <si>
    <t>SCB5-10</t>
  </si>
  <si>
    <t>六角穴付きﾎﾞﾙﾄ　 (M5×10)</t>
  </si>
  <si>
    <t>SCB4-10</t>
  </si>
  <si>
    <t>六角穴付きﾎﾞﾙﾄ　 (M4×10)</t>
  </si>
  <si>
    <t>SCB4-12</t>
  </si>
  <si>
    <t>六角穴付きﾎﾞﾙﾄ　 (M4×12)</t>
  </si>
  <si>
    <t>SCB3-6</t>
  </si>
  <si>
    <t>六角穴付きﾎﾞﾙﾄ　 (M3×6)</t>
  </si>
  <si>
    <t>SCB3-8</t>
  </si>
  <si>
    <t>六角穴付きﾎﾞﾙﾄ　 (M3×8)</t>
  </si>
  <si>
    <t>SCB3-10</t>
  </si>
  <si>
    <t>六角穴付きﾎﾞﾙﾄ　 (M3×10)</t>
  </si>
  <si>
    <t>ワーク受けベース治具部分</t>
  </si>
  <si>
    <t>ヒータベース</t>
  </si>
  <si>
    <t>ワークベース</t>
  </si>
  <si>
    <t>ワーク治具ガイド</t>
  </si>
  <si>
    <t>配線ｶガート゜</t>
  </si>
  <si>
    <t>配線ｶガート゜　　板金カバー</t>
  </si>
  <si>
    <t>NA2517T-16-3-2</t>
  </si>
  <si>
    <t>固定用電源ケーブル（300V用）</t>
  </si>
  <si>
    <t>1.25-4</t>
  </si>
  <si>
    <t>裸圧着端子（丸型）</t>
  </si>
  <si>
    <t>VCTF-A-0.75-2-10</t>
  </si>
  <si>
    <t>SETGR8-50</t>
  </si>
  <si>
    <t>円柱支柱</t>
  </si>
  <si>
    <t>MPHKH-150-150-V100-W500</t>
  </si>
  <si>
    <t>ヒータ-</t>
  </si>
  <si>
    <t>HIPA4H-160-160-5-F130-G130-N6</t>
  </si>
  <si>
    <t>断熱板</t>
  </si>
  <si>
    <t>MTCD</t>
  </si>
  <si>
    <t>温度調節コントローラ</t>
  </si>
  <si>
    <t>2P-2</t>
  </si>
  <si>
    <t>電源コード</t>
  </si>
  <si>
    <t>MFSK1.6-100</t>
  </si>
  <si>
    <t>センサ</t>
  </si>
  <si>
    <t>MSSFS3-4</t>
  </si>
  <si>
    <t>六角穴付止めネジ</t>
  </si>
  <si>
    <t>SBCB3-5</t>
  </si>
  <si>
    <t>六角穴付ボタンネジ</t>
  </si>
  <si>
    <t>SFB3-6</t>
  </si>
  <si>
    <t>六角穴付皿ネジ</t>
  </si>
  <si>
    <t>六角穴付ｷｬｯﾌﾟﾈｼﾞ　　M3×8</t>
  </si>
  <si>
    <t>SCB4-8</t>
  </si>
  <si>
    <t>六角穴付ｷｬｯﾌﾟﾈｼﾞ　　M4×8</t>
  </si>
  <si>
    <t>SCB4-15</t>
  </si>
  <si>
    <t>六角穴付ｷｬｯﾌﾟﾈｼﾞ　　M4×15</t>
  </si>
  <si>
    <t>MS3-10</t>
  </si>
  <si>
    <t>ﾉｯｸﾋﾟﾝ　　φ3-10</t>
  </si>
  <si>
    <t>JPBA5-7.96</t>
  </si>
  <si>
    <t>大頭位置決めﾋﾟﾝ  丸</t>
  </si>
  <si>
    <t>JPBD5-7.96</t>
  </si>
  <si>
    <t>大頭位置決めﾋﾟﾝ  ﾀﾞｲﾔ</t>
  </si>
  <si>
    <t>ワーク治具部分（基盤受け治具）　　2ＳＥＴ分</t>
  </si>
  <si>
    <t>基板セット冶具ベース</t>
  </si>
  <si>
    <t>取手変換ブロック</t>
  </si>
  <si>
    <t>KFSAMS3-P1.80-L5-B4.0-E2.2-A15</t>
  </si>
  <si>
    <t>位置決ﾋﾟﾝ　φ1.80  小頭ﾃｰﾊﾟﾀｲﾌﾟ</t>
  </si>
  <si>
    <t>位置決ﾋﾟﾝ　φ1.80  小頭ﾃｰﾊﾟﾀｲﾌﾟ（ﾀﾞｲｱ型を選択）</t>
  </si>
  <si>
    <t>ＪＢＡＭ８－１０</t>
  </si>
  <si>
    <t>位置決めﾋﾟﾝ用ﾌﾞｯｼｭ</t>
  </si>
  <si>
    <t>UWANSG100</t>
  </si>
  <si>
    <t>丸棒取手</t>
  </si>
  <si>
    <t>配電部分</t>
  </si>
  <si>
    <t>102703－Z001</t>
  </si>
  <si>
    <t>配電ﾍﾞ-ｽ</t>
  </si>
  <si>
    <t>MRB-350</t>
  </si>
  <si>
    <t>DINレール</t>
  </si>
  <si>
    <t>MWS-DS37A-HT37</t>
  </si>
  <si>
    <t>D-Subコネクタ端子台</t>
  </si>
  <si>
    <t>ESAW-TCM310-5P</t>
  </si>
  <si>
    <t>コモンブロック端子台</t>
  </si>
  <si>
    <t>NEDJ-PS-SB-37-1.5</t>
  </si>
  <si>
    <t>D-Subコネクタハーネス</t>
  </si>
  <si>
    <t>F1.25-M3</t>
  </si>
  <si>
    <t>圧着端子（Y型）</t>
  </si>
  <si>
    <t>UL1007-24-BE-305</t>
  </si>
  <si>
    <t>単芯電線</t>
  </si>
  <si>
    <t>VTUB3.2-W-10</t>
  </si>
  <si>
    <t>ﾏｰｸﾁｭｰﾌﾞ</t>
  </si>
  <si>
    <t>結束バンドとマウントベース　Etc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</si>
  <si>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</si>
  <si>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</si>
  <si>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</si>
  <si>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13"/>
  </si>
  <si>
    <t>モリタ株式会社 (株式会社ﾛﾎﾞｯﾄｼｽﾃﾑｽﾞ)</t>
    <rPh sb="9" eb="13">
      <t>カブシキガイシャ</t>
    </rPh>
    <phoneticPr fontId="13"/>
  </si>
  <si>
    <t>千葉</t>
    <rPh sb="0" eb="2">
      <t>チバ</t>
    </rPh>
    <phoneticPr fontId="13"/>
  </si>
  <si>
    <t>Ｎo.226228</t>
    <phoneticPr fontId="13"/>
  </si>
  <si>
    <t>ﾛﾎﾞｯﾄﾂｰﾙ治具</t>
    <rPh sb="8" eb="10">
      <t>ジグ</t>
    </rPh>
    <phoneticPr fontId="13"/>
  </si>
  <si>
    <t>ノックピン</t>
    <phoneticPr fontId="13"/>
  </si>
  <si>
    <t>SETB0242-Y01-1　ﾂｰﾙ治具ﾌﾞﾗｹｯﾄ</t>
    <phoneticPr fontId="13"/>
  </si>
  <si>
    <t>CBSST5-16</t>
    <phoneticPr fontId="13"/>
  </si>
  <si>
    <t xml:space="preserve">MS3-10 </t>
    <phoneticPr fontId="13"/>
  </si>
  <si>
    <t xml:space="preserve">SCB3-8 </t>
    <phoneticPr fontId="13"/>
  </si>
  <si>
    <t>六角穴付ボルト</t>
    <phoneticPr fontId="13"/>
  </si>
  <si>
    <t>SETB0242-Y02　ﾂｰﾙ治具AXA-HV　ﾌﾞﾗｹｯﾄ　</t>
    <phoneticPr fontId="13"/>
  </si>
  <si>
    <t>MS2-6</t>
    <phoneticPr fontId="13"/>
  </si>
  <si>
    <t>SCB4-6</t>
    <phoneticPr fontId="13"/>
  </si>
  <si>
    <t>SETB0276-Y01 変換ﾊﾞﾙﾌﾞﾌﾞﾗｹｯﾄ</t>
    <phoneticPr fontId="13"/>
  </si>
  <si>
    <t>MS4-8</t>
    <phoneticPr fontId="13"/>
  </si>
  <si>
    <t>SCB3-10</t>
    <phoneticPr fontId="13"/>
  </si>
  <si>
    <t>SETB0242-Y08 ｶﾒﾗ変換ﾌﾞﾗｹｯﾄｽﾍﾟｰｻ</t>
    <phoneticPr fontId="13"/>
  </si>
  <si>
    <t>SCB4-14</t>
    <phoneticPr fontId="13"/>
  </si>
  <si>
    <t>SETB0295-Y07 ｶﾒﾗ変換ﾌﾞﾗｹｯﾄ</t>
    <phoneticPr fontId="13"/>
  </si>
  <si>
    <t>MS2-8</t>
    <phoneticPr fontId="13"/>
  </si>
  <si>
    <t>SCB4-8</t>
    <phoneticPr fontId="13"/>
  </si>
  <si>
    <t>BSS16-40C</t>
    <phoneticPr fontId="13"/>
  </si>
  <si>
    <t>AJPNGB4-P6.00-B6.0-G4-GC</t>
    <phoneticPr fontId="13"/>
  </si>
  <si>
    <t>Z軸ﾏｲｸﾛ</t>
    <rPh sb="1" eb="2">
      <t>ジク</t>
    </rPh>
    <phoneticPr fontId="13"/>
  </si>
  <si>
    <t>位置決めPIN</t>
    <rPh sb="0" eb="3">
      <t>イチギ</t>
    </rPh>
    <phoneticPr fontId="13"/>
  </si>
  <si>
    <t>低頭ボルト</t>
    <rPh sb="0" eb="2">
      <t>テイトウ</t>
    </rPh>
    <phoneticPr fontId="13"/>
  </si>
  <si>
    <t>meviy</t>
    <phoneticPr fontId="13"/>
  </si>
  <si>
    <t>ﾐｽﾐ</t>
    <phoneticPr fontId="13"/>
  </si>
  <si>
    <t>８日目</t>
    <rPh sb="1" eb="2">
      <t>ヒ</t>
    </rPh>
    <rPh sb="2" eb="3">
      <t>メ</t>
    </rPh>
    <phoneticPr fontId="13"/>
  </si>
  <si>
    <t>3日目</t>
    <rPh sb="1" eb="2">
      <t>ヒ</t>
    </rPh>
    <rPh sb="2" eb="3">
      <t>メ</t>
    </rPh>
    <phoneticPr fontId="13"/>
  </si>
  <si>
    <t>MVBLK-AMW-44B-B5N4A</t>
    <phoneticPr fontId="13"/>
  </si>
  <si>
    <t>MVSHM-3N02052-42R-RWB57</t>
    <phoneticPr fontId="13"/>
  </si>
  <si>
    <t>MVBLK-POW-44B-K525A</t>
    <phoneticPr fontId="13"/>
  </si>
  <si>
    <t>MVBLK-AMW-46E-E85NM</t>
    <phoneticPr fontId="13"/>
  </si>
  <si>
    <t>MVSHM-3N03002-4AE-K4Y6N</t>
    <phoneticPr fontId="13"/>
  </si>
  <si>
    <t>MVSHM-3N03002-4AE-6EX3C</t>
    <phoneticPr fontId="13"/>
  </si>
  <si>
    <t>SETB0295-Z02 電磁弁+レギュラーﾕﾆｯﾄ取付板金</t>
    <phoneticPr fontId="13"/>
  </si>
  <si>
    <t>FWSA-D8-V5-T8</t>
    <phoneticPr fontId="13"/>
  </si>
  <si>
    <t>SCB5-16</t>
    <phoneticPr fontId="13"/>
  </si>
  <si>
    <t>配電盤　ﾛﾎﾞｯﾄ背面ﾀｲﾌﾟ</t>
    <rPh sb="0" eb="2">
      <t>ハイデン</t>
    </rPh>
    <rPh sb="2" eb="3">
      <t>バン</t>
    </rPh>
    <rPh sb="9" eb="11">
      <t>ハイメン</t>
    </rPh>
    <phoneticPr fontId="13"/>
  </si>
  <si>
    <t>金属ワッシャ　－並級</t>
    <phoneticPr fontId="13"/>
  </si>
  <si>
    <t>六角穴付ボタンボルト　フランジ付タイプ</t>
    <phoneticPr fontId="14"/>
  </si>
  <si>
    <t>ミスミ</t>
    <phoneticPr fontId="14"/>
  </si>
  <si>
    <t>BCBFB4-6</t>
    <phoneticPr fontId="14"/>
  </si>
  <si>
    <t>PDDU-PT-MS-9-2.5</t>
    <phoneticPr fontId="14"/>
  </si>
  <si>
    <t>Dsub9　オス　コネクタハーネス　#4-40ショートねじ</t>
    <phoneticPr fontId="14"/>
  </si>
  <si>
    <t>PDDJ-PS-JS-37-1.5</t>
    <phoneticPr fontId="14"/>
  </si>
  <si>
    <t>Dsubコネクタハーネス</t>
    <phoneticPr fontId="14"/>
  </si>
  <si>
    <t>MWS-DS37A-HT37</t>
    <phoneticPr fontId="14"/>
  </si>
  <si>
    <t>Dsubコネクタ端子台</t>
    <rPh sb="8" eb="10">
      <t>タンシ</t>
    </rPh>
    <rPh sb="10" eb="11">
      <t>ダイ</t>
    </rPh>
    <phoneticPr fontId="14"/>
  </si>
  <si>
    <t xml:space="preserve">MWS-B3102 </t>
    <phoneticPr fontId="14"/>
  </si>
  <si>
    <t>コモン端子台</t>
    <rPh sb="3" eb="5">
      <t>タンシ</t>
    </rPh>
    <rPh sb="5" eb="6">
      <t>ダイ</t>
    </rPh>
    <phoneticPr fontId="14"/>
  </si>
  <si>
    <t>MRB-80</t>
    <phoneticPr fontId="14"/>
  </si>
  <si>
    <t>DINレール</t>
    <phoneticPr fontId="14"/>
  </si>
  <si>
    <t>MRB-250</t>
    <phoneticPr fontId="14"/>
  </si>
  <si>
    <t>BVHVU6-3</t>
    <phoneticPr fontId="14"/>
  </si>
  <si>
    <t>ハンドバルブ　φ6</t>
    <phoneticPr fontId="14"/>
  </si>
  <si>
    <t>ＪＡＰＰY</t>
    <phoneticPr fontId="14"/>
  </si>
  <si>
    <t>ADR-361-JP</t>
    <phoneticPr fontId="14"/>
  </si>
  <si>
    <t>カッチンダクト</t>
    <phoneticPr fontId="14"/>
  </si>
  <si>
    <t>MNCNL6-M5</t>
    <phoneticPr fontId="14"/>
  </si>
  <si>
    <t>ミニチュアワンタッチ継手　エルボ</t>
    <phoneticPr fontId="14"/>
  </si>
  <si>
    <t>チェリック</t>
    <phoneticPr fontId="14"/>
  </si>
  <si>
    <t>CNYW6-6</t>
    <phoneticPr fontId="14"/>
  </si>
  <si>
    <t>ワンタッチ継手 R（PT）付二重Y型 CNYW</t>
    <phoneticPr fontId="14"/>
  </si>
  <si>
    <t>BSLG6</t>
    <phoneticPr fontId="14"/>
  </si>
  <si>
    <t>ワンタッチ継手　ブラインドプラグ</t>
    <phoneticPr fontId="14"/>
  </si>
  <si>
    <t>USYL6</t>
    <phoneticPr fontId="14"/>
  </si>
  <si>
    <t>ワンタッチ継手　Ｙタイプ</t>
    <phoneticPr fontId="14"/>
  </si>
  <si>
    <t>ｵﾑﾛﾝ</t>
    <phoneticPr fontId="13"/>
  </si>
  <si>
    <t>MY2N-D2 DC24</t>
    <phoneticPr fontId="13"/>
  </si>
  <si>
    <t>MY ミニパワーリレー</t>
    <phoneticPr fontId="13"/>
  </si>
  <si>
    <t>PYFZ-08</t>
    <phoneticPr fontId="13"/>
  </si>
  <si>
    <t>表面接続角型ソケット</t>
    <phoneticPr fontId="13"/>
  </si>
  <si>
    <t>PYC-E1</t>
    <phoneticPr fontId="13"/>
  </si>
  <si>
    <t xml:space="preserve">リレー用共用オプション品 </t>
    <phoneticPr fontId="13"/>
  </si>
  <si>
    <t>A8001</t>
    <phoneticPr fontId="14"/>
  </si>
  <si>
    <t>汎用3芯OAタップ 6ヶ口</t>
    <phoneticPr fontId="14"/>
  </si>
  <si>
    <t>USRDS6-8</t>
    <phoneticPr fontId="14"/>
  </si>
  <si>
    <t>ワンタッチ継手　レデューサ</t>
    <phoneticPr fontId="14"/>
  </si>
  <si>
    <t>MRB-140</t>
    <phoneticPr fontId="14"/>
  </si>
  <si>
    <t>ST30RSB-23AWG-3-20</t>
    <phoneticPr fontId="14"/>
  </si>
  <si>
    <t>ST30R 【大電×ミスミ】極細高耐久ロボットケーブル（シールド無・有）</t>
    <phoneticPr fontId="14"/>
  </si>
  <si>
    <t>SS300-24-2-10</t>
    <phoneticPr fontId="14"/>
  </si>
  <si>
    <t>SS300 UL 小径・低価格</t>
    <phoneticPr fontId="14"/>
  </si>
  <si>
    <t xml:space="preserve">HDV-2 </t>
    <phoneticPr fontId="14"/>
  </si>
  <si>
    <t>止め金具　　　　　　6個</t>
    <rPh sb="0" eb="1">
      <t>ト</t>
    </rPh>
    <rPh sb="2" eb="4">
      <t>カナグ</t>
    </rPh>
    <rPh sb="11" eb="12">
      <t>コ</t>
    </rPh>
    <phoneticPr fontId="14"/>
  </si>
  <si>
    <t>浸け置き捨て射ち治具</t>
    <rPh sb="0" eb="1">
      <t>ツ</t>
    </rPh>
    <rPh sb="2" eb="3">
      <t>オ</t>
    </rPh>
    <rPh sb="4" eb="5">
      <t>ス</t>
    </rPh>
    <rPh sb="6" eb="7">
      <t>ウ</t>
    </rPh>
    <rPh sb="8" eb="10">
      <t>ジグ</t>
    </rPh>
    <phoneticPr fontId="13"/>
  </si>
  <si>
    <t>148710-Z01-1 ｶｯﾌﾟﾎﾙﾀﾞｰﾍﾞｰｽＬ字ﾌﾞﾗｹｯﾄ</t>
    <phoneticPr fontId="13"/>
  </si>
  <si>
    <t>PUT4-10-B</t>
    <phoneticPr fontId="14"/>
  </si>
  <si>
    <t>エアチューブ</t>
    <phoneticPr fontId="14"/>
  </si>
  <si>
    <t>PUT6-10-B</t>
    <phoneticPr fontId="14"/>
  </si>
  <si>
    <t xml:space="preserve">CHNS4 </t>
    <phoneticPr fontId="13"/>
  </si>
  <si>
    <t>蝶ナット</t>
    <phoneticPr fontId="13"/>
  </si>
  <si>
    <t>CRKB4-8</t>
    <phoneticPr fontId="14"/>
  </si>
  <si>
    <t>樹脂付ローレットボルト</t>
    <rPh sb="0" eb="2">
      <t>ジュシ</t>
    </rPh>
    <rPh sb="2" eb="3">
      <t>ツキ</t>
    </rPh>
    <phoneticPr fontId="14"/>
  </si>
  <si>
    <t xml:space="preserve">RSCB4-15 </t>
    <phoneticPr fontId="13"/>
  </si>
  <si>
    <t>六角ボルト</t>
    <phoneticPr fontId="13"/>
  </si>
  <si>
    <t>SETB-0004-Z02　ｶｯﾌﾟﾎﾙﾀﾞｰＬ字ﾌﾞﾗｹｯﾄ</t>
    <phoneticPr fontId="13"/>
  </si>
  <si>
    <t>SETB-0012-Z05 カップホルダー</t>
    <phoneticPr fontId="13"/>
  </si>
  <si>
    <t>meviy</t>
    <phoneticPr fontId="14"/>
  </si>
  <si>
    <t>MVTUP-SUB-3GK-HD2S8</t>
    <phoneticPr fontId="14"/>
  </si>
  <si>
    <t>SETB0178-Z06　30ccｶｯﾌﾟ　ｱﾙﾐ</t>
    <phoneticPr fontId="14"/>
  </si>
  <si>
    <t>MVSHM-3N02052-3G3-18Y5C</t>
    <phoneticPr fontId="13"/>
  </si>
  <si>
    <t>MVSHM-3N02050006021-JPA245LFH111AA</t>
    <phoneticPr fontId="13"/>
  </si>
  <si>
    <t>MVSHM-ZZ99000000000-JPA243U9A111AB</t>
    <phoneticPr fontId="13"/>
  </si>
  <si>
    <t>1日目</t>
    <rPh sb="1" eb="2">
      <t>ヒ</t>
    </rPh>
    <rPh sb="2" eb="3">
      <t>メ</t>
    </rPh>
    <phoneticPr fontId="13"/>
  </si>
  <si>
    <t>吸着ﾜｰｸ治具</t>
    <rPh sb="0" eb="2">
      <t>キュウチャク</t>
    </rPh>
    <rPh sb="5" eb="7">
      <t>ジグ</t>
    </rPh>
    <phoneticPr fontId="13"/>
  </si>
  <si>
    <t>MVBLK-POB-4AE-51DY7</t>
    <phoneticPr fontId="13"/>
  </si>
  <si>
    <t>SETB0295-X01　吸着ﾕﾆｯﾄ400角ﾍﾞｰｽ板.</t>
    <phoneticPr fontId="13"/>
  </si>
  <si>
    <t>SETB0295-X02　吸着ﾕﾆｯﾄ400角吸着天板</t>
    <phoneticPr fontId="13"/>
  </si>
  <si>
    <t>SSTT0044　PINﾍﾞｰｽ 　M4-6</t>
    <phoneticPr fontId="13"/>
  </si>
  <si>
    <t>SFB3-8</t>
    <phoneticPr fontId="13"/>
  </si>
  <si>
    <t>MVSHM-3N03006-4AE-5THDT</t>
    <phoneticPr fontId="13"/>
  </si>
  <si>
    <t>MVBLK-AMW-4AE-162TG</t>
    <phoneticPr fontId="13"/>
  </si>
  <si>
    <t>USNA-NR-A154-B188-T2-P149-R183</t>
    <phoneticPr fontId="13"/>
  </si>
  <si>
    <t>AETTS8-28-SC14-M4-N4</t>
    <phoneticPr fontId="13"/>
  </si>
  <si>
    <t>ALSBG8-26-M4-N4</t>
    <phoneticPr fontId="13"/>
  </si>
  <si>
    <t>MS3-8</t>
    <phoneticPr fontId="14"/>
  </si>
  <si>
    <t>PL6-M5Ｗ</t>
    <phoneticPr fontId="13"/>
  </si>
  <si>
    <t>SCB4-16</t>
  </si>
  <si>
    <t>SFB4-10</t>
    <phoneticPr fontId="13"/>
  </si>
  <si>
    <t>ﾛｯｶｸｱﾅﾂｷｻﾗﾎﾞﾙﾄ(SFB</t>
    <phoneticPr fontId="13"/>
  </si>
  <si>
    <t>ﾛｯｶｸｱﾅﾂｷｻﾗﾎﾞﾙﾄ(SFB)</t>
    <phoneticPr fontId="13"/>
  </si>
  <si>
    <t>ﾛｯｶｸｱﾅﾂｷﾎﾞﾙﾄ(SCB)</t>
    <phoneticPr fontId="13"/>
  </si>
  <si>
    <t>ﾋｮｳｼﾞｭﾝﾂｷﾞﾃ PL</t>
    <phoneticPr fontId="13"/>
  </si>
  <si>
    <t>ﾛｯｶｸｼﾁｭｳ</t>
    <phoneticPr fontId="13"/>
  </si>
  <si>
    <t>ｴﾝｹｲｼﾁｭｳ - AETTS</t>
    <phoneticPr fontId="13"/>
  </si>
  <si>
    <t>ｺﾞﾑ_ｶｸ/ｲﾀ-USNA-</t>
    <phoneticPr fontId="13"/>
  </si>
  <si>
    <t>日本ピスコ</t>
    <rPh sb="0" eb="2">
      <t>ニホン</t>
    </rPh>
    <phoneticPr fontId="13"/>
  </si>
  <si>
    <t>MVSHM-3N03006-4AK-FW7NF</t>
    <phoneticPr fontId="13"/>
  </si>
  <si>
    <r>
      <t>SETB0295-X03</t>
    </r>
    <r>
      <rPr>
        <b/>
        <sz val="11"/>
        <color rgb="FFFF0000"/>
        <rFont val="ＭＳ Ｐゴシック"/>
        <family val="3"/>
        <charset val="128"/>
        <scheme val="minor"/>
      </rPr>
      <t>-1</t>
    </r>
    <r>
      <rPr>
        <sz val="11"/>
        <color theme="1"/>
        <rFont val="ＭＳ Ｐゴシック"/>
        <family val="3"/>
        <charset val="128"/>
        <scheme val="minor"/>
      </rPr>
      <t>　ﾛﾎﾞｯﾄﾍﾞｰｽ板</t>
    </r>
    <phoneticPr fontId="13"/>
  </si>
  <si>
    <t>MVSHM-3N02052-4AK-5SDJY</t>
    <phoneticPr fontId="13"/>
  </si>
  <si>
    <t>SETB0295-X04　吸着切替Ｌ字ﾌﾞﾗｹｯﾄ</t>
    <phoneticPr fontId="13"/>
  </si>
  <si>
    <t>NCLA4-8-18.5</t>
    <phoneticPr fontId="13"/>
  </si>
  <si>
    <t>SCB4-25</t>
    <phoneticPr fontId="13"/>
  </si>
  <si>
    <t>ALSBF7-20-M4-N4</t>
    <phoneticPr fontId="13"/>
  </si>
  <si>
    <t>BVHVU6-3　</t>
    <phoneticPr fontId="13"/>
  </si>
  <si>
    <t>ハンドバルブ</t>
    <phoneticPr fontId="13"/>
  </si>
  <si>
    <t xml:space="preserve">SBCB4-8 </t>
    <phoneticPr fontId="13"/>
  </si>
  <si>
    <t>六角穴付ボタンボルト</t>
    <phoneticPr fontId="13"/>
  </si>
  <si>
    <t>SCB4-20</t>
    <phoneticPr fontId="13"/>
  </si>
  <si>
    <t>SCB4-22</t>
    <phoneticPr fontId="13"/>
  </si>
  <si>
    <t>USEBL6</t>
    <phoneticPr fontId="13"/>
  </si>
  <si>
    <t xml:space="preserve">USYL6 </t>
    <phoneticPr fontId="13"/>
  </si>
  <si>
    <t>ワンタッチ継手　Ｙタイプ</t>
    <phoneticPr fontId="13"/>
  </si>
  <si>
    <t>USLCN6</t>
    <phoneticPr fontId="13"/>
  </si>
  <si>
    <t xml:space="preserve">USTEL6 </t>
    <phoneticPr fontId="13"/>
  </si>
  <si>
    <t>ワンタッチ継手　ユニオンティ</t>
    <phoneticPr fontId="13"/>
  </si>
  <si>
    <t>ノックピン　4本+7本</t>
    <rPh sb="7" eb="8">
      <t>ホン</t>
    </rPh>
    <rPh sb="10" eb="11">
      <t>ホン</t>
    </rPh>
    <phoneticPr fontId="13"/>
  </si>
  <si>
    <t>ノックピン　1本+1本+2本</t>
    <rPh sb="7" eb="8">
      <t>ホン</t>
    </rPh>
    <phoneticPr fontId="13"/>
  </si>
  <si>
    <t>SCB4-5</t>
    <phoneticPr fontId="13"/>
  </si>
  <si>
    <t>ﾜﾝﾀｯﾁﾂｷﾞﾃ(USLCN)　4個</t>
    <rPh sb="18" eb="19">
      <t>コ</t>
    </rPh>
    <phoneticPr fontId="13"/>
  </si>
  <si>
    <t>ｷﾝｿﾞｸｶﾗｰ NCLA</t>
    <phoneticPr fontId="13"/>
  </si>
  <si>
    <t>ﾊﾝﾄﾞﾊﾞﾙﾌﾞ (BVHVU)</t>
    <phoneticPr fontId="13"/>
  </si>
  <si>
    <t>ﾜﾝﾀｯﾁﾂｷﾞﾃ(USEBL)</t>
    <phoneticPr fontId="13"/>
  </si>
  <si>
    <t>ノックピン　－プラス公差　6本</t>
    <rPh sb="14" eb="15">
      <t>ホン</t>
    </rPh>
    <phoneticPr fontId="14"/>
  </si>
  <si>
    <t>ノックピン　－プラス公差　3本+4本</t>
    <phoneticPr fontId="13"/>
  </si>
  <si>
    <t>六角穴付ボルト　4本+8本</t>
    <rPh sb="9" eb="10">
      <t>ホン</t>
    </rPh>
    <rPh sb="12" eb="13">
      <t>ホン</t>
    </rPh>
    <phoneticPr fontId="13"/>
  </si>
  <si>
    <t>六角穴付ボルト　4本+4本</t>
    <rPh sb="9" eb="10">
      <t>ホン</t>
    </rPh>
    <phoneticPr fontId="13"/>
  </si>
  <si>
    <t>③</t>
    <phoneticPr fontId="13"/>
  </si>
  <si>
    <t>AB247BA4B3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</si>
</sst>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  <numFmt numFmtId="181" formatCode="0_);[Red]\(0\)"/>
    <numFmt numFmtId="182" formatCode="0_ "/>
  </numFmts>
  <fonts count="27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4"/>
      <color theme="9" tint="-0.249977111117893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2" fillId="0" borderId="0">
      <alignment vertical="center"/>
    </xf>
    <xf numFmtId="0" fontId="15" fillId="0" borderId="0">
      <alignment vertical="center"/>
    </xf>
  </cellStyleXfs>
  <cellXfs count="19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/>
    <xf numFmtId="177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>
      <alignment vertical="center"/>
    </xf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shrinkToFit="1"/>
    </xf>
    <xf numFmtId="176" fontId="0" fillId="0" borderId="3" xfId="0" applyNumberFormat="1" applyBorder="1">
      <alignment vertical="center"/>
    </xf>
    <xf numFmtId="176" fontId="0" fillId="0" borderId="3" xfId="0" applyNumberFormat="1" applyBorder="1" applyAlignment="1"/>
    <xf numFmtId="0" fontId="0" fillId="0" borderId="3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 shrinkToFit="1"/>
    </xf>
    <xf numFmtId="176" fontId="0" fillId="0" borderId="4" xfId="0" applyNumberFormat="1" applyBorder="1">
      <alignment vertical="center"/>
    </xf>
    <xf numFmtId="176" fontId="0" fillId="0" borderId="4" xfId="0" applyNumberFormat="1" applyBorder="1" applyAlignment="1"/>
    <xf numFmtId="0" fontId="0" fillId="0" borderId="4" xfId="0" applyBorder="1" applyAlignment="1">
      <alignment horizontal="center" vertical="center" shrinkToFit="1"/>
    </xf>
    <xf numFmtId="0" fontId="0" fillId="0" borderId="4" xfId="0" applyBorder="1">
      <alignment vertical="center"/>
    </xf>
    <xf numFmtId="0" fontId="0" fillId="0" borderId="4" xfId="0" applyBorder="1" applyAlignment="1">
      <alignment horizontal="right" vertical="center"/>
    </xf>
    <xf numFmtId="177" fontId="0" fillId="0" borderId="4" xfId="0" applyNumberFormat="1" applyBorder="1">
      <alignment vertical="center"/>
    </xf>
    <xf numFmtId="0" fontId="6" fillId="0" borderId="2" xfId="0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76" fontId="0" fillId="0" borderId="2" xfId="0" applyNumberFormat="1" applyBorder="1" applyAlignment="1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177" fontId="0" fillId="0" borderId="1" xfId="0" applyNumberForma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0" fillId="2" borderId="1" xfId="0" applyNumberFormat="1" applyFill="1" applyBorder="1">
      <alignment vertical="center"/>
    </xf>
    <xf numFmtId="176" fontId="0" fillId="2" borderId="1" xfId="0" applyNumberFormat="1" applyFill="1" applyBorder="1" applyAlignment="1"/>
    <xf numFmtId="0" fontId="7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176" fontId="0" fillId="3" borderId="1" xfId="0" applyNumberFormat="1" applyFill="1" applyBorder="1">
      <alignment vertical="center"/>
    </xf>
    <xf numFmtId="0" fontId="7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/>
    <xf numFmtId="0" fontId="6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left"/>
    </xf>
    <xf numFmtId="0" fontId="6" fillId="0" borderId="3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79" fontId="0" fillId="0" borderId="3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9" xfId="0" applyBorder="1" applyAlignment="1">
      <alignment vertical="center" shrinkToFit="1"/>
    </xf>
    <xf numFmtId="3" fontId="0" fillId="0" borderId="8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3" fontId="12" fillId="0" borderId="9" xfId="4" applyNumberForma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5" fontId="17" fillId="7" borderId="9" xfId="4" applyNumberFormat="1" applyFont="1" applyFill="1" applyBorder="1">
      <alignment vertical="center"/>
    </xf>
    <xf numFmtId="176" fontId="0" fillId="0" borderId="8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left" vertical="center" shrinkToFit="1"/>
    </xf>
    <xf numFmtId="3" fontId="12" fillId="0" borderId="9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1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9" xfId="0" applyNumberFormat="1" applyBorder="1" applyAlignment="1">
      <alignment horizontal="right"/>
    </xf>
    <xf numFmtId="38" fontId="0" fillId="0" borderId="9" xfId="0" applyNumberForma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10" xfId="0" applyBorder="1">
      <alignment vertical="center"/>
    </xf>
    <xf numFmtId="176" fontId="0" fillId="0" borderId="10" xfId="0" applyNumberFormat="1" applyBorder="1">
      <alignment vertical="center"/>
    </xf>
    <xf numFmtId="176" fontId="15" fillId="0" borderId="9" xfId="0" applyNumberFormat="1" applyFont="1" applyBorder="1" applyAlignment="1"/>
    <xf numFmtId="176" fontId="15" fillId="0" borderId="10" xfId="0" applyNumberFormat="1" applyFont="1" applyBorder="1">
      <alignment vertical="center"/>
    </xf>
    <xf numFmtId="0" fontId="2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right" vertical="center"/>
    </xf>
    <xf numFmtId="176" fontId="21" fillId="0" borderId="9" xfId="0" applyNumberFormat="1" applyFont="1" applyBorder="1" applyAlignment="1">
      <alignment horizontal="center"/>
    </xf>
    <xf numFmtId="0" fontId="0" fillId="0" borderId="10" xfId="0" applyBorder="1" applyAlignment="1">
      <alignment horizontal="left" vertical="center"/>
    </xf>
    <xf numFmtId="0" fontId="20" fillId="0" borderId="9" xfId="0" applyFont="1" applyBorder="1" applyAlignment="1">
      <alignment horizontal="center" vertical="center"/>
    </xf>
    <xf numFmtId="176" fontId="15" fillId="0" borderId="11" xfId="0" applyNumberFormat="1" applyFont="1" applyBorder="1" applyAlignment="1"/>
    <xf numFmtId="0" fontId="22" fillId="0" borderId="9" xfId="0" applyFont="1" applyBorder="1" applyAlignment="1">
      <alignment horizontal="center" vertical="center"/>
    </xf>
    <xf numFmtId="176" fontId="0" fillId="0" borderId="9" xfId="0" applyNumberFormat="1" applyBorder="1" applyAlignment="1"/>
    <xf numFmtId="3" fontId="20" fillId="0" borderId="9" xfId="0" applyNumberFormat="1" applyFont="1" applyBorder="1" applyAlignment="1">
      <alignment horizontal="center" vertical="center"/>
    </xf>
    <xf numFmtId="0" fontId="0" fillId="0" borderId="9" xfId="0" applyBorder="1">
      <alignment vertical="center"/>
    </xf>
    <xf numFmtId="0" fontId="15" fillId="0" borderId="10" xfId="0" applyFont="1" applyBorder="1" applyAlignment="1">
      <alignment horizontal="left" vertical="center" shrinkToFit="1"/>
    </xf>
    <xf numFmtId="0" fontId="15" fillId="0" borderId="10" xfId="0" applyFont="1" applyBorder="1">
      <alignment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left" vertical="center" shrinkToFit="1"/>
    </xf>
    <xf numFmtId="0" fontId="15" fillId="0" borderId="9" xfId="3" applyBorder="1" applyAlignment="1">
      <alignment horizontal="left"/>
    </xf>
    <xf numFmtId="0" fontId="15" fillId="0" borderId="17" xfId="3" applyBorder="1" applyAlignment="1">
      <alignment vertical="center"/>
    </xf>
    <xf numFmtId="0" fontId="12" fillId="0" borderId="9" xfId="0" applyFont="1" applyBorder="1" applyAlignment="1">
      <alignment horizontal="left" vertical="center" shrinkToFit="1"/>
    </xf>
    <xf numFmtId="0" fontId="21" fillId="0" borderId="9" xfId="0" applyFont="1" applyBorder="1" applyAlignment="1">
      <alignment horizontal="left" vertical="center"/>
    </xf>
    <xf numFmtId="3" fontId="15" fillId="0" borderId="10" xfId="0" applyNumberFormat="1" applyFont="1" applyBorder="1" applyAlignment="1">
      <alignment horizontal="center" vertical="center"/>
    </xf>
    <xf numFmtId="0" fontId="20" fillId="0" borderId="9" xfId="0" applyFont="1" applyBorder="1">
      <alignment vertical="center"/>
    </xf>
    <xf numFmtId="176" fontId="0" fillId="0" borderId="9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20" fillId="0" borderId="1" xfId="0" applyNumberFormat="1" applyFont="1" applyBorder="1" applyAlignment="1">
      <alignment horizontal="right" vertical="center"/>
    </xf>
    <xf numFmtId="180" fontId="20" fillId="0" borderId="9" xfId="0" applyNumberFormat="1" applyFont="1" applyBorder="1" applyAlignment="1">
      <alignment horizontal="center" vertical="center"/>
    </xf>
    <xf numFmtId="176" fontId="21" fillId="0" borderId="9" xfId="0" applyNumberFormat="1" applyFont="1" applyBorder="1" applyAlignment="1">
      <alignment horizontal="right" vertical="center"/>
    </xf>
    <xf numFmtId="176" fontId="0" fillId="0" borderId="9" xfId="0" applyNumberFormat="1" applyBorder="1" applyAlignment="1">
      <alignment horizontal="center" vertical="center"/>
    </xf>
    <xf numFmtId="38" fontId="0" fillId="0" borderId="9" xfId="0" applyNumberFormat="1" applyBorder="1">
      <alignment vertical="center"/>
    </xf>
    <xf numFmtId="176" fontId="15" fillId="0" borderId="10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 shrinkToFit="1"/>
    </xf>
    <xf numFmtId="0" fontId="15" fillId="0" borderId="9" xfId="3" applyBorder="1" applyAlignment="1">
      <alignment vertical="center"/>
    </xf>
    <xf numFmtId="0" fontId="12" fillId="0" borderId="10" xfId="0" applyFont="1" applyBorder="1" applyAlignment="1">
      <alignment horizontal="left" vertical="center"/>
    </xf>
    <xf numFmtId="3" fontId="0" fillId="9" borderId="9" xfId="0" applyNumberFormat="1" applyFill="1" applyBorder="1" applyAlignment="1">
      <alignment horizontal="center" vertical="center"/>
    </xf>
    <xf numFmtId="0" fontId="15" fillId="0" borderId="9" xfId="3" applyBorder="1" applyAlignment="1">
      <alignment horizontal="left" vertical="center"/>
    </xf>
    <xf numFmtId="0" fontId="12" fillId="10" borderId="9" xfId="0" applyFont="1" applyFill="1" applyBorder="1" applyAlignment="1">
      <alignment vertical="center" shrinkToFit="1"/>
    </xf>
    <xf numFmtId="176" fontId="0" fillId="10" borderId="8" xfId="0" applyNumberForma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left" vertical="center"/>
    </xf>
    <xf numFmtId="0" fontId="0" fillId="10" borderId="9" xfId="0" applyFill="1" applyBorder="1" applyAlignment="1">
      <alignment vertical="center" shrinkToFit="1"/>
    </xf>
    <xf numFmtId="0" fontId="5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vertical="center" shrinkToFit="1"/>
    </xf>
    <xf numFmtId="0" fontId="0" fillId="10" borderId="9" xfId="0" applyFill="1" applyBorder="1" applyAlignment="1">
      <alignment horizontal="center" vertical="center"/>
    </xf>
    <xf numFmtId="0" fontId="15" fillId="10" borderId="9" xfId="3" applyFill="1" applyBorder="1" applyAlignment="1">
      <alignment vertical="center"/>
    </xf>
    <xf numFmtId="0" fontId="22" fillId="10" borderId="9" xfId="0" applyFont="1" applyFill="1" applyBorder="1" applyAlignment="1">
      <alignment horizontal="center" vertical="center"/>
    </xf>
    <xf numFmtId="182" fontId="22" fillId="10" borderId="9" xfId="0" applyNumberFormat="1" applyFont="1" applyFill="1" applyBorder="1" applyAlignment="1">
      <alignment horizontal="center" vertical="center"/>
    </xf>
    <xf numFmtId="0" fontId="15" fillId="10" borderId="9" xfId="0" applyFont="1" applyFill="1" applyBorder="1">
      <alignment vertical="center"/>
    </xf>
    <xf numFmtId="181" fontId="15" fillId="10" borderId="9" xfId="0" applyNumberFormat="1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5" fillId="10" borderId="9" xfId="3" applyFill="1" applyBorder="1" applyAlignment="1">
      <alignment horizontal="left" vertical="center"/>
    </xf>
    <xf numFmtId="0" fontId="0" fillId="10" borderId="9" xfId="0" applyFill="1" applyBorder="1" applyAlignment="1">
      <alignment horizontal="left" vertical="center"/>
    </xf>
    <xf numFmtId="49" fontId="12" fillId="10" borderId="9" xfId="0" applyNumberFormat="1" applyFont="1" applyFill="1" applyBorder="1" applyAlignment="1">
      <alignment horizontal="left" vertical="center"/>
    </xf>
    <xf numFmtId="0" fontId="20" fillId="10" borderId="9" xfId="0" applyFont="1" applyFill="1" applyBorder="1" applyAlignment="1">
      <alignment horizontal="left" vertical="center"/>
    </xf>
    <xf numFmtId="0" fontId="20" fillId="10" borderId="9" xfId="0" applyFont="1" applyFill="1" applyBorder="1" applyAlignment="1">
      <alignment horizontal="center" vertical="center"/>
    </xf>
    <xf numFmtId="3" fontId="23" fillId="10" borderId="9" xfId="0" applyNumberFormat="1" applyFont="1" applyFill="1" applyBorder="1" applyAlignment="1">
      <alignment horizontal="left" vertical="center"/>
    </xf>
    <xf numFmtId="0" fontId="15" fillId="10" borderId="9" xfId="0" applyFont="1" applyFill="1" applyBorder="1" applyAlignment="1">
      <alignment horizontal="center" vertical="center"/>
    </xf>
    <xf numFmtId="49" fontId="20" fillId="10" borderId="9" xfId="0" applyNumberFormat="1" applyFont="1" applyFill="1" applyBorder="1" applyAlignment="1">
      <alignment horizontal="left" vertical="center"/>
    </xf>
    <xf numFmtId="0" fontId="15" fillId="10" borderId="17" xfId="3" applyFill="1" applyBorder="1"/>
    <xf numFmtId="176" fontId="15" fillId="10" borderId="17" xfId="0" applyNumberFormat="1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horizontal="left" vertical="center"/>
    </xf>
    <xf numFmtId="0" fontId="21" fillId="10" borderId="9" xfId="0" applyFont="1" applyFill="1" applyBorder="1" applyAlignment="1">
      <alignment horizontal="center" vertical="center"/>
    </xf>
    <xf numFmtId="0" fontId="0" fillId="10" borderId="9" xfId="0" applyFill="1" applyBorder="1">
      <alignment vertical="center"/>
    </xf>
    <xf numFmtId="0" fontId="15" fillId="10" borderId="9" xfId="3" applyFill="1" applyBorder="1" applyAlignment="1">
      <alignment horizontal="left"/>
    </xf>
    <xf numFmtId="176" fontId="21" fillId="10" borderId="9" xfId="0" applyNumberFormat="1" applyFont="1" applyFill="1" applyBorder="1" applyAlignment="1">
      <alignment horizontal="center" vertical="center"/>
    </xf>
    <xf numFmtId="0" fontId="12" fillId="10" borderId="10" xfId="0" applyFont="1" applyFill="1" applyBorder="1">
      <alignment vertical="center"/>
    </xf>
    <xf numFmtId="0" fontId="21" fillId="10" borderId="9" xfId="0" applyFont="1" applyFill="1" applyBorder="1">
      <alignment vertical="center"/>
    </xf>
    <xf numFmtId="176" fontId="0" fillId="10" borderId="9" xfId="0" applyNumberFormat="1" applyFill="1" applyBorder="1" applyAlignment="1">
      <alignment horizontal="center" vertical="center"/>
    </xf>
    <xf numFmtId="176" fontId="0" fillId="10" borderId="1" xfId="0" applyNumberFormat="1" applyFill="1" applyBorder="1" applyAlignment="1">
      <alignment horizontal="center" vertical="center"/>
    </xf>
    <xf numFmtId="0" fontId="24" fillId="10" borderId="9" xfId="3" applyFont="1" applyFill="1" applyBorder="1" applyAlignment="1">
      <alignment horizontal="center" vertical="center"/>
    </xf>
    <xf numFmtId="176" fontId="15" fillId="10" borderId="9" xfId="0" applyNumberFormat="1" applyFont="1" applyFill="1" applyBorder="1" applyAlignment="1">
      <alignment horizontal="center" vertical="center"/>
    </xf>
    <xf numFmtId="38" fontId="0" fillId="10" borderId="9" xfId="0" applyNumberFormat="1" applyFill="1" applyBorder="1" applyAlignment="1">
      <alignment horizontal="center" vertical="center"/>
    </xf>
    <xf numFmtId="0" fontId="15" fillId="10" borderId="9" xfId="3" applyFill="1" applyBorder="1" applyAlignment="1">
      <alignment horizontal="center" vertical="center"/>
    </xf>
    <xf numFmtId="38" fontId="20" fillId="10" borderId="9" xfId="0" applyNumberFormat="1" applyFont="1" applyFill="1" applyBorder="1" applyAlignment="1">
      <alignment horizontal="center" vertical="center"/>
    </xf>
    <xf numFmtId="0" fontId="15" fillId="10" borderId="17" xfId="3" applyFill="1" applyBorder="1" applyAlignment="1">
      <alignment horizontal="center" vertical="center"/>
    </xf>
    <xf numFmtId="176" fontId="0" fillId="11" borderId="1" xfId="0" applyNumberFormat="1" applyFill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/>
    </xf>
    <xf numFmtId="176" fontId="9" fillId="0" borderId="8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9" fillId="8" borderId="10" xfId="3" applyFont="1" applyFill="1" applyBorder="1" applyAlignment="1">
      <alignment horizontal="center" vertical="center"/>
    </xf>
    <xf numFmtId="0" fontId="19" fillId="8" borderId="13" xfId="3" applyFont="1" applyFill="1" applyBorder="1" applyAlignment="1">
      <alignment horizontal="center" vertical="center"/>
    </xf>
    <xf numFmtId="0" fontId="19" fillId="8" borderId="12" xfId="3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0067-ADD8-4A35-BA90-F12589C68240}">
  <sheetPr>
    <tabColor theme="4" tint="0.39997558519241921"/>
  </sheetPr>
  <dimension ref="A2:R186"/>
  <sheetViews>
    <sheetView tabSelected="1" zoomScale="55" zoomScaleNormal="55" workbookViewId="0">
      <pane xSplit="11" ySplit="8" topLeftCell="L46" activePane="bottomRight" state="frozen"/>
      <selection activeCell="D26" sqref="D26"/>
      <selection pane="topRight" activeCell="D26" sqref="D26"/>
      <selection pane="bottomLeft" activeCell="D26" sqref="D26"/>
      <selection pane="bottomRight" activeCell="R83" sqref="R83:R108"/>
    </sheetView>
  </sheetViews>
  <sheetFormatPr defaultColWidth="11.75" defaultRowHeight="13.5" customHeight="1" x14ac:dyDescent="0.15"/>
  <cols>
    <col min="1" max="1" width="11.25" customWidth="1"/>
    <col min="2" max="2" width="9.5" customWidth="1"/>
    <col min="3" max="3" width="6.25" style="3" customWidth="1"/>
    <col min="4" max="4" width="15.25" customWidth="1"/>
    <col min="5" max="5" width="15.5" customWidth="1"/>
    <col min="6" max="6" width="55.625" customWidth="1"/>
    <col min="7" max="7" width="10.75" style="3" customWidth="1"/>
    <col min="8" max="9" width="12.125" style="3" customWidth="1"/>
    <col min="10" max="10" width="7.125" style="12" customWidth="1"/>
    <col min="11" max="11" width="46.625" customWidth="1"/>
    <col min="12" max="12" width="22.5" customWidth="1"/>
    <col min="13" max="13" width="8.125" style="3" customWidth="1"/>
    <col min="14" max="14" width="17" style="3" customWidth="1"/>
    <col min="15" max="15" width="7.875" customWidth="1"/>
    <col min="16" max="16" width="16.375" style="3" customWidth="1"/>
    <col min="17" max="17" width="17.875" style="82" customWidth="1"/>
    <col min="18" max="18" width="19.375" style="82" customWidth="1"/>
  </cols>
  <sheetData>
    <row r="2" spans="1:18" ht="20.100000000000001" customHeight="1" x14ac:dyDescent="0.15">
      <c r="C2" s="181" t="s">
        <v>0</v>
      </c>
      <c r="D2" s="181"/>
      <c r="E2" s="181"/>
      <c r="F2" s="80" t="s">
        <v>134</v>
      </c>
      <c r="H2" s="185" t="s">
        <v>2</v>
      </c>
      <c r="I2" s="186"/>
      <c r="J2" s="187"/>
      <c r="K2" s="11">
        <f>SUM(I:I)</f>
        <v>375680</v>
      </c>
    </row>
    <row r="3" spans="1:18" ht="20.100000000000001" customHeight="1" x14ac:dyDescent="0.15">
      <c r="C3" s="181" t="s">
        <v>3</v>
      </c>
      <c r="D3" s="181"/>
      <c r="E3" s="181"/>
      <c r="F3" s="9" t="s">
        <v>135</v>
      </c>
    </row>
    <row r="4" spans="1:18" ht="20.100000000000001" customHeight="1" x14ac:dyDescent="0.15">
      <c r="C4" s="181" t="s">
        <v>5</v>
      </c>
      <c r="D4" s="181"/>
      <c r="E4" s="181"/>
      <c r="F4" s="9" t="s">
        <v>136</v>
      </c>
      <c r="H4" s="188" t="s">
        <v>294</v>
      </c>
      <c r="I4" s="189"/>
      <c r="J4" s="192"/>
      <c r="K4" s="192"/>
      <c r="L4" s="192"/>
    </row>
    <row r="5" spans="1:18" ht="20.100000000000001" customHeight="1" x14ac:dyDescent="0.15">
      <c r="C5" s="181" t="s">
        <v>6</v>
      </c>
      <c r="D5" s="181"/>
      <c r="E5" s="181"/>
      <c r="F5" s="10">
        <v>45931</v>
      </c>
      <c r="H5" s="190"/>
      <c r="I5" s="191"/>
      <c r="J5" s="192"/>
      <c r="K5" s="192"/>
      <c r="L5" s="192"/>
    </row>
    <row r="6" spans="1:18" ht="20.100000000000001" customHeight="1" x14ac:dyDescent="0.15">
      <c r="C6" s="181" t="s">
        <v>7</v>
      </c>
      <c r="D6" s="181"/>
      <c r="E6" s="181"/>
      <c r="F6" s="10">
        <v>45932</v>
      </c>
      <c r="I6" s="83"/>
    </row>
    <row r="8" spans="1:18" s="3" customFormat="1" ht="19.5" customHeight="1" x14ac:dyDescent="0.15">
      <c r="B8" s="86" t="s">
        <v>133</v>
      </c>
      <c r="C8" s="85" t="s">
        <v>8</v>
      </c>
      <c r="D8" s="4" t="s">
        <v>9</v>
      </c>
      <c r="E8" s="4" t="s">
        <v>10</v>
      </c>
      <c r="F8" s="1" t="s">
        <v>11</v>
      </c>
      <c r="G8" s="1" t="s">
        <v>12</v>
      </c>
      <c r="H8" s="1" t="s">
        <v>13</v>
      </c>
      <c r="I8" s="2" t="s">
        <v>14</v>
      </c>
      <c r="J8" s="2" t="s">
        <v>15</v>
      </c>
      <c r="K8" s="1" t="s">
        <v>16</v>
      </c>
      <c r="L8" s="1" t="s">
        <v>17</v>
      </c>
      <c r="M8" s="1" t="s">
        <v>18</v>
      </c>
      <c r="N8" s="18" t="s">
        <v>19</v>
      </c>
      <c r="O8" s="4" t="s">
        <v>20</v>
      </c>
      <c r="P8" s="1" t="s">
        <v>21</v>
      </c>
      <c r="Q8" s="18" t="s">
        <v>22</v>
      </c>
      <c r="R8" s="8" t="s">
        <v>23</v>
      </c>
    </row>
    <row r="9" spans="1:18" s="3" customFormat="1" ht="19.5" customHeight="1" x14ac:dyDescent="0.15">
      <c r="C9" s="4"/>
      <c r="D9" s="4"/>
      <c r="E9" s="4"/>
      <c r="F9" s="6"/>
      <c r="G9" s="49"/>
      <c r="H9" s="49"/>
      <c r="I9" s="49"/>
      <c r="J9" s="14"/>
      <c r="K9" s="50"/>
      <c r="L9" s="1"/>
      <c r="M9" s="1"/>
      <c r="N9" s="18"/>
      <c r="O9" s="4"/>
      <c r="P9" s="1"/>
      <c r="Q9" s="18"/>
      <c r="R9" s="8"/>
    </row>
    <row r="10" spans="1:18" s="3" customFormat="1" ht="19.5" customHeight="1" x14ac:dyDescent="0.15">
      <c r="C10" s="81"/>
      <c r="D10" s="81"/>
      <c r="E10" s="81"/>
      <c r="F10" s="84"/>
      <c r="G10" s="90"/>
      <c r="H10" s="49"/>
      <c r="I10" s="49"/>
      <c r="J10" s="48"/>
      <c r="K10" s="50"/>
      <c r="L10" s="1"/>
      <c r="M10" s="1"/>
      <c r="N10" s="18"/>
      <c r="O10" s="4"/>
      <c r="P10" s="1"/>
      <c r="Q10" s="18"/>
      <c r="R10" s="8"/>
    </row>
    <row r="11" spans="1:18" s="3" customFormat="1" ht="19.5" customHeight="1" x14ac:dyDescent="0.15">
      <c r="C11" s="182" t="s">
        <v>137</v>
      </c>
      <c r="D11" s="183"/>
      <c r="E11" s="183"/>
      <c r="F11" s="184"/>
      <c r="G11" s="90"/>
      <c r="H11" s="49"/>
      <c r="I11" s="49"/>
      <c r="J11" s="48"/>
      <c r="K11" s="50"/>
      <c r="L11" s="1"/>
      <c r="M11" s="1"/>
      <c r="N11" s="18"/>
      <c r="O11" s="4"/>
      <c r="P11" s="1"/>
      <c r="Q11" s="18"/>
      <c r="R11" s="8"/>
    </row>
    <row r="12" spans="1:18" s="3" customFormat="1" ht="19.5" customHeight="1" x14ac:dyDescent="0.15">
      <c r="A12" s="149" t="s">
        <v>162</v>
      </c>
      <c r="C12" s="88">
        <v>1</v>
      </c>
      <c r="D12" s="92" t="s">
        <v>160</v>
      </c>
      <c r="E12" s="92" t="s">
        <v>161</v>
      </c>
      <c r="F12" s="137" t="s">
        <v>164</v>
      </c>
      <c r="G12" s="138">
        <v>1</v>
      </c>
      <c r="H12" s="168">
        <v>17132</v>
      </c>
      <c r="I12" s="87">
        <f>+G12*H12</f>
        <v>17132</v>
      </c>
      <c r="J12" s="48"/>
      <c r="K12" s="91" t="s">
        <v>139</v>
      </c>
      <c r="L12" s="177" t="s">
        <v>295</v>
      </c>
      <c r="M12" s="1"/>
      <c r="N12" s="18">
        <v>45916</v>
      </c>
      <c r="O12" s="4"/>
      <c r="P12" s="176">
        <v>45931</v>
      </c>
      <c r="Q12" s="18">
        <v>45932</v>
      </c>
      <c r="R12" s="16">
        <v>45932</v>
      </c>
    </row>
    <row r="13" spans="1:18" s="3" customFormat="1" ht="19.5" customHeight="1" x14ac:dyDescent="0.15">
      <c r="A13" s="93" t="s">
        <v>240</v>
      </c>
      <c r="C13" s="88">
        <f t="shared" ref="C13:C28" si="0">C12+1</f>
        <v>2</v>
      </c>
      <c r="D13" s="92" t="s">
        <v>161</v>
      </c>
      <c r="E13" s="92" t="s">
        <v>161</v>
      </c>
      <c r="F13" s="137" t="s">
        <v>155</v>
      </c>
      <c r="G13" s="138">
        <v>1</v>
      </c>
      <c r="H13" s="168">
        <v>18441</v>
      </c>
      <c r="I13" s="87">
        <f t="shared" ref="I13:I28" si="1">+G13*H13</f>
        <v>18441</v>
      </c>
      <c r="J13" s="48"/>
      <c r="K13" s="91" t="s">
        <v>157</v>
      </c>
      <c r="L13" s="177" t="s">
        <v>295</v>
      </c>
      <c r="M13" s="1"/>
      <c r="N13" s="18">
        <v>45916</v>
      </c>
      <c r="O13" s="4"/>
      <c r="P13" s="176">
        <v>45931</v>
      </c>
      <c r="Q13" s="18">
        <v>45932</v>
      </c>
      <c r="R13" s="16">
        <v>45932</v>
      </c>
    </row>
    <row r="14" spans="1:18" s="3" customFormat="1" ht="19.5" customHeight="1" x14ac:dyDescent="0.15">
      <c r="A14" s="93" t="s">
        <v>240</v>
      </c>
      <c r="C14" s="88">
        <f t="shared" si="0"/>
        <v>3</v>
      </c>
      <c r="D14" s="92" t="s">
        <v>161</v>
      </c>
      <c r="E14" s="92" t="s">
        <v>161</v>
      </c>
      <c r="F14" s="137" t="s">
        <v>156</v>
      </c>
      <c r="G14" s="138">
        <v>2</v>
      </c>
      <c r="H14" s="168">
        <v>792</v>
      </c>
      <c r="I14" s="87">
        <f t="shared" si="1"/>
        <v>1584</v>
      </c>
      <c r="J14" s="48"/>
      <c r="K14" s="91" t="s">
        <v>158</v>
      </c>
      <c r="L14" s="177" t="s">
        <v>295</v>
      </c>
      <c r="M14" s="1"/>
      <c r="N14" s="18">
        <v>45916</v>
      </c>
      <c r="O14" s="4"/>
      <c r="P14" s="176">
        <v>45931</v>
      </c>
      <c r="Q14" s="18">
        <v>45932</v>
      </c>
      <c r="R14" s="16">
        <v>45932</v>
      </c>
    </row>
    <row r="15" spans="1:18" s="3" customFormat="1" ht="19.5" customHeight="1" x14ac:dyDescent="0.15">
      <c r="A15" s="93" t="s">
        <v>240</v>
      </c>
      <c r="C15" s="88">
        <f t="shared" si="0"/>
        <v>4</v>
      </c>
      <c r="D15" s="92" t="s">
        <v>161</v>
      </c>
      <c r="E15" s="92" t="s">
        <v>161</v>
      </c>
      <c r="F15" s="137" t="s">
        <v>140</v>
      </c>
      <c r="G15" s="138">
        <v>2</v>
      </c>
      <c r="H15" s="168">
        <v>82</v>
      </c>
      <c r="I15" s="87">
        <f t="shared" si="1"/>
        <v>164</v>
      </c>
      <c r="J15" s="48"/>
      <c r="K15" s="91" t="s">
        <v>159</v>
      </c>
      <c r="L15" s="177" t="s">
        <v>295</v>
      </c>
      <c r="M15" s="1"/>
      <c r="N15" s="18">
        <v>45916</v>
      </c>
      <c r="O15" s="4"/>
      <c r="P15" s="176">
        <v>45931</v>
      </c>
      <c r="Q15" s="18">
        <v>45932</v>
      </c>
      <c r="R15" s="16">
        <v>45932</v>
      </c>
    </row>
    <row r="16" spans="1:18" s="3" customFormat="1" ht="19.5" customHeight="1" x14ac:dyDescent="0.15">
      <c r="A16" s="93" t="s">
        <v>240</v>
      </c>
      <c r="C16" s="88">
        <f t="shared" si="0"/>
        <v>5</v>
      </c>
      <c r="D16" s="92" t="s">
        <v>161</v>
      </c>
      <c r="E16" s="92" t="s">
        <v>161</v>
      </c>
      <c r="F16" s="137" t="s">
        <v>141</v>
      </c>
      <c r="G16" s="138">
        <v>11</v>
      </c>
      <c r="H16" s="175">
        <v>41</v>
      </c>
      <c r="I16" s="87">
        <f t="shared" si="1"/>
        <v>451</v>
      </c>
      <c r="J16" s="48"/>
      <c r="K16" s="91" t="s">
        <v>283</v>
      </c>
      <c r="L16" s="177" t="s">
        <v>295</v>
      </c>
      <c r="M16" s="1"/>
      <c r="N16" s="18">
        <v>45916</v>
      </c>
      <c r="O16" s="4"/>
      <c r="P16" s="176">
        <v>45931</v>
      </c>
      <c r="Q16" s="18">
        <v>45932</v>
      </c>
      <c r="R16" s="16">
        <v>45932</v>
      </c>
    </row>
    <row r="17" spans="1:18" s="3" customFormat="1" ht="19.5" customHeight="1" x14ac:dyDescent="0.15">
      <c r="A17" s="93" t="s">
        <v>240</v>
      </c>
      <c r="C17" s="88">
        <f t="shared" si="0"/>
        <v>6</v>
      </c>
      <c r="D17" s="92" t="s">
        <v>161</v>
      </c>
      <c r="E17" s="92" t="s">
        <v>161</v>
      </c>
      <c r="F17" s="137" t="s">
        <v>148</v>
      </c>
      <c r="G17" s="138">
        <v>4</v>
      </c>
      <c r="H17" s="168">
        <v>77</v>
      </c>
      <c r="I17" s="87">
        <f t="shared" si="1"/>
        <v>308</v>
      </c>
      <c r="J17" s="48"/>
      <c r="K17" s="91" t="s">
        <v>284</v>
      </c>
      <c r="L17" s="177" t="s">
        <v>295</v>
      </c>
      <c r="M17" s="1"/>
      <c r="N17" s="18">
        <v>45916</v>
      </c>
      <c r="O17" s="4"/>
      <c r="P17" s="176">
        <v>45931</v>
      </c>
      <c r="Q17" s="18">
        <v>45932</v>
      </c>
      <c r="R17" s="16">
        <v>45932</v>
      </c>
    </row>
    <row r="18" spans="1:18" s="3" customFormat="1" ht="19.5" customHeight="1" x14ac:dyDescent="0.15">
      <c r="A18" s="93" t="s">
        <v>240</v>
      </c>
      <c r="C18" s="88">
        <f t="shared" si="0"/>
        <v>7</v>
      </c>
      <c r="D18" s="92" t="s">
        <v>161</v>
      </c>
      <c r="E18" s="92" t="s">
        <v>161</v>
      </c>
      <c r="F18" s="137" t="s">
        <v>142</v>
      </c>
      <c r="G18" s="138">
        <v>4</v>
      </c>
      <c r="H18" s="168">
        <v>105</v>
      </c>
      <c r="I18" s="87">
        <f t="shared" si="1"/>
        <v>420</v>
      </c>
      <c r="J18" s="48"/>
      <c r="K18" s="91" t="s">
        <v>143</v>
      </c>
      <c r="L18" s="177" t="s">
        <v>295</v>
      </c>
      <c r="M18" s="1"/>
      <c r="N18" s="18">
        <v>45916</v>
      </c>
      <c r="O18" s="4"/>
      <c r="P18" s="176">
        <v>45931</v>
      </c>
      <c r="Q18" s="18">
        <v>45932</v>
      </c>
      <c r="R18" s="16">
        <v>45932</v>
      </c>
    </row>
    <row r="19" spans="1:18" s="3" customFormat="1" ht="19.5" customHeight="1" x14ac:dyDescent="0.15">
      <c r="A19" s="149" t="s">
        <v>163</v>
      </c>
      <c r="C19" s="88">
        <f t="shared" si="0"/>
        <v>8</v>
      </c>
      <c r="D19" s="92" t="s">
        <v>160</v>
      </c>
      <c r="E19" s="92" t="s">
        <v>161</v>
      </c>
      <c r="F19" s="137" t="s">
        <v>165</v>
      </c>
      <c r="G19" s="138">
        <v>1</v>
      </c>
      <c r="H19" s="168">
        <v>3803</v>
      </c>
      <c r="I19" s="87">
        <f t="shared" si="1"/>
        <v>3803</v>
      </c>
      <c r="J19" s="48"/>
      <c r="K19" s="91" t="s">
        <v>144</v>
      </c>
      <c r="L19" s="177" t="s">
        <v>295</v>
      </c>
      <c r="M19" s="1"/>
      <c r="N19" s="18">
        <v>45916</v>
      </c>
      <c r="O19" s="4"/>
      <c r="P19" s="176">
        <v>45931</v>
      </c>
      <c r="Q19" s="18">
        <v>45932</v>
      </c>
      <c r="R19" s="16">
        <v>45932</v>
      </c>
    </row>
    <row r="20" spans="1:18" s="3" customFormat="1" ht="19.5" customHeight="1" x14ac:dyDescent="0.15">
      <c r="A20" s="93" t="s">
        <v>240</v>
      </c>
      <c r="C20" s="88">
        <f t="shared" si="0"/>
        <v>9</v>
      </c>
      <c r="D20" s="92" t="s">
        <v>161</v>
      </c>
      <c r="E20" s="92" t="s">
        <v>161</v>
      </c>
      <c r="F20" s="137" t="s">
        <v>145</v>
      </c>
      <c r="G20" s="138">
        <v>11</v>
      </c>
      <c r="H20" s="168">
        <v>41</v>
      </c>
      <c r="I20" s="87">
        <f t="shared" si="1"/>
        <v>451</v>
      </c>
      <c r="J20" s="48"/>
      <c r="K20" s="91" t="s">
        <v>138</v>
      </c>
      <c r="L20" s="177" t="s">
        <v>295</v>
      </c>
      <c r="M20" s="1"/>
      <c r="N20" s="18">
        <v>45916</v>
      </c>
      <c r="O20" s="4"/>
      <c r="P20" s="176">
        <v>45931</v>
      </c>
      <c r="Q20" s="18">
        <v>45932</v>
      </c>
      <c r="R20" s="16">
        <v>45932</v>
      </c>
    </row>
    <row r="21" spans="1:18" s="3" customFormat="1" ht="19.5" customHeight="1" x14ac:dyDescent="0.15">
      <c r="A21" s="93" t="s">
        <v>240</v>
      </c>
      <c r="C21" s="88">
        <f t="shared" si="0"/>
        <v>10</v>
      </c>
      <c r="D21" s="92" t="s">
        <v>161</v>
      </c>
      <c r="E21" s="92" t="s">
        <v>161</v>
      </c>
      <c r="F21" s="137" t="s">
        <v>146</v>
      </c>
      <c r="G21" s="138">
        <v>12</v>
      </c>
      <c r="H21" s="175">
        <v>14</v>
      </c>
      <c r="I21" s="87">
        <f t="shared" si="1"/>
        <v>168</v>
      </c>
      <c r="J21" s="48"/>
      <c r="K21" s="91" t="s">
        <v>292</v>
      </c>
      <c r="L21" s="177" t="s">
        <v>295</v>
      </c>
      <c r="M21" s="1"/>
      <c r="N21" s="18">
        <v>45916</v>
      </c>
      <c r="O21" s="4"/>
      <c r="P21" s="176">
        <v>45931</v>
      </c>
      <c r="Q21" s="18">
        <v>45932</v>
      </c>
      <c r="R21" s="16">
        <v>45932</v>
      </c>
    </row>
    <row r="22" spans="1:18" s="3" customFormat="1" ht="19.5" customHeight="1" x14ac:dyDescent="0.15">
      <c r="A22" s="149" t="s">
        <v>162</v>
      </c>
      <c r="C22" s="88">
        <f t="shared" si="0"/>
        <v>11</v>
      </c>
      <c r="D22" s="92" t="s">
        <v>160</v>
      </c>
      <c r="E22" s="92" t="s">
        <v>161</v>
      </c>
      <c r="F22" s="137" t="s">
        <v>167</v>
      </c>
      <c r="G22" s="138">
        <v>1</v>
      </c>
      <c r="H22" s="168">
        <v>17018</v>
      </c>
      <c r="I22" s="87">
        <f t="shared" si="1"/>
        <v>17018</v>
      </c>
      <c r="J22" s="48"/>
      <c r="K22" s="91" t="s">
        <v>147</v>
      </c>
      <c r="L22" s="177" t="s">
        <v>295</v>
      </c>
      <c r="M22" s="1"/>
      <c r="N22" s="18">
        <v>45916</v>
      </c>
      <c r="O22" s="4"/>
      <c r="P22" s="176">
        <v>45931</v>
      </c>
      <c r="Q22" s="18">
        <v>45932</v>
      </c>
      <c r="R22" s="16">
        <v>45932</v>
      </c>
    </row>
    <row r="23" spans="1:18" s="3" customFormat="1" ht="19.5" customHeight="1" x14ac:dyDescent="0.15">
      <c r="A23" s="93" t="s">
        <v>240</v>
      </c>
      <c r="C23" s="88">
        <f>C22+1</f>
        <v>12</v>
      </c>
      <c r="D23" s="92" t="s">
        <v>161</v>
      </c>
      <c r="E23" s="92" t="s">
        <v>161</v>
      </c>
      <c r="F23" s="137" t="s">
        <v>149</v>
      </c>
      <c r="G23" s="138">
        <v>4</v>
      </c>
      <c r="H23" s="168">
        <v>112</v>
      </c>
      <c r="I23" s="87">
        <f t="shared" si="1"/>
        <v>448</v>
      </c>
      <c r="J23" s="48"/>
      <c r="K23" s="91" t="s">
        <v>143</v>
      </c>
      <c r="L23" s="177" t="s">
        <v>295</v>
      </c>
      <c r="M23" s="1"/>
      <c r="N23" s="18">
        <v>45916</v>
      </c>
      <c r="O23" s="4"/>
      <c r="P23" s="176">
        <v>45931</v>
      </c>
      <c r="Q23" s="18">
        <v>45932</v>
      </c>
      <c r="R23" s="16">
        <v>45932</v>
      </c>
    </row>
    <row r="24" spans="1:18" s="3" customFormat="1" ht="19.5" customHeight="1" x14ac:dyDescent="0.15">
      <c r="A24" s="149" t="s">
        <v>162</v>
      </c>
      <c r="C24" s="88">
        <f t="shared" si="0"/>
        <v>13</v>
      </c>
      <c r="D24" s="92" t="s">
        <v>160</v>
      </c>
      <c r="E24" s="92" t="s">
        <v>161</v>
      </c>
      <c r="F24" s="137" t="s">
        <v>166</v>
      </c>
      <c r="G24" s="138">
        <v>1</v>
      </c>
      <c r="H24" s="168">
        <v>4267</v>
      </c>
      <c r="I24" s="87">
        <f t="shared" si="1"/>
        <v>4267</v>
      </c>
      <c r="J24" s="48"/>
      <c r="K24" s="91" t="s">
        <v>150</v>
      </c>
      <c r="L24" s="177" t="s">
        <v>295</v>
      </c>
      <c r="M24" s="1"/>
      <c r="N24" s="18">
        <v>45916</v>
      </c>
      <c r="O24" s="4"/>
      <c r="P24" s="176">
        <v>45931</v>
      </c>
      <c r="Q24" s="18">
        <v>45932</v>
      </c>
      <c r="R24" s="16">
        <v>45932</v>
      </c>
    </row>
    <row r="25" spans="1:18" s="3" customFormat="1" ht="19.5" customHeight="1" x14ac:dyDescent="0.15">
      <c r="A25" s="93" t="s">
        <v>240</v>
      </c>
      <c r="C25" s="88">
        <f t="shared" si="0"/>
        <v>14</v>
      </c>
      <c r="D25" s="92" t="s">
        <v>161</v>
      </c>
      <c r="E25" s="92" t="s">
        <v>161</v>
      </c>
      <c r="F25" s="137" t="s">
        <v>151</v>
      </c>
      <c r="G25" s="138">
        <v>2</v>
      </c>
      <c r="H25" s="168">
        <v>120</v>
      </c>
      <c r="I25" s="87">
        <f t="shared" si="1"/>
        <v>240</v>
      </c>
      <c r="J25" s="48"/>
      <c r="K25" s="91" t="s">
        <v>143</v>
      </c>
      <c r="L25" s="177" t="s">
        <v>295</v>
      </c>
      <c r="M25" s="1"/>
      <c r="N25" s="18">
        <v>45916</v>
      </c>
      <c r="O25" s="4"/>
      <c r="P25" s="176">
        <v>45931</v>
      </c>
      <c r="Q25" s="18">
        <v>45932</v>
      </c>
      <c r="R25" s="16">
        <v>45932</v>
      </c>
    </row>
    <row r="26" spans="1:18" s="3" customFormat="1" ht="19.5" customHeight="1" x14ac:dyDescent="0.15">
      <c r="A26" s="149" t="s">
        <v>163</v>
      </c>
      <c r="C26" s="88">
        <f t="shared" si="0"/>
        <v>15</v>
      </c>
      <c r="D26" s="92" t="s">
        <v>160</v>
      </c>
      <c r="E26" s="92" t="s">
        <v>161</v>
      </c>
      <c r="F26" s="137" t="s">
        <v>168</v>
      </c>
      <c r="G26" s="138">
        <v>1</v>
      </c>
      <c r="H26" s="168">
        <v>2679</v>
      </c>
      <c r="I26" s="87">
        <f t="shared" si="1"/>
        <v>2679</v>
      </c>
      <c r="J26" s="48"/>
      <c r="K26" s="91" t="s">
        <v>152</v>
      </c>
      <c r="L26" s="177" t="s">
        <v>295</v>
      </c>
      <c r="M26" s="1"/>
      <c r="N26" s="18">
        <v>45916</v>
      </c>
      <c r="O26" s="4"/>
      <c r="P26" s="176">
        <v>45931</v>
      </c>
      <c r="Q26" s="18">
        <v>45932</v>
      </c>
      <c r="R26" s="16">
        <v>45932</v>
      </c>
    </row>
    <row r="27" spans="1:18" s="3" customFormat="1" ht="19.5" customHeight="1" x14ac:dyDescent="0.15">
      <c r="A27" s="93" t="s">
        <v>240</v>
      </c>
      <c r="C27" s="88">
        <f t="shared" si="0"/>
        <v>16</v>
      </c>
      <c r="D27" s="92" t="s">
        <v>161</v>
      </c>
      <c r="E27" s="92" t="s">
        <v>161</v>
      </c>
      <c r="F27" s="137" t="s">
        <v>153</v>
      </c>
      <c r="G27" s="138">
        <v>7</v>
      </c>
      <c r="H27" s="175">
        <v>47</v>
      </c>
      <c r="I27" s="87">
        <f t="shared" si="1"/>
        <v>329</v>
      </c>
      <c r="J27" s="48"/>
      <c r="K27" s="91" t="s">
        <v>291</v>
      </c>
      <c r="L27" s="177" t="s">
        <v>295</v>
      </c>
      <c r="M27" s="1"/>
      <c r="N27" s="18">
        <v>45916</v>
      </c>
      <c r="O27" s="4"/>
      <c r="P27" s="176">
        <v>45931</v>
      </c>
      <c r="Q27" s="18">
        <v>45932</v>
      </c>
      <c r="R27" s="16">
        <v>45932</v>
      </c>
    </row>
    <row r="28" spans="1:18" s="3" customFormat="1" ht="19.5" customHeight="1" x14ac:dyDescent="0.15">
      <c r="A28" s="93" t="s">
        <v>240</v>
      </c>
      <c r="C28" s="88">
        <f t="shared" si="0"/>
        <v>17</v>
      </c>
      <c r="D28" s="92" t="s">
        <v>161</v>
      </c>
      <c r="E28" s="92" t="s">
        <v>161</v>
      </c>
      <c r="F28" s="137" t="s">
        <v>154</v>
      </c>
      <c r="G28" s="138">
        <v>8</v>
      </c>
      <c r="H28" s="168">
        <v>112</v>
      </c>
      <c r="I28" s="87">
        <f t="shared" si="1"/>
        <v>896</v>
      </c>
      <c r="J28" s="48"/>
      <c r="K28" s="91" t="s">
        <v>293</v>
      </c>
      <c r="L28" s="177" t="s">
        <v>295</v>
      </c>
      <c r="M28" s="1"/>
      <c r="N28" s="18">
        <v>45916</v>
      </c>
      <c r="O28" s="4"/>
      <c r="P28" s="176">
        <v>45931</v>
      </c>
      <c r="Q28" s="18">
        <v>45932</v>
      </c>
      <c r="R28" s="16">
        <v>45932</v>
      </c>
    </row>
    <row r="29" spans="1:18" s="3" customFormat="1" ht="19.5" customHeight="1" x14ac:dyDescent="0.15">
      <c r="C29" s="141"/>
      <c r="D29" s="81"/>
      <c r="E29" s="81"/>
      <c r="F29" s="142"/>
      <c r="G29" s="90"/>
      <c r="H29" s="49"/>
      <c r="I29" s="49"/>
      <c r="J29" s="48"/>
      <c r="K29" s="50"/>
      <c r="L29" s="1"/>
      <c r="M29" s="1"/>
      <c r="N29" s="18"/>
      <c r="O29" s="4"/>
      <c r="P29" s="1"/>
      <c r="Q29" s="18"/>
      <c r="R29" s="8"/>
    </row>
    <row r="30" spans="1:18" s="3" customFormat="1" ht="19.5" customHeight="1" x14ac:dyDescent="0.15">
      <c r="C30" s="81"/>
      <c r="D30" s="81"/>
      <c r="E30" s="81"/>
      <c r="F30" s="84"/>
      <c r="G30" s="90"/>
      <c r="H30" s="49"/>
      <c r="I30" s="49"/>
      <c r="J30" s="48"/>
      <c r="K30" s="50"/>
      <c r="L30" s="1"/>
      <c r="M30" s="1"/>
      <c r="N30" s="18"/>
      <c r="O30" s="4"/>
      <c r="P30" s="1"/>
      <c r="Q30" s="18"/>
      <c r="R30" s="8"/>
    </row>
    <row r="31" spans="1:18" s="3" customFormat="1" ht="19.5" customHeight="1" x14ac:dyDescent="0.15">
      <c r="C31" s="81"/>
      <c r="D31" s="81"/>
      <c r="E31" s="81"/>
      <c r="F31" s="89">
        <f>SUM(I12:I30)</f>
        <v>68799</v>
      </c>
      <c r="G31" s="90"/>
      <c r="H31" s="49"/>
      <c r="I31" s="49"/>
      <c r="J31" s="48"/>
      <c r="K31" s="50"/>
      <c r="L31" s="1"/>
      <c r="M31" s="1"/>
      <c r="N31" s="18"/>
      <c r="O31" s="4"/>
      <c r="P31" s="1"/>
      <c r="Q31" s="18"/>
      <c r="R31" s="8"/>
    </row>
    <row r="32" spans="1:18" s="3" customFormat="1" ht="19.5" customHeight="1" x14ac:dyDescent="0.15">
      <c r="C32" s="81"/>
      <c r="D32" s="81"/>
      <c r="E32" s="81"/>
      <c r="F32" s="84"/>
      <c r="G32" s="90"/>
      <c r="H32" s="49"/>
      <c r="I32" s="49"/>
      <c r="J32" s="48"/>
      <c r="K32" s="50"/>
      <c r="L32" s="1"/>
      <c r="M32" s="1"/>
      <c r="N32" s="18"/>
      <c r="O32" s="4"/>
      <c r="P32" s="1"/>
      <c r="Q32" s="18"/>
      <c r="R32" s="8"/>
    </row>
    <row r="33" spans="1:18" s="3" customFormat="1" ht="19.5" customHeight="1" x14ac:dyDescent="0.15">
      <c r="C33" s="81"/>
      <c r="D33" s="81"/>
      <c r="E33" s="81"/>
      <c r="F33" s="84"/>
      <c r="G33" s="90"/>
      <c r="H33" s="49"/>
      <c r="I33" s="49"/>
      <c r="J33" s="48"/>
      <c r="K33" s="50"/>
      <c r="L33" s="1"/>
      <c r="M33" s="1"/>
      <c r="N33" s="18"/>
      <c r="O33" s="4"/>
      <c r="P33" s="1"/>
      <c r="Q33" s="18"/>
      <c r="R33" s="8"/>
    </row>
    <row r="34" spans="1:18" s="3" customFormat="1" ht="19.5" customHeight="1" x14ac:dyDescent="0.15">
      <c r="C34" s="81"/>
      <c r="D34" s="81"/>
      <c r="E34" s="81"/>
      <c r="F34" s="84"/>
      <c r="G34" s="90"/>
      <c r="H34" s="49"/>
      <c r="I34" s="49"/>
      <c r="J34" s="48"/>
      <c r="K34" s="50"/>
      <c r="L34" s="1"/>
      <c r="M34" s="1"/>
      <c r="N34" s="18"/>
      <c r="O34" s="4"/>
      <c r="P34" s="1"/>
      <c r="Q34" s="18"/>
      <c r="R34" s="8"/>
    </row>
    <row r="35" spans="1:18" s="3" customFormat="1" ht="19.5" customHeight="1" x14ac:dyDescent="0.15">
      <c r="C35" s="81"/>
      <c r="D35" s="81"/>
      <c r="E35" s="81"/>
      <c r="F35" s="84"/>
      <c r="G35" s="90"/>
      <c r="H35" s="49"/>
      <c r="I35" s="49"/>
      <c r="J35" s="48"/>
      <c r="K35" s="50"/>
      <c r="L35" s="1"/>
      <c r="M35" s="1"/>
      <c r="N35" s="18"/>
      <c r="O35" s="4"/>
      <c r="P35" s="1"/>
      <c r="Q35" s="18"/>
      <c r="R35" s="8"/>
    </row>
    <row r="36" spans="1:18" s="3" customFormat="1" ht="19.5" customHeight="1" x14ac:dyDescent="0.15">
      <c r="C36" s="182" t="s">
        <v>221</v>
      </c>
      <c r="D36" s="183"/>
      <c r="E36" s="183"/>
      <c r="F36" s="184"/>
      <c r="G36" s="90"/>
      <c r="H36" s="49"/>
      <c r="I36" s="49"/>
      <c r="J36" s="48"/>
      <c r="K36" s="50"/>
      <c r="L36" s="1"/>
      <c r="M36" s="1"/>
      <c r="N36" s="18"/>
      <c r="O36" s="4"/>
      <c r="P36" s="1"/>
      <c r="Q36" s="18"/>
      <c r="R36" s="8"/>
    </row>
    <row r="37" spans="1:18" s="3" customFormat="1" ht="19.5" customHeight="1" x14ac:dyDescent="0.15">
      <c r="A37" s="149" t="s">
        <v>163</v>
      </c>
      <c r="C37" s="88">
        <f>C28+1</f>
        <v>18</v>
      </c>
      <c r="D37" s="135" t="s">
        <v>234</v>
      </c>
      <c r="E37" s="81" t="s">
        <v>176</v>
      </c>
      <c r="F37" s="137" t="s">
        <v>237</v>
      </c>
      <c r="G37" s="138">
        <v>1</v>
      </c>
      <c r="H37" s="168">
        <v>2740</v>
      </c>
      <c r="I37" s="87">
        <f t="shared" ref="I37:I45" si="2">+G37*H37</f>
        <v>2740</v>
      </c>
      <c r="J37" s="48"/>
      <c r="K37" s="91" t="s">
        <v>222</v>
      </c>
      <c r="L37" s="177" t="s">
        <v>295</v>
      </c>
      <c r="M37" s="1"/>
      <c r="N37" s="18">
        <v>45916</v>
      </c>
      <c r="O37" s="4"/>
      <c r="P37" s="176">
        <v>45931</v>
      </c>
      <c r="Q37" s="18">
        <v>45932</v>
      </c>
      <c r="R37" s="16">
        <v>45932</v>
      </c>
    </row>
    <row r="38" spans="1:18" s="3" customFormat="1" ht="19.5" customHeight="1" x14ac:dyDescent="0.15">
      <c r="A38" s="93" t="s">
        <v>240</v>
      </c>
      <c r="C38" s="88">
        <f t="shared" ref="C38:C45" si="3">C37+1</f>
        <v>19</v>
      </c>
      <c r="D38" s="92" t="s">
        <v>161</v>
      </c>
      <c r="E38" s="92" t="s">
        <v>161</v>
      </c>
      <c r="F38" s="137" t="s">
        <v>226</v>
      </c>
      <c r="G38" s="138">
        <v>2</v>
      </c>
      <c r="H38" s="168">
        <v>71</v>
      </c>
      <c r="I38" s="87">
        <f t="shared" si="2"/>
        <v>142</v>
      </c>
      <c r="J38" s="48"/>
      <c r="K38" s="91" t="s">
        <v>227</v>
      </c>
      <c r="L38" s="177" t="s">
        <v>295</v>
      </c>
      <c r="M38" s="1"/>
      <c r="N38" s="18">
        <v>45916</v>
      </c>
      <c r="O38" s="4"/>
      <c r="P38" s="176">
        <v>45931</v>
      </c>
      <c r="Q38" s="18">
        <v>45932</v>
      </c>
      <c r="R38" s="16">
        <v>45932</v>
      </c>
    </row>
    <row r="39" spans="1:18" s="3" customFormat="1" ht="19.5" customHeight="1" x14ac:dyDescent="0.15">
      <c r="A39" s="93" t="s">
        <v>240</v>
      </c>
      <c r="C39" s="88">
        <f t="shared" si="3"/>
        <v>20</v>
      </c>
      <c r="D39" s="94" t="s">
        <v>176</v>
      </c>
      <c r="E39" s="94" t="s">
        <v>176</v>
      </c>
      <c r="F39" s="144" t="s">
        <v>228</v>
      </c>
      <c r="G39" s="145">
        <v>4</v>
      </c>
      <c r="H39" s="169">
        <v>69</v>
      </c>
      <c r="I39" s="87">
        <f t="shared" si="2"/>
        <v>276</v>
      </c>
      <c r="J39" s="96"/>
      <c r="K39" s="133" t="s">
        <v>229</v>
      </c>
      <c r="L39" s="177" t="s">
        <v>295</v>
      </c>
      <c r="M39" s="1"/>
      <c r="N39" s="18">
        <v>45916</v>
      </c>
      <c r="O39" s="4"/>
      <c r="P39" s="176">
        <v>45931</v>
      </c>
      <c r="Q39" s="18">
        <v>45932</v>
      </c>
      <c r="R39" s="16">
        <v>45932</v>
      </c>
    </row>
    <row r="40" spans="1:18" s="3" customFormat="1" ht="19.5" customHeight="1" x14ac:dyDescent="0.15">
      <c r="A40" s="93" t="s">
        <v>240</v>
      </c>
      <c r="C40" s="88">
        <f>C39+1</f>
        <v>21</v>
      </c>
      <c r="D40" s="92" t="s">
        <v>161</v>
      </c>
      <c r="E40" s="92" t="s">
        <v>161</v>
      </c>
      <c r="F40" s="137" t="s">
        <v>230</v>
      </c>
      <c r="G40" s="138">
        <v>2</v>
      </c>
      <c r="H40" s="168">
        <v>30</v>
      </c>
      <c r="I40" s="87">
        <f t="shared" si="2"/>
        <v>60</v>
      </c>
      <c r="J40" s="48"/>
      <c r="K40" s="91" t="s">
        <v>231</v>
      </c>
      <c r="L40" s="177" t="s">
        <v>295</v>
      </c>
      <c r="M40" s="1"/>
      <c r="N40" s="18">
        <v>45916</v>
      </c>
      <c r="O40" s="4"/>
      <c r="P40" s="176">
        <v>45931</v>
      </c>
      <c r="Q40" s="18">
        <v>45932</v>
      </c>
      <c r="R40" s="16">
        <v>45932</v>
      </c>
    </row>
    <row r="41" spans="1:18" s="3" customFormat="1" ht="19.5" customHeight="1" x14ac:dyDescent="0.15">
      <c r="A41" s="149" t="s">
        <v>163</v>
      </c>
      <c r="C41" s="88">
        <f t="shared" si="3"/>
        <v>22</v>
      </c>
      <c r="D41" s="135" t="s">
        <v>234</v>
      </c>
      <c r="E41" s="81" t="s">
        <v>176</v>
      </c>
      <c r="F41" s="137" t="s">
        <v>238</v>
      </c>
      <c r="G41" s="138">
        <v>1</v>
      </c>
      <c r="H41" s="168">
        <v>2530</v>
      </c>
      <c r="I41" s="87">
        <f t="shared" si="2"/>
        <v>2530</v>
      </c>
      <c r="J41" s="48"/>
      <c r="K41" s="91" t="s">
        <v>232</v>
      </c>
      <c r="L41" s="177" t="s">
        <v>295</v>
      </c>
      <c r="M41" s="1"/>
      <c r="N41" s="18">
        <v>45916</v>
      </c>
      <c r="O41" s="4"/>
      <c r="P41" s="176">
        <v>45931</v>
      </c>
      <c r="Q41" s="18">
        <v>45932</v>
      </c>
      <c r="R41" s="16">
        <v>45932</v>
      </c>
    </row>
    <row r="42" spans="1:18" s="3" customFormat="1" ht="19.5" customHeight="1" x14ac:dyDescent="0.15">
      <c r="A42" s="149" t="s">
        <v>163</v>
      </c>
      <c r="C42" s="88">
        <f t="shared" si="3"/>
        <v>23</v>
      </c>
      <c r="D42" s="135" t="s">
        <v>234</v>
      </c>
      <c r="E42" s="81" t="s">
        <v>176</v>
      </c>
      <c r="F42" s="137" t="s">
        <v>239</v>
      </c>
      <c r="G42" s="138">
        <v>1</v>
      </c>
      <c r="H42" s="168">
        <v>4500</v>
      </c>
      <c r="I42" s="87">
        <f t="shared" si="2"/>
        <v>4500</v>
      </c>
      <c r="J42" s="48"/>
      <c r="K42" s="91" t="s">
        <v>233</v>
      </c>
      <c r="L42" s="177" t="s">
        <v>295</v>
      </c>
      <c r="M42" s="1"/>
      <c r="N42" s="18">
        <v>45916</v>
      </c>
      <c r="O42" s="4"/>
      <c r="P42" s="176">
        <v>45931</v>
      </c>
      <c r="Q42" s="18">
        <v>45932</v>
      </c>
      <c r="R42" s="16">
        <v>45932</v>
      </c>
    </row>
    <row r="43" spans="1:18" s="3" customFormat="1" ht="19.5" customHeight="1" x14ac:dyDescent="0.15">
      <c r="A43" s="149" t="s">
        <v>163</v>
      </c>
      <c r="C43" s="88">
        <f t="shared" si="3"/>
        <v>24</v>
      </c>
      <c r="D43" s="135" t="s">
        <v>234</v>
      </c>
      <c r="E43" s="81" t="s">
        <v>176</v>
      </c>
      <c r="F43" s="150" t="s">
        <v>235</v>
      </c>
      <c r="G43" s="146">
        <v>1</v>
      </c>
      <c r="H43" s="169">
        <v>3897</v>
      </c>
      <c r="I43" s="87">
        <f t="shared" si="2"/>
        <v>3897</v>
      </c>
      <c r="J43" s="107"/>
      <c r="K43" s="136" t="s">
        <v>236</v>
      </c>
      <c r="L43" s="177" t="s">
        <v>295</v>
      </c>
      <c r="M43" s="1"/>
      <c r="N43" s="18">
        <v>45916</v>
      </c>
      <c r="O43" s="4"/>
      <c r="P43" s="176">
        <v>45931</v>
      </c>
      <c r="Q43" s="18">
        <v>45932</v>
      </c>
      <c r="R43" s="16">
        <v>45932</v>
      </c>
    </row>
    <row r="44" spans="1:18" s="3" customFormat="1" ht="19.5" customHeight="1" x14ac:dyDescent="0.15">
      <c r="A44" s="93" t="s">
        <v>240</v>
      </c>
      <c r="C44" s="88">
        <f t="shared" si="3"/>
        <v>25</v>
      </c>
      <c r="D44" s="95" t="s">
        <v>176</v>
      </c>
      <c r="E44" s="95" t="s">
        <v>176</v>
      </c>
      <c r="F44" s="147" t="s">
        <v>223</v>
      </c>
      <c r="G44" s="148">
        <v>1</v>
      </c>
      <c r="H44" s="170">
        <v>821</v>
      </c>
      <c r="I44" s="87">
        <f t="shared" si="2"/>
        <v>821</v>
      </c>
      <c r="J44" s="102"/>
      <c r="K44" s="132" t="s">
        <v>224</v>
      </c>
      <c r="L44" s="177" t="s">
        <v>295</v>
      </c>
      <c r="M44" s="1"/>
      <c r="N44" s="18">
        <v>45916</v>
      </c>
      <c r="O44" s="4"/>
      <c r="P44" s="176">
        <v>45931</v>
      </c>
      <c r="Q44" s="18">
        <v>45932</v>
      </c>
      <c r="R44" s="16">
        <v>45932</v>
      </c>
    </row>
    <row r="45" spans="1:18" s="3" customFormat="1" ht="19.5" customHeight="1" x14ac:dyDescent="0.15">
      <c r="A45" s="93" t="s">
        <v>240</v>
      </c>
      <c r="C45" s="88">
        <f t="shared" si="3"/>
        <v>26</v>
      </c>
      <c r="D45" s="95" t="s">
        <v>176</v>
      </c>
      <c r="E45" s="95" t="s">
        <v>176</v>
      </c>
      <c r="F45" s="147" t="s">
        <v>225</v>
      </c>
      <c r="G45" s="148">
        <v>1</v>
      </c>
      <c r="H45" s="170">
        <v>1336</v>
      </c>
      <c r="I45" s="87">
        <f t="shared" si="2"/>
        <v>1336</v>
      </c>
      <c r="J45" s="102"/>
      <c r="K45" s="132" t="s">
        <v>224</v>
      </c>
      <c r="L45" s="177" t="s">
        <v>295</v>
      </c>
      <c r="M45" s="1"/>
      <c r="N45" s="18">
        <v>45916</v>
      </c>
      <c r="O45" s="4"/>
      <c r="P45" s="176">
        <v>45931</v>
      </c>
      <c r="Q45" s="18">
        <v>45932</v>
      </c>
      <c r="R45" s="16">
        <v>45932</v>
      </c>
    </row>
    <row r="46" spans="1:18" s="3" customFormat="1" ht="19.5" customHeight="1" x14ac:dyDescent="0.15">
      <c r="C46" s="81"/>
      <c r="D46" s="81"/>
      <c r="E46" s="81"/>
      <c r="F46" s="84"/>
      <c r="G46" s="90"/>
      <c r="H46" s="49"/>
      <c r="I46" s="49"/>
      <c r="J46" s="48"/>
      <c r="K46" s="50"/>
      <c r="L46" s="1"/>
      <c r="M46" s="1"/>
      <c r="N46" s="18"/>
      <c r="O46" s="4"/>
      <c r="P46" s="1"/>
      <c r="Q46" s="18"/>
      <c r="R46" s="8"/>
    </row>
    <row r="47" spans="1:18" s="3" customFormat="1" ht="19.5" customHeight="1" x14ac:dyDescent="0.15">
      <c r="C47" s="81"/>
      <c r="D47" s="81"/>
      <c r="E47" s="81"/>
      <c r="F47" s="89">
        <f>SUM(I37:I46)</f>
        <v>16302</v>
      </c>
      <c r="G47" s="90"/>
      <c r="H47" s="49"/>
      <c r="I47" s="49"/>
      <c r="J47" s="48"/>
      <c r="K47" s="50"/>
      <c r="L47" s="1"/>
      <c r="M47" s="1"/>
      <c r="N47" s="18"/>
      <c r="O47" s="4"/>
      <c r="P47" s="1"/>
      <c r="Q47" s="18"/>
      <c r="R47" s="8"/>
    </row>
    <row r="48" spans="1:18" s="3" customFormat="1" ht="19.5" customHeight="1" x14ac:dyDescent="0.15">
      <c r="C48" s="81"/>
      <c r="D48" s="81"/>
      <c r="E48" s="81"/>
      <c r="F48" s="84"/>
      <c r="G48" s="90"/>
      <c r="H48" s="49"/>
      <c r="I48" s="49"/>
      <c r="J48" s="48"/>
      <c r="K48" s="50"/>
      <c r="L48" s="1"/>
      <c r="M48" s="1"/>
      <c r="N48" s="18"/>
      <c r="O48" s="4"/>
      <c r="P48" s="1"/>
      <c r="Q48" s="18"/>
      <c r="R48" s="8"/>
    </row>
    <row r="49" spans="1:18" s="3" customFormat="1" ht="19.5" customHeight="1" x14ac:dyDescent="0.15">
      <c r="C49" s="81"/>
      <c r="D49" s="81"/>
      <c r="E49" s="81"/>
      <c r="F49" s="84"/>
      <c r="G49" s="90"/>
      <c r="H49" s="49"/>
      <c r="I49" s="49"/>
      <c r="J49" s="48"/>
      <c r="K49" s="50"/>
      <c r="L49" s="1"/>
      <c r="M49" s="1"/>
      <c r="N49" s="18"/>
      <c r="O49" s="4"/>
      <c r="P49" s="1"/>
      <c r="Q49" s="18"/>
      <c r="R49" s="8"/>
    </row>
    <row r="50" spans="1:18" s="3" customFormat="1" ht="19.5" customHeight="1" x14ac:dyDescent="0.15">
      <c r="C50" s="81"/>
      <c r="D50" s="81"/>
      <c r="E50" s="81"/>
      <c r="F50" s="84"/>
      <c r="G50" s="90"/>
      <c r="H50" s="49"/>
      <c r="I50" s="49"/>
      <c r="J50" s="48"/>
      <c r="K50" s="50"/>
      <c r="L50" s="1"/>
      <c r="M50" s="1"/>
      <c r="N50" s="18"/>
      <c r="O50" s="4"/>
      <c r="P50" s="1"/>
      <c r="Q50" s="18"/>
      <c r="R50" s="8"/>
    </row>
    <row r="51" spans="1:18" s="3" customFormat="1" ht="19.5" customHeight="1" x14ac:dyDescent="0.15">
      <c r="C51" s="81"/>
      <c r="D51" s="81"/>
      <c r="E51" s="81"/>
      <c r="F51" s="84"/>
      <c r="G51" s="90"/>
      <c r="H51" s="49"/>
      <c r="I51" s="49"/>
      <c r="J51" s="48"/>
      <c r="K51" s="50"/>
      <c r="L51" s="1"/>
      <c r="M51" s="1"/>
      <c r="N51" s="18"/>
      <c r="O51" s="4"/>
      <c r="P51" s="1"/>
      <c r="Q51" s="18"/>
      <c r="R51" s="8"/>
    </row>
    <row r="52" spans="1:18" s="3" customFormat="1" ht="19.5" customHeight="1" x14ac:dyDescent="0.15">
      <c r="C52" s="182" t="s">
        <v>241</v>
      </c>
      <c r="D52" s="183"/>
      <c r="E52" s="183"/>
      <c r="F52" s="184"/>
      <c r="G52" s="90"/>
      <c r="H52" s="49"/>
      <c r="I52" s="49"/>
      <c r="J52" s="48"/>
      <c r="K52" s="50"/>
      <c r="L52" s="1"/>
      <c r="M52" s="1"/>
      <c r="N52" s="18"/>
      <c r="O52" s="4"/>
      <c r="P52" s="1"/>
      <c r="Q52" s="18"/>
      <c r="R52" s="8"/>
    </row>
    <row r="53" spans="1:18" s="3" customFormat="1" ht="19.5" customHeight="1" x14ac:dyDescent="0.15">
      <c r="A53" s="149" t="s">
        <v>162</v>
      </c>
      <c r="C53" s="88">
        <f>C45+1</f>
        <v>27</v>
      </c>
      <c r="D53" s="92" t="s">
        <v>160</v>
      </c>
      <c r="E53" s="92" t="s">
        <v>161</v>
      </c>
      <c r="F53" s="137" t="s">
        <v>242</v>
      </c>
      <c r="G53" s="138">
        <v>1</v>
      </c>
      <c r="H53" s="168">
        <v>120488</v>
      </c>
      <c r="I53" s="87">
        <f t="shared" ref="I53:I76" si="4">+G53*H53</f>
        <v>120488</v>
      </c>
      <c r="J53" s="48"/>
      <c r="K53" s="91" t="s">
        <v>243</v>
      </c>
      <c r="L53" s="177" t="s">
        <v>295</v>
      </c>
      <c r="M53" s="1"/>
      <c r="N53" s="18">
        <v>45916</v>
      </c>
      <c r="O53" s="4"/>
      <c r="P53" s="176">
        <v>45931</v>
      </c>
      <c r="Q53" s="18">
        <v>45932</v>
      </c>
      <c r="R53" s="16">
        <v>45932</v>
      </c>
    </row>
    <row r="54" spans="1:18" s="3" customFormat="1" ht="19.5" customHeight="1" x14ac:dyDescent="0.15">
      <c r="A54" s="93" t="s">
        <v>240</v>
      </c>
      <c r="C54" s="88">
        <f>C53+1</f>
        <v>28</v>
      </c>
      <c r="D54" s="92" t="s">
        <v>161</v>
      </c>
      <c r="E54" s="92" t="s">
        <v>161</v>
      </c>
      <c r="F54" s="137" t="s">
        <v>250</v>
      </c>
      <c r="G54" s="138">
        <v>8</v>
      </c>
      <c r="H54" s="168">
        <v>843</v>
      </c>
      <c r="I54" s="87">
        <f t="shared" si="4"/>
        <v>6744</v>
      </c>
      <c r="J54" s="48"/>
      <c r="K54" s="91" t="s">
        <v>261</v>
      </c>
      <c r="L54" s="177" t="s">
        <v>295</v>
      </c>
      <c r="M54" s="1"/>
      <c r="N54" s="18">
        <v>45916</v>
      </c>
      <c r="O54" s="4"/>
      <c r="P54" s="176">
        <v>45931</v>
      </c>
      <c r="Q54" s="18">
        <v>45932</v>
      </c>
      <c r="R54" s="16">
        <v>45932</v>
      </c>
    </row>
    <row r="55" spans="1:18" s="3" customFormat="1" ht="19.5" customHeight="1" x14ac:dyDescent="0.15">
      <c r="A55" s="93" t="s">
        <v>240</v>
      </c>
      <c r="C55" s="88">
        <f t="shared" ref="C55:C76" si="5">C54+1</f>
        <v>29</v>
      </c>
      <c r="D55" s="92" t="s">
        <v>161</v>
      </c>
      <c r="E55" s="92" t="s">
        <v>161</v>
      </c>
      <c r="F55" s="137" t="s">
        <v>251</v>
      </c>
      <c r="G55" s="138">
        <v>4</v>
      </c>
      <c r="H55" s="168">
        <v>1019</v>
      </c>
      <c r="I55" s="87">
        <f t="shared" si="4"/>
        <v>4076</v>
      </c>
      <c r="J55" s="48"/>
      <c r="K55" s="91" t="s">
        <v>260</v>
      </c>
      <c r="L55" s="177" t="s">
        <v>295</v>
      </c>
      <c r="M55" s="1"/>
      <c r="N55" s="18">
        <v>45916</v>
      </c>
      <c r="O55" s="4"/>
      <c r="P55" s="176">
        <v>45931</v>
      </c>
      <c r="Q55" s="18">
        <v>45932</v>
      </c>
      <c r="R55" s="16">
        <v>45932</v>
      </c>
    </row>
    <row r="56" spans="1:18" s="3" customFormat="1" ht="19.5" customHeight="1" x14ac:dyDescent="0.15">
      <c r="A56" s="93" t="s">
        <v>240</v>
      </c>
      <c r="C56" s="88">
        <f t="shared" si="5"/>
        <v>30</v>
      </c>
      <c r="D56" s="92" t="s">
        <v>161</v>
      </c>
      <c r="E56" s="92" t="s">
        <v>161</v>
      </c>
      <c r="F56" s="139" t="s">
        <v>252</v>
      </c>
      <c r="G56" s="143">
        <v>6</v>
      </c>
      <c r="H56" s="143">
        <v>77</v>
      </c>
      <c r="I56" s="87">
        <f t="shared" si="4"/>
        <v>462</v>
      </c>
      <c r="J56" s="107"/>
      <c r="K56" s="134" t="s">
        <v>290</v>
      </c>
      <c r="L56" s="177" t="s">
        <v>295</v>
      </c>
      <c r="M56" s="1"/>
      <c r="N56" s="18">
        <v>45916</v>
      </c>
      <c r="O56" s="4"/>
      <c r="P56" s="176">
        <v>45931</v>
      </c>
      <c r="Q56" s="18">
        <v>45932</v>
      </c>
      <c r="R56" s="16">
        <v>45932</v>
      </c>
    </row>
    <row r="57" spans="1:18" s="3" customFormat="1" ht="19.5" customHeight="1" x14ac:dyDescent="0.15">
      <c r="A57" s="93" t="s">
        <v>240</v>
      </c>
      <c r="C57" s="88">
        <f t="shared" si="5"/>
        <v>31</v>
      </c>
      <c r="D57" s="92" t="s">
        <v>263</v>
      </c>
      <c r="E57" s="92" t="s">
        <v>161</v>
      </c>
      <c r="F57" s="137" t="s">
        <v>253</v>
      </c>
      <c r="G57" s="138">
        <v>10</v>
      </c>
      <c r="H57" s="168">
        <v>290</v>
      </c>
      <c r="I57" s="87">
        <f t="shared" si="4"/>
        <v>2900</v>
      </c>
      <c r="J57" s="48"/>
      <c r="K57" s="91" t="s">
        <v>259</v>
      </c>
      <c r="L57" s="177" t="s">
        <v>295</v>
      </c>
      <c r="M57" s="1"/>
      <c r="N57" s="18">
        <v>45916</v>
      </c>
      <c r="O57" s="4"/>
      <c r="P57" s="176">
        <v>45931</v>
      </c>
      <c r="Q57" s="18">
        <v>45932</v>
      </c>
      <c r="R57" s="16">
        <v>45932</v>
      </c>
    </row>
    <row r="58" spans="1:18" s="3" customFormat="1" ht="19.5" customHeight="1" x14ac:dyDescent="0.15">
      <c r="A58" s="93" t="s">
        <v>240</v>
      </c>
      <c r="C58" s="88">
        <f t="shared" si="5"/>
        <v>32</v>
      </c>
      <c r="D58" s="92" t="s">
        <v>161</v>
      </c>
      <c r="E58" s="92" t="s">
        <v>161</v>
      </c>
      <c r="F58" s="140" t="s">
        <v>254</v>
      </c>
      <c r="G58" s="138">
        <v>8</v>
      </c>
      <c r="H58" s="168">
        <v>120</v>
      </c>
      <c r="I58" s="87">
        <f t="shared" si="4"/>
        <v>960</v>
      </c>
      <c r="J58" s="48"/>
      <c r="K58" s="91" t="s">
        <v>258</v>
      </c>
      <c r="L58" s="177" t="s">
        <v>295</v>
      </c>
      <c r="M58" s="1"/>
      <c r="N58" s="18">
        <v>45916</v>
      </c>
      <c r="O58" s="4"/>
      <c r="P58" s="176">
        <v>45931</v>
      </c>
      <c r="Q58" s="18">
        <v>45932</v>
      </c>
      <c r="R58" s="16">
        <v>45932</v>
      </c>
    </row>
    <row r="59" spans="1:18" s="3" customFormat="1" ht="19.5" customHeight="1" x14ac:dyDescent="0.15">
      <c r="A59" s="93" t="s">
        <v>240</v>
      </c>
      <c r="C59" s="88">
        <f t="shared" si="5"/>
        <v>33</v>
      </c>
      <c r="D59" s="92"/>
      <c r="E59" s="92"/>
      <c r="F59" s="137" t="s">
        <v>280</v>
      </c>
      <c r="G59" s="138">
        <v>4</v>
      </c>
      <c r="H59" s="168">
        <v>277</v>
      </c>
      <c r="I59" s="87">
        <f t="shared" si="4"/>
        <v>1108</v>
      </c>
      <c r="J59" s="48"/>
      <c r="K59" s="91" t="s">
        <v>286</v>
      </c>
      <c r="L59" s="177" t="s">
        <v>295</v>
      </c>
      <c r="M59" s="1"/>
      <c r="N59" s="18">
        <v>45916</v>
      </c>
      <c r="O59" s="4"/>
      <c r="P59" s="176">
        <v>45931</v>
      </c>
      <c r="Q59" s="18">
        <v>45932</v>
      </c>
      <c r="R59" s="16">
        <v>45932</v>
      </c>
    </row>
    <row r="60" spans="1:18" s="3" customFormat="1" ht="19.5" customHeight="1" x14ac:dyDescent="0.15">
      <c r="A60" s="149" t="s">
        <v>163</v>
      </c>
      <c r="C60" s="88">
        <f t="shared" si="5"/>
        <v>34</v>
      </c>
      <c r="D60" s="92" t="s">
        <v>161</v>
      </c>
      <c r="E60" s="92" t="s">
        <v>161</v>
      </c>
      <c r="F60" s="137" t="s">
        <v>249</v>
      </c>
      <c r="G60" s="138">
        <v>4</v>
      </c>
      <c r="H60" s="168">
        <v>1698</v>
      </c>
      <c r="I60" s="87">
        <f t="shared" si="4"/>
        <v>6792</v>
      </c>
      <c r="J60" s="48"/>
      <c r="K60" s="91" t="s">
        <v>262</v>
      </c>
      <c r="L60" s="177" t="s">
        <v>295</v>
      </c>
      <c r="M60" s="1"/>
      <c r="N60" s="18">
        <v>45916</v>
      </c>
      <c r="O60" s="4"/>
      <c r="P60" s="176">
        <v>45931</v>
      </c>
      <c r="Q60" s="18">
        <v>45932</v>
      </c>
      <c r="R60" s="16">
        <v>45932</v>
      </c>
    </row>
    <row r="61" spans="1:18" s="3" customFormat="1" ht="19.5" customHeight="1" x14ac:dyDescent="0.15">
      <c r="A61" s="93" t="s">
        <v>240</v>
      </c>
      <c r="C61" s="88">
        <f t="shared" si="5"/>
        <v>35</v>
      </c>
      <c r="D61" s="92"/>
      <c r="E61" s="92"/>
      <c r="F61" s="137" t="s">
        <v>281</v>
      </c>
      <c r="G61" s="138">
        <v>4</v>
      </c>
      <c r="H61" s="168">
        <v>277</v>
      </c>
      <c r="I61" s="87">
        <f t="shared" si="4"/>
        <v>1108</v>
      </c>
      <c r="J61" s="48"/>
      <c r="K61" s="91" t="s">
        <v>282</v>
      </c>
      <c r="L61" s="177" t="s">
        <v>295</v>
      </c>
      <c r="M61" s="1"/>
      <c r="N61" s="18">
        <v>45916</v>
      </c>
      <c r="O61" s="4"/>
      <c r="P61" s="176">
        <v>45931</v>
      </c>
      <c r="Q61" s="18">
        <v>45932</v>
      </c>
      <c r="R61" s="16">
        <v>45932</v>
      </c>
    </row>
    <row r="62" spans="1:18" s="3" customFormat="1" ht="19.5" customHeight="1" x14ac:dyDescent="0.15">
      <c r="A62" s="149" t="s">
        <v>163</v>
      </c>
      <c r="C62" s="88">
        <f t="shared" si="5"/>
        <v>36</v>
      </c>
      <c r="D62" s="92" t="s">
        <v>160</v>
      </c>
      <c r="E62" s="92" t="s">
        <v>161</v>
      </c>
      <c r="F62" s="137" t="s">
        <v>247</v>
      </c>
      <c r="G62" s="138">
        <v>1</v>
      </c>
      <c r="H62" s="168">
        <v>33904</v>
      </c>
      <c r="I62" s="87">
        <f>+G62*H62</f>
        <v>33904</v>
      </c>
      <c r="J62" s="48"/>
      <c r="K62" s="91" t="s">
        <v>244</v>
      </c>
      <c r="L62" s="177" t="s">
        <v>295</v>
      </c>
      <c r="M62" s="1"/>
      <c r="N62" s="18">
        <v>45916</v>
      </c>
      <c r="O62" s="4"/>
      <c r="P62" s="176">
        <v>45931</v>
      </c>
      <c r="Q62" s="18">
        <v>45932</v>
      </c>
      <c r="R62" s="16">
        <v>45932</v>
      </c>
    </row>
    <row r="63" spans="1:18" s="3" customFormat="1" ht="19.5" customHeight="1" x14ac:dyDescent="0.15">
      <c r="A63" s="93" t="s">
        <v>240</v>
      </c>
      <c r="C63" s="88">
        <f t="shared" si="5"/>
        <v>37</v>
      </c>
      <c r="D63" s="92" t="s">
        <v>161</v>
      </c>
      <c r="E63" s="92" t="s">
        <v>161</v>
      </c>
      <c r="F63" s="137" t="s">
        <v>246</v>
      </c>
      <c r="G63" s="138">
        <v>60</v>
      </c>
      <c r="H63" s="168">
        <v>14</v>
      </c>
      <c r="I63" s="87">
        <f t="shared" si="4"/>
        <v>840</v>
      </c>
      <c r="J63" s="48"/>
      <c r="K63" s="91" t="s">
        <v>257</v>
      </c>
      <c r="L63" s="177" t="s">
        <v>295</v>
      </c>
      <c r="M63" s="1"/>
      <c r="N63" s="18">
        <v>45916</v>
      </c>
      <c r="O63" s="4"/>
      <c r="P63" s="176">
        <v>45931</v>
      </c>
      <c r="Q63" s="18">
        <v>45932</v>
      </c>
      <c r="R63" s="16">
        <v>45932</v>
      </c>
    </row>
    <row r="64" spans="1:18" s="3" customFormat="1" ht="19.5" customHeight="1" x14ac:dyDescent="0.15">
      <c r="A64" s="149" t="s">
        <v>163</v>
      </c>
      <c r="C64" s="88">
        <f t="shared" si="5"/>
        <v>38</v>
      </c>
      <c r="D64" s="92" t="s">
        <v>160</v>
      </c>
      <c r="E64" s="92" t="s">
        <v>161</v>
      </c>
      <c r="F64" s="137" t="s">
        <v>264</v>
      </c>
      <c r="G64" s="138">
        <v>1</v>
      </c>
      <c r="H64" s="168">
        <v>15212</v>
      </c>
      <c r="I64" s="87">
        <f t="shared" si="4"/>
        <v>15212</v>
      </c>
      <c r="J64" s="48"/>
      <c r="K64" s="91" t="s">
        <v>265</v>
      </c>
      <c r="L64" s="177" t="s">
        <v>295</v>
      </c>
      <c r="M64" s="1"/>
      <c r="N64" s="18">
        <v>45916</v>
      </c>
      <c r="O64" s="4"/>
      <c r="P64" s="176">
        <v>45931</v>
      </c>
      <c r="Q64" s="18">
        <v>45932</v>
      </c>
      <c r="R64" s="16">
        <v>45932</v>
      </c>
    </row>
    <row r="65" spans="1:18" s="3" customFormat="1" ht="19.5" customHeight="1" x14ac:dyDescent="0.15">
      <c r="A65" s="93" t="s">
        <v>240</v>
      </c>
      <c r="C65" s="88">
        <f t="shared" si="5"/>
        <v>39</v>
      </c>
      <c r="D65" s="92" t="s">
        <v>161</v>
      </c>
      <c r="E65" s="92" t="s">
        <v>161</v>
      </c>
      <c r="F65" s="137" t="s">
        <v>268</v>
      </c>
      <c r="G65" s="138">
        <v>4</v>
      </c>
      <c r="H65" s="168">
        <v>232</v>
      </c>
      <c r="I65" s="87">
        <f t="shared" si="4"/>
        <v>928</v>
      </c>
      <c r="J65" s="48"/>
      <c r="K65" s="91" t="s">
        <v>287</v>
      </c>
      <c r="L65" s="177" t="s">
        <v>295</v>
      </c>
      <c r="M65" s="1"/>
      <c r="N65" s="18">
        <v>45916</v>
      </c>
      <c r="O65" s="4"/>
      <c r="P65" s="176">
        <v>45931</v>
      </c>
      <c r="Q65" s="18">
        <v>45932</v>
      </c>
      <c r="R65" s="16">
        <v>45932</v>
      </c>
    </row>
    <row r="66" spans="1:18" s="3" customFormat="1" ht="19.5" customHeight="1" x14ac:dyDescent="0.15">
      <c r="A66" s="93" t="s">
        <v>240</v>
      </c>
      <c r="C66" s="88">
        <f>C65+1</f>
        <v>40</v>
      </c>
      <c r="D66" s="92" t="s">
        <v>161</v>
      </c>
      <c r="E66" s="92" t="s">
        <v>161</v>
      </c>
      <c r="F66" s="137" t="s">
        <v>269</v>
      </c>
      <c r="G66" s="138">
        <v>4</v>
      </c>
      <c r="H66" s="168">
        <v>120</v>
      </c>
      <c r="I66" s="87">
        <f t="shared" si="4"/>
        <v>480</v>
      </c>
      <c r="J66" s="48"/>
      <c r="K66" s="91" t="s">
        <v>143</v>
      </c>
      <c r="L66" s="177" t="s">
        <v>295</v>
      </c>
      <c r="M66" s="1"/>
      <c r="N66" s="18">
        <v>45916</v>
      </c>
      <c r="O66" s="4"/>
      <c r="P66" s="176">
        <v>45931</v>
      </c>
      <c r="Q66" s="18">
        <v>45932</v>
      </c>
      <c r="R66" s="16">
        <v>45932</v>
      </c>
    </row>
    <row r="67" spans="1:18" s="3" customFormat="1" ht="19.5" customHeight="1" x14ac:dyDescent="0.15">
      <c r="A67" s="93" t="s">
        <v>240</v>
      </c>
      <c r="C67" s="88">
        <f t="shared" si="5"/>
        <v>41</v>
      </c>
      <c r="D67" s="92"/>
      <c r="E67" s="92" t="s">
        <v>161</v>
      </c>
      <c r="F67" s="137" t="s">
        <v>255</v>
      </c>
      <c r="G67" s="138">
        <v>12</v>
      </c>
      <c r="H67" s="168">
        <v>52</v>
      </c>
      <c r="I67" s="87">
        <f t="shared" si="4"/>
        <v>624</v>
      </c>
      <c r="J67" s="48"/>
      <c r="K67" s="91" t="s">
        <v>256</v>
      </c>
      <c r="L67" s="177" t="s">
        <v>295</v>
      </c>
      <c r="M67" s="1"/>
      <c r="N67" s="18">
        <v>45916</v>
      </c>
      <c r="O67" s="4"/>
      <c r="P67" s="176">
        <v>45931</v>
      </c>
      <c r="Q67" s="18">
        <v>45932</v>
      </c>
      <c r="R67" s="16">
        <v>45932</v>
      </c>
    </row>
    <row r="68" spans="1:18" s="3" customFormat="1" ht="19.5" customHeight="1" x14ac:dyDescent="0.15">
      <c r="A68" s="149" t="s">
        <v>163</v>
      </c>
      <c r="C68" s="88">
        <f t="shared" si="5"/>
        <v>42</v>
      </c>
      <c r="D68" s="92" t="s">
        <v>160</v>
      </c>
      <c r="E68" s="92" t="s">
        <v>161</v>
      </c>
      <c r="F68" s="137" t="s">
        <v>266</v>
      </c>
      <c r="G68" s="138">
        <v>1</v>
      </c>
      <c r="H68" s="168">
        <v>4714</v>
      </c>
      <c r="I68" s="87">
        <f t="shared" si="4"/>
        <v>4714</v>
      </c>
      <c r="J68" s="48"/>
      <c r="K68" s="91" t="s">
        <v>267</v>
      </c>
      <c r="L68" s="177" t="s">
        <v>295</v>
      </c>
      <c r="M68" s="1"/>
      <c r="N68" s="18">
        <v>45916</v>
      </c>
      <c r="O68" s="4"/>
      <c r="P68" s="176">
        <v>45931</v>
      </c>
      <c r="Q68" s="18">
        <v>45932</v>
      </c>
      <c r="R68" s="16">
        <v>45932</v>
      </c>
    </row>
    <row r="69" spans="1:18" s="3" customFormat="1" ht="19.5" customHeight="1" x14ac:dyDescent="0.15">
      <c r="A69" s="93" t="s">
        <v>240</v>
      </c>
      <c r="C69" s="88">
        <f t="shared" si="5"/>
        <v>43</v>
      </c>
      <c r="D69" s="92" t="s">
        <v>161</v>
      </c>
      <c r="E69" s="92" t="s">
        <v>161</v>
      </c>
      <c r="F69" s="137" t="s">
        <v>270</v>
      </c>
      <c r="G69" s="138">
        <v>4</v>
      </c>
      <c r="H69" s="168">
        <v>851</v>
      </c>
      <c r="I69" s="87">
        <f t="shared" si="4"/>
        <v>3404</v>
      </c>
      <c r="J69" s="48"/>
      <c r="K69" s="91" t="s">
        <v>288</v>
      </c>
      <c r="L69" s="177" t="s">
        <v>295</v>
      </c>
      <c r="M69" s="1"/>
      <c r="N69" s="18">
        <v>45916</v>
      </c>
      <c r="O69" s="4"/>
      <c r="P69" s="176">
        <v>45931</v>
      </c>
      <c r="Q69" s="18">
        <v>45932</v>
      </c>
      <c r="R69" s="16">
        <v>45932</v>
      </c>
    </row>
    <row r="70" spans="1:18" s="3" customFormat="1" ht="19.5" customHeight="1" x14ac:dyDescent="0.15">
      <c r="A70" s="93" t="s">
        <v>240</v>
      </c>
      <c r="C70" s="88">
        <f t="shared" si="5"/>
        <v>44</v>
      </c>
      <c r="D70" s="92" t="s">
        <v>161</v>
      </c>
      <c r="E70" s="92" t="s">
        <v>161</v>
      </c>
      <c r="F70" s="137" t="s">
        <v>271</v>
      </c>
      <c r="G70" s="138">
        <v>4</v>
      </c>
      <c r="H70" s="168">
        <v>851</v>
      </c>
      <c r="I70" s="87">
        <f t="shared" si="4"/>
        <v>3404</v>
      </c>
      <c r="J70" s="48"/>
      <c r="K70" s="91" t="s">
        <v>272</v>
      </c>
      <c r="L70" s="177" t="s">
        <v>295</v>
      </c>
      <c r="M70" s="1"/>
      <c r="N70" s="18">
        <v>45916</v>
      </c>
      <c r="O70" s="4"/>
      <c r="P70" s="176">
        <v>45931</v>
      </c>
      <c r="Q70" s="18">
        <v>45932</v>
      </c>
      <c r="R70" s="16">
        <v>45932</v>
      </c>
    </row>
    <row r="71" spans="1:18" s="3" customFormat="1" ht="19.5" customHeight="1" x14ac:dyDescent="0.15">
      <c r="A71" s="93" t="s">
        <v>240</v>
      </c>
      <c r="C71" s="88">
        <f t="shared" si="5"/>
        <v>45</v>
      </c>
      <c r="D71" s="92" t="s">
        <v>161</v>
      </c>
      <c r="E71" s="92" t="s">
        <v>161</v>
      </c>
      <c r="F71" s="137" t="s">
        <v>273</v>
      </c>
      <c r="G71" s="138">
        <v>4</v>
      </c>
      <c r="H71" s="168">
        <v>14</v>
      </c>
      <c r="I71" s="87">
        <f t="shared" si="4"/>
        <v>56</v>
      </c>
      <c r="J71" s="48"/>
      <c r="K71" s="91" t="s">
        <v>274</v>
      </c>
      <c r="L71" s="177" t="s">
        <v>295</v>
      </c>
      <c r="M71" s="1"/>
      <c r="N71" s="18">
        <v>45916</v>
      </c>
      <c r="O71" s="4"/>
      <c r="P71" s="176">
        <v>45931</v>
      </c>
      <c r="Q71" s="18">
        <v>45932</v>
      </c>
      <c r="R71" s="16">
        <v>45932</v>
      </c>
    </row>
    <row r="72" spans="1:18" s="3" customFormat="1" ht="19.5" customHeight="1" x14ac:dyDescent="0.15">
      <c r="A72" s="93" t="s">
        <v>240</v>
      </c>
      <c r="C72" s="88">
        <f t="shared" si="5"/>
        <v>46</v>
      </c>
      <c r="D72" s="92" t="s">
        <v>161</v>
      </c>
      <c r="E72" s="92" t="s">
        <v>161</v>
      </c>
      <c r="F72" s="137" t="s">
        <v>275</v>
      </c>
      <c r="G72" s="138">
        <v>4</v>
      </c>
      <c r="H72" s="168">
        <v>120</v>
      </c>
      <c r="I72" s="87">
        <f t="shared" si="4"/>
        <v>480</v>
      </c>
      <c r="J72" s="48"/>
      <c r="K72" s="91" t="s">
        <v>258</v>
      </c>
      <c r="L72" s="177" t="s">
        <v>295</v>
      </c>
      <c r="M72" s="1"/>
      <c r="N72" s="18">
        <v>45916</v>
      </c>
      <c r="O72" s="4"/>
      <c r="P72" s="176">
        <v>45931</v>
      </c>
      <c r="Q72" s="18">
        <v>45932</v>
      </c>
      <c r="R72" s="16">
        <v>45932</v>
      </c>
    </row>
    <row r="73" spans="1:18" s="3" customFormat="1" ht="19.5" customHeight="1" x14ac:dyDescent="0.15">
      <c r="A73" s="93" t="s">
        <v>240</v>
      </c>
      <c r="C73" s="88">
        <f t="shared" si="5"/>
        <v>47</v>
      </c>
      <c r="D73" s="92" t="s">
        <v>161</v>
      </c>
      <c r="E73" s="92" t="s">
        <v>161</v>
      </c>
      <c r="F73" s="137" t="s">
        <v>276</v>
      </c>
      <c r="G73" s="138">
        <v>4</v>
      </c>
      <c r="H73" s="168">
        <v>142</v>
      </c>
      <c r="I73" s="87">
        <f t="shared" si="4"/>
        <v>568</v>
      </c>
      <c r="J73" s="48"/>
      <c r="K73" s="91" t="s">
        <v>258</v>
      </c>
      <c r="L73" s="177" t="s">
        <v>295</v>
      </c>
      <c r="M73" s="1"/>
      <c r="N73" s="18">
        <v>45916</v>
      </c>
      <c r="O73" s="4"/>
      <c r="P73" s="176">
        <v>45931</v>
      </c>
      <c r="Q73" s="18">
        <v>45932</v>
      </c>
      <c r="R73" s="16">
        <v>45932</v>
      </c>
    </row>
    <row r="74" spans="1:18" s="3" customFormat="1" ht="19.5" customHeight="1" x14ac:dyDescent="0.15">
      <c r="A74" s="93" t="s">
        <v>240</v>
      </c>
      <c r="C74" s="88">
        <f t="shared" si="5"/>
        <v>48</v>
      </c>
      <c r="D74" s="92" t="s">
        <v>161</v>
      </c>
      <c r="E74" s="92" t="s">
        <v>161</v>
      </c>
      <c r="F74" s="137" t="s">
        <v>277</v>
      </c>
      <c r="G74" s="138">
        <v>4</v>
      </c>
      <c r="H74" s="168">
        <v>207</v>
      </c>
      <c r="I74" s="87">
        <f t="shared" si="4"/>
        <v>828</v>
      </c>
      <c r="J74" s="48"/>
      <c r="K74" s="91" t="s">
        <v>289</v>
      </c>
      <c r="L74" s="177" t="s">
        <v>295</v>
      </c>
      <c r="M74" s="1"/>
      <c r="N74" s="18">
        <v>45916</v>
      </c>
      <c r="O74" s="4"/>
      <c r="P74" s="176">
        <v>45931</v>
      </c>
      <c r="Q74" s="18">
        <v>45932</v>
      </c>
      <c r="R74" s="16">
        <v>45932</v>
      </c>
    </row>
    <row r="75" spans="1:18" s="3" customFormat="1" ht="19.5" customHeight="1" x14ac:dyDescent="0.15">
      <c r="A75" s="93" t="s">
        <v>240</v>
      </c>
      <c r="C75" s="88">
        <f t="shared" si="5"/>
        <v>49</v>
      </c>
      <c r="D75" s="92" t="s">
        <v>161</v>
      </c>
      <c r="E75" s="92" t="s">
        <v>161</v>
      </c>
      <c r="F75" s="137" t="s">
        <v>278</v>
      </c>
      <c r="G75" s="138">
        <v>2</v>
      </c>
      <c r="H75" s="168">
        <v>287</v>
      </c>
      <c r="I75" s="87">
        <f t="shared" si="4"/>
        <v>574</v>
      </c>
      <c r="J75" s="48"/>
      <c r="K75" s="91" t="s">
        <v>279</v>
      </c>
      <c r="L75" s="177" t="s">
        <v>295</v>
      </c>
      <c r="M75" s="1"/>
      <c r="N75" s="18">
        <v>45916</v>
      </c>
      <c r="O75" s="4"/>
      <c r="P75" s="176">
        <v>45931</v>
      </c>
      <c r="Q75" s="18">
        <v>45932</v>
      </c>
      <c r="R75" s="16">
        <v>45932</v>
      </c>
    </row>
    <row r="76" spans="1:18" s="3" customFormat="1" ht="19.5" customHeight="1" x14ac:dyDescent="0.15">
      <c r="A76" s="149" t="s">
        <v>162</v>
      </c>
      <c r="C76" s="88">
        <f t="shared" si="5"/>
        <v>50</v>
      </c>
      <c r="D76" s="92" t="s">
        <v>160</v>
      </c>
      <c r="E76" s="92" t="s">
        <v>161</v>
      </c>
      <c r="F76" s="137" t="s">
        <v>248</v>
      </c>
      <c r="G76" s="138">
        <v>4</v>
      </c>
      <c r="H76" s="168">
        <v>5237</v>
      </c>
      <c r="I76" s="87">
        <f t="shared" si="4"/>
        <v>20948</v>
      </c>
      <c r="J76" s="48"/>
      <c r="K76" s="91" t="s">
        <v>245</v>
      </c>
      <c r="L76" s="177" t="s">
        <v>295</v>
      </c>
      <c r="M76" s="1"/>
      <c r="N76" s="18">
        <v>45916</v>
      </c>
      <c r="O76" s="4"/>
      <c r="P76" s="176">
        <v>45931</v>
      </c>
      <c r="Q76" s="18">
        <v>45932</v>
      </c>
      <c r="R76" s="16">
        <v>45932</v>
      </c>
    </row>
    <row r="77" spans="1:18" s="3" customFormat="1" ht="19.5" customHeight="1" x14ac:dyDescent="0.15">
      <c r="C77" s="81"/>
      <c r="D77" s="81"/>
      <c r="E77" s="81"/>
      <c r="F77" s="84"/>
      <c r="G77" s="90"/>
      <c r="H77" s="49"/>
      <c r="I77" s="49"/>
      <c r="J77" s="48"/>
      <c r="K77" s="50"/>
      <c r="L77" s="1"/>
      <c r="M77" s="1"/>
      <c r="N77" s="18"/>
      <c r="O77" s="4"/>
      <c r="P77" s="1"/>
      <c r="Q77" s="18"/>
      <c r="R77" s="8"/>
    </row>
    <row r="78" spans="1:18" s="3" customFormat="1" ht="19.5" customHeight="1" x14ac:dyDescent="0.15">
      <c r="C78" s="81"/>
      <c r="D78" s="81"/>
      <c r="E78" s="81"/>
      <c r="F78" s="89">
        <f>SUM(I53:I77)</f>
        <v>231602</v>
      </c>
      <c r="G78" s="90"/>
      <c r="H78" s="49"/>
      <c r="I78" s="49"/>
      <c r="J78" s="48"/>
      <c r="K78" s="50"/>
      <c r="L78" s="1"/>
      <c r="M78" s="1"/>
      <c r="N78" s="18"/>
      <c r="O78" s="4"/>
      <c r="P78" s="1"/>
      <c r="Q78" s="18"/>
      <c r="R78" s="8"/>
    </row>
    <row r="79" spans="1:18" s="3" customFormat="1" ht="19.5" customHeight="1" x14ac:dyDescent="0.15">
      <c r="C79" s="81"/>
      <c r="D79" s="81"/>
      <c r="E79" s="81"/>
      <c r="F79" s="84"/>
      <c r="G79" s="90"/>
      <c r="H79" s="49"/>
      <c r="I79" s="49"/>
      <c r="J79" s="48"/>
      <c r="K79" s="50"/>
      <c r="L79" s="1"/>
      <c r="M79" s="1"/>
      <c r="N79" s="18"/>
      <c r="O79" s="4"/>
      <c r="P79" s="1"/>
      <c r="Q79" s="18"/>
      <c r="R79" s="8"/>
    </row>
    <row r="80" spans="1:18" s="3" customFormat="1" ht="19.5" customHeight="1" x14ac:dyDescent="0.15">
      <c r="C80" s="81"/>
      <c r="D80" s="81"/>
      <c r="E80" s="81"/>
      <c r="F80" s="84"/>
      <c r="G80" s="90"/>
      <c r="H80" s="49"/>
      <c r="I80" s="49"/>
      <c r="J80" s="48"/>
      <c r="K80" s="50"/>
      <c r="L80" s="1"/>
      <c r="M80" s="1"/>
      <c r="N80" s="18"/>
      <c r="O80" s="4"/>
      <c r="P80" s="1"/>
      <c r="Q80" s="18"/>
      <c r="R80" s="8"/>
    </row>
    <row r="81" spans="1:18" s="3" customFormat="1" ht="19.5" customHeight="1" x14ac:dyDescent="0.15">
      <c r="C81" s="81"/>
      <c r="D81" s="81"/>
      <c r="E81" s="81"/>
      <c r="F81" s="84"/>
      <c r="G81" s="90"/>
      <c r="H81" s="49"/>
      <c r="I81" s="49"/>
      <c r="J81" s="48"/>
      <c r="K81" s="50"/>
      <c r="L81" s="1"/>
      <c r="M81" s="1"/>
      <c r="N81" s="18"/>
      <c r="O81" s="4"/>
      <c r="P81" s="1"/>
      <c r="Q81" s="18"/>
      <c r="R81" s="8"/>
    </row>
    <row r="82" spans="1:18" s="3" customFormat="1" ht="19.5" customHeight="1" x14ac:dyDescent="0.15">
      <c r="C82" s="182" t="s">
        <v>173</v>
      </c>
      <c r="D82" s="183"/>
      <c r="E82" s="183"/>
      <c r="F82" s="184"/>
      <c r="G82" s="90"/>
      <c r="H82" s="49"/>
      <c r="I82" s="49"/>
      <c r="J82" s="48"/>
      <c r="K82" s="50"/>
      <c r="L82" s="1"/>
      <c r="M82" s="1"/>
      <c r="N82" s="18"/>
      <c r="O82" s="4"/>
      <c r="P82" s="1"/>
      <c r="Q82" s="18"/>
      <c r="R82" s="8"/>
    </row>
    <row r="83" spans="1:18" s="3" customFormat="1" ht="19.5" customHeight="1" x14ac:dyDescent="0.15">
      <c r="A83" s="149" t="s">
        <v>163</v>
      </c>
      <c r="C83" s="88">
        <f>C76+1</f>
        <v>51</v>
      </c>
      <c r="D83" s="92" t="s">
        <v>160</v>
      </c>
      <c r="E83" s="92" t="s">
        <v>161</v>
      </c>
      <c r="F83" s="137" t="s">
        <v>169</v>
      </c>
      <c r="G83" s="138">
        <v>1</v>
      </c>
      <c r="H83" s="168">
        <v>10475</v>
      </c>
      <c r="I83" s="87">
        <f>+G83*H83</f>
        <v>10475</v>
      </c>
      <c r="J83" s="48"/>
      <c r="K83" s="91" t="s">
        <v>170</v>
      </c>
      <c r="L83" s="177" t="s">
        <v>295</v>
      </c>
      <c r="M83" s="1"/>
      <c r="N83" s="18">
        <v>45916</v>
      </c>
      <c r="O83" s="4"/>
      <c r="P83" s="176">
        <v>45931</v>
      </c>
      <c r="Q83" s="18">
        <v>45932</v>
      </c>
      <c r="R83" s="16">
        <v>45932</v>
      </c>
    </row>
    <row r="84" spans="1:18" s="3" customFormat="1" ht="19.5" customHeight="1" x14ac:dyDescent="0.15">
      <c r="A84" s="149" t="s">
        <v>240</v>
      </c>
      <c r="C84" s="88">
        <f t="shared" ref="C84:C107" si="6">C83+1</f>
        <v>52</v>
      </c>
      <c r="D84" s="95" t="s">
        <v>176</v>
      </c>
      <c r="E84" s="95" t="s">
        <v>176</v>
      </c>
      <c r="F84" s="152" t="s">
        <v>177</v>
      </c>
      <c r="G84" s="143">
        <v>12</v>
      </c>
      <c r="H84" s="171">
        <v>94</v>
      </c>
      <c r="I84" s="87">
        <f t="shared" ref="I84:I86" si="7">+G84*H84</f>
        <v>1128</v>
      </c>
      <c r="J84" s="96"/>
      <c r="K84" s="113" t="s">
        <v>175</v>
      </c>
      <c r="L84" s="177" t="s">
        <v>295</v>
      </c>
      <c r="M84" s="1"/>
      <c r="N84" s="18">
        <v>45916</v>
      </c>
      <c r="O84" s="4"/>
      <c r="P84" s="176">
        <v>45931</v>
      </c>
      <c r="Q84" s="18">
        <v>45932</v>
      </c>
      <c r="R84" s="16">
        <v>45932</v>
      </c>
    </row>
    <row r="85" spans="1:18" s="3" customFormat="1" ht="19.5" customHeight="1" x14ac:dyDescent="0.15">
      <c r="A85" s="149" t="s">
        <v>240</v>
      </c>
      <c r="C85" s="88">
        <f t="shared" si="6"/>
        <v>53</v>
      </c>
      <c r="D85" s="92" t="s">
        <v>161</v>
      </c>
      <c r="E85" s="92" t="s">
        <v>161</v>
      </c>
      <c r="F85" s="137" t="s">
        <v>171</v>
      </c>
      <c r="G85" s="138">
        <v>6</v>
      </c>
      <c r="H85" s="168">
        <v>245</v>
      </c>
      <c r="I85" s="87">
        <f t="shared" si="7"/>
        <v>1470</v>
      </c>
      <c r="J85" s="48"/>
      <c r="K85" s="91" t="s">
        <v>174</v>
      </c>
      <c r="L85" s="177" t="s">
        <v>295</v>
      </c>
      <c r="M85" s="1"/>
      <c r="N85" s="18">
        <v>45916</v>
      </c>
      <c r="O85" s="4"/>
      <c r="P85" s="176">
        <v>45931</v>
      </c>
      <c r="Q85" s="18">
        <v>45932</v>
      </c>
      <c r="R85" s="16">
        <v>45932</v>
      </c>
    </row>
    <row r="86" spans="1:18" s="3" customFormat="1" ht="19.5" customHeight="1" x14ac:dyDescent="0.15">
      <c r="A86" s="149" t="s">
        <v>240</v>
      </c>
      <c r="C86" s="88">
        <f t="shared" si="6"/>
        <v>54</v>
      </c>
      <c r="D86" s="92" t="s">
        <v>161</v>
      </c>
      <c r="E86" s="92" t="s">
        <v>161</v>
      </c>
      <c r="F86" s="137" t="s">
        <v>172</v>
      </c>
      <c r="G86" s="138">
        <v>6</v>
      </c>
      <c r="H86" s="168">
        <v>120</v>
      </c>
      <c r="I86" s="87">
        <f t="shared" si="7"/>
        <v>720</v>
      </c>
      <c r="J86" s="48"/>
      <c r="K86" s="91" t="s">
        <v>143</v>
      </c>
      <c r="L86" s="177" t="s">
        <v>295</v>
      </c>
      <c r="M86" s="1"/>
      <c r="N86" s="18">
        <v>45916</v>
      </c>
      <c r="O86" s="4"/>
      <c r="P86" s="176">
        <v>45931</v>
      </c>
      <c r="Q86" s="18">
        <v>45932</v>
      </c>
      <c r="R86" s="16">
        <v>45932</v>
      </c>
    </row>
    <row r="87" spans="1:18" s="3" customFormat="1" ht="19.5" customHeight="1" x14ac:dyDescent="0.15">
      <c r="A87" s="149" t="s">
        <v>240</v>
      </c>
      <c r="C87" s="88">
        <f t="shared" si="6"/>
        <v>55</v>
      </c>
      <c r="D87" s="81" t="s">
        <v>176</v>
      </c>
      <c r="E87" s="81" t="s">
        <v>176</v>
      </c>
      <c r="F87" s="160" t="s">
        <v>178</v>
      </c>
      <c r="G87" s="154">
        <v>1</v>
      </c>
      <c r="H87" s="172">
        <v>2256</v>
      </c>
      <c r="I87" s="124">
        <f>G87*H87</f>
        <v>2256</v>
      </c>
      <c r="J87" s="99"/>
      <c r="K87" s="84" t="s">
        <v>179</v>
      </c>
      <c r="L87" s="177" t="s">
        <v>295</v>
      </c>
      <c r="M87" s="1"/>
      <c r="N87" s="18">
        <v>45916</v>
      </c>
      <c r="O87" s="4"/>
      <c r="P87" s="176">
        <v>45931</v>
      </c>
      <c r="Q87" s="18">
        <v>45932</v>
      </c>
      <c r="R87" s="16">
        <v>45932</v>
      </c>
    </row>
    <row r="88" spans="1:18" s="3" customFormat="1" ht="19.5" customHeight="1" x14ac:dyDescent="0.15">
      <c r="A88" s="149" t="s">
        <v>240</v>
      </c>
      <c r="C88" s="88">
        <f t="shared" si="6"/>
        <v>56</v>
      </c>
      <c r="D88" s="81" t="s">
        <v>176</v>
      </c>
      <c r="E88" s="81" t="s">
        <v>176</v>
      </c>
      <c r="F88" s="160" t="s">
        <v>180</v>
      </c>
      <c r="G88" s="154">
        <v>1</v>
      </c>
      <c r="H88" s="172">
        <v>4936</v>
      </c>
      <c r="I88" s="124">
        <f t="shared" ref="I88:I108" si="8">G88*H88</f>
        <v>4936</v>
      </c>
      <c r="J88" s="99"/>
      <c r="K88" s="113" t="s">
        <v>181</v>
      </c>
      <c r="L88" s="177" t="s">
        <v>295</v>
      </c>
      <c r="M88" s="1"/>
      <c r="N88" s="18">
        <v>45916</v>
      </c>
      <c r="O88" s="4"/>
      <c r="P88" s="176">
        <v>45931</v>
      </c>
      <c r="Q88" s="18">
        <v>45932</v>
      </c>
      <c r="R88" s="16">
        <v>45932</v>
      </c>
    </row>
    <row r="89" spans="1:18" s="3" customFormat="1" ht="19.5" customHeight="1" x14ac:dyDescent="0.15">
      <c r="A89" s="149" t="s">
        <v>240</v>
      </c>
      <c r="C89" s="88">
        <f t="shared" si="6"/>
        <v>57</v>
      </c>
      <c r="D89" s="81" t="s">
        <v>176</v>
      </c>
      <c r="E89" s="81" t="s">
        <v>176</v>
      </c>
      <c r="F89" s="153" t="s">
        <v>182</v>
      </c>
      <c r="G89" s="154">
        <v>1</v>
      </c>
      <c r="H89" s="172">
        <v>5373</v>
      </c>
      <c r="I89" s="124">
        <f t="shared" si="8"/>
        <v>5373</v>
      </c>
      <c r="J89" s="99"/>
      <c r="K89" s="113" t="s">
        <v>183</v>
      </c>
      <c r="L89" s="177" t="s">
        <v>295</v>
      </c>
      <c r="M89" s="1"/>
      <c r="N89" s="18">
        <v>45916</v>
      </c>
      <c r="O89" s="4"/>
      <c r="P89" s="176">
        <v>45931</v>
      </c>
      <c r="Q89" s="18">
        <v>45932</v>
      </c>
      <c r="R89" s="16">
        <v>45932</v>
      </c>
    </row>
    <row r="90" spans="1:18" s="3" customFormat="1" ht="19.5" customHeight="1" x14ac:dyDescent="0.15">
      <c r="A90" s="149" t="s">
        <v>240</v>
      </c>
      <c r="C90" s="88">
        <f t="shared" si="6"/>
        <v>58</v>
      </c>
      <c r="D90" s="81" t="s">
        <v>176</v>
      </c>
      <c r="E90" s="81" t="s">
        <v>176</v>
      </c>
      <c r="F90" s="153" t="s">
        <v>184</v>
      </c>
      <c r="G90" s="154">
        <v>1</v>
      </c>
      <c r="H90" s="172">
        <v>1638</v>
      </c>
      <c r="I90" s="124">
        <f t="shared" si="8"/>
        <v>1638</v>
      </c>
      <c r="J90" s="100"/>
      <c r="K90" s="113" t="s">
        <v>185</v>
      </c>
      <c r="L90" s="177" t="s">
        <v>295</v>
      </c>
      <c r="M90" s="1"/>
      <c r="N90" s="18">
        <v>45916</v>
      </c>
      <c r="O90" s="4"/>
      <c r="P90" s="176">
        <v>45931</v>
      </c>
      <c r="Q90" s="18">
        <v>45932</v>
      </c>
      <c r="R90" s="16">
        <v>45932</v>
      </c>
    </row>
    <row r="91" spans="1:18" s="3" customFormat="1" ht="19.5" customHeight="1" x14ac:dyDescent="0.15">
      <c r="A91" s="149" t="s">
        <v>240</v>
      </c>
      <c r="C91" s="88">
        <f t="shared" si="6"/>
        <v>59</v>
      </c>
      <c r="D91" s="81" t="s">
        <v>176</v>
      </c>
      <c r="E91" s="81" t="s">
        <v>176</v>
      </c>
      <c r="F91" s="153" t="s">
        <v>186</v>
      </c>
      <c r="G91" s="154">
        <v>1</v>
      </c>
      <c r="H91" s="172">
        <v>1258</v>
      </c>
      <c r="I91" s="124">
        <f t="shared" si="8"/>
        <v>1258</v>
      </c>
      <c r="J91" s="101"/>
      <c r="K91" s="113" t="s">
        <v>187</v>
      </c>
      <c r="L91" s="177" t="s">
        <v>295</v>
      </c>
      <c r="M91" s="1"/>
      <c r="N91" s="18">
        <v>45916</v>
      </c>
      <c r="O91" s="4"/>
      <c r="P91" s="176">
        <v>45931</v>
      </c>
      <c r="Q91" s="18">
        <v>45932</v>
      </c>
      <c r="R91" s="16">
        <v>45932</v>
      </c>
    </row>
    <row r="92" spans="1:18" s="3" customFormat="1" ht="19.5" customHeight="1" x14ac:dyDescent="0.15">
      <c r="A92" s="149" t="s">
        <v>240</v>
      </c>
      <c r="C92" s="88">
        <f t="shared" si="6"/>
        <v>60</v>
      </c>
      <c r="D92" s="81" t="s">
        <v>176</v>
      </c>
      <c r="E92" s="81" t="s">
        <v>176</v>
      </c>
      <c r="F92" s="153" t="s">
        <v>214</v>
      </c>
      <c r="G92" s="154">
        <v>1</v>
      </c>
      <c r="H92" s="172">
        <v>1317</v>
      </c>
      <c r="I92" s="124">
        <f t="shared" si="8"/>
        <v>1317</v>
      </c>
      <c r="J92" s="101"/>
      <c r="K92" s="113" t="s">
        <v>187</v>
      </c>
      <c r="L92" s="177" t="s">
        <v>295</v>
      </c>
      <c r="M92" s="1"/>
      <c r="N92" s="18">
        <v>45916</v>
      </c>
      <c r="O92" s="4"/>
      <c r="P92" s="176">
        <v>45931</v>
      </c>
      <c r="Q92" s="18">
        <v>45932</v>
      </c>
      <c r="R92" s="16">
        <v>45932</v>
      </c>
    </row>
    <row r="93" spans="1:18" s="3" customFormat="1" ht="19.5" customHeight="1" x14ac:dyDescent="0.15">
      <c r="A93" s="149" t="s">
        <v>240</v>
      </c>
      <c r="C93" s="88">
        <f t="shared" si="6"/>
        <v>61</v>
      </c>
      <c r="D93" s="81" t="s">
        <v>176</v>
      </c>
      <c r="E93" s="81" t="s">
        <v>176</v>
      </c>
      <c r="F93" s="153" t="s">
        <v>188</v>
      </c>
      <c r="G93" s="154">
        <v>1</v>
      </c>
      <c r="H93" s="172">
        <v>1323</v>
      </c>
      <c r="I93" s="124">
        <f t="shared" si="8"/>
        <v>1323</v>
      </c>
      <c r="J93" s="101"/>
      <c r="K93" s="113" t="s">
        <v>187</v>
      </c>
      <c r="L93" s="177" t="s">
        <v>295</v>
      </c>
      <c r="M93" s="1"/>
      <c r="N93" s="18">
        <v>45916</v>
      </c>
      <c r="O93" s="4"/>
      <c r="P93" s="176">
        <v>45931</v>
      </c>
      <c r="Q93" s="18">
        <v>45932</v>
      </c>
      <c r="R93" s="16">
        <v>45932</v>
      </c>
    </row>
    <row r="94" spans="1:18" s="3" customFormat="1" ht="19.5" customHeight="1" x14ac:dyDescent="0.15">
      <c r="A94" s="149" t="s">
        <v>240</v>
      </c>
      <c r="C94" s="88">
        <f t="shared" si="6"/>
        <v>62</v>
      </c>
      <c r="D94" s="95" t="s">
        <v>176</v>
      </c>
      <c r="E94" s="95" t="s">
        <v>176</v>
      </c>
      <c r="F94" s="147" t="s">
        <v>189</v>
      </c>
      <c r="G94" s="148">
        <v>1</v>
      </c>
      <c r="H94" s="170">
        <v>851</v>
      </c>
      <c r="I94" s="125">
        <f>G94*H94</f>
        <v>851</v>
      </c>
      <c r="J94" s="102"/>
      <c r="K94" s="114" t="s">
        <v>190</v>
      </c>
      <c r="L94" s="177" t="s">
        <v>295</v>
      </c>
      <c r="M94" s="1"/>
      <c r="N94" s="18">
        <v>45916</v>
      </c>
      <c r="O94" s="4"/>
      <c r="P94" s="176">
        <v>45931</v>
      </c>
      <c r="Q94" s="18">
        <v>45932</v>
      </c>
      <c r="R94" s="16">
        <v>45932</v>
      </c>
    </row>
    <row r="95" spans="1:18" s="3" customFormat="1" ht="19.5" customHeight="1" x14ac:dyDescent="0.15">
      <c r="A95" s="149" t="s">
        <v>240</v>
      </c>
      <c r="C95" s="88">
        <f t="shared" si="6"/>
        <v>63</v>
      </c>
      <c r="D95" s="95" t="s">
        <v>191</v>
      </c>
      <c r="E95" s="95" t="s">
        <v>176</v>
      </c>
      <c r="F95" s="147" t="s">
        <v>192</v>
      </c>
      <c r="G95" s="156">
        <v>1</v>
      </c>
      <c r="H95" s="170">
        <v>1611</v>
      </c>
      <c r="I95" s="126">
        <f>G95*H95</f>
        <v>1611</v>
      </c>
      <c r="J95" s="103"/>
      <c r="K95" s="115" t="s">
        <v>193</v>
      </c>
      <c r="L95" s="177" t="s">
        <v>295</v>
      </c>
      <c r="M95" s="1"/>
      <c r="N95" s="18">
        <v>45916</v>
      </c>
      <c r="O95" s="4"/>
      <c r="P95" s="176">
        <v>45931</v>
      </c>
      <c r="Q95" s="18">
        <v>45932</v>
      </c>
      <c r="R95" s="16">
        <v>45932</v>
      </c>
    </row>
    <row r="96" spans="1:18" s="3" customFormat="1" ht="19.5" customHeight="1" x14ac:dyDescent="0.15">
      <c r="A96" s="149" t="s">
        <v>240</v>
      </c>
      <c r="C96" s="88">
        <f t="shared" si="6"/>
        <v>64</v>
      </c>
      <c r="D96" s="95" t="s">
        <v>176</v>
      </c>
      <c r="E96" s="122" t="s">
        <v>176</v>
      </c>
      <c r="F96" s="157" t="s">
        <v>219</v>
      </c>
      <c r="G96" s="156">
        <v>8</v>
      </c>
      <c r="H96" s="170">
        <v>91</v>
      </c>
      <c r="I96" s="127">
        <f t="shared" ref="I96" si="9">G96*H96</f>
        <v>728</v>
      </c>
      <c r="J96" s="103"/>
      <c r="K96" s="123" t="s">
        <v>220</v>
      </c>
      <c r="L96" s="177" t="s">
        <v>295</v>
      </c>
      <c r="M96" s="1"/>
      <c r="N96" s="18">
        <v>45916</v>
      </c>
      <c r="O96" s="4"/>
      <c r="P96" s="176">
        <v>45931</v>
      </c>
      <c r="Q96" s="18">
        <v>45932</v>
      </c>
      <c r="R96" s="16">
        <v>45932</v>
      </c>
    </row>
    <row r="97" spans="1:18" s="3" customFormat="1" ht="19.5" customHeight="1" x14ac:dyDescent="0.15">
      <c r="A97" s="149" t="s">
        <v>240</v>
      </c>
      <c r="C97" s="88">
        <f>C96+1</f>
        <v>65</v>
      </c>
      <c r="D97" s="81" t="s">
        <v>176</v>
      </c>
      <c r="E97" s="81" t="s">
        <v>176</v>
      </c>
      <c r="F97" s="151" t="s">
        <v>194</v>
      </c>
      <c r="G97" s="143">
        <v>2</v>
      </c>
      <c r="H97" s="143">
        <v>287</v>
      </c>
      <c r="I97" s="97">
        <f t="shared" si="8"/>
        <v>574</v>
      </c>
      <c r="J97" s="96"/>
      <c r="K97" s="116" t="s">
        <v>195</v>
      </c>
      <c r="L97" s="177" t="s">
        <v>295</v>
      </c>
      <c r="M97" s="1"/>
      <c r="N97" s="18">
        <v>45916</v>
      </c>
      <c r="O97" s="4"/>
      <c r="P97" s="176">
        <v>45931</v>
      </c>
      <c r="Q97" s="18">
        <v>45932</v>
      </c>
      <c r="R97" s="16">
        <v>45932</v>
      </c>
    </row>
    <row r="98" spans="1:18" s="3" customFormat="1" ht="19.5" customHeight="1" x14ac:dyDescent="0.15">
      <c r="A98" s="149" t="s">
        <v>240</v>
      </c>
      <c r="C98" s="88">
        <f t="shared" si="6"/>
        <v>66</v>
      </c>
      <c r="D98" s="92" t="s">
        <v>161</v>
      </c>
      <c r="E98" s="92" t="s">
        <v>161</v>
      </c>
      <c r="F98" s="137" t="s">
        <v>285</v>
      </c>
      <c r="G98" s="138">
        <v>8</v>
      </c>
      <c r="H98" s="168">
        <v>127</v>
      </c>
      <c r="I98" s="97">
        <f t="shared" si="8"/>
        <v>1016</v>
      </c>
      <c r="J98" s="48"/>
      <c r="K98" s="91" t="s">
        <v>231</v>
      </c>
      <c r="L98" s="177" t="s">
        <v>295</v>
      </c>
      <c r="M98" s="1"/>
      <c r="N98" s="18">
        <v>45916</v>
      </c>
      <c r="O98" s="4"/>
      <c r="P98" s="176">
        <v>45931</v>
      </c>
      <c r="Q98" s="18">
        <v>45932</v>
      </c>
      <c r="R98" s="16">
        <v>45932</v>
      </c>
    </row>
    <row r="99" spans="1:18" s="3" customFormat="1" ht="19.5" customHeight="1" x14ac:dyDescent="0.15">
      <c r="A99" s="149" t="s">
        <v>240</v>
      </c>
      <c r="C99" s="88">
        <f t="shared" si="6"/>
        <v>67</v>
      </c>
      <c r="D99" s="104" t="s">
        <v>196</v>
      </c>
      <c r="E99" s="95" t="s">
        <v>176</v>
      </c>
      <c r="F99" s="160" t="s">
        <v>197</v>
      </c>
      <c r="G99" s="161">
        <v>1</v>
      </c>
      <c r="H99" s="161">
        <v>622</v>
      </c>
      <c r="I99" s="125">
        <f t="shared" si="8"/>
        <v>622</v>
      </c>
      <c r="J99" s="96"/>
      <c r="K99" s="117" t="s">
        <v>198</v>
      </c>
      <c r="L99" s="177" t="s">
        <v>295</v>
      </c>
      <c r="M99" s="1"/>
      <c r="N99" s="18">
        <v>45916</v>
      </c>
      <c r="O99" s="4"/>
      <c r="P99" s="176">
        <v>45931</v>
      </c>
      <c r="Q99" s="18">
        <v>45932</v>
      </c>
      <c r="R99" s="16">
        <v>45932</v>
      </c>
    </row>
    <row r="100" spans="1:18" s="3" customFormat="1" ht="19.5" customHeight="1" x14ac:dyDescent="0.15">
      <c r="A100" s="149" t="s">
        <v>240</v>
      </c>
      <c r="C100" s="88">
        <f t="shared" si="6"/>
        <v>68</v>
      </c>
      <c r="D100" s="95" t="s">
        <v>176</v>
      </c>
      <c r="E100" s="95" t="s">
        <v>176</v>
      </c>
      <c r="F100" s="162" t="s">
        <v>199</v>
      </c>
      <c r="G100" s="143">
        <v>2</v>
      </c>
      <c r="H100" s="143">
        <v>128</v>
      </c>
      <c r="I100" s="125">
        <f t="shared" si="8"/>
        <v>256</v>
      </c>
      <c r="J100" s="105"/>
      <c r="K100" s="113" t="s">
        <v>200</v>
      </c>
      <c r="L100" s="177" t="s">
        <v>295</v>
      </c>
      <c r="M100" s="1"/>
      <c r="N100" s="18">
        <v>45916</v>
      </c>
      <c r="O100" s="4"/>
      <c r="P100" s="176">
        <v>45931</v>
      </c>
      <c r="Q100" s="18">
        <v>45932</v>
      </c>
      <c r="R100" s="16">
        <v>45932</v>
      </c>
    </row>
    <row r="101" spans="1:18" s="3" customFormat="1" ht="19.5" customHeight="1" x14ac:dyDescent="0.15">
      <c r="A101" s="149" t="s">
        <v>240</v>
      </c>
      <c r="C101" s="88">
        <f t="shared" si="6"/>
        <v>69</v>
      </c>
      <c r="D101" s="104" t="s">
        <v>176</v>
      </c>
      <c r="E101" s="104" t="s">
        <v>176</v>
      </c>
      <c r="F101" s="163" t="s">
        <v>201</v>
      </c>
      <c r="G101" s="164">
        <v>1</v>
      </c>
      <c r="H101" s="172">
        <v>287</v>
      </c>
      <c r="I101" s="128">
        <f t="shared" si="8"/>
        <v>287</v>
      </c>
      <c r="J101" s="106"/>
      <c r="K101" s="118" t="s">
        <v>202</v>
      </c>
      <c r="L101" s="177" t="s">
        <v>295</v>
      </c>
      <c r="M101" s="1"/>
      <c r="N101" s="18">
        <v>45916</v>
      </c>
      <c r="O101" s="4"/>
      <c r="P101" s="176">
        <v>45931</v>
      </c>
      <c r="Q101" s="18">
        <v>45932</v>
      </c>
      <c r="R101" s="16">
        <v>45932</v>
      </c>
    </row>
    <row r="102" spans="1:18" s="3" customFormat="1" ht="19.5" customHeight="1" x14ac:dyDescent="0.15">
      <c r="A102" s="149" t="s">
        <v>240</v>
      </c>
      <c r="C102" s="88">
        <f t="shared" si="6"/>
        <v>70</v>
      </c>
      <c r="D102" s="81" t="s">
        <v>176</v>
      </c>
      <c r="E102" s="81" t="s">
        <v>176</v>
      </c>
      <c r="F102" s="165" t="s">
        <v>215</v>
      </c>
      <c r="G102" s="143">
        <v>1</v>
      </c>
      <c r="H102" s="167">
        <v>9631</v>
      </c>
      <c r="I102" s="129">
        <f t="shared" si="8"/>
        <v>9631</v>
      </c>
      <c r="J102" s="107"/>
      <c r="K102" s="116" t="s">
        <v>216</v>
      </c>
      <c r="L102" s="177" t="s">
        <v>295</v>
      </c>
      <c r="M102" s="1"/>
      <c r="N102" s="18">
        <v>45916</v>
      </c>
      <c r="O102" s="4"/>
      <c r="P102" s="176">
        <v>45931</v>
      </c>
      <c r="Q102" s="18">
        <v>45932</v>
      </c>
      <c r="R102" s="16">
        <v>45932</v>
      </c>
    </row>
    <row r="103" spans="1:18" s="3" customFormat="1" ht="19.5" customHeight="1" x14ac:dyDescent="0.15">
      <c r="A103" s="149" t="s">
        <v>240</v>
      </c>
      <c r="C103" s="88">
        <f t="shared" si="6"/>
        <v>71</v>
      </c>
      <c r="D103" s="112" t="s">
        <v>176</v>
      </c>
      <c r="E103" s="112" t="s">
        <v>176</v>
      </c>
      <c r="F103" s="157" t="s">
        <v>217</v>
      </c>
      <c r="G103" s="154">
        <v>1</v>
      </c>
      <c r="H103" s="173">
        <v>1956</v>
      </c>
      <c r="I103" s="130">
        <f t="shared" si="8"/>
        <v>1956</v>
      </c>
      <c r="J103" s="96"/>
      <c r="K103" s="113" t="s">
        <v>218</v>
      </c>
      <c r="L103" s="177" t="s">
        <v>295</v>
      </c>
      <c r="M103" s="1"/>
      <c r="N103" s="18">
        <v>45916</v>
      </c>
      <c r="O103" s="4"/>
      <c r="P103" s="176">
        <v>45931</v>
      </c>
      <c r="Q103" s="18">
        <v>45932</v>
      </c>
      <c r="R103" s="16">
        <v>45932</v>
      </c>
    </row>
    <row r="104" spans="1:18" s="3" customFormat="1" ht="19.5" customHeight="1" x14ac:dyDescent="0.15">
      <c r="A104" s="149" t="s">
        <v>240</v>
      </c>
      <c r="C104" s="88">
        <f t="shared" si="6"/>
        <v>72</v>
      </c>
      <c r="D104" s="108" t="s">
        <v>203</v>
      </c>
      <c r="E104" s="81" t="s">
        <v>37</v>
      </c>
      <c r="F104" s="158" t="s">
        <v>204</v>
      </c>
      <c r="G104" s="159">
        <v>2</v>
      </c>
      <c r="H104" s="174">
        <v>1406</v>
      </c>
      <c r="I104" s="98">
        <f t="shared" si="8"/>
        <v>2812</v>
      </c>
      <c r="J104" s="109"/>
      <c r="K104" s="119" t="s">
        <v>205</v>
      </c>
      <c r="L104" s="177" t="s">
        <v>295</v>
      </c>
      <c r="M104" s="1"/>
      <c r="N104" s="18">
        <v>45916</v>
      </c>
      <c r="O104" s="4"/>
      <c r="P104" s="176">
        <v>45931</v>
      </c>
      <c r="Q104" s="18">
        <v>45932</v>
      </c>
      <c r="R104" s="16">
        <v>45932</v>
      </c>
    </row>
    <row r="105" spans="1:18" s="3" customFormat="1" ht="19.5" customHeight="1" x14ac:dyDescent="0.15">
      <c r="A105" s="149" t="s">
        <v>240</v>
      </c>
      <c r="C105" s="88">
        <f t="shared" si="6"/>
        <v>73</v>
      </c>
      <c r="D105" s="108" t="s">
        <v>203</v>
      </c>
      <c r="E105" s="81" t="s">
        <v>37</v>
      </c>
      <c r="F105" s="158" t="s">
        <v>206</v>
      </c>
      <c r="G105" s="159">
        <v>2</v>
      </c>
      <c r="H105" s="174">
        <v>396</v>
      </c>
      <c r="I105" s="131">
        <f t="shared" si="8"/>
        <v>792</v>
      </c>
      <c r="J105" s="109"/>
      <c r="K105" s="119" t="s">
        <v>207</v>
      </c>
      <c r="L105" s="177" t="s">
        <v>295</v>
      </c>
      <c r="M105" s="1"/>
      <c r="N105" s="18">
        <v>45916</v>
      </c>
      <c r="O105" s="4"/>
      <c r="P105" s="176">
        <v>45931</v>
      </c>
      <c r="Q105" s="18">
        <v>45932</v>
      </c>
      <c r="R105" s="16">
        <v>45932</v>
      </c>
    </row>
    <row r="106" spans="1:18" s="3" customFormat="1" ht="19.5" customHeight="1" x14ac:dyDescent="0.15">
      <c r="A106" s="149" t="s">
        <v>240</v>
      </c>
      <c r="C106" s="88">
        <f t="shared" si="6"/>
        <v>74</v>
      </c>
      <c r="D106" s="108" t="s">
        <v>203</v>
      </c>
      <c r="E106" s="81" t="s">
        <v>37</v>
      </c>
      <c r="F106" s="158" t="s">
        <v>208</v>
      </c>
      <c r="G106" s="159">
        <v>2</v>
      </c>
      <c r="H106" s="174">
        <v>41</v>
      </c>
      <c r="I106" s="131">
        <f t="shared" si="8"/>
        <v>82</v>
      </c>
      <c r="J106" s="109"/>
      <c r="K106" s="119" t="s">
        <v>209</v>
      </c>
      <c r="L106" s="177" t="s">
        <v>295</v>
      </c>
      <c r="M106" s="1"/>
      <c r="N106" s="18">
        <v>45916</v>
      </c>
      <c r="O106" s="4"/>
      <c r="P106" s="176">
        <v>45931</v>
      </c>
      <c r="Q106" s="18">
        <v>45932</v>
      </c>
      <c r="R106" s="16">
        <v>45932</v>
      </c>
    </row>
    <row r="107" spans="1:18" s="3" customFormat="1" ht="19.5" customHeight="1" x14ac:dyDescent="0.15">
      <c r="A107" s="149" t="s">
        <v>240</v>
      </c>
      <c r="C107" s="88">
        <f t="shared" si="6"/>
        <v>75</v>
      </c>
      <c r="D107" s="110" t="s">
        <v>176</v>
      </c>
      <c r="E107" s="110" t="s">
        <v>176</v>
      </c>
      <c r="F107" s="166" t="s">
        <v>210</v>
      </c>
      <c r="G107" s="167">
        <v>1</v>
      </c>
      <c r="H107" s="167">
        <v>5451</v>
      </c>
      <c r="I107" s="124">
        <f t="shared" si="8"/>
        <v>5451</v>
      </c>
      <c r="J107" s="111"/>
      <c r="K107" s="120" t="s">
        <v>211</v>
      </c>
      <c r="L107" s="177" t="s">
        <v>295</v>
      </c>
      <c r="M107" s="1"/>
      <c r="N107" s="18">
        <v>45916</v>
      </c>
      <c r="O107" s="4"/>
      <c r="P107" s="176">
        <v>45931</v>
      </c>
      <c r="Q107" s="18">
        <v>45932</v>
      </c>
      <c r="R107" s="16">
        <v>45932</v>
      </c>
    </row>
    <row r="108" spans="1:18" s="3" customFormat="1" ht="19.5" customHeight="1" x14ac:dyDescent="0.15">
      <c r="A108" s="149" t="s">
        <v>240</v>
      </c>
      <c r="C108" s="88">
        <f>C107+1</f>
        <v>76</v>
      </c>
      <c r="D108" s="95" t="s">
        <v>176</v>
      </c>
      <c r="E108" s="95" t="s">
        <v>176</v>
      </c>
      <c r="F108" s="155" t="s">
        <v>212</v>
      </c>
      <c r="G108" s="143">
        <v>2</v>
      </c>
      <c r="H108" s="167">
        <v>207</v>
      </c>
      <c r="I108" s="97">
        <f t="shared" si="8"/>
        <v>414</v>
      </c>
      <c r="J108" s="96"/>
      <c r="K108" s="121" t="s">
        <v>213</v>
      </c>
      <c r="L108" s="177" t="s">
        <v>295</v>
      </c>
      <c r="M108" s="1"/>
      <c r="N108" s="18">
        <v>45916</v>
      </c>
      <c r="O108" s="4"/>
      <c r="P108" s="176">
        <v>45931</v>
      </c>
      <c r="Q108" s="18">
        <v>45932</v>
      </c>
      <c r="R108" s="16">
        <v>45932</v>
      </c>
    </row>
    <row r="109" spans="1:18" s="3" customFormat="1" ht="19.5" customHeight="1" x14ac:dyDescent="0.15">
      <c r="C109" s="141"/>
      <c r="D109" s="81"/>
      <c r="E109" s="81"/>
      <c r="F109" s="142"/>
      <c r="G109" s="90"/>
      <c r="H109" s="49"/>
      <c r="I109" s="97"/>
      <c r="J109" s="48"/>
      <c r="K109" s="50"/>
      <c r="L109" s="1"/>
      <c r="M109" s="1"/>
      <c r="N109" s="18"/>
      <c r="O109" s="4"/>
      <c r="P109" s="1"/>
      <c r="Q109" s="18"/>
      <c r="R109" s="8"/>
    </row>
    <row r="110" spans="1:18" s="3" customFormat="1" ht="19.5" customHeight="1" x14ac:dyDescent="0.15">
      <c r="C110" s="81"/>
      <c r="D110" s="81"/>
      <c r="E110" s="81"/>
      <c r="F110" s="84"/>
      <c r="G110" s="90"/>
      <c r="H110" s="49"/>
      <c r="I110" s="49"/>
      <c r="J110" s="48"/>
      <c r="K110" s="50"/>
      <c r="L110" s="1"/>
      <c r="M110" s="1"/>
      <c r="N110" s="18"/>
      <c r="O110" s="4"/>
      <c r="P110" s="1"/>
      <c r="Q110" s="18"/>
      <c r="R110" s="8"/>
    </row>
    <row r="111" spans="1:18" s="3" customFormat="1" ht="19.5" customHeight="1" x14ac:dyDescent="0.15">
      <c r="C111" s="81"/>
      <c r="D111" s="81"/>
      <c r="E111" s="81"/>
      <c r="F111" s="84"/>
      <c r="G111" s="90"/>
      <c r="H111" s="49"/>
      <c r="I111" s="49"/>
      <c r="J111" s="48"/>
      <c r="K111" s="50"/>
      <c r="L111" s="1"/>
      <c r="M111" s="1"/>
      <c r="N111" s="18"/>
      <c r="O111" s="4"/>
      <c r="P111" s="1"/>
      <c r="Q111" s="18"/>
      <c r="R111" s="8"/>
    </row>
    <row r="112" spans="1:18" s="3" customFormat="1" ht="19.5" customHeight="1" x14ac:dyDescent="0.15">
      <c r="C112" s="81"/>
      <c r="D112" s="81"/>
      <c r="E112" s="81"/>
      <c r="F112" s="89">
        <f>SUM(I83:I111)</f>
        <v>58977</v>
      </c>
      <c r="G112" s="90"/>
      <c r="H112" s="49"/>
      <c r="I112" s="49"/>
      <c r="J112" s="48"/>
      <c r="K112" s="50"/>
      <c r="L112" s="1"/>
      <c r="M112" s="1"/>
      <c r="N112" s="18"/>
      <c r="O112" s="4"/>
      <c r="P112" s="1"/>
      <c r="Q112" s="18"/>
      <c r="R112" s="8"/>
    </row>
    <row r="113" spans="3:18" s="3" customFormat="1" ht="19.5" customHeight="1" x14ac:dyDescent="0.15">
      <c r="C113" s="81"/>
      <c r="D113" s="81"/>
      <c r="E113" s="81"/>
      <c r="F113" s="84"/>
      <c r="G113" s="90"/>
      <c r="H113" s="49"/>
      <c r="I113" s="49"/>
      <c r="J113" s="48"/>
      <c r="K113" s="50"/>
      <c r="L113" s="1"/>
      <c r="M113" s="1"/>
      <c r="N113" s="18"/>
      <c r="O113" s="4"/>
      <c r="P113" s="1"/>
      <c r="Q113" s="18"/>
      <c r="R113" s="8"/>
    </row>
    <row r="114" spans="3:18" s="3" customFormat="1" ht="19.5" customHeight="1" x14ac:dyDescent="0.15">
      <c r="C114" s="81"/>
      <c r="D114" s="81"/>
      <c r="E114" s="81"/>
      <c r="F114" s="84"/>
      <c r="G114" s="90"/>
      <c r="H114" s="49"/>
      <c r="I114" s="49"/>
      <c r="J114" s="48"/>
      <c r="K114" s="50"/>
      <c r="L114" s="1"/>
      <c r="M114" s="1"/>
      <c r="N114" s="18"/>
      <c r="O114" s="4"/>
      <c r="P114" s="1"/>
      <c r="Q114" s="18"/>
      <c r="R114" s="8"/>
    </row>
    <row r="115" spans="3:18" s="3" customFormat="1" ht="19.5" customHeight="1" x14ac:dyDescent="0.15">
      <c r="C115" s="81"/>
      <c r="D115" s="81"/>
      <c r="E115" s="81"/>
      <c r="F115" s="84"/>
      <c r="G115" s="90"/>
      <c r="H115" s="49"/>
      <c r="I115" s="49"/>
      <c r="J115" s="48"/>
      <c r="K115" s="50"/>
      <c r="L115" s="1"/>
      <c r="M115" s="1"/>
      <c r="N115" s="18"/>
      <c r="O115" s="4"/>
      <c r="P115" s="1"/>
      <c r="Q115" s="18"/>
      <c r="R115" s="8"/>
    </row>
    <row r="116" spans="3:18" s="3" customFormat="1" ht="19.5" customHeight="1" x14ac:dyDescent="0.15">
      <c r="C116" s="81"/>
      <c r="D116" s="81"/>
      <c r="E116" s="81"/>
      <c r="F116" s="84"/>
      <c r="G116" s="90"/>
      <c r="H116" s="49"/>
      <c r="I116" s="49"/>
      <c r="J116" s="48"/>
      <c r="K116" s="50"/>
      <c r="L116" s="1"/>
      <c r="M116" s="1"/>
      <c r="N116" s="18"/>
      <c r="O116" s="4"/>
      <c r="P116" s="1"/>
      <c r="Q116" s="18"/>
      <c r="R116" s="8"/>
    </row>
    <row r="117" spans="3:18" s="3" customFormat="1" ht="19.5" customHeight="1" x14ac:dyDescent="0.15">
      <c r="C117" s="81"/>
      <c r="D117" s="81"/>
      <c r="E117" s="81"/>
      <c r="F117" s="84"/>
      <c r="G117" s="90"/>
      <c r="H117" s="49"/>
      <c r="I117" s="49"/>
      <c r="J117" s="48"/>
      <c r="K117" s="50"/>
      <c r="L117" s="1"/>
      <c r="M117" s="1"/>
      <c r="N117" s="18"/>
      <c r="O117" s="4"/>
      <c r="P117" s="1"/>
      <c r="Q117" s="18"/>
      <c r="R117" s="8"/>
    </row>
    <row r="118" spans="3:18" s="3" customFormat="1" ht="19.5" customHeight="1" x14ac:dyDescent="0.15">
      <c r="C118" s="81"/>
      <c r="D118" s="81"/>
      <c r="E118" s="81"/>
      <c r="F118" s="84"/>
      <c r="G118" s="90"/>
      <c r="H118" s="49"/>
      <c r="I118" s="49"/>
      <c r="J118" s="48"/>
      <c r="K118" s="50"/>
      <c r="L118" s="1"/>
      <c r="M118" s="1"/>
      <c r="N118" s="18"/>
      <c r="O118" s="4"/>
      <c r="P118" s="1"/>
      <c r="Q118" s="18"/>
      <c r="R118" s="8"/>
    </row>
    <row r="119" spans="3:18" s="3" customFormat="1" ht="19.5" customHeight="1" x14ac:dyDescent="0.15">
      <c r="C119" s="81"/>
      <c r="D119" s="81"/>
      <c r="E119" s="81"/>
      <c r="F119" s="84"/>
      <c r="G119" s="90"/>
      <c r="H119" s="49"/>
      <c r="I119" s="49"/>
      <c r="J119" s="48"/>
      <c r="K119" s="50"/>
      <c r="L119" s="1"/>
      <c r="M119" s="1"/>
      <c r="N119" s="18"/>
      <c r="O119" s="4"/>
      <c r="P119" s="1"/>
      <c r="Q119" s="18"/>
      <c r="R119" s="8"/>
    </row>
    <row r="120" spans="3:18" s="3" customFormat="1" ht="19.5" customHeight="1" x14ac:dyDescent="0.15">
      <c r="C120" s="81"/>
      <c r="D120" s="81"/>
      <c r="E120" s="81"/>
      <c r="F120" s="84"/>
      <c r="G120" s="90"/>
      <c r="H120" s="49"/>
      <c r="I120" s="49"/>
      <c r="J120" s="48"/>
      <c r="K120" s="50"/>
      <c r="L120" s="1"/>
      <c r="M120" s="1"/>
      <c r="N120" s="18"/>
      <c r="O120" s="4"/>
      <c r="P120" s="1"/>
      <c r="Q120" s="18"/>
      <c r="R120" s="8"/>
    </row>
    <row r="121" spans="3:18" s="3" customFormat="1" ht="19.5" customHeight="1" x14ac:dyDescent="0.15">
      <c r="C121" s="81"/>
      <c r="D121" s="81"/>
      <c r="E121" s="81"/>
      <c r="F121" s="84"/>
      <c r="G121" s="90"/>
      <c r="H121" s="49"/>
      <c r="I121" s="49"/>
      <c r="J121" s="48"/>
      <c r="K121" s="50"/>
      <c r="L121" s="1"/>
      <c r="M121" s="1"/>
      <c r="N121" s="18"/>
      <c r="O121" s="4"/>
      <c r="P121" s="1"/>
      <c r="Q121" s="18"/>
      <c r="R121" s="8"/>
    </row>
    <row r="122" spans="3:18" s="3" customFormat="1" ht="19.5" customHeight="1" x14ac:dyDescent="0.15">
      <c r="C122" s="81"/>
      <c r="D122" s="81"/>
      <c r="E122" s="81"/>
      <c r="F122" s="84"/>
      <c r="G122" s="90"/>
      <c r="H122" s="49"/>
      <c r="I122" s="49"/>
      <c r="J122" s="48"/>
      <c r="K122" s="50"/>
      <c r="L122" s="1"/>
      <c r="M122" s="1"/>
      <c r="N122" s="18"/>
      <c r="O122" s="4"/>
      <c r="P122" s="1"/>
      <c r="Q122" s="18"/>
      <c r="R122" s="8"/>
    </row>
    <row r="123" spans="3:18" s="3" customFormat="1" ht="19.5" customHeight="1" x14ac:dyDescent="0.15">
      <c r="C123" s="81"/>
      <c r="D123" s="81"/>
      <c r="E123" s="81"/>
      <c r="F123" s="84"/>
      <c r="G123" s="90"/>
      <c r="H123" s="49"/>
      <c r="I123" s="49"/>
      <c r="J123" s="48"/>
      <c r="K123" s="50"/>
      <c r="L123" s="1"/>
      <c r="M123" s="1"/>
      <c r="N123" s="18"/>
      <c r="O123" s="4"/>
      <c r="P123" s="1"/>
      <c r="Q123" s="18"/>
      <c r="R123" s="8"/>
    </row>
    <row r="124" spans="3:18" s="3" customFormat="1" ht="19.5" customHeight="1" x14ac:dyDescent="0.15">
      <c r="C124" s="81"/>
      <c r="D124" s="81"/>
      <c r="E124" s="81"/>
      <c r="F124" s="84"/>
      <c r="G124" s="90"/>
      <c r="H124" s="49"/>
      <c r="I124" s="49"/>
      <c r="J124" s="48"/>
      <c r="K124" s="50"/>
      <c r="L124" s="1"/>
      <c r="M124" s="1"/>
      <c r="N124" s="18"/>
      <c r="O124" s="4"/>
      <c r="P124" s="1"/>
      <c r="Q124" s="18"/>
      <c r="R124" s="8"/>
    </row>
    <row r="125" spans="3:18" s="3" customFormat="1" ht="19.5" customHeight="1" x14ac:dyDescent="0.15">
      <c r="C125" s="81"/>
      <c r="D125" s="81"/>
      <c r="E125" s="81"/>
      <c r="F125" s="84"/>
      <c r="G125" s="90"/>
      <c r="H125" s="49"/>
      <c r="I125" s="49"/>
      <c r="J125" s="48"/>
      <c r="K125" s="50"/>
      <c r="L125" s="1"/>
      <c r="M125" s="1"/>
      <c r="N125" s="18"/>
      <c r="O125" s="4"/>
      <c r="P125" s="1"/>
      <c r="Q125" s="18"/>
      <c r="R125" s="8"/>
    </row>
    <row r="126" spans="3:18" s="3" customFormat="1" ht="19.5" customHeight="1" x14ac:dyDescent="0.15">
      <c r="C126" s="81"/>
      <c r="D126" s="81"/>
      <c r="E126" s="81"/>
      <c r="F126" s="84"/>
      <c r="G126" s="90"/>
      <c r="H126" s="49"/>
      <c r="I126" s="49"/>
      <c r="J126" s="48"/>
      <c r="K126" s="50"/>
      <c r="L126" s="1"/>
      <c r="M126" s="1"/>
      <c r="N126" s="18"/>
      <c r="O126" s="4"/>
      <c r="P126" s="1"/>
      <c r="Q126" s="18"/>
      <c r="R126" s="8"/>
    </row>
    <row r="127" spans="3:18" s="3" customFormat="1" ht="19.5" customHeight="1" x14ac:dyDescent="0.15">
      <c r="C127" s="81"/>
      <c r="D127" s="81"/>
      <c r="E127" s="81"/>
      <c r="F127" s="84"/>
      <c r="G127" s="90"/>
      <c r="H127" s="49"/>
      <c r="I127" s="49"/>
      <c r="J127" s="48"/>
      <c r="K127" s="50"/>
      <c r="L127" s="1"/>
      <c r="M127" s="1"/>
      <c r="N127" s="18"/>
      <c r="O127" s="4"/>
      <c r="P127" s="1"/>
      <c r="Q127" s="18"/>
      <c r="R127" s="8"/>
    </row>
    <row r="128" spans="3:18" s="3" customFormat="1" ht="19.5" customHeight="1" x14ac:dyDescent="0.15">
      <c r="C128" s="81"/>
      <c r="D128" s="81"/>
      <c r="E128" s="81"/>
      <c r="F128" s="84"/>
      <c r="G128" s="90"/>
      <c r="H128" s="49"/>
      <c r="I128" s="49"/>
      <c r="J128" s="48"/>
      <c r="K128" s="50"/>
      <c r="L128" s="1"/>
      <c r="M128" s="1"/>
      <c r="N128" s="18"/>
      <c r="O128" s="4"/>
      <c r="P128" s="1"/>
      <c r="Q128" s="18"/>
      <c r="R128" s="8"/>
    </row>
    <row r="129" spans="3:18" s="3" customFormat="1" ht="19.5" customHeight="1" x14ac:dyDescent="0.15">
      <c r="C129" s="81"/>
      <c r="D129" s="81"/>
      <c r="E129" s="81"/>
      <c r="F129" s="84"/>
      <c r="G129" s="90"/>
      <c r="H129" s="49"/>
      <c r="I129" s="49"/>
      <c r="J129" s="48"/>
      <c r="K129" s="50"/>
      <c r="L129" s="1"/>
      <c r="M129" s="1"/>
      <c r="N129" s="18"/>
      <c r="O129" s="4"/>
      <c r="P129" s="1"/>
      <c r="Q129" s="18"/>
      <c r="R129" s="8"/>
    </row>
    <row r="130" spans="3:18" s="3" customFormat="1" ht="19.5" customHeight="1" x14ac:dyDescent="0.15">
      <c r="C130" s="81"/>
      <c r="D130" s="81"/>
      <c r="E130" s="81"/>
      <c r="F130" s="84"/>
      <c r="G130" s="90"/>
      <c r="H130" s="49"/>
      <c r="I130" s="49"/>
      <c r="J130" s="48"/>
      <c r="K130" s="50"/>
      <c r="L130" s="1"/>
      <c r="M130" s="1"/>
      <c r="N130" s="18"/>
      <c r="O130" s="4"/>
      <c r="P130" s="1"/>
      <c r="Q130" s="18"/>
      <c r="R130" s="8"/>
    </row>
    <row r="131" spans="3:18" s="3" customFormat="1" ht="19.5" customHeight="1" x14ac:dyDescent="0.15">
      <c r="C131" s="81"/>
      <c r="D131" s="81"/>
      <c r="E131" s="81"/>
      <c r="F131" s="84"/>
      <c r="G131" s="90"/>
      <c r="H131" s="49"/>
      <c r="I131" s="49"/>
      <c r="J131" s="48"/>
      <c r="K131" s="50"/>
      <c r="L131" s="1"/>
      <c r="M131" s="1"/>
      <c r="N131" s="18"/>
      <c r="O131" s="4"/>
      <c r="P131" s="1"/>
      <c r="Q131" s="18"/>
      <c r="R131" s="8"/>
    </row>
    <row r="132" spans="3:18" s="3" customFormat="1" ht="19.5" customHeight="1" x14ac:dyDescent="0.15">
      <c r="C132" s="81"/>
      <c r="D132" s="81"/>
      <c r="E132" s="81"/>
      <c r="F132" s="84"/>
      <c r="G132" s="90"/>
      <c r="H132" s="49"/>
      <c r="I132" s="49"/>
      <c r="J132" s="48"/>
      <c r="K132" s="50"/>
      <c r="L132" s="1"/>
      <c r="M132" s="1"/>
      <c r="N132" s="18"/>
      <c r="O132" s="4"/>
      <c r="P132" s="1"/>
      <c r="Q132" s="18"/>
      <c r="R132" s="8"/>
    </row>
    <row r="133" spans="3:18" s="3" customFormat="1" ht="19.5" customHeight="1" x14ac:dyDescent="0.15">
      <c r="C133" s="81"/>
      <c r="D133" s="81"/>
      <c r="E133" s="81"/>
      <c r="F133" s="84"/>
      <c r="G133" s="90"/>
      <c r="H133" s="49"/>
      <c r="I133" s="49"/>
      <c r="J133" s="48"/>
      <c r="K133" s="50"/>
      <c r="L133" s="1"/>
      <c r="M133" s="1"/>
      <c r="N133" s="18"/>
      <c r="O133" s="4"/>
      <c r="P133" s="1"/>
      <c r="Q133" s="18"/>
      <c r="R133" s="8"/>
    </row>
    <row r="134" spans="3:18" s="3" customFormat="1" ht="19.5" customHeight="1" x14ac:dyDescent="0.15">
      <c r="C134" s="81"/>
      <c r="D134" s="81"/>
      <c r="E134" s="81"/>
      <c r="F134" s="84"/>
      <c r="G134" s="90"/>
      <c r="H134" s="49"/>
      <c r="I134" s="49"/>
      <c r="J134" s="48"/>
      <c r="K134" s="50"/>
      <c r="L134" s="1"/>
      <c r="M134" s="1"/>
      <c r="N134" s="18"/>
      <c r="O134" s="4"/>
      <c r="P134" s="1"/>
      <c r="Q134" s="18"/>
      <c r="R134" s="8"/>
    </row>
    <row r="135" spans="3:18" s="3" customFormat="1" ht="19.5" customHeight="1" x14ac:dyDescent="0.15">
      <c r="C135" s="81"/>
      <c r="D135" s="81"/>
      <c r="E135" s="81"/>
      <c r="F135" s="84"/>
      <c r="G135" s="90"/>
      <c r="H135" s="49"/>
      <c r="I135" s="49"/>
      <c r="J135" s="48"/>
      <c r="K135" s="50"/>
      <c r="L135" s="1"/>
      <c r="M135" s="1"/>
      <c r="N135" s="18"/>
      <c r="O135" s="4"/>
      <c r="P135" s="1"/>
      <c r="Q135" s="18"/>
      <c r="R135" s="8"/>
    </row>
    <row r="136" spans="3:18" s="3" customFormat="1" ht="19.5" customHeight="1" x14ac:dyDescent="0.15">
      <c r="C136" s="81"/>
      <c r="D136" s="81"/>
      <c r="E136" s="81"/>
      <c r="F136" s="84"/>
      <c r="G136" s="90"/>
      <c r="H136" s="49"/>
      <c r="I136" s="49"/>
      <c r="J136" s="48"/>
      <c r="K136" s="50"/>
      <c r="L136" s="1"/>
      <c r="M136" s="1"/>
      <c r="N136" s="18"/>
      <c r="O136" s="4"/>
      <c r="P136" s="1"/>
      <c r="Q136" s="18"/>
      <c r="R136" s="8"/>
    </row>
    <row r="137" spans="3:18" s="3" customFormat="1" ht="19.5" customHeight="1" x14ac:dyDescent="0.15">
      <c r="C137" s="81"/>
      <c r="D137" s="81"/>
      <c r="E137" s="81"/>
      <c r="F137" s="84"/>
      <c r="G137" s="90"/>
      <c r="H137" s="49"/>
      <c r="I137" s="49"/>
      <c r="J137" s="48"/>
      <c r="K137" s="50"/>
      <c r="L137" s="1"/>
      <c r="M137" s="1"/>
      <c r="N137" s="18"/>
      <c r="O137" s="4"/>
      <c r="P137" s="1"/>
      <c r="Q137" s="18"/>
      <c r="R137" s="8"/>
    </row>
    <row r="138" spans="3:18" s="3" customFormat="1" ht="19.5" customHeight="1" x14ac:dyDescent="0.15">
      <c r="C138" s="81"/>
      <c r="D138" s="81"/>
      <c r="E138" s="81"/>
      <c r="F138" s="84"/>
      <c r="G138" s="90"/>
      <c r="H138" s="49"/>
      <c r="I138" s="49"/>
      <c r="J138" s="48"/>
      <c r="K138" s="50"/>
      <c r="L138" s="1"/>
      <c r="M138" s="1"/>
      <c r="N138" s="18"/>
      <c r="O138" s="4"/>
      <c r="P138" s="1"/>
      <c r="Q138" s="18"/>
      <c r="R138" s="8"/>
    </row>
    <row r="139" spans="3:18" s="3" customFormat="1" ht="19.5" customHeight="1" x14ac:dyDescent="0.15">
      <c r="C139" s="81"/>
      <c r="D139" s="81"/>
      <c r="E139" s="81"/>
      <c r="F139" s="84"/>
      <c r="G139" s="90"/>
      <c r="H139" s="49"/>
      <c r="I139" s="49"/>
      <c r="J139" s="48"/>
      <c r="K139" s="50"/>
      <c r="L139" s="1"/>
      <c r="M139" s="1"/>
      <c r="N139" s="18"/>
      <c r="O139" s="4"/>
      <c r="P139" s="1"/>
      <c r="Q139" s="18"/>
      <c r="R139" s="8"/>
    </row>
    <row r="140" spans="3:18" s="3" customFormat="1" ht="19.5" customHeight="1" x14ac:dyDescent="0.15">
      <c r="C140" s="81"/>
      <c r="D140" s="81"/>
      <c r="E140" s="81"/>
      <c r="F140" s="84"/>
      <c r="G140" s="90"/>
      <c r="H140" s="49"/>
      <c r="I140" s="49"/>
      <c r="J140" s="48"/>
      <c r="K140" s="50"/>
      <c r="L140" s="1"/>
      <c r="M140" s="1"/>
      <c r="N140" s="18"/>
      <c r="O140" s="4"/>
      <c r="P140" s="1"/>
      <c r="Q140" s="18"/>
      <c r="R140" s="8"/>
    </row>
    <row r="141" spans="3:18" s="3" customFormat="1" ht="19.5" customHeight="1" x14ac:dyDescent="0.15">
      <c r="C141" s="81"/>
      <c r="D141" s="81"/>
      <c r="E141" s="81"/>
      <c r="F141" s="84"/>
      <c r="G141" s="90"/>
      <c r="H141" s="49"/>
      <c r="I141" s="49"/>
      <c r="J141" s="48"/>
      <c r="K141" s="50"/>
      <c r="L141" s="1"/>
      <c r="M141" s="1"/>
      <c r="N141" s="18"/>
      <c r="O141" s="4"/>
      <c r="P141" s="1"/>
      <c r="Q141" s="18"/>
      <c r="R141" s="8"/>
    </row>
    <row r="142" spans="3:18" s="3" customFormat="1" ht="19.5" customHeight="1" x14ac:dyDescent="0.15">
      <c r="C142" s="81"/>
      <c r="D142" s="81"/>
      <c r="E142" s="81"/>
      <c r="F142" s="84"/>
      <c r="G142" s="90"/>
      <c r="H142" s="49"/>
      <c r="I142" s="49"/>
      <c r="J142" s="48"/>
      <c r="K142" s="50"/>
      <c r="L142" s="1"/>
      <c r="M142" s="1"/>
      <c r="N142" s="18"/>
      <c r="O142" s="4"/>
      <c r="P142" s="1"/>
      <c r="Q142" s="18"/>
      <c r="R142" s="8"/>
    </row>
    <row r="143" spans="3:18" s="3" customFormat="1" ht="19.5" customHeight="1" x14ac:dyDescent="0.15">
      <c r="C143" s="81"/>
      <c r="D143" s="81"/>
      <c r="E143" s="81"/>
      <c r="F143" s="84"/>
      <c r="G143" s="90"/>
      <c r="H143" s="49"/>
      <c r="I143" s="49"/>
      <c r="J143" s="48"/>
      <c r="K143" s="50"/>
      <c r="L143" s="1"/>
      <c r="M143" s="1"/>
      <c r="N143" s="18"/>
      <c r="O143" s="4"/>
      <c r="P143" s="1"/>
      <c r="Q143" s="18"/>
      <c r="R143" s="8"/>
    </row>
    <row r="144" spans="3:18" s="3" customFormat="1" ht="19.5" customHeight="1" x14ac:dyDescent="0.15">
      <c r="C144" s="81"/>
      <c r="D144" s="81"/>
      <c r="E144" s="81"/>
      <c r="F144" s="84"/>
      <c r="G144" s="90"/>
      <c r="H144" s="49"/>
      <c r="I144" s="49"/>
      <c r="J144" s="48"/>
      <c r="K144" s="50"/>
      <c r="L144" s="1"/>
      <c r="M144" s="1"/>
      <c r="N144" s="18"/>
      <c r="O144" s="4"/>
      <c r="P144" s="1"/>
      <c r="Q144" s="18"/>
      <c r="R144" s="8"/>
    </row>
    <row r="145" spans="3:18" s="3" customFormat="1" ht="19.5" customHeight="1" x14ac:dyDescent="0.15">
      <c r="C145" s="81"/>
      <c r="D145" s="81"/>
      <c r="E145" s="81"/>
      <c r="F145" s="84"/>
      <c r="G145" s="90"/>
      <c r="H145" s="49"/>
      <c r="I145" s="49"/>
      <c r="J145" s="48"/>
      <c r="K145" s="50"/>
      <c r="L145" s="1"/>
      <c r="M145" s="1"/>
      <c r="N145" s="18"/>
      <c r="O145" s="4"/>
      <c r="P145" s="1"/>
      <c r="Q145" s="18"/>
      <c r="R145" s="8"/>
    </row>
    <row r="146" spans="3:18" s="3" customFormat="1" ht="19.5" customHeight="1" x14ac:dyDescent="0.15">
      <c r="C146" s="81"/>
      <c r="D146" s="81"/>
      <c r="E146" s="81"/>
      <c r="F146" s="84"/>
      <c r="G146" s="90"/>
      <c r="H146" s="49"/>
      <c r="I146" s="49"/>
      <c r="J146" s="48"/>
      <c r="K146" s="50"/>
      <c r="L146" s="1"/>
      <c r="M146" s="1"/>
      <c r="N146" s="18"/>
      <c r="O146" s="4"/>
      <c r="P146" s="1"/>
      <c r="Q146" s="18"/>
      <c r="R146" s="8"/>
    </row>
    <row r="147" spans="3:18" s="3" customFormat="1" ht="19.5" customHeight="1" x14ac:dyDescent="0.15">
      <c r="C147" s="81"/>
      <c r="D147" s="81"/>
      <c r="E147" s="81"/>
      <c r="F147" s="84"/>
      <c r="G147" s="90"/>
      <c r="H147" s="49"/>
      <c r="I147" s="49"/>
      <c r="J147" s="48"/>
      <c r="K147" s="50"/>
      <c r="L147" s="1"/>
      <c r="M147" s="1"/>
      <c r="N147" s="18"/>
      <c r="O147" s="4"/>
      <c r="P147" s="1"/>
      <c r="Q147" s="18"/>
      <c r="R147" s="8"/>
    </row>
    <row r="148" spans="3:18" s="3" customFormat="1" ht="19.5" customHeight="1" x14ac:dyDescent="0.15">
      <c r="C148" s="81"/>
      <c r="D148" s="81"/>
      <c r="E148" s="81"/>
      <c r="F148" s="84"/>
      <c r="G148" s="90"/>
      <c r="H148" s="49"/>
      <c r="I148" s="49"/>
      <c r="J148" s="48"/>
      <c r="K148" s="50"/>
      <c r="L148" s="1"/>
      <c r="M148" s="1"/>
      <c r="N148" s="18"/>
      <c r="O148" s="4"/>
      <c r="P148" s="1"/>
      <c r="Q148" s="18"/>
      <c r="R148" s="8"/>
    </row>
    <row r="149" spans="3:18" s="3" customFormat="1" ht="19.5" customHeight="1" x14ac:dyDescent="0.15">
      <c r="C149" s="81"/>
      <c r="D149" s="81"/>
      <c r="E149" s="81"/>
      <c r="F149" s="84"/>
      <c r="G149" s="90"/>
      <c r="H149" s="49"/>
      <c r="I149" s="49"/>
      <c r="J149" s="48"/>
      <c r="K149" s="50"/>
      <c r="L149" s="1"/>
      <c r="M149" s="1"/>
      <c r="N149" s="18"/>
      <c r="O149" s="4"/>
      <c r="P149" s="1"/>
      <c r="Q149" s="18"/>
      <c r="R149" s="8"/>
    </row>
    <row r="150" spans="3:18" s="3" customFormat="1" ht="19.5" customHeight="1" x14ac:dyDescent="0.15">
      <c r="C150" s="81"/>
      <c r="D150" s="81"/>
      <c r="E150" s="81"/>
      <c r="F150" s="84"/>
      <c r="G150" s="90"/>
      <c r="H150" s="49"/>
      <c r="I150" s="49"/>
      <c r="J150" s="48"/>
      <c r="K150" s="50"/>
      <c r="L150" s="1"/>
      <c r="M150" s="1"/>
      <c r="N150" s="18"/>
      <c r="O150" s="4"/>
      <c r="P150" s="1"/>
      <c r="Q150" s="18"/>
      <c r="R150" s="8"/>
    </row>
    <row r="151" spans="3:18" s="3" customFormat="1" ht="19.5" customHeight="1" x14ac:dyDescent="0.15">
      <c r="C151" s="81"/>
      <c r="D151" s="81"/>
      <c r="E151" s="81"/>
      <c r="F151" s="84"/>
      <c r="G151" s="90"/>
      <c r="H151" s="49"/>
      <c r="I151" s="49"/>
      <c r="J151" s="48"/>
      <c r="K151" s="50"/>
      <c r="L151" s="1"/>
      <c r="M151" s="1"/>
      <c r="N151" s="18"/>
      <c r="O151" s="4"/>
      <c r="P151" s="1"/>
      <c r="Q151" s="18"/>
      <c r="R151" s="8"/>
    </row>
    <row r="152" spans="3:18" s="3" customFormat="1" ht="19.5" customHeight="1" x14ac:dyDescent="0.15">
      <c r="C152" s="81"/>
      <c r="D152" s="81"/>
      <c r="E152" s="81"/>
      <c r="F152" s="84"/>
      <c r="G152" s="90"/>
      <c r="H152" s="49"/>
      <c r="I152" s="49"/>
      <c r="J152" s="48"/>
      <c r="K152" s="50"/>
      <c r="L152" s="1"/>
      <c r="M152" s="1"/>
      <c r="N152" s="18"/>
      <c r="O152" s="4"/>
      <c r="P152" s="1"/>
      <c r="Q152" s="18"/>
      <c r="R152" s="8"/>
    </row>
    <row r="153" spans="3:18" s="3" customFormat="1" ht="19.5" customHeight="1" x14ac:dyDescent="0.15">
      <c r="C153" s="81"/>
      <c r="D153" s="81"/>
      <c r="E153" s="81"/>
      <c r="F153" s="84"/>
      <c r="G153" s="90"/>
      <c r="H153" s="49"/>
      <c r="I153" s="49"/>
      <c r="J153" s="48"/>
      <c r="K153" s="50"/>
      <c r="L153" s="1"/>
      <c r="M153" s="1"/>
      <c r="N153" s="18"/>
      <c r="O153" s="4"/>
      <c r="P153" s="1"/>
      <c r="Q153" s="18"/>
      <c r="R153" s="8"/>
    </row>
    <row r="154" spans="3:18" s="3" customFormat="1" ht="19.5" customHeight="1" x14ac:dyDescent="0.15">
      <c r="C154" s="81"/>
      <c r="D154" s="81"/>
      <c r="E154" s="81"/>
      <c r="F154" s="84"/>
      <c r="G154" s="90"/>
      <c r="H154" s="49"/>
      <c r="I154" s="49"/>
      <c r="J154" s="48"/>
      <c r="K154" s="50"/>
      <c r="L154" s="1"/>
      <c r="M154" s="1"/>
      <c r="N154" s="18"/>
      <c r="O154" s="4"/>
      <c r="P154" s="1"/>
      <c r="Q154" s="18"/>
      <c r="R154" s="8"/>
    </row>
    <row r="155" spans="3:18" s="3" customFormat="1" ht="19.5" customHeight="1" x14ac:dyDescent="0.15">
      <c r="C155" s="81"/>
      <c r="D155" s="81"/>
      <c r="E155" s="81"/>
      <c r="F155" s="84"/>
      <c r="G155" s="90"/>
      <c r="H155" s="49"/>
      <c r="I155" s="49"/>
      <c r="J155" s="48"/>
      <c r="K155" s="50"/>
      <c r="L155" s="1"/>
      <c r="M155" s="1"/>
      <c r="N155" s="18"/>
      <c r="O155" s="4"/>
      <c r="P155" s="1"/>
      <c r="Q155" s="18"/>
      <c r="R155" s="8"/>
    </row>
    <row r="156" spans="3:18" s="3" customFormat="1" ht="19.5" customHeight="1" x14ac:dyDescent="0.15">
      <c r="C156" s="81"/>
      <c r="D156" s="81"/>
      <c r="E156" s="81"/>
      <c r="F156" s="84"/>
      <c r="G156" s="90"/>
      <c r="H156" s="49"/>
      <c r="I156" s="49"/>
      <c r="J156" s="48"/>
      <c r="K156" s="50"/>
      <c r="L156" s="1"/>
      <c r="M156" s="1"/>
      <c r="N156" s="18"/>
      <c r="O156" s="4"/>
      <c r="P156" s="1"/>
      <c r="Q156" s="18"/>
      <c r="R156" s="8"/>
    </row>
    <row r="157" spans="3:18" s="3" customFormat="1" ht="19.5" customHeight="1" x14ac:dyDescent="0.15">
      <c r="C157" s="81"/>
      <c r="D157" s="81"/>
      <c r="E157" s="81"/>
      <c r="F157" s="84"/>
      <c r="G157" s="90"/>
      <c r="H157" s="49"/>
      <c r="I157" s="49"/>
      <c r="J157" s="48"/>
      <c r="K157" s="50"/>
      <c r="L157" s="1"/>
      <c r="M157" s="1"/>
      <c r="N157" s="18"/>
      <c r="O157" s="4"/>
      <c r="P157" s="1"/>
      <c r="Q157" s="18"/>
      <c r="R157" s="8"/>
    </row>
    <row r="158" spans="3:18" s="3" customFormat="1" ht="19.5" customHeight="1" x14ac:dyDescent="0.15">
      <c r="C158" s="81"/>
      <c r="D158" s="81"/>
      <c r="E158" s="81"/>
      <c r="F158" s="84"/>
      <c r="G158" s="90"/>
      <c r="H158" s="49"/>
      <c r="I158" s="49"/>
      <c r="J158" s="48"/>
      <c r="K158" s="50"/>
      <c r="L158" s="1"/>
      <c r="M158" s="1"/>
      <c r="N158" s="18"/>
      <c r="O158" s="4"/>
      <c r="P158" s="1"/>
      <c r="Q158" s="18"/>
      <c r="R158" s="8"/>
    </row>
    <row r="159" spans="3:18" s="3" customFormat="1" ht="19.5" customHeight="1" x14ac:dyDescent="0.15">
      <c r="C159" s="81"/>
      <c r="D159" s="81"/>
      <c r="E159" s="81"/>
      <c r="F159" s="84"/>
      <c r="G159" s="90"/>
      <c r="H159" s="49"/>
      <c r="I159" s="49"/>
      <c r="J159" s="48"/>
      <c r="K159" s="50"/>
      <c r="L159" s="1"/>
      <c r="M159" s="1"/>
      <c r="N159" s="18"/>
      <c r="O159" s="4"/>
      <c r="P159" s="1"/>
      <c r="Q159" s="18"/>
      <c r="R159" s="8"/>
    </row>
    <row r="160" spans="3:18" s="3" customFormat="1" ht="19.5" customHeight="1" x14ac:dyDescent="0.15">
      <c r="C160" s="81"/>
      <c r="D160" s="81"/>
      <c r="E160" s="81"/>
      <c r="F160" s="84"/>
      <c r="G160" s="90"/>
      <c r="H160" s="49"/>
      <c r="I160" s="49"/>
      <c r="J160" s="48"/>
      <c r="K160" s="50"/>
      <c r="L160" s="1"/>
      <c r="M160" s="1"/>
      <c r="N160" s="18"/>
      <c r="O160" s="4"/>
      <c r="P160" s="1"/>
      <c r="Q160" s="18"/>
      <c r="R160" s="8"/>
    </row>
    <row r="161" spans="3:18" s="3" customFormat="1" ht="19.5" customHeight="1" x14ac:dyDescent="0.15">
      <c r="C161" s="81"/>
      <c r="D161" s="81"/>
      <c r="E161" s="81"/>
      <c r="F161" s="84"/>
      <c r="G161" s="90"/>
      <c r="H161" s="49"/>
      <c r="I161" s="49"/>
      <c r="J161" s="48"/>
      <c r="K161" s="50"/>
      <c r="L161" s="1"/>
      <c r="M161" s="1"/>
      <c r="N161" s="18"/>
      <c r="O161" s="4"/>
      <c r="P161" s="1"/>
      <c r="Q161" s="18"/>
      <c r="R161" s="8"/>
    </row>
    <row r="162" spans="3:18" s="3" customFormat="1" ht="19.5" customHeight="1" x14ac:dyDescent="0.15">
      <c r="C162" s="81"/>
      <c r="D162" s="81"/>
      <c r="E162" s="81"/>
      <c r="F162" s="84"/>
      <c r="G162" s="90"/>
      <c r="H162" s="49"/>
      <c r="I162" s="49"/>
      <c r="J162" s="48"/>
      <c r="K162" s="50"/>
      <c r="L162" s="1"/>
      <c r="M162" s="1"/>
      <c r="N162" s="18"/>
      <c r="O162" s="4"/>
      <c r="P162" s="1"/>
      <c r="Q162" s="18"/>
      <c r="R162" s="8"/>
    </row>
    <row r="163" spans="3:18" s="3" customFormat="1" ht="19.5" customHeight="1" x14ac:dyDescent="0.15">
      <c r="C163" s="81"/>
      <c r="D163" s="81"/>
      <c r="E163" s="81"/>
      <c r="F163" s="84"/>
      <c r="G163" s="90"/>
      <c r="H163" s="49"/>
      <c r="I163" s="49"/>
      <c r="J163" s="48"/>
      <c r="K163" s="50"/>
      <c r="L163" s="1"/>
      <c r="M163" s="1"/>
      <c r="N163" s="18"/>
      <c r="O163" s="4"/>
      <c r="P163" s="1"/>
      <c r="Q163" s="18"/>
      <c r="R163" s="8"/>
    </row>
    <row r="164" spans="3:18" s="3" customFormat="1" ht="19.5" customHeight="1" x14ac:dyDescent="0.15">
      <c r="C164" s="81"/>
      <c r="D164" s="81"/>
      <c r="E164" s="81"/>
      <c r="F164" s="84"/>
      <c r="G164" s="90"/>
      <c r="H164" s="49"/>
      <c r="I164" s="49"/>
      <c r="J164" s="48"/>
      <c r="K164" s="50"/>
      <c r="L164" s="1"/>
      <c r="M164" s="1"/>
      <c r="N164" s="18"/>
      <c r="O164" s="4"/>
      <c r="P164" s="1"/>
      <c r="Q164" s="18"/>
      <c r="R164" s="8"/>
    </row>
    <row r="165" spans="3:18" s="3" customFormat="1" ht="19.5" customHeight="1" x14ac:dyDescent="0.15">
      <c r="C165" s="81"/>
      <c r="D165" s="81"/>
      <c r="E165" s="81"/>
      <c r="F165" s="84"/>
      <c r="G165" s="90"/>
      <c r="H165" s="49"/>
      <c r="I165" s="49"/>
      <c r="J165" s="48"/>
      <c r="K165" s="50"/>
      <c r="L165" s="1"/>
      <c r="M165" s="1"/>
      <c r="N165" s="18"/>
      <c r="O165" s="4"/>
      <c r="P165" s="1"/>
      <c r="Q165" s="18"/>
      <c r="R165" s="8"/>
    </row>
    <row r="166" spans="3:18" s="3" customFormat="1" ht="19.5" customHeight="1" x14ac:dyDescent="0.15">
      <c r="C166" s="81"/>
      <c r="D166" s="81"/>
      <c r="E166" s="81"/>
      <c r="F166" s="84"/>
      <c r="G166" s="90"/>
      <c r="H166" s="49"/>
      <c r="I166" s="49"/>
      <c r="J166" s="48"/>
      <c r="K166" s="50"/>
      <c r="L166" s="1"/>
      <c r="M166" s="1"/>
      <c r="N166" s="18"/>
      <c r="O166" s="4"/>
      <c r="P166" s="1"/>
      <c r="Q166" s="18"/>
      <c r="R166" s="8"/>
    </row>
    <row r="167" spans="3:18" s="3" customFormat="1" ht="19.5" customHeight="1" x14ac:dyDescent="0.15">
      <c r="C167" s="81"/>
      <c r="D167" s="81"/>
      <c r="E167" s="81"/>
      <c r="F167" s="84"/>
      <c r="G167" s="90"/>
      <c r="H167" s="49"/>
      <c r="I167" s="49"/>
      <c r="J167" s="48"/>
      <c r="K167" s="50"/>
      <c r="L167" s="1"/>
      <c r="M167" s="1"/>
      <c r="N167" s="18"/>
      <c r="O167" s="4"/>
      <c r="P167" s="1"/>
      <c r="Q167" s="18"/>
      <c r="R167" s="8"/>
    </row>
    <row r="168" spans="3:18" s="3" customFormat="1" ht="19.5" customHeight="1" x14ac:dyDescent="0.15">
      <c r="C168" s="81"/>
      <c r="D168" s="81"/>
      <c r="E168" s="81"/>
      <c r="F168" s="84"/>
      <c r="G168" s="90"/>
      <c r="H168" s="49"/>
      <c r="I168" s="49"/>
      <c r="J168" s="48"/>
      <c r="K168" s="50"/>
      <c r="L168" s="1"/>
      <c r="M168" s="1"/>
      <c r="N168" s="18"/>
      <c r="O168" s="4"/>
      <c r="P168" s="1"/>
      <c r="Q168" s="18"/>
      <c r="R168" s="8"/>
    </row>
    <row r="169" spans="3:18" s="3" customFormat="1" ht="19.5" customHeight="1" x14ac:dyDescent="0.15">
      <c r="C169" s="81"/>
      <c r="D169" s="81"/>
      <c r="E169" s="81"/>
      <c r="F169" s="84"/>
      <c r="G169" s="90"/>
      <c r="H169" s="49"/>
      <c r="I169" s="49"/>
      <c r="J169" s="48"/>
      <c r="K169" s="50"/>
      <c r="L169" s="1"/>
      <c r="M169" s="1"/>
      <c r="N169" s="18"/>
      <c r="O169" s="4"/>
      <c r="P169" s="1"/>
      <c r="Q169" s="18"/>
      <c r="R169" s="8"/>
    </row>
    <row r="170" spans="3:18" s="3" customFormat="1" ht="19.5" customHeight="1" x14ac:dyDescent="0.15">
      <c r="C170" s="81"/>
      <c r="D170" s="81"/>
      <c r="E170" s="81"/>
      <c r="F170" s="84"/>
      <c r="G170" s="90"/>
      <c r="H170" s="49"/>
      <c r="I170" s="49"/>
      <c r="J170" s="48"/>
      <c r="K170" s="50"/>
      <c r="L170" s="1"/>
      <c r="M170" s="1"/>
      <c r="N170" s="18"/>
      <c r="O170" s="4"/>
      <c r="P170" s="1"/>
      <c r="Q170" s="18"/>
      <c r="R170" s="8"/>
    </row>
    <row r="171" spans="3:18" s="3" customFormat="1" ht="19.5" customHeight="1" x14ac:dyDescent="0.15">
      <c r="C171" s="81"/>
      <c r="D171" s="81"/>
      <c r="E171" s="81"/>
      <c r="F171" s="84"/>
      <c r="G171" s="90"/>
      <c r="H171" s="49"/>
      <c r="I171" s="49"/>
      <c r="J171" s="48"/>
      <c r="K171" s="50"/>
      <c r="L171" s="1"/>
      <c r="M171" s="1"/>
      <c r="N171" s="18"/>
      <c r="O171" s="4"/>
      <c r="P171" s="1"/>
      <c r="Q171" s="18"/>
      <c r="R171" s="8"/>
    </row>
    <row r="172" spans="3:18" s="3" customFormat="1" ht="19.5" customHeight="1" x14ac:dyDescent="0.15">
      <c r="C172" s="81"/>
      <c r="D172" s="81"/>
      <c r="E172" s="81"/>
      <c r="F172" s="84"/>
      <c r="G172" s="90"/>
      <c r="H172" s="49"/>
      <c r="I172" s="49"/>
      <c r="J172" s="48"/>
      <c r="K172" s="50"/>
      <c r="L172" s="1"/>
      <c r="M172" s="1"/>
      <c r="N172" s="18"/>
      <c r="O172" s="4"/>
      <c r="P172" s="1"/>
      <c r="Q172" s="18"/>
      <c r="R172" s="8"/>
    </row>
    <row r="173" spans="3:18" s="3" customFormat="1" ht="19.5" customHeight="1" x14ac:dyDescent="0.15">
      <c r="C173" s="81"/>
      <c r="D173" s="81"/>
      <c r="E173" s="81"/>
      <c r="F173" s="84"/>
      <c r="G173" s="90"/>
      <c r="H173" s="49"/>
      <c r="I173" s="49"/>
      <c r="J173" s="48"/>
      <c r="K173" s="50"/>
      <c r="L173" s="1"/>
      <c r="M173" s="1"/>
      <c r="N173" s="18"/>
      <c r="O173" s="4"/>
      <c r="P173" s="1"/>
      <c r="Q173" s="18"/>
      <c r="R173" s="8"/>
    </row>
    <row r="174" spans="3:18" s="3" customFormat="1" ht="19.5" customHeight="1" x14ac:dyDescent="0.15">
      <c r="C174" s="81"/>
      <c r="D174" s="81"/>
      <c r="E174" s="81"/>
      <c r="F174" s="84"/>
      <c r="G174" s="90"/>
      <c r="H174" s="49"/>
      <c r="I174" s="49"/>
      <c r="J174" s="48"/>
      <c r="K174" s="50"/>
      <c r="L174" s="1"/>
      <c r="M174" s="1"/>
      <c r="N174" s="18"/>
      <c r="O174" s="4"/>
      <c r="P174" s="1"/>
      <c r="Q174" s="18"/>
      <c r="R174" s="8"/>
    </row>
    <row r="175" spans="3:18" s="3" customFormat="1" ht="19.5" customHeight="1" x14ac:dyDescent="0.15">
      <c r="C175" s="81"/>
      <c r="D175" s="81"/>
      <c r="E175" s="81"/>
      <c r="F175" s="84"/>
      <c r="G175" s="90"/>
      <c r="H175" s="49"/>
      <c r="I175" s="49"/>
      <c r="J175" s="48"/>
      <c r="K175" s="50"/>
      <c r="L175" s="1"/>
      <c r="M175" s="1"/>
      <c r="N175" s="18"/>
      <c r="O175" s="4"/>
      <c r="P175" s="1"/>
      <c r="Q175" s="18"/>
      <c r="R175" s="8"/>
    </row>
    <row r="176" spans="3:18" s="3" customFormat="1" ht="19.5" customHeight="1" x14ac:dyDescent="0.15">
      <c r="C176" s="81"/>
      <c r="D176" s="81"/>
      <c r="E176" s="81"/>
      <c r="F176" s="84"/>
      <c r="G176" s="90"/>
      <c r="H176" s="49"/>
      <c r="I176" s="49"/>
      <c r="J176" s="48"/>
      <c r="K176" s="50"/>
      <c r="L176" s="1"/>
      <c r="M176" s="1"/>
      <c r="N176" s="18"/>
      <c r="O176" s="4"/>
      <c r="P176" s="1"/>
      <c r="Q176" s="18"/>
      <c r="R176" s="8"/>
    </row>
    <row r="177" spans="3:18" s="3" customFormat="1" ht="19.5" customHeight="1" x14ac:dyDescent="0.15">
      <c r="C177" s="81"/>
      <c r="D177" s="81"/>
      <c r="E177" s="81"/>
      <c r="F177" s="84"/>
      <c r="G177" s="90"/>
      <c r="H177" s="49"/>
      <c r="I177" s="49"/>
      <c r="J177" s="48"/>
      <c r="K177" s="50"/>
      <c r="L177" s="1"/>
      <c r="M177" s="1"/>
      <c r="N177" s="18"/>
      <c r="O177" s="4"/>
      <c r="P177" s="1"/>
      <c r="Q177" s="18"/>
      <c r="R177" s="8"/>
    </row>
    <row r="178" spans="3:18" s="3" customFormat="1" ht="19.5" customHeight="1" x14ac:dyDescent="0.15">
      <c r="C178" s="81"/>
      <c r="D178" s="81"/>
      <c r="E178" s="81"/>
      <c r="F178" s="84"/>
      <c r="G178" s="90"/>
      <c r="H178" s="49"/>
      <c r="I178" s="49"/>
      <c r="J178" s="48"/>
      <c r="K178" s="50"/>
      <c r="L178" s="1"/>
      <c r="M178" s="1"/>
      <c r="N178" s="18"/>
      <c r="O178" s="4"/>
      <c r="P178" s="1"/>
      <c r="Q178" s="18"/>
      <c r="R178" s="8"/>
    </row>
    <row r="179" spans="3:18" ht="18" customHeight="1" x14ac:dyDescent="0.15">
      <c r="C179" s="81"/>
      <c r="D179" s="81"/>
      <c r="E179" s="81"/>
      <c r="F179" s="84"/>
      <c r="G179" s="30"/>
      <c r="H179" s="30"/>
      <c r="I179" s="49"/>
      <c r="J179" s="2"/>
      <c r="K179" s="19"/>
      <c r="L179" s="6"/>
      <c r="M179" s="5"/>
      <c r="N179" s="18"/>
      <c r="O179" s="8"/>
      <c r="P179" s="8"/>
      <c r="Q179" s="18"/>
      <c r="R179" s="16"/>
    </row>
    <row r="180" spans="3:18" ht="18" customHeight="1" x14ac:dyDescent="0.15">
      <c r="C180" s="1"/>
      <c r="D180" s="1"/>
      <c r="E180" s="1"/>
      <c r="F180" s="6" t="s">
        <v>130</v>
      </c>
      <c r="G180" s="49"/>
      <c r="H180" s="49"/>
      <c r="I180" s="49">
        <f>G180*H180</f>
        <v>0</v>
      </c>
      <c r="J180" s="14"/>
      <c r="K180" s="19" t="s">
        <v>131</v>
      </c>
      <c r="L180" s="51"/>
      <c r="M180" s="1"/>
      <c r="N180" s="18"/>
      <c r="O180" s="51"/>
      <c r="P180" s="1"/>
      <c r="Q180" s="18"/>
      <c r="R180" s="16"/>
    </row>
    <row r="181" spans="3:18" ht="18" customHeight="1" x14ac:dyDescent="0.15">
      <c r="C181" s="1"/>
      <c r="D181" s="4"/>
      <c r="E181" s="4"/>
      <c r="F181" s="6" t="s">
        <v>131</v>
      </c>
      <c r="G181" s="49"/>
      <c r="H181" s="49">
        <v>5000</v>
      </c>
      <c r="I181" s="49">
        <f>G181*H181</f>
        <v>0</v>
      </c>
      <c r="J181" s="14"/>
      <c r="K181" s="19" t="s">
        <v>132</v>
      </c>
      <c r="L181" s="51"/>
      <c r="M181" s="1"/>
      <c r="N181" s="18"/>
      <c r="O181" s="51"/>
      <c r="P181" s="1"/>
      <c r="Q181" s="18"/>
      <c r="R181" s="8"/>
    </row>
    <row r="182" spans="3:18" ht="18" customHeight="1" x14ac:dyDescent="0.15">
      <c r="C182" s="1"/>
      <c r="D182" s="4"/>
      <c r="E182" s="4"/>
      <c r="F182" s="6" t="s">
        <v>132</v>
      </c>
      <c r="G182" s="49"/>
      <c r="H182" s="49"/>
      <c r="I182" s="49">
        <f>G182*H182</f>
        <v>0</v>
      </c>
      <c r="J182" s="14"/>
      <c r="K182" s="5"/>
      <c r="L182" s="51"/>
      <c r="M182" s="1"/>
      <c r="N182" s="1"/>
      <c r="O182" s="51"/>
      <c r="P182" s="1"/>
      <c r="Q182" s="8"/>
      <c r="R182" s="8"/>
    </row>
    <row r="183" spans="3:18" ht="18" customHeight="1" x14ac:dyDescent="0.15">
      <c r="C183" s="1"/>
      <c r="D183" s="4"/>
      <c r="E183" s="4"/>
      <c r="F183" s="178"/>
      <c r="G183" s="179"/>
      <c r="H183" s="179"/>
      <c r="I183" s="180"/>
      <c r="J183" s="7"/>
      <c r="K183" s="47"/>
    </row>
    <row r="184" spans="3:18" ht="18" customHeight="1" x14ac:dyDescent="0.15"/>
    <row r="185" spans="3:18" ht="18" customHeight="1" x14ac:dyDescent="0.15"/>
    <row r="186" spans="3:18" ht="18" customHeight="1" x14ac:dyDescent="0.15"/>
  </sheetData>
  <autoFilter ref="C8:P186" xr:uid="{00000000-0009-0000-0000-000003000000}"/>
  <mergeCells count="13">
    <mergeCell ref="C2:E2"/>
    <mergeCell ref="H2:J2"/>
    <mergeCell ref="C3:E3"/>
    <mergeCell ref="C4:E4"/>
    <mergeCell ref="H4:I5"/>
    <mergeCell ref="J4:L5"/>
    <mergeCell ref="C5:E5"/>
    <mergeCell ref="F183:I183"/>
    <mergeCell ref="C6:E6"/>
    <mergeCell ref="C11:F11"/>
    <mergeCell ref="C36:F36"/>
    <mergeCell ref="C52:F52"/>
    <mergeCell ref="C82:F82"/>
  </mergeCells>
  <phoneticPr fontId="13"/>
  <dataValidations count="1">
    <dataValidation imeMode="hiragana" allowBlank="1" showInputMessage="1" showErrorMessage="1" sqref="K39 K43" xr:uid="{011AE326-895C-4DA0-B22C-0B994BD33C91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18"/>
  <sheetViews>
    <sheetView zoomScale="85" workbookViewId="0">
      <pane xSplit="10" ySplit="8" topLeftCell="K9" activePane="bottomRight" state="frozen"/>
      <selection activeCell="E28" sqref="E28"/>
      <selection pane="topRight" activeCell="E28" sqref="E28"/>
      <selection pane="bottomLeft" activeCell="E28" sqref="E28"/>
      <selection pane="bottomRight" activeCell="E28" sqref="E28"/>
    </sheetView>
  </sheetViews>
  <sheetFormatPr defaultColWidth="11.75" defaultRowHeight="13.5" customHeight="1" x14ac:dyDescent="0.15"/>
  <cols>
    <col min="1" max="1" width="3.125" customWidth="1"/>
    <col min="2" max="2" width="6.25" style="3" customWidth="1"/>
    <col min="3" max="3" width="15.25" customWidth="1"/>
    <col min="4" max="4" width="15.5" customWidth="1"/>
    <col min="5" max="5" width="43.875" customWidth="1"/>
    <col min="6" max="6" width="10.75" customWidth="1"/>
    <col min="7" max="8" width="12.125" customWidth="1"/>
    <col min="9" max="9" width="7.125" style="12" customWidth="1"/>
    <col min="10" max="10" width="55.25" customWidth="1"/>
    <col min="11" max="11" width="22.125" customWidth="1"/>
    <col min="12" max="12" width="8.125" style="3" customWidth="1"/>
    <col min="13" max="13" width="17" style="3" customWidth="1"/>
    <col min="14" max="14" width="7.875" customWidth="1"/>
    <col min="15" max="15" width="16.375" style="12" customWidth="1"/>
    <col min="16" max="16" width="17.875" style="15" customWidth="1"/>
    <col min="17" max="17" width="19.375" style="15" customWidth="1"/>
  </cols>
  <sheetData>
    <row r="2" spans="2:17" ht="20.100000000000001" customHeight="1" x14ac:dyDescent="0.15">
      <c r="B2" s="181" t="s">
        <v>0</v>
      </c>
      <c r="C2" s="181"/>
      <c r="D2" s="181"/>
      <c r="E2" s="9" t="s">
        <v>1</v>
      </c>
      <c r="G2" s="185" t="s">
        <v>2</v>
      </c>
      <c r="H2" s="186"/>
      <c r="I2" s="187"/>
      <c r="J2" s="11">
        <f>SUM(H:H)</f>
        <v>412688</v>
      </c>
    </row>
    <row r="3" spans="2:17" ht="20.100000000000001" customHeight="1" x14ac:dyDescent="0.15">
      <c r="B3" s="181" t="s">
        <v>3</v>
      </c>
      <c r="C3" s="181"/>
      <c r="D3" s="181"/>
      <c r="E3" s="9" t="s">
        <v>4</v>
      </c>
    </row>
    <row r="4" spans="2:17" ht="20.100000000000001" customHeight="1" x14ac:dyDescent="0.15">
      <c r="B4" s="181" t="s">
        <v>5</v>
      </c>
      <c r="C4" s="181"/>
      <c r="D4" s="181"/>
      <c r="E4" s="9"/>
    </row>
    <row r="5" spans="2:17" ht="20.100000000000001" customHeight="1" x14ac:dyDescent="0.15">
      <c r="B5" s="181" t="s">
        <v>6</v>
      </c>
      <c r="C5" s="181"/>
      <c r="D5" s="181"/>
      <c r="E5" s="10">
        <v>42165</v>
      </c>
    </row>
    <row r="6" spans="2:17" ht="20.100000000000001" customHeight="1" x14ac:dyDescent="0.15">
      <c r="B6" s="181" t="s">
        <v>7</v>
      </c>
      <c r="C6" s="181"/>
      <c r="D6" s="181"/>
      <c r="E6" s="10">
        <v>42170</v>
      </c>
    </row>
    <row r="8" spans="2:17" s="3" customFormat="1" ht="19.5" customHeight="1" x14ac:dyDescent="0.15">
      <c r="B8" s="4" t="s">
        <v>8</v>
      </c>
      <c r="C8" s="4" t="s">
        <v>9</v>
      </c>
      <c r="D8" s="4" t="s">
        <v>10</v>
      </c>
      <c r="E8" s="1" t="s">
        <v>11</v>
      </c>
      <c r="F8" s="1" t="s">
        <v>12</v>
      </c>
      <c r="G8" s="1" t="s">
        <v>13</v>
      </c>
      <c r="H8" s="2" t="s">
        <v>14</v>
      </c>
      <c r="I8" s="2" t="s">
        <v>15</v>
      </c>
      <c r="J8" s="1" t="s">
        <v>16</v>
      </c>
      <c r="K8" s="1" t="s">
        <v>17</v>
      </c>
      <c r="L8" s="1" t="s">
        <v>18</v>
      </c>
      <c r="M8" s="18" t="s">
        <v>19</v>
      </c>
      <c r="N8" s="4" t="s">
        <v>20</v>
      </c>
      <c r="O8" s="1" t="s">
        <v>21</v>
      </c>
      <c r="P8" s="18" t="s">
        <v>22</v>
      </c>
      <c r="Q8" s="8" t="s">
        <v>23</v>
      </c>
    </row>
    <row r="9" spans="2:17" s="3" customFormat="1" ht="19.5" customHeight="1" x14ac:dyDescent="0.15">
      <c r="B9" s="4"/>
      <c r="C9" s="4"/>
      <c r="D9" s="4"/>
      <c r="E9" s="6"/>
      <c r="F9" s="49"/>
      <c r="G9" s="7"/>
      <c r="H9" s="7"/>
      <c r="I9" s="14"/>
      <c r="J9" s="50"/>
      <c r="K9" s="1"/>
      <c r="L9" s="1"/>
      <c r="M9" s="18"/>
      <c r="N9" s="4"/>
      <c r="O9" s="1"/>
      <c r="P9" s="18"/>
      <c r="Q9" s="8"/>
    </row>
    <row r="10" spans="2:17" ht="18" customHeight="1" x14ac:dyDescent="0.15">
      <c r="B10" s="196" t="s">
        <v>24</v>
      </c>
      <c r="C10" s="197"/>
      <c r="D10" s="197"/>
      <c r="E10" s="198"/>
      <c r="F10" s="30"/>
      <c r="G10" s="17"/>
      <c r="H10" s="7"/>
      <c r="I10" s="14"/>
      <c r="J10" s="19"/>
      <c r="K10" s="6"/>
      <c r="L10" s="5"/>
      <c r="M10" s="18"/>
      <c r="N10" s="8"/>
      <c r="O10" s="13"/>
      <c r="P10" s="18"/>
      <c r="Q10" s="16"/>
    </row>
    <row r="11" spans="2:17" ht="18" customHeight="1" x14ac:dyDescent="0.15">
      <c r="B11" s="20"/>
      <c r="C11" s="17" t="s">
        <v>25</v>
      </c>
      <c r="D11" s="17" t="s">
        <v>25</v>
      </c>
      <c r="E11" s="19" t="s">
        <v>26</v>
      </c>
      <c r="F11" s="30">
        <v>1</v>
      </c>
      <c r="G11" s="60">
        <v>4500</v>
      </c>
      <c r="H11" s="7">
        <f t="shared" ref="H11:H33" si="0">F11*G11</f>
        <v>4500</v>
      </c>
      <c r="I11" s="14"/>
      <c r="J11" s="19" t="s">
        <v>26</v>
      </c>
      <c r="K11" s="6"/>
      <c r="L11" s="5"/>
      <c r="M11" s="18"/>
      <c r="N11" s="8"/>
      <c r="O11" s="13"/>
      <c r="P11" s="18"/>
      <c r="Q11" s="16"/>
    </row>
    <row r="12" spans="2:17" ht="18" customHeight="1" x14ac:dyDescent="0.15">
      <c r="B12" s="20"/>
      <c r="C12" s="17" t="s">
        <v>25</v>
      </c>
      <c r="D12" s="17" t="s">
        <v>25</v>
      </c>
      <c r="E12" s="19" t="s">
        <v>27</v>
      </c>
      <c r="F12" s="30">
        <v>1</v>
      </c>
      <c r="G12" s="60">
        <v>4500</v>
      </c>
      <c r="H12" s="7">
        <f t="shared" si="0"/>
        <v>4500</v>
      </c>
      <c r="I12" s="14"/>
      <c r="J12" s="19" t="s">
        <v>27</v>
      </c>
      <c r="K12" s="6"/>
      <c r="L12" s="5"/>
      <c r="M12" s="18"/>
      <c r="N12" s="8"/>
      <c r="O12" s="13"/>
      <c r="P12" s="18"/>
      <c r="Q12" s="16"/>
    </row>
    <row r="13" spans="2:17" ht="18" customHeight="1" x14ac:dyDescent="0.15">
      <c r="B13" s="20"/>
      <c r="C13" s="17" t="s">
        <v>25</v>
      </c>
      <c r="D13" s="17" t="s">
        <v>25</v>
      </c>
      <c r="E13" s="19" t="s">
        <v>28</v>
      </c>
      <c r="F13" s="30">
        <v>2</v>
      </c>
      <c r="G13" s="60">
        <v>3500</v>
      </c>
      <c r="H13" s="7">
        <f t="shared" si="0"/>
        <v>7000</v>
      </c>
      <c r="I13" s="14"/>
      <c r="J13" s="19" t="s">
        <v>28</v>
      </c>
      <c r="K13" s="6"/>
      <c r="L13" s="5"/>
      <c r="M13" s="18"/>
      <c r="N13" s="8"/>
      <c r="O13" s="13"/>
      <c r="P13" s="18"/>
      <c r="Q13" s="16"/>
    </row>
    <row r="14" spans="2:17" ht="18" customHeight="1" x14ac:dyDescent="0.15">
      <c r="B14" s="20"/>
      <c r="C14" s="17" t="s">
        <v>25</v>
      </c>
      <c r="D14" s="17" t="s">
        <v>25</v>
      </c>
      <c r="E14" s="19" t="s">
        <v>29</v>
      </c>
      <c r="F14" s="30">
        <v>1</v>
      </c>
      <c r="G14" s="60">
        <v>4000</v>
      </c>
      <c r="H14" s="7">
        <f t="shared" si="0"/>
        <v>4000</v>
      </c>
      <c r="I14" s="14"/>
      <c r="J14" s="19" t="s">
        <v>29</v>
      </c>
      <c r="K14" s="6"/>
      <c r="L14" s="5"/>
      <c r="M14" s="18"/>
      <c r="N14" s="8"/>
      <c r="O14" s="13"/>
      <c r="P14" s="18"/>
      <c r="Q14" s="16"/>
    </row>
    <row r="15" spans="2:17" ht="18" customHeight="1" x14ac:dyDescent="0.15">
      <c r="B15" s="20"/>
      <c r="C15" s="17" t="s">
        <v>25</v>
      </c>
      <c r="D15" s="17" t="s">
        <v>25</v>
      </c>
      <c r="E15" s="19" t="s">
        <v>30</v>
      </c>
      <c r="F15" s="30">
        <v>1</v>
      </c>
      <c r="G15" s="60">
        <v>4000</v>
      </c>
      <c r="H15" s="7">
        <f t="shared" si="0"/>
        <v>4000</v>
      </c>
      <c r="I15" s="14"/>
      <c r="J15" s="19" t="s">
        <v>30</v>
      </c>
      <c r="K15" s="6"/>
      <c r="L15" s="5"/>
      <c r="M15" s="18"/>
      <c r="N15" s="8"/>
      <c r="O15" s="13"/>
      <c r="P15" s="18"/>
      <c r="Q15" s="16"/>
    </row>
    <row r="16" spans="2:17" ht="18" customHeight="1" x14ac:dyDescent="0.15">
      <c r="B16" s="20"/>
      <c r="C16" s="17" t="s">
        <v>25</v>
      </c>
      <c r="D16" s="17" t="s">
        <v>25</v>
      </c>
      <c r="E16" s="19" t="s">
        <v>31</v>
      </c>
      <c r="F16" s="30">
        <v>1</v>
      </c>
      <c r="G16" s="60">
        <v>7500</v>
      </c>
      <c r="H16" s="7">
        <f t="shared" si="0"/>
        <v>7500</v>
      </c>
      <c r="I16" s="14"/>
      <c r="J16" s="19" t="s">
        <v>31</v>
      </c>
      <c r="K16" s="6"/>
      <c r="L16" s="5"/>
      <c r="M16" s="18"/>
      <c r="N16" s="8"/>
      <c r="O16" s="13"/>
      <c r="P16" s="18"/>
      <c r="Q16" s="16"/>
    </row>
    <row r="17" spans="2:17" ht="18" customHeight="1" x14ac:dyDescent="0.15">
      <c r="B17" s="20"/>
      <c r="C17" s="17" t="s">
        <v>25</v>
      </c>
      <c r="D17" s="17" t="s">
        <v>25</v>
      </c>
      <c r="E17" s="19" t="s">
        <v>32</v>
      </c>
      <c r="F17" s="30">
        <v>1</v>
      </c>
      <c r="G17" s="60">
        <v>18000</v>
      </c>
      <c r="H17" s="7">
        <f t="shared" si="0"/>
        <v>18000</v>
      </c>
      <c r="I17" s="14"/>
      <c r="J17" s="19" t="s">
        <v>32</v>
      </c>
      <c r="K17" s="6"/>
      <c r="L17" s="5"/>
      <c r="M17" s="18"/>
      <c r="N17" s="8"/>
      <c r="O17" s="13"/>
      <c r="P17" s="18"/>
      <c r="Q17" s="16"/>
    </row>
    <row r="18" spans="2:17" ht="18" customHeight="1" x14ac:dyDescent="0.15">
      <c r="B18" s="20"/>
      <c r="C18" s="17" t="s">
        <v>25</v>
      </c>
      <c r="D18" s="17" t="s">
        <v>25</v>
      </c>
      <c r="E18" s="19" t="s">
        <v>33</v>
      </c>
      <c r="F18" s="30">
        <v>1</v>
      </c>
      <c r="G18" s="60">
        <v>8000</v>
      </c>
      <c r="H18" s="7">
        <f t="shared" si="0"/>
        <v>8000</v>
      </c>
      <c r="I18" s="14"/>
      <c r="J18" s="19" t="s">
        <v>33</v>
      </c>
      <c r="K18" s="6"/>
      <c r="L18" s="5"/>
      <c r="M18" s="18"/>
      <c r="N18" s="8"/>
      <c r="O18" s="13"/>
      <c r="P18" s="18"/>
      <c r="Q18" s="16"/>
    </row>
    <row r="19" spans="2:17" ht="18" customHeight="1" x14ac:dyDescent="0.15">
      <c r="B19" s="20"/>
      <c r="C19" s="17" t="s">
        <v>25</v>
      </c>
      <c r="D19" s="17" t="s">
        <v>25</v>
      </c>
      <c r="E19" s="19" t="s">
        <v>34</v>
      </c>
      <c r="F19" s="30">
        <v>1</v>
      </c>
      <c r="G19" s="60">
        <v>3000</v>
      </c>
      <c r="H19" s="7">
        <f t="shared" si="0"/>
        <v>3000</v>
      </c>
      <c r="I19" s="14"/>
      <c r="J19" s="19" t="s">
        <v>34</v>
      </c>
      <c r="K19" s="6"/>
      <c r="L19" s="5"/>
      <c r="M19" s="18"/>
      <c r="N19" s="8"/>
      <c r="O19" s="13"/>
      <c r="P19" s="18"/>
      <c r="Q19" s="16"/>
    </row>
    <row r="20" spans="2:17" ht="18" customHeight="1" x14ac:dyDescent="0.15">
      <c r="B20" s="20"/>
      <c r="C20" s="17" t="s">
        <v>25</v>
      </c>
      <c r="D20" s="17" t="s">
        <v>25</v>
      </c>
      <c r="E20" s="19" t="s">
        <v>35</v>
      </c>
      <c r="F20" s="30">
        <v>1</v>
      </c>
      <c r="G20" s="60">
        <v>3500</v>
      </c>
      <c r="H20" s="7">
        <f t="shared" si="0"/>
        <v>3500</v>
      </c>
      <c r="I20" s="14"/>
      <c r="J20" s="19" t="s">
        <v>35</v>
      </c>
      <c r="K20" s="6"/>
      <c r="L20" s="5"/>
      <c r="M20" s="18"/>
      <c r="N20" s="8"/>
      <c r="O20" s="13"/>
      <c r="P20" s="18"/>
      <c r="Q20" s="16"/>
    </row>
    <row r="21" spans="2:17" ht="18" customHeight="1" x14ac:dyDescent="0.15">
      <c r="B21" s="20"/>
      <c r="C21" s="17" t="s">
        <v>25</v>
      </c>
      <c r="D21" s="17" t="s">
        <v>25</v>
      </c>
      <c r="E21" s="19" t="s">
        <v>36</v>
      </c>
      <c r="F21" s="30">
        <v>1</v>
      </c>
      <c r="G21" s="60">
        <v>12500</v>
      </c>
      <c r="H21" s="7">
        <f t="shared" si="0"/>
        <v>12500</v>
      </c>
      <c r="I21" s="14"/>
      <c r="J21" s="19" t="s">
        <v>36</v>
      </c>
      <c r="K21" s="6"/>
      <c r="L21" s="5"/>
      <c r="M21" s="18"/>
      <c r="N21" s="8"/>
      <c r="O21" s="13"/>
      <c r="P21" s="18"/>
      <c r="Q21" s="16"/>
    </row>
    <row r="22" spans="2:17" ht="18" customHeight="1" x14ac:dyDescent="0.15">
      <c r="B22" s="20"/>
      <c r="C22" s="20" t="s">
        <v>37</v>
      </c>
      <c r="D22" s="20" t="s">
        <v>37</v>
      </c>
      <c r="E22" s="68" t="s">
        <v>38</v>
      </c>
      <c r="F22" s="20">
        <v>1</v>
      </c>
      <c r="G22" s="68">
        <v>6899</v>
      </c>
      <c r="H22" s="23">
        <f t="shared" si="0"/>
        <v>6899</v>
      </c>
      <c r="I22" s="24"/>
      <c r="J22" s="25" t="s">
        <v>39</v>
      </c>
      <c r="K22" s="6"/>
      <c r="L22" s="5"/>
      <c r="M22" s="18"/>
      <c r="N22" s="8"/>
      <c r="O22" s="13"/>
      <c r="P22" s="18"/>
      <c r="Q22" s="16"/>
    </row>
    <row r="23" spans="2:17" ht="18" customHeight="1" x14ac:dyDescent="0.15">
      <c r="B23" s="20"/>
      <c r="C23" s="20" t="s">
        <v>37</v>
      </c>
      <c r="D23" s="20" t="s">
        <v>37</v>
      </c>
      <c r="E23" s="68" t="s">
        <v>40</v>
      </c>
      <c r="F23" s="20">
        <v>1</v>
      </c>
      <c r="G23" s="68">
        <v>6899</v>
      </c>
      <c r="H23" s="23">
        <f t="shared" si="0"/>
        <v>6899</v>
      </c>
      <c r="I23" s="24"/>
      <c r="J23" s="25" t="s">
        <v>41</v>
      </c>
      <c r="K23" s="6"/>
      <c r="L23" s="5"/>
      <c r="M23" s="18"/>
      <c r="N23" s="8"/>
      <c r="O23" s="13"/>
      <c r="P23" s="18"/>
      <c r="Q23" s="16"/>
    </row>
    <row r="24" spans="2:17" ht="18" customHeight="1" x14ac:dyDescent="0.15">
      <c r="B24" s="20"/>
      <c r="C24" s="1" t="s">
        <v>37</v>
      </c>
      <c r="D24" s="1" t="s">
        <v>37</v>
      </c>
      <c r="E24" s="67" t="s">
        <v>42</v>
      </c>
      <c r="F24" s="65">
        <v>1</v>
      </c>
      <c r="G24" s="68">
        <v>16000</v>
      </c>
      <c r="H24" s="23">
        <f t="shared" si="0"/>
        <v>16000</v>
      </c>
      <c r="I24" s="14"/>
      <c r="J24" s="17" t="s">
        <v>43</v>
      </c>
      <c r="K24" s="6"/>
      <c r="L24" s="5"/>
      <c r="M24" s="18"/>
      <c r="N24" s="8"/>
      <c r="O24" s="13"/>
      <c r="P24" s="18"/>
      <c r="Q24" s="16"/>
    </row>
    <row r="25" spans="2:17" ht="18" customHeight="1" x14ac:dyDescent="0.15">
      <c r="B25" s="20"/>
      <c r="C25" s="1" t="s">
        <v>37</v>
      </c>
      <c r="D25" s="1" t="s">
        <v>37</v>
      </c>
      <c r="E25" s="60" t="s">
        <v>44</v>
      </c>
      <c r="F25" s="58">
        <v>2</v>
      </c>
      <c r="G25" s="68">
        <v>570</v>
      </c>
      <c r="H25" s="23">
        <f t="shared" si="0"/>
        <v>1140</v>
      </c>
      <c r="I25" s="2"/>
      <c r="J25" s="17" t="s">
        <v>45</v>
      </c>
      <c r="K25" s="6"/>
      <c r="L25" s="5"/>
      <c r="M25" s="18"/>
      <c r="N25" s="8"/>
      <c r="O25" s="13"/>
      <c r="P25" s="18"/>
      <c r="Q25" s="16"/>
    </row>
    <row r="26" spans="2:17" ht="18" customHeight="1" x14ac:dyDescent="0.15">
      <c r="B26" s="20"/>
      <c r="C26" s="1" t="s">
        <v>37</v>
      </c>
      <c r="D26" s="1" t="s">
        <v>37</v>
      </c>
      <c r="E26" s="69" t="s">
        <v>46</v>
      </c>
      <c r="F26" s="58">
        <v>26</v>
      </c>
      <c r="G26" s="68">
        <v>99</v>
      </c>
      <c r="H26" s="23">
        <f t="shared" si="0"/>
        <v>2574</v>
      </c>
      <c r="I26" s="2"/>
      <c r="J26" s="66" t="s">
        <v>47</v>
      </c>
      <c r="K26" s="6"/>
      <c r="L26" s="5"/>
      <c r="M26" s="18"/>
      <c r="N26" s="8"/>
      <c r="O26" s="13"/>
      <c r="P26" s="18"/>
      <c r="Q26" s="16"/>
    </row>
    <row r="27" spans="2:17" ht="18" customHeight="1" x14ac:dyDescent="0.15">
      <c r="B27" s="20"/>
      <c r="C27" s="1" t="s">
        <v>37</v>
      </c>
      <c r="D27" s="1" t="s">
        <v>37</v>
      </c>
      <c r="E27" s="69" t="s">
        <v>48</v>
      </c>
      <c r="F27" s="58">
        <v>2</v>
      </c>
      <c r="G27" s="68">
        <v>99</v>
      </c>
      <c r="H27" s="23">
        <f t="shared" si="0"/>
        <v>198</v>
      </c>
      <c r="I27" s="2"/>
      <c r="J27" s="66" t="s">
        <v>49</v>
      </c>
      <c r="K27" s="6"/>
      <c r="L27" s="5"/>
      <c r="M27" s="18"/>
      <c r="N27" s="8"/>
      <c r="O27" s="13"/>
      <c r="P27" s="18"/>
      <c r="Q27" s="16"/>
    </row>
    <row r="28" spans="2:17" ht="18" customHeight="1" x14ac:dyDescent="0.15">
      <c r="B28" s="20"/>
      <c r="C28" s="4" t="s">
        <v>37</v>
      </c>
      <c r="D28" s="4" t="s">
        <v>37</v>
      </c>
      <c r="E28" s="17" t="s">
        <v>50</v>
      </c>
      <c r="F28" s="30">
        <v>4</v>
      </c>
      <c r="G28" s="7">
        <v>75</v>
      </c>
      <c r="H28" s="7">
        <f t="shared" si="0"/>
        <v>300</v>
      </c>
      <c r="I28" s="7"/>
      <c r="J28" s="47" t="s">
        <v>51</v>
      </c>
      <c r="K28" s="6"/>
      <c r="L28" s="5"/>
      <c r="M28" s="18"/>
      <c r="N28" s="8"/>
      <c r="O28" s="13"/>
      <c r="P28" s="18"/>
      <c r="Q28" s="16"/>
    </row>
    <row r="29" spans="2:17" ht="18" customHeight="1" x14ac:dyDescent="0.15">
      <c r="B29" s="20"/>
      <c r="C29" s="4" t="s">
        <v>37</v>
      </c>
      <c r="D29" s="4" t="s">
        <v>37</v>
      </c>
      <c r="E29" s="17" t="s">
        <v>52</v>
      </c>
      <c r="F29" s="30">
        <v>8</v>
      </c>
      <c r="G29" s="61">
        <v>80</v>
      </c>
      <c r="H29" s="7">
        <f t="shared" si="0"/>
        <v>640</v>
      </c>
      <c r="I29" s="7"/>
      <c r="J29" s="47" t="s">
        <v>53</v>
      </c>
      <c r="K29" s="6"/>
      <c r="L29" s="5"/>
      <c r="M29" s="18"/>
      <c r="N29" s="8"/>
      <c r="O29" s="13"/>
      <c r="P29" s="18"/>
      <c r="Q29" s="16"/>
    </row>
    <row r="30" spans="2:17" ht="18" customHeight="1" x14ac:dyDescent="0.15">
      <c r="B30" s="20"/>
      <c r="C30" s="4" t="s">
        <v>37</v>
      </c>
      <c r="D30" s="4" t="s">
        <v>37</v>
      </c>
      <c r="E30" s="17" t="s">
        <v>54</v>
      </c>
      <c r="F30" s="30">
        <v>2</v>
      </c>
      <c r="G30" s="61">
        <v>88</v>
      </c>
      <c r="H30" s="7">
        <f t="shared" si="0"/>
        <v>176</v>
      </c>
      <c r="I30" s="7"/>
      <c r="J30" s="47" t="s">
        <v>55</v>
      </c>
      <c r="K30" s="6"/>
      <c r="L30" s="5"/>
      <c r="M30" s="18"/>
      <c r="N30" s="8"/>
      <c r="O30" s="13"/>
      <c r="P30" s="18"/>
      <c r="Q30" s="16"/>
    </row>
    <row r="31" spans="2:17" ht="18" customHeight="1" x14ac:dyDescent="0.15">
      <c r="B31" s="20"/>
      <c r="C31" s="4" t="s">
        <v>37</v>
      </c>
      <c r="D31" s="4" t="s">
        <v>37</v>
      </c>
      <c r="E31" s="17" t="s">
        <v>56</v>
      </c>
      <c r="F31" s="30">
        <v>9</v>
      </c>
      <c r="G31" s="61">
        <v>70</v>
      </c>
      <c r="H31" s="7">
        <f t="shared" si="0"/>
        <v>630</v>
      </c>
      <c r="I31" s="7"/>
      <c r="J31" s="47" t="s">
        <v>57</v>
      </c>
      <c r="K31" s="6"/>
      <c r="L31" s="5"/>
      <c r="M31" s="18"/>
      <c r="N31" s="8"/>
      <c r="O31" s="13"/>
      <c r="P31" s="18"/>
      <c r="Q31" s="16"/>
    </row>
    <row r="32" spans="2:17" ht="18" customHeight="1" x14ac:dyDescent="0.15">
      <c r="B32" s="20"/>
      <c r="C32" s="4" t="s">
        <v>37</v>
      </c>
      <c r="D32" s="4" t="s">
        <v>37</v>
      </c>
      <c r="E32" s="17" t="s">
        <v>58</v>
      </c>
      <c r="F32" s="30">
        <v>9</v>
      </c>
      <c r="G32" s="61">
        <v>70</v>
      </c>
      <c r="H32" s="7">
        <f t="shared" si="0"/>
        <v>630</v>
      </c>
      <c r="I32" s="7"/>
      <c r="J32" s="47" t="s">
        <v>59</v>
      </c>
      <c r="K32" s="6"/>
      <c r="L32" s="5"/>
      <c r="M32" s="18"/>
      <c r="N32" s="8"/>
      <c r="O32" s="13"/>
      <c r="P32" s="18"/>
      <c r="Q32" s="16"/>
    </row>
    <row r="33" spans="2:17" ht="18" customHeight="1" x14ac:dyDescent="0.15">
      <c r="B33" s="20"/>
      <c r="C33" s="4" t="s">
        <v>37</v>
      </c>
      <c r="D33" s="4" t="s">
        <v>37</v>
      </c>
      <c r="E33" s="17" t="s">
        <v>60</v>
      </c>
      <c r="F33" s="49">
        <v>20</v>
      </c>
      <c r="G33" s="61">
        <v>75</v>
      </c>
      <c r="H33" s="7">
        <f t="shared" si="0"/>
        <v>1500</v>
      </c>
      <c r="I33" s="48"/>
      <c r="J33" s="47" t="s">
        <v>61</v>
      </c>
      <c r="K33" s="6"/>
      <c r="L33" s="5"/>
      <c r="M33" s="18"/>
      <c r="N33" s="8"/>
      <c r="O33" s="13"/>
      <c r="P33" s="18"/>
      <c r="Q33" s="16"/>
    </row>
    <row r="34" spans="2:17" ht="18" customHeight="1" x14ac:dyDescent="0.15">
      <c r="B34" s="20"/>
      <c r="C34" s="4"/>
      <c r="D34" s="7"/>
      <c r="E34" s="78">
        <f>SUM(H11:H33)</f>
        <v>114086</v>
      </c>
      <c r="F34" s="49"/>
      <c r="H34" s="51"/>
      <c r="I34" s="48"/>
      <c r="J34" s="47"/>
      <c r="K34" s="6"/>
      <c r="L34" s="5"/>
      <c r="M34" s="18"/>
      <c r="N34" s="8"/>
      <c r="O34" s="13"/>
      <c r="P34" s="18"/>
      <c r="Q34" s="16"/>
    </row>
    <row r="35" spans="2:17" s="3" customFormat="1" ht="19.5" customHeight="1" x14ac:dyDescent="0.15">
      <c r="B35" s="4"/>
      <c r="C35" s="4"/>
      <c r="D35" s="4"/>
      <c r="E35" s="6"/>
      <c r="F35" s="49"/>
      <c r="G35" s="7"/>
      <c r="H35" s="7"/>
      <c r="I35" s="14"/>
      <c r="J35" s="50"/>
      <c r="K35" s="1"/>
      <c r="L35" s="1"/>
      <c r="M35" s="18"/>
      <c r="N35" s="4"/>
      <c r="O35" s="1"/>
      <c r="P35" s="18"/>
      <c r="Q35" s="8"/>
    </row>
    <row r="36" spans="2:17" s="3" customFormat="1" ht="19.5" customHeight="1" x14ac:dyDescent="0.15">
      <c r="B36" s="193" t="s">
        <v>62</v>
      </c>
      <c r="C36" s="194"/>
      <c r="D36" s="194"/>
      <c r="E36" s="195"/>
      <c r="F36" s="31"/>
      <c r="G36" s="70"/>
      <c r="H36" s="71"/>
      <c r="I36" s="72"/>
      <c r="J36" s="73"/>
      <c r="K36" s="31"/>
      <c r="L36" s="31"/>
      <c r="M36" s="74"/>
      <c r="N36" s="32"/>
      <c r="O36" s="31"/>
      <c r="P36" s="74"/>
      <c r="Q36" s="75"/>
    </row>
    <row r="37" spans="2:17" s="3" customFormat="1" ht="19.5" customHeight="1" x14ac:dyDescent="0.15">
      <c r="B37" s="20"/>
      <c r="C37" s="17" t="s">
        <v>25</v>
      </c>
      <c r="D37" s="17" t="s">
        <v>25</v>
      </c>
      <c r="E37" s="51" t="s">
        <v>63</v>
      </c>
      <c r="F37" s="51">
        <v>1</v>
      </c>
      <c r="G37" s="51">
        <v>19500</v>
      </c>
      <c r="H37" s="46">
        <f t="shared" ref="H37:H58" si="1">F37*G37</f>
        <v>19500</v>
      </c>
      <c r="I37" s="52"/>
      <c r="J37" s="51" t="s">
        <v>63</v>
      </c>
      <c r="K37" s="1"/>
      <c r="L37" s="1"/>
      <c r="M37" s="18"/>
      <c r="N37" s="4"/>
      <c r="O37" s="1"/>
      <c r="P37" s="18"/>
      <c r="Q37" s="16"/>
    </row>
    <row r="38" spans="2:17" s="3" customFormat="1" ht="19.5" customHeight="1" x14ac:dyDescent="0.15">
      <c r="B38" s="20"/>
      <c r="C38" s="17" t="s">
        <v>25</v>
      </c>
      <c r="D38" s="17" t="s">
        <v>25</v>
      </c>
      <c r="E38" s="51" t="s">
        <v>64</v>
      </c>
      <c r="F38" s="51">
        <v>1</v>
      </c>
      <c r="G38" s="51">
        <v>17500</v>
      </c>
      <c r="H38" s="46">
        <f t="shared" si="1"/>
        <v>17500</v>
      </c>
      <c r="I38" s="52"/>
      <c r="J38" s="51" t="s">
        <v>64</v>
      </c>
      <c r="K38" s="1"/>
      <c r="L38" s="1"/>
      <c r="M38" s="18"/>
      <c r="N38" s="4"/>
      <c r="O38" s="1"/>
      <c r="P38" s="18"/>
      <c r="Q38" s="16"/>
    </row>
    <row r="39" spans="2:17" s="3" customFormat="1" ht="19.5" customHeight="1" x14ac:dyDescent="0.15">
      <c r="B39" s="20"/>
      <c r="C39" s="17" t="s">
        <v>25</v>
      </c>
      <c r="D39" s="17" t="s">
        <v>25</v>
      </c>
      <c r="E39" s="51" t="s">
        <v>65</v>
      </c>
      <c r="F39" s="51">
        <v>8</v>
      </c>
      <c r="G39" s="51">
        <v>3800</v>
      </c>
      <c r="H39" s="46">
        <f t="shared" si="1"/>
        <v>30400</v>
      </c>
      <c r="I39" s="52"/>
      <c r="J39" s="51" t="s">
        <v>65</v>
      </c>
      <c r="K39" s="1"/>
      <c r="L39" s="1"/>
      <c r="M39" s="18"/>
      <c r="N39" s="4"/>
      <c r="O39" s="1"/>
      <c r="P39" s="18"/>
      <c r="Q39" s="16"/>
    </row>
    <row r="40" spans="2:17" s="3" customFormat="1" ht="19.5" customHeight="1" x14ac:dyDescent="0.15">
      <c r="B40" s="20"/>
      <c r="C40" s="17" t="s">
        <v>25</v>
      </c>
      <c r="D40" s="17" t="s">
        <v>25</v>
      </c>
      <c r="E40" s="51" t="s">
        <v>66</v>
      </c>
      <c r="F40" s="51">
        <v>2</v>
      </c>
      <c r="G40" s="51">
        <v>5000</v>
      </c>
      <c r="H40" s="46">
        <f t="shared" si="1"/>
        <v>10000</v>
      </c>
      <c r="I40" s="52"/>
      <c r="J40" s="51" t="s">
        <v>67</v>
      </c>
      <c r="K40" s="1"/>
      <c r="L40" s="1"/>
      <c r="M40" s="18"/>
      <c r="N40" s="4"/>
      <c r="O40" s="1"/>
      <c r="P40" s="18"/>
      <c r="Q40" s="16"/>
    </row>
    <row r="41" spans="2:17" ht="18" customHeight="1" x14ac:dyDescent="0.15">
      <c r="B41" s="20"/>
      <c r="C41" s="21" t="s">
        <v>37</v>
      </c>
      <c r="D41" s="21" t="s">
        <v>37</v>
      </c>
      <c r="E41" s="22" t="s">
        <v>68</v>
      </c>
      <c r="F41" s="20">
        <v>1</v>
      </c>
      <c r="G41" s="22">
        <v>356</v>
      </c>
      <c r="H41" s="23">
        <f t="shared" si="1"/>
        <v>356</v>
      </c>
      <c r="I41" s="24"/>
      <c r="J41" s="25" t="s">
        <v>69</v>
      </c>
      <c r="K41" s="6"/>
      <c r="L41" s="5"/>
      <c r="M41" s="18"/>
      <c r="N41" s="8"/>
      <c r="O41" s="13"/>
      <c r="P41" s="18"/>
      <c r="Q41" s="16"/>
    </row>
    <row r="42" spans="2:17" ht="18" customHeight="1" x14ac:dyDescent="0.15">
      <c r="B42" s="20"/>
      <c r="C42" s="21" t="s">
        <v>37</v>
      </c>
      <c r="D42" s="21" t="s">
        <v>37</v>
      </c>
      <c r="E42" s="22" t="s">
        <v>70</v>
      </c>
      <c r="F42" s="20">
        <v>1</v>
      </c>
      <c r="G42" s="22">
        <v>479</v>
      </c>
      <c r="H42" s="23">
        <f t="shared" si="1"/>
        <v>479</v>
      </c>
      <c r="I42" s="24"/>
      <c r="J42" s="25" t="s">
        <v>71</v>
      </c>
      <c r="K42" s="6"/>
      <c r="L42" s="5"/>
      <c r="M42" s="18"/>
      <c r="N42" s="8"/>
      <c r="O42" s="13"/>
      <c r="P42" s="18"/>
      <c r="Q42" s="16"/>
    </row>
    <row r="43" spans="2:17" ht="18" customHeight="1" x14ac:dyDescent="0.15">
      <c r="B43" s="20"/>
      <c r="C43" s="21" t="s">
        <v>37</v>
      </c>
      <c r="D43" s="21" t="s">
        <v>37</v>
      </c>
      <c r="E43" s="22" t="s">
        <v>72</v>
      </c>
      <c r="F43" s="20">
        <v>1</v>
      </c>
      <c r="G43" s="22">
        <v>650</v>
      </c>
      <c r="H43" s="23">
        <f t="shared" si="1"/>
        <v>650</v>
      </c>
      <c r="I43" s="24"/>
      <c r="J43" s="25" t="s">
        <v>69</v>
      </c>
      <c r="K43" s="6"/>
      <c r="L43" s="5"/>
      <c r="M43" s="18"/>
      <c r="N43" s="8"/>
      <c r="O43" s="13"/>
      <c r="P43" s="18"/>
      <c r="Q43" s="16"/>
    </row>
    <row r="44" spans="2:17" ht="18" customHeight="1" x14ac:dyDescent="0.15">
      <c r="B44" s="20"/>
      <c r="C44" s="20" t="s">
        <v>37</v>
      </c>
      <c r="D44" s="20" t="s">
        <v>37</v>
      </c>
      <c r="E44" s="26" t="s">
        <v>73</v>
      </c>
      <c r="F44" s="59">
        <v>6</v>
      </c>
      <c r="G44" s="60">
        <v>370</v>
      </c>
      <c r="H44" s="7">
        <f t="shared" si="1"/>
        <v>2220</v>
      </c>
      <c r="I44" s="14"/>
      <c r="J44" s="26" t="s">
        <v>74</v>
      </c>
      <c r="K44" s="6"/>
      <c r="L44" s="5"/>
      <c r="M44" s="18"/>
      <c r="N44" s="8"/>
      <c r="O44" s="13"/>
      <c r="P44" s="18"/>
      <c r="Q44" s="16"/>
    </row>
    <row r="45" spans="2:17" ht="18" customHeight="1" x14ac:dyDescent="0.15">
      <c r="B45" s="20"/>
      <c r="C45" s="20" t="s">
        <v>37</v>
      </c>
      <c r="D45" s="20" t="s">
        <v>37</v>
      </c>
      <c r="E45" s="62" t="s">
        <v>75</v>
      </c>
      <c r="F45" s="63">
        <v>2</v>
      </c>
      <c r="G45" s="60">
        <v>8800</v>
      </c>
      <c r="H45" s="7">
        <f t="shared" si="1"/>
        <v>17600</v>
      </c>
      <c r="I45" s="14"/>
      <c r="J45" s="28" t="s">
        <v>76</v>
      </c>
      <c r="K45" s="6"/>
      <c r="L45" s="5"/>
      <c r="M45" s="18"/>
      <c r="N45" s="8"/>
      <c r="O45" s="13"/>
      <c r="P45" s="18"/>
      <c r="Q45" s="16"/>
    </row>
    <row r="46" spans="2:17" ht="18" customHeight="1" x14ac:dyDescent="0.15">
      <c r="B46" s="20"/>
      <c r="C46" s="20" t="s">
        <v>37</v>
      </c>
      <c r="D46" s="20" t="s">
        <v>37</v>
      </c>
      <c r="E46" s="29" t="s">
        <v>77</v>
      </c>
      <c r="F46" s="63">
        <v>2</v>
      </c>
      <c r="G46" s="60">
        <v>4710</v>
      </c>
      <c r="H46" s="7">
        <f t="shared" si="1"/>
        <v>9420</v>
      </c>
      <c r="I46" s="14"/>
      <c r="J46" s="28" t="s">
        <v>78</v>
      </c>
      <c r="K46" s="6"/>
      <c r="L46" s="5"/>
      <c r="M46" s="18"/>
      <c r="N46" s="8"/>
      <c r="O46" s="13"/>
      <c r="P46" s="18"/>
      <c r="Q46" s="16"/>
    </row>
    <row r="47" spans="2:17" ht="18" customHeight="1" x14ac:dyDescent="0.15">
      <c r="B47" s="20"/>
      <c r="C47" s="20" t="s">
        <v>37</v>
      </c>
      <c r="D47" s="20" t="s">
        <v>37</v>
      </c>
      <c r="E47" s="64" t="s">
        <v>79</v>
      </c>
      <c r="F47" s="30">
        <v>1</v>
      </c>
      <c r="G47" s="60">
        <v>59000</v>
      </c>
      <c r="H47" s="7">
        <f t="shared" si="1"/>
        <v>59000</v>
      </c>
      <c r="I47" s="14"/>
      <c r="J47" s="27" t="s">
        <v>80</v>
      </c>
      <c r="K47" s="6"/>
      <c r="L47" s="5"/>
      <c r="M47" s="18"/>
      <c r="N47" s="8"/>
      <c r="O47" s="13"/>
      <c r="P47" s="18"/>
      <c r="Q47" s="16"/>
    </row>
    <row r="48" spans="2:17" ht="18" customHeight="1" x14ac:dyDescent="0.15">
      <c r="B48" s="20"/>
      <c r="C48" s="20" t="s">
        <v>37</v>
      </c>
      <c r="D48" s="20" t="s">
        <v>37</v>
      </c>
      <c r="E48" s="62" t="s">
        <v>81</v>
      </c>
      <c r="F48" s="30">
        <v>1</v>
      </c>
      <c r="G48" s="17">
        <v>370</v>
      </c>
      <c r="H48" s="7">
        <f t="shared" si="1"/>
        <v>370</v>
      </c>
      <c r="I48" s="14"/>
      <c r="J48" s="28" t="s">
        <v>82</v>
      </c>
      <c r="K48" s="6"/>
      <c r="L48" s="5"/>
      <c r="M48" s="18"/>
      <c r="N48" s="8"/>
      <c r="O48" s="13"/>
      <c r="P48" s="18"/>
      <c r="Q48" s="16"/>
    </row>
    <row r="49" spans="2:17" ht="18" customHeight="1" x14ac:dyDescent="0.15">
      <c r="B49" s="20"/>
      <c r="C49" s="20" t="s">
        <v>37</v>
      </c>
      <c r="D49" s="20" t="s">
        <v>37</v>
      </c>
      <c r="E49" s="64" t="s">
        <v>83</v>
      </c>
      <c r="F49" s="63">
        <v>2</v>
      </c>
      <c r="G49" s="60">
        <v>3560</v>
      </c>
      <c r="H49" s="7">
        <f t="shared" si="1"/>
        <v>7120</v>
      </c>
      <c r="I49" s="14"/>
      <c r="J49" s="27" t="s">
        <v>84</v>
      </c>
      <c r="K49" s="6"/>
      <c r="L49" s="5"/>
      <c r="M49" s="18"/>
      <c r="N49" s="8"/>
      <c r="O49" s="13"/>
      <c r="P49" s="18"/>
      <c r="Q49" s="16"/>
    </row>
    <row r="50" spans="2:17" ht="18" customHeight="1" x14ac:dyDescent="0.15">
      <c r="B50" s="20"/>
      <c r="C50" s="20" t="s">
        <v>37</v>
      </c>
      <c r="D50" s="20" t="s">
        <v>37</v>
      </c>
      <c r="E50" s="17" t="s">
        <v>85</v>
      </c>
      <c r="F50" s="30">
        <v>10</v>
      </c>
      <c r="G50" s="17">
        <v>26</v>
      </c>
      <c r="H50" s="7">
        <f t="shared" si="1"/>
        <v>260</v>
      </c>
      <c r="I50" s="14"/>
      <c r="J50" s="19" t="s">
        <v>86</v>
      </c>
      <c r="K50" s="6"/>
      <c r="L50" s="5"/>
      <c r="M50" s="18"/>
      <c r="N50" s="8"/>
      <c r="O50" s="13"/>
      <c r="P50" s="18"/>
      <c r="Q50" s="16"/>
    </row>
    <row r="51" spans="2:17" ht="18" customHeight="1" x14ac:dyDescent="0.15">
      <c r="B51" s="20"/>
      <c r="C51" s="20" t="s">
        <v>37</v>
      </c>
      <c r="D51" s="20" t="s">
        <v>37</v>
      </c>
      <c r="E51" s="17" t="s">
        <v>87</v>
      </c>
      <c r="F51" s="30">
        <v>4</v>
      </c>
      <c r="G51" s="17">
        <v>29</v>
      </c>
      <c r="H51" s="7">
        <f t="shared" si="1"/>
        <v>116</v>
      </c>
      <c r="I51" s="14"/>
      <c r="J51" s="19" t="s">
        <v>88</v>
      </c>
      <c r="K51" s="6"/>
      <c r="L51" s="5"/>
      <c r="M51" s="18"/>
      <c r="N51" s="8"/>
      <c r="O51" s="13"/>
      <c r="P51" s="18"/>
      <c r="Q51" s="16"/>
    </row>
    <row r="52" spans="2:17" ht="18" customHeight="1" x14ac:dyDescent="0.15">
      <c r="B52" s="20"/>
      <c r="C52" s="20" t="s">
        <v>37</v>
      </c>
      <c r="D52" s="20" t="s">
        <v>37</v>
      </c>
      <c r="E52" s="17" t="s">
        <v>89</v>
      </c>
      <c r="F52" s="30">
        <v>16</v>
      </c>
      <c r="G52" s="17">
        <v>54</v>
      </c>
      <c r="H52" s="7">
        <f t="shared" si="1"/>
        <v>864</v>
      </c>
      <c r="I52" s="14"/>
      <c r="J52" s="19" t="s">
        <v>90</v>
      </c>
      <c r="K52" s="6"/>
      <c r="L52" s="5"/>
      <c r="M52" s="18"/>
      <c r="N52" s="8"/>
      <c r="O52" s="13"/>
      <c r="P52" s="18"/>
      <c r="Q52" s="16"/>
    </row>
    <row r="53" spans="2:17" ht="18" customHeight="1" x14ac:dyDescent="0.15">
      <c r="B53" s="20"/>
      <c r="C53" s="20" t="s">
        <v>37</v>
      </c>
      <c r="D53" s="20" t="s">
        <v>37</v>
      </c>
      <c r="E53" s="17" t="s">
        <v>58</v>
      </c>
      <c r="F53" s="30">
        <v>6</v>
      </c>
      <c r="G53" s="17">
        <v>70</v>
      </c>
      <c r="H53" s="7">
        <f t="shared" si="1"/>
        <v>420</v>
      </c>
      <c r="I53" s="14"/>
      <c r="J53" s="19" t="s">
        <v>91</v>
      </c>
      <c r="K53" s="6"/>
      <c r="L53" s="5"/>
      <c r="M53" s="18"/>
      <c r="N53" s="8"/>
      <c r="O53" s="13"/>
      <c r="P53" s="18"/>
      <c r="Q53" s="16"/>
    </row>
    <row r="54" spans="2:17" ht="18" customHeight="1" x14ac:dyDescent="0.15">
      <c r="B54" s="20"/>
      <c r="C54" s="20" t="s">
        <v>37</v>
      </c>
      <c r="D54" s="20" t="s">
        <v>37</v>
      </c>
      <c r="E54" s="17" t="s">
        <v>92</v>
      </c>
      <c r="F54" s="30">
        <v>12</v>
      </c>
      <c r="G54" s="17">
        <v>75</v>
      </c>
      <c r="H54" s="7">
        <f t="shared" si="1"/>
        <v>900</v>
      </c>
      <c r="I54" s="14"/>
      <c r="J54" s="19" t="s">
        <v>93</v>
      </c>
      <c r="K54" s="6"/>
      <c r="L54" s="5"/>
      <c r="M54" s="18"/>
      <c r="N54" s="8"/>
      <c r="O54" s="13"/>
      <c r="P54" s="18"/>
      <c r="Q54" s="16"/>
    </row>
    <row r="55" spans="2:17" ht="18" customHeight="1" x14ac:dyDescent="0.15">
      <c r="B55" s="20"/>
      <c r="C55" s="20" t="s">
        <v>37</v>
      </c>
      <c r="D55" s="20" t="s">
        <v>37</v>
      </c>
      <c r="E55" s="17" t="s">
        <v>94</v>
      </c>
      <c r="F55" s="30">
        <v>4</v>
      </c>
      <c r="G55" s="17">
        <v>80</v>
      </c>
      <c r="H55" s="7">
        <f t="shared" si="1"/>
        <v>320</v>
      </c>
      <c r="I55" s="14"/>
      <c r="J55" s="19" t="s">
        <v>95</v>
      </c>
      <c r="K55" s="6"/>
      <c r="L55" s="5"/>
      <c r="M55" s="18"/>
      <c r="N55" s="8"/>
      <c r="O55" s="13"/>
      <c r="P55" s="18"/>
      <c r="Q55" s="16"/>
    </row>
    <row r="56" spans="2:17" ht="18" customHeight="1" x14ac:dyDescent="0.15">
      <c r="B56" s="20"/>
      <c r="C56" s="20" t="s">
        <v>37</v>
      </c>
      <c r="D56" s="20" t="s">
        <v>37</v>
      </c>
      <c r="E56" s="17" t="s">
        <v>96</v>
      </c>
      <c r="F56" s="30">
        <v>10</v>
      </c>
      <c r="G56" s="17">
        <v>99</v>
      </c>
      <c r="H56" s="7">
        <f t="shared" si="1"/>
        <v>990</v>
      </c>
      <c r="I56" s="14"/>
      <c r="J56" s="19" t="s">
        <v>97</v>
      </c>
      <c r="K56" s="6"/>
      <c r="L56" s="5"/>
      <c r="M56" s="18"/>
      <c r="N56" s="8"/>
      <c r="O56" s="13"/>
      <c r="P56" s="18"/>
      <c r="Q56" s="16"/>
    </row>
    <row r="57" spans="2:17" ht="18" customHeight="1" x14ac:dyDescent="0.15">
      <c r="B57" s="20"/>
      <c r="C57" s="20" t="s">
        <v>37</v>
      </c>
      <c r="D57" s="20" t="s">
        <v>37</v>
      </c>
      <c r="E57" s="17" t="s">
        <v>98</v>
      </c>
      <c r="F57" s="30">
        <v>2</v>
      </c>
      <c r="G57" s="17">
        <v>610</v>
      </c>
      <c r="H57" s="7">
        <f t="shared" si="1"/>
        <v>1220</v>
      </c>
      <c r="I57" s="14"/>
      <c r="J57" s="19" t="s">
        <v>99</v>
      </c>
      <c r="K57" s="6"/>
      <c r="L57" s="5"/>
      <c r="M57" s="18"/>
      <c r="N57" s="8"/>
      <c r="O57" s="13"/>
      <c r="P57" s="18"/>
      <c r="Q57" s="16"/>
    </row>
    <row r="58" spans="2:17" ht="18" customHeight="1" x14ac:dyDescent="0.15">
      <c r="B58" s="20"/>
      <c r="C58" s="20" t="s">
        <v>37</v>
      </c>
      <c r="D58" s="20" t="s">
        <v>37</v>
      </c>
      <c r="E58" s="17" t="s">
        <v>100</v>
      </c>
      <c r="F58" s="30">
        <v>2</v>
      </c>
      <c r="G58" s="17">
        <v>780</v>
      </c>
      <c r="H58" s="7">
        <f t="shared" si="1"/>
        <v>1560</v>
      </c>
      <c r="I58" s="14"/>
      <c r="J58" s="19" t="s">
        <v>101</v>
      </c>
      <c r="K58" s="6"/>
      <c r="L58" s="5"/>
      <c r="M58" s="18"/>
      <c r="N58" s="8"/>
      <c r="O58" s="13"/>
      <c r="P58" s="18"/>
      <c r="Q58" s="16"/>
    </row>
    <row r="59" spans="2:17" ht="18" customHeight="1" x14ac:dyDescent="0.15">
      <c r="B59" s="20"/>
      <c r="C59" s="20"/>
      <c r="D59" s="20"/>
      <c r="E59" s="79">
        <f>SUM(H37:H58)</f>
        <v>181265</v>
      </c>
      <c r="F59" s="20"/>
      <c r="G59" s="22"/>
      <c r="I59" s="24"/>
      <c r="J59" s="25"/>
      <c r="K59" s="6"/>
      <c r="L59" s="5"/>
      <c r="M59" s="18"/>
      <c r="N59" s="8"/>
      <c r="O59" s="13"/>
      <c r="P59" s="18"/>
      <c r="Q59" s="16"/>
    </row>
    <row r="60" spans="2:17" ht="18" customHeight="1" x14ac:dyDescent="0.15">
      <c r="B60" s="20"/>
      <c r="C60" s="20"/>
      <c r="D60" s="20"/>
      <c r="E60" s="22"/>
      <c r="F60" s="20"/>
      <c r="G60" s="22"/>
      <c r="H60" s="23"/>
      <c r="I60" s="24"/>
      <c r="J60" s="25"/>
      <c r="K60" s="6"/>
      <c r="L60" s="5"/>
      <c r="M60" s="18"/>
      <c r="N60" s="8"/>
      <c r="O60" s="13"/>
      <c r="P60" s="18"/>
      <c r="Q60" s="16"/>
    </row>
    <row r="61" spans="2:17" ht="18" customHeight="1" x14ac:dyDescent="0.15">
      <c r="B61" s="193" t="s">
        <v>102</v>
      </c>
      <c r="C61" s="194"/>
      <c r="D61" s="194"/>
      <c r="E61" s="195"/>
      <c r="F61" s="20"/>
      <c r="G61" s="22"/>
      <c r="H61" s="23"/>
      <c r="I61" s="24"/>
      <c r="J61" s="25"/>
      <c r="K61" s="6"/>
      <c r="L61" s="5"/>
      <c r="M61" s="18"/>
      <c r="N61" s="8"/>
      <c r="O61" s="13"/>
      <c r="P61" s="18"/>
      <c r="Q61" s="16"/>
    </row>
    <row r="62" spans="2:17" ht="18" customHeight="1" x14ac:dyDescent="0.15">
      <c r="B62" s="20"/>
      <c r="C62" s="20"/>
      <c r="D62" s="20"/>
      <c r="E62" s="22"/>
      <c r="F62" s="20"/>
      <c r="G62" s="22"/>
      <c r="H62" s="23"/>
      <c r="I62" s="24"/>
      <c r="J62" s="25"/>
      <c r="K62" s="6"/>
      <c r="L62" s="5"/>
      <c r="M62" s="18"/>
      <c r="N62" s="8"/>
      <c r="O62" s="13"/>
      <c r="P62" s="18"/>
      <c r="Q62" s="16"/>
    </row>
    <row r="63" spans="2:17" ht="18" customHeight="1" x14ac:dyDescent="0.15">
      <c r="B63" s="20"/>
      <c r="C63" s="17" t="s">
        <v>25</v>
      </c>
      <c r="D63" s="17" t="s">
        <v>25</v>
      </c>
      <c r="E63" s="51" t="s">
        <v>103</v>
      </c>
      <c r="F63" s="1">
        <v>2</v>
      </c>
      <c r="G63" s="51">
        <v>18500</v>
      </c>
      <c r="H63" s="51">
        <f t="shared" ref="H63:H71" si="2">F63*G63</f>
        <v>37000</v>
      </c>
      <c r="I63" s="52"/>
      <c r="J63" s="51" t="s">
        <v>103</v>
      </c>
      <c r="K63" s="6"/>
      <c r="L63" s="5"/>
      <c r="M63" s="18"/>
      <c r="N63" s="8"/>
      <c r="O63" s="13"/>
      <c r="P63" s="18"/>
      <c r="Q63" s="16"/>
    </row>
    <row r="64" spans="2:17" ht="18" customHeight="1" x14ac:dyDescent="0.15">
      <c r="B64" s="20"/>
      <c r="C64" s="17" t="s">
        <v>25</v>
      </c>
      <c r="D64" s="17" t="s">
        <v>25</v>
      </c>
      <c r="E64" s="51" t="s">
        <v>104</v>
      </c>
      <c r="F64" s="1">
        <v>4</v>
      </c>
      <c r="G64" s="51">
        <v>4000</v>
      </c>
      <c r="H64" s="51">
        <f t="shared" si="2"/>
        <v>16000</v>
      </c>
      <c r="I64" s="52"/>
      <c r="J64" s="51" t="s">
        <v>104</v>
      </c>
      <c r="K64" s="6"/>
      <c r="L64" s="5"/>
      <c r="M64" s="18"/>
      <c r="N64" s="8"/>
      <c r="O64" s="13"/>
      <c r="P64" s="18"/>
      <c r="Q64" s="16"/>
    </row>
    <row r="65" spans="2:17" ht="18" customHeight="1" x14ac:dyDescent="0.15">
      <c r="B65" s="20"/>
      <c r="C65" s="20" t="s">
        <v>37</v>
      </c>
      <c r="D65" s="20" t="s">
        <v>37</v>
      </c>
      <c r="E65" s="64" t="s">
        <v>105</v>
      </c>
      <c r="F65" s="54">
        <v>10</v>
      </c>
      <c r="G65" s="60">
        <v>920</v>
      </c>
      <c r="H65" s="55">
        <f t="shared" si="2"/>
        <v>9200</v>
      </c>
      <c r="I65" s="56"/>
      <c r="J65" s="57" t="s">
        <v>106</v>
      </c>
      <c r="K65" s="6"/>
      <c r="L65" s="5"/>
      <c r="M65" s="18"/>
      <c r="N65" s="8"/>
      <c r="O65" s="13"/>
      <c r="P65" s="18"/>
      <c r="Q65" s="16"/>
    </row>
    <row r="66" spans="2:17" ht="18" customHeight="1" x14ac:dyDescent="0.15">
      <c r="B66" s="20"/>
      <c r="C66" s="20" t="s">
        <v>37</v>
      </c>
      <c r="D66" s="20" t="s">
        <v>37</v>
      </c>
      <c r="E66" s="77" t="s">
        <v>105</v>
      </c>
      <c r="F66" s="54">
        <v>10</v>
      </c>
      <c r="G66" s="60">
        <v>1250</v>
      </c>
      <c r="H66" s="55">
        <f t="shared" si="2"/>
        <v>12500</v>
      </c>
      <c r="I66" s="56"/>
      <c r="J66" s="76" t="s">
        <v>107</v>
      </c>
      <c r="K66" s="6"/>
      <c r="L66" s="5"/>
      <c r="M66" s="18"/>
      <c r="N66" s="8"/>
      <c r="O66" s="13"/>
      <c r="P66" s="18"/>
      <c r="Q66" s="16"/>
    </row>
    <row r="67" spans="2:17" ht="18" customHeight="1" x14ac:dyDescent="0.15">
      <c r="B67" s="20"/>
      <c r="C67" s="20" t="s">
        <v>37</v>
      </c>
      <c r="D67" s="20" t="s">
        <v>37</v>
      </c>
      <c r="E67" s="26" t="s">
        <v>108</v>
      </c>
      <c r="F67" s="30">
        <v>4</v>
      </c>
      <c r="G67" s="17">
        <v>570</v>
      </c>
      <c r="H67" s="7">
        <f t="shared" si="2"/>
        <v>2280</v>
      </c>
      <c r="I67" s="14"/>
      <c r="J67" s="27" t="s">
        <v>109</v>
      </c>
      <c r="K67" s="6"/>
      <c r="L67" s="5"/>
      <c r="M67" s="18"/>
      <c r="N67" s="8"/>
      <c r="O67" s="13"/>
      <c r="P67" s="18"/>
      <c r="Q67" s="16"/>
    </row>
    <row r="68" spans="2:17" ht="18" customHeight="1" x14ac:dyDescent="0.15">
      <c r="B68" s="20"/>
      <c r="C68" s="20" t="s">
        <v>37</v>
      </c>
      <c r="D68" s="20" t="s">
        <v>37</v>
      </c>
      <c r="E68" s="17" t="s">
        <v>85</v>
      </c>
      <c r="F68" s="30">
        <v>4</v>
      </c>
      <c r="G68" s="60">
        <v>26</v>
      </c>
      <c r="H68" s="7">
        <f t="shared" si="2"/>
        <v>104</v>
      </c>
      <c r="I68" s="14"/>
      <c r="J68" s="19" t="s">
        <v>86</v>
      </c>
      <c r="K68" s="6"/>
      <c r="L68" s="5"/>
      <c r="M68" s="18"/>
      <c r="N68" s="8"/>
      <c r="O68" s="13"/>
      <c r="P68" s="18"/>
      <c r="Q68" s="16"/>
    </row>
    <row r="69" spans="2:17" ht="18" customHeight="1" x14ac:dyDescent="0.15">
      <c r="B69" s="20"/>
      <c r="C69" s="20" t="s">
        <v>37</v>
      </c>
      <c r="D69" s="20" t="s">
        <v>37</v>
      </c>
      <c r="E69" s="60" t="s">
        <v>110</v>
      </c>
      <c r="F69" s="30">
        <v>4</v>
      </c>
      <c r="G69" s="60">
        <v>800</v>
      </c>
      <c r="H69" s="7">
        <f t="shared" si="2"/>
        <v>3200</v>
      </c>
      <c r="I69" s="14"/>
      <c r="J69" s="19" t="s">
        <v>111</v>
      </c>
      <c r="K69" s="6"/>
      <c r="L69" s="5"/>
      <c r="M69" s="18"/>
      <c r="N69" s="8"/>
      <c r="O69" s="13"/>
      <c r="P69" s="18"/>
      <c r="Q69" s="16"/>
    </row>
    <row r="70" spans="2:17" ht="18" customHeight="1" x14ac:dyDescent="0.15">
      <c r="B70" s="20"/>
      <c r="C70" s="20" t="s">
        <v>37</v>
      </c>
      <c r="D70" s="20" t="s">
        <v>37</v>
      </c>
      <c r="E70" s="17" t="s">
        <v>92</v>
      </c>
      <c r="F70" s="30">
        <v>8</v>
      </c>
      <c r="G70" s="17">
        <v>75</v>
      </c>
      <c r="H70" s="7">
        <f t="shared" si="2"/>
        <v>600</v>
      </c>
      <c r="I70" s="14"/>
      <c r="J70" s="19" t="s">
        <v>93</v>
      </c>
      <c r="K70" s="6"/>
      <c r="L70" s="5"/>
      <c r="M70" s="18"/>
      <c r="N70" s="8"/>
      <c r="O70" s="13"/>
      <c r="P70" s="18"/>
      <c r="Q70" s="16"/>
    </row>
    <row r="71" spans="2:17" ht="18" customHeight="1" x14ac:dyDescent="0.15">
      <c r="B71" s="20"/>
      <c r="C71" s="20" t="s">
        <v>37</v>
      </c>
      <c r="D71" s="20" t="s">
        <v>37</v>
      </c>
      <c r="E71" s="17" t="s">
        <v>94</v>
      </c>
      <c r="F71" s="30">
        <v>8</v>
      </c>
      <c r="G71" s="17">
        <v>80</v>
      </c>
      <c r="H71" s="7">
        <f t="shared" si="2"/>
        <v>640</v>
      </c>
      <c r="I71" s="14"/>
      <c r="J71" s="19" t="s">
        <v>95</v>
      </c>
      <c r="K71" s="6"/>
      <c r="L71" s="5"/>
      <c r="M71" s="18"/>
      <c r="N71" s="8"/>
      <c r="O71" s="13"/>
      <c r="P71" s="18"/>
      <c r="Q71" s="16"/>
    </row>
    <row r="72" spans="2:17" ht="18" customHeight="1" x14ac:dyDescent="0.15">
      <c r="B72" s="20"/>
      <c r="C72" s="20"/>
      <c r="D72" s="20"/>
      <c r="E72" s="78">
        <f>SUM(H63:H71)</f>
        <v>81524</v>
      </c>
      <c r="F72" s="30"/>
      <c r="G72" s="17"/>
      <c r="I72" s="14"/>
      <c r="J72" s="19"/>
      <c r="K72" s="6"/>
      <c r="L72" s="5"/>
      <c r="M72" s="18"/>
      <c r="N72" s="8"/>
      <c r="O72" s="13"/>
      <c r="P72" s="18"/>
      <c r="Q72" s="16"/>
    </row>
    <row r="73" spans="2:17" ht="18" customHeight="1" x14ac:dyDescent="0.15">
      <c r="B73" s="20"/>
      <c r="C73" s="4"/>
      <c r="D73" s="4"/>
      <c r="E73" s="17"/>
      <c r="F73" s="49"/>
      <c r="G73" s="7"/>
      <c r="H73" s="7"/>
      <c r="I73" s="48"/>
      <c r="J73" s="47"/>
      <c r="K73" s="6"/>
      <c r="L73" s="5"/>
      <c r="M73" s="18"/>
      <c r="N73" s="8"/>
      <c r="O73" s="13"/>
      <c r="P73" s="18"/>
      <c r="Q73" s="16"/>
    </row>
    <row r="74" spans="2:17" ht="18" customHeight="1" x14ac:dyDescent="0.15">
      <c r="B74" s="196" t="s">
        <v>112</v>
      </c>
      <c r="C74" s="197"/>
      <c r="D74" s="197"/>
      <c r="E74" s="198"/>
      <c r="F74" s="49"/>
      <c r="G74" s="7"/>
      <c r="H74" s="7"/>
      <c r="I74" s="48"/>
      <c r="J74" s="47"/>
      <c r="K74" s="6"/>
      <c r="L74" s="5"/>
      <c r="M74" s="18"/>
      <c r="N74" s="8"/>
      <c r="O74" s="13"/>
      <c r="P74" s="18"/>
      <c r="Q74" s="16"/>
    </row>
    <row r="75" spans="2:17" ht="18" customHeight="1" x14ac:dyDescent="0.15">
      <c r="B75" s="20"/>
      <c r="C75" s="17" t="s">
        <v>25</v>
      </c>
      <c r="D75" s="17" t="s">
        <v>25</v>
      </c>
      <c r="E75" s="51" t="s">
        <v>113</v>
      </c>
      <c r="F75" s="51">
        <v>1</v>
      </c>
      <c r="G75" s="51">
        <v>16500</v>
      </c>
      <c r="H75" s="51">
        <f t="shared" ref="H75:H83" si="3">F75*G75</f>
        <v>16500</v>
      </c>
      <c r="I75" s="52"/>
      <c r="J75" s="51" t="s">
        <v>114</v>
      </c>
      <c r="K75" s="6"/>
      <c r="L75" s="5"/>
      <c r="M75" s="18"/>
      <c r="N75" s="8"/>
      <c r="O75" s="13"/>
      <c r="P75" s="18"/>
      <c r="Q75" s="16"/>
    </row>
    <row r="76" spans="2:17" ht="18" customHeight="1" x14ac:dyDescent="0.15">
      <c r="B76" s="20"/>
      <c r="C76" s="1" t="s">
        <v>37</v>
      </c>
      <c r="D76" s="1" t="s">
        <v>37</v>
      </c>
      <c r="E76" s="6" t="s">
        <v>115</v>
      </c>
      <c r="F76" s="7">
        <v>1</v>
      </c>
      <c r="G76" s="7">
        <v>1080</v>
      </c>
      <c r="H76" s="7">
        <f t="shared" si="3"/>
        <v>1080</v>
      </c>
      <c r="I76" s="14"/>
      <c r="J76" s="5" t="s">
        <v>116</v>
      </c>
      <c r="K76" s="6"/>
      <c r="L76" s="5"/>
      <c r="M76" s="18"/>
      <c r="N76" s="8"/>
      <c r="O76" s="13"/>
      <c r="P76" s="18"/>
      <c r="Q76" s="16"/>
    </row>
    <row r="77" spans="2:17" ht="18" customHeight="1" x14ac:dyDescent="0.15">
      <c r="B77" s="20"/>
      <c r="C77" s="1" t="s">
        <v>37</v>
      </c>
      <c r="D77" s="1" t="s">
        <v>37</v>
      </c>
      <c r="E77" s="6" t="s">
        <v>117</v>
      </c>
      <c r="F77" s="7">
        <v>1</v>
      </c>
      <c r="G77" s="7">
        <v>3350</v>
      </c>
      <c r="H77" s="7">
        <f t="shared" si="3"/>
        <v>3350</v>
      </c>
      <c r="I77" s="14"/>
      <c r="J77" s="5" t="s">
        <v>118</v>
      </c>
      <c r="K77" s="6"/>
      <c r="L77" s="5"/>
      <c r="M77" s="18"/>
      <c r="N77" s="8"/>
      <c r="O77" s="13"/>
      <c r="P77" s="18"/>
      <c r="Q77" s="16"/>
    </row>
    <row r="78" spans="2:17" ht="18" customHeight="1" x14ac:dyDescent="0.15">
      <c r="B78" s="20"/>
      <c r="C78" s="1" t="s">
        <v>37</v>
      </c>
      <c r="D78" s="1" t="s">
        <v>37</v>
      </c>
      <c r="E78" s="6" t="s">
        <v>119</v>
      </c>
      <c r="F78" s="7">
        <v>1</v>
      </c>
      <c r="G78" s="7">
        <v>3022</v>
      </c>
      <c r="H78" s="7">
        <f t="shared" si="3"/>
        <v>3022</v>
      </c>
      <c r="I78" s="14"/>
      <c r="J78" s="5" t="s">
        <v>120</v>
      </c>
      <c r="K78" s="6"/>
      <c r="L78" s="5"/>
      <c r="M78" s="18"/>
      <c r="N78" s="8"/>
      <c r="O78" s="13"/>
      <c r="P78" s="18"/>
      <c r="Q78" s="16"/>
    </row>
    <row r="79" spans="2:17" ht="18" customHeight="1" x14ac:dyDescent="0.15">
      <c r="B79" s="20"/>
      <c r="C79" s="1" t="s">
        <v>37</v>
      </c>
      <c r="D79" s="1" t="s">
        <v>37</v>
      </c>
      <c r="E79" s="6" t="s">
        <v>121</v>
      </c>
      <c r="F79" s="7">
        <v>1</v>
      </c>
      <c r="G79" s="7">
        <v>5719</v>
      </c>
      <c r="H79" s="7">
        <f t="shared" si="3"/>
        <v>5719</v>
      </c>
      <c r="I79" s="14"/>
      <c r="J79" s="5" t="s">
        <v>122</v>
      </c>
      <c r="K79" s="6"/>
      <c r="L79" s="5"/>
      <c r="M79" s="18"/>
      <c r="N79" s="8"/>
      <c r="O79" s="13"/>
      <c r="P79" s="18"/>
      <c r="Q79" s="16"/>
    </row>
    <row r="80" spans="2:17" ht="18" customHeight="1" x14ac:dyDescent="0.15">
      <c r="B80" s="20"/>
      <c r="C80" s="1" t="s">
        <v>37</v>
      </c>
      <c r="D80" s="1" t="s">
        <v>37</v>
      </c>
      <c r="E80" s="6" t="s">
        <v>123</v>
      </c>
      <c r="F80" s="7">
        <v>1</v>
      </c>
      <c r="G80" s="7">
        <v>460</v>
      </c>
      <c r="H80" s="7">
        <f t="shared" si="3"/>
        <v>460</v>
      </c>
      <c r="I80" s="14"/>
      <c r="J80" s="5" t="s">
        <v>124</v>
      </c>
      <c r="K80" s="6"/>
      <c r="L80" s="5"/>
      <c r="M80" s="18"/>
      <c r="N80" s="8"/>
      <c r="O80" s="13"/>
      <c r="P80" s="18"/>
      <c r="Q80" s="16"/>
    </row>
    <row r="81" spans="2:17" ht="18" customHeight="1" x14ac:dyDescent="0.15">
      <c r="B81" s="20"/>
      <c r="C81" s="1" t="s">
        <v>37</v>
      </c>
      <c r="D81" s="1" t="s">
        <v>37</v>
      </c>
      <c r="E81" s="6" t="s">
        <v>125</v>
      </c>
      <c r="F81" s="7">
        <v>1</v>
      </c>
      <c r="G81" s="7">
        <v>2060</v>
      </c>
      <c r="H81" s="7">
        <f t="shared" si="3"/>
        <v>2060</v>
      </c>
      <c r="I81" s="14"/>
      <c r="J81" s="5" t="s">
        <v>126</v>
      </c>
      <c r="K81" s="6"/>
      <c r="L81" s="5"/>
      <c r="M81" s="18"/>
      <c r="N81" s="8"/>
      <c r="O81" s="13"/>
      <c r="P81" s="18"/>
      <c r="Q81" s="16"/>
    </row>
    <row r="82" spans="2:17" ht="18" customHeight="1" x14ac:dyDescent="0.15">
      <c r="B82" s="20"/>
      <c r="C82" s="4" t="s">
        <v>37</v>
      </c>
      <c r="D82" s="4" t="s">
        <v>37</v>
      </c>
      <c r="E82" s="6" t="s">
        <v>127</v>
      </c>
      <c r="F82" s="51">
        <v>1</v>
      </c>
      <c r="G82" s="7">
        <v>622</v>
      </c>
      <c r="H82" s="7">
        <f t="shared" si="3"/>
        <v>622</v>
      </c>
      <c r="I82" s="7"/>
      <c r="J82" s="51" t="s">
        <v>128</v>
      </c>
      <c r="K82" s="6"/>
      <c r="L82" s="5"/>
      <c r="M82" s="18"/>
      <c r="N82" s="8"/>
      <c r="O82" s="13"/>
      <c r="P82" s="18"/>
      <c r="Q82" s="16"/>
    </row>
    <row r="83" spans="2:17" ht="18" customHeight="1" x14ac:dyDescent="0.15">
      <c r="B83" s="20"/>
      <c r="C83" s="4" t="s">
        <v>37</v>
      </c>
      <c r="D83" s="4" t="s">
        <v>37</v>
      </c>
      <c r="E83" s="51" t="s">
        <v>129</v>
      </c>
      <c r="F83" s="51">
        <v>1</v>
      </c>
      <c r="G83" s="7">
        <v>3000</v>
      </c>
      <c r="H83" s="7">
        <f t="shared" si="3"/>
        <v>3000</v>
      </c>
      <c r="I83" s="7"/>
      <c r="J83" s="51" t="s">
        <v>129</v>
      </c>
      <c r="K83" s="6"/>
      <c r="L83" s="5"/>
      <c r="M83" s="18"/>
      <c r="N83" s="8"/>
      <c r="O83" s="13"/>
      <c r="P83" s="18"/>
      <c r="Q83" s="16"/>
    </row>
    <row r="84" spans="2:17" ht="18" customHeight="1" x14ac:dyDescent="0.15">
      <c r="B84" s="20"/>
      <c r="C84" s="17"/>
      <c r="D84" s="17"/>
      <c r="E84" s="78">
        <f>SUM(H75:H83)</f>
        <v>35813</v>
      </c>
      <c r="F84" s="30"/>
      <c r="G84" s="17"/>
      <c r="I84" s="14"/>
      <c r="J84" s="19"/>
      <c r="K84" s="6"/>
      <c r="L84" s="5"/>
      <c r="M84" s="18"/>
      <c r="N84" s="8"/>
      <c r="O84" s="13"/>
      <c r="P84" s="18"/>
      <c r="Q84" s="16"/>
    </row>
    <row r="85" spans="2:17" ht="18" customHeight="1" x14ac:dyDescent="0.15">
      <c r="B85" s="20"/>
      <c r="C85" s="17"/>
      <c r="D85" s="17"/>
      <c r="E85" s="17"/>
      <c r="F85" s="30"/>
      <c r="G85" s="17"/>
      <c r="H85" s="7"/>
      <c r="I85" s="14"/>
      <c r="J85" s="19"/>
      <c r="K85" s="6"/>
      <c r="L85" s="5"/>
      <c r="M85" s="18"/>
      <c r="N85" s="8"/>
      <c r="O85" s="13"/>
      <c r="P85" s="18"/>
      <c r="Q85" s="16"/>
    </row>
    <row r="86" spans="2:17" ht="18" customHeight="1" x14ac:dyDescent="0.15">
      <c r="B86" s="20"/>
      <c r="C86" s="17"/>
      <c r="D86" s="17"/>
      <c r="E86" s="17"/>
      <c r="F86" s="30"/>
      <c r="G86" s="17"/>
      <c r="H86" s="7"/>
      <c r="I86" s="14"/>
      <c r="J86" s="19"/>
      <c r="K86" s="6"/>
      <c r="L86" s="5"/>
      <c r="M86" s="18"/>
      <c r="N86" s="8"/>
      <c r="O86" s="13"/>
      <c r="P86" s="18"/>
      <c r="Q86" s="16"/>
    </row>
    <row r="87" spans="2:17" ht="18" customHeight="1" x14ac:dyDescent="0.15">
      <c r="B87" s="20"/>
      <c r="C87" s="17"/>
      <c r="D87" s="17"/>
      <c r="E87" s="17"/>
      <c r="F87" s="30"/>
      <c r="G87" s="17"/>
      <c r="H87" s="7"/>
      <c r="I87" s="14"/>
      <c r="J87" s="19"/>
      <c r="K87" s="6"/>
      <c r="L87" s="5"/>
      <c r="M87" s="18"/>
      <c r="N87" s="8"/>
      <c r="O87" s="13"/>
      <c r="P87" s="18"/>
      <c r="Q87" s="16"/>
    </row>
    <row r="88" spans="2:17" ht="18" customHeight="1" x14ac:dyDescent="0.15">
      <c r="B88" s="20"/>
      <c r="C88" s="17"/>
      <c r="D88" s="17"/>
      <c r="E88" s="17"/>
      <c r="F88" s="30"/>
      <c r="G88" s="17"/>
      <c r="H88" s="7"/>
      <c r="I88" s="14"/>
      <c r="J88" s="19"/>
      <c r="K88" s="6"/>
      <c r="L88" s="5"/>
      <c r="M88" s="18"/>
      <c r="N88" s="8"/>
      <c r="O88" s="13"/>
      <c r="P88" s="18"/>
      <c r="Q88" s="16"/>
    </row>
    <row r="89" spans="2:17" ht="18" customHeight="1" x14ac:dyDescent="0.15">
      <c r="B89" s="20"/>
      <c r="C89" s="17"/>
      <c r="D89" s="17"/>
      <c r="E89" s="17"/>
      <c r="F89" s="30"/>
      <c r="G89" s="17"/>
      <c r="H89" s="7"/>
      <c r="I89" s="14"/>
      <c r="J89" s="19"/>
      <c r="K89" s="6"/>
      <c r="L89" s="5"/>
      <c r="M89" s="18"/>
      <c r="N89" s="8"/>
      <c r="O89" s="13"/>
      <c r="P89" s="18"/>
      <c r="Q89" s="16"/>
    </row>
    <row r="90" spans="2:17" ht="18" customHeight="1" x14ac:dyDescent="0.15">
      <c r="B90" s="20"/>
      <c r="C90" s="17"/>
      <c r="D90" s="17"/>
      <c r="E90" s="17"/>
      <c r="F90" s="30"/>
      <c r="G90" s="17"/>
      <c r="H90" s="7"/>
      <c r="I90" s="14"/>
      <c r="J90" s="19"/>
      <c r="K90" s="6"/>
      <c r="L90" s="5"/>
      <c r="M90" s="18"/>
      <c r="N90" s="8"/>
      <c r="O90" s="13"/>
      <c r="P90" s="18"/>
      <c r="Q90" s="16"/>
    </row>
    <row r="91" spans="2:17" ht="18" customHeight="1" x14ac:dyDescent="0.15">
      <c r="B91" s="1"/>
      <c r="C91" s="4"/>
      <c r="D91" s="4"/>
      <c r="E91" s="6" t="s">
        <v>130</v>
      </c>
      <c r="F91" s="49"/>
      <c r="G91" s="7"/>
      <c r="H91" s="7">
        <f>F91*G91</f>
        <v>0</v>
      </c>
      <c r="I91" s="14"/>
      <c r="J91" s="19" t="s">
        <v>131</v>
      </c>
      <c r="K91" s="6"/>
      <c r="L91" s="5"/>
      <c r="M91" s="18"/>
      <c r="N91" s="8"/>
      <c r="O91" s="13"/>
      <c r="P91" s="18"/>
      <c r="Q91" s="16"/>
    </row>
    <row r="92" spans="2:17" ht="18" customHeight="1" x14ac:dyDescent="0.15">
      <c r="B92" s="1"/>
      <c r="C92" s="1"/>
      <c r="D92" s="1"/>
      <c r="E92" s="6" t="s">
        <v>131</v>
      </c>
      <c r="F92" s="49"/>
      <c r="G92" s="7">
        <v>5000</v>
      </c>
      <c r="H92" s="7">
        <f>F92*G92</f>
        <v>0</v>
      </c>
      <c r="I92" s="14"/>
      <c r="J92" s="19" t="s">
        <v>132</v>
      </c>
      <c r="K92" s="6"/>
      <c r="L92" s="5"/>
      <c r="M92" s="18"/>
      <c r="N92" s="8"/>
      <c r="O92" s="13"/>
      <c r="P92" s="18"/>
      <c r="Q92" s="16"/>
    </row>
    <row r="93" spans="2:17" ht="18" customHeight="1" x14ac:dyDescent="0.15">
      <c r="B93" s="1"/>
      <c r="C93" s="1"/>
      <c r="D93" s="1"/>
      <c r="E93" s="6" t="s">
        <v>132</v>
      </c>
      <c r="F93" s="7"/>
      <c r="G93" s="7"/>
      <c r="H93" s="7">
        <f>F93*G93</f>
        <v>0</v>
      </c>
      <c r="I93" s="14"/>
      <c r="J93" s="5"/>
      <c r="K93" s="6"/>
      <c r="L93" s="5"/>
      <c r="M93" s="18"/>
      <c r="N93" s="8"/>
      <c r="O93" s="13"/>
      <c r="P93" s="18"/>
      <c r="Q93" s="16"/>
    </row>
    <row r="94" spans="2:17" ht="18" customHeight="1" x14ac:dyDescent="0.15">
      <c r="B94" s="1"/>
      <c r="C94" s="1"/>
      <c r="D94" s="1"/>
      <c r="E94" s="6"/>
      <c r="F94" s="7"/>
      <c r="G94" s="7"/>
      <c r="H94" s="7"/>
      <c r="I94" s="14"/>
      <c r="J94" s="5"/>
      <c r="K94" s="6"/>
      <c r="L94" s="5"/>
      <c r="M94" s="18"/>
      <c r="N94" s="8"/>
      <c r="O94" s="13"/>
      <c r="P94" s="18"/>
      <c r="Q94" s="16"/>
    </row>
    <row r="95" spans="2:17" ht="18" customHeight="1" x14ac:dyDescent="0.15">
      <c r="B95" s="1"/>
      <c r="C95" s="1"/>
      <c r="D95" s="1"/>
      <c r="E95" s="6"/>
      <c r="F95" s="7"/>
      <c r="G95" s="7"/>
      <c r="H95" s="7"/>
      <c r="I95" s="14"/>
      <c r="J95" s="5"/>
      <c r="K95" s="6"/>
      <c r="L95" s="5"/>
      <c r="M95" s="18"/>
      <c r="N95" s="8"/>
      <c r="O95" s="13"/>
      <c r="P95" s="18"/>
      <c r="Q95" s="16"/>
    </row>
    <row r="96" spans="2:17" ht="18" customHeight="1" x14ac:dyDescent="0.15">
      <c r="B96" s="1"/>
      <c r="C96" s="1"/>
      <c r="D96" s="1"/>
      <c r="E96" s="6"/>
      <c r="F96" s="7"/>
      <c r="G96" s="7"/>
      <c r="H96" s="7"/>
      <c r="I96" s="14"/>
      <c r="J96" s="5"/>
      <c r="K96" s="6"/>
      <c r="L96" s="5"/>
      <c r="M96" s="18"/>
      <c r="N96" s="8"/>
      <c r="O96" s="13"/>
      <c r="P96" s="18"/>
      <c r="Q96" s="16"/>
    </row>
    <row r="97" spans="2:17" ht="18" customHeight="1" x14ac:dyDescent="0.15">
      <c r="B97" s="1"/>
      <c r="C97" s="1"/>
      <c r="D97" s="1"/>
      <c r="E97" s="6"/>
      <c r="F97" s="7"/>
      <c r="G97" s="7"/>
      <c r="H97" s="7"/>
      <c r="I97" s="14"/>
      <c r="J97" s="5"/>
      <c r="K97" s="6"/>
      <c r="L97" s="5"/>
      <c r="M97" s="18"/>
      <c r="N97" s="8"/>
      <c r="O97" s="13"/>
      <c r="P97" s="18"/>
      <c r="Q97" s="16"/>
    </row>
    <row r="98" spans="2:17" ht="18" customHeight="1" x14ac:dyDescent="0.15">
      <c r="B98" s="1"/>
      <c r="C98" s="1"/>
      <c r="D98" s="1"/>
      <c r="E98" s="6"/>
      <c r="F98" s="7"/>
      <c r="G98" s="7"/>
      <c r="H98" s="7"/>
      <c r="I98" s="14"/>
      <c r="J98" s="5"/>
      <c r="K98" s="6"/>
      <c r="L98" s="5"/>
      <c r="M98" s="18"/>
      <c r="N98" s="8"/>
      <c r="O98" s="13"/>
      <c r="P98" s="18"/>
      <c r="Q98" s="16"/>
    </row>
    <row r="99" spans="2:17" ht="18" customHeight="1" x14ac:dyDescent="0.15">
      <c r="B99" s="1"/>
      <c r="C99" s="1"/>
      <c r="D99" s="1"/>
      <c r="E99" s="6"/>
      <c r="F99" s="7"/>
      <c r="G99" s="7"/>
      <c r="H99" s="7"/>
      <c r="I99" s="14"/>
      <c r="J99" s="5"/>
      <c r="K99" s="6"/>
      <c r="L99" s="5"/>
      <c r="M99" s="18"/>
      <c r="N99" s="8"/>
      <c r="O99" s="13"/>
      <c r="P99" s="18"/>
      <c r="Q99" s="16"/>
    </row>
    <row r="100" spans="2:17" ht="18" customHeight="1" x14ac:dyDescent="0.15">
      <c r="B100" s="1"/>
      <c r="C100" s="1"/>
      <c r="D100" s="1"/>
      <c r="E100" s="6"/>
      <c r="F100" s="7"/>
      <c r="G100" s="7"/>
      <c r="H100" s="7"/>
      <c r="I100" s="14"/>
      <c r="J100" s="5"/>
      <c r="K100" s="6"/>
      <c r="L100" s="5"/>
      <c r="M100" s="18"/>
      <c r="N100" s="8"/>
      <c r="O100" s="13"/>
      <c r="P100" s="18"/>
      <c r="Q100" s="16"/>
    </row>
    <row r="101" spans="2:17" ht="18" customHeight="1" x14ac:dyDescent="0.15">
      <c r="B101" s="1"/>
      <c r="C101" s="1"/>
      <c r="D101" s="1"/>
      <c r="E101" s="6"/>
      <c r="F101" s="7"/>
      <c r="G101" s="7"/>
      <c r="H101" s="7"/>
      <c r="I101" s="14"/>
      <c r="J101" s="5"/>
      <c r="K101" s="6"/>
      <c r="L101" s="5"/>
      <c r="M101" s="18"/>
      <c r="N101" s="8"/>
      <c r="O101" s="13"/>
      <c r="P101" s="18"/>
      <c r="Q101" s="16"/>
    </row>
    <row r="102" spans="2:17" ht="18" customHeight="1" x14ac:dyDescent="0.15">
      <c r="B102" s="1"/>
      <c r="C102" s="1"/>
      <c r="D102" s="1"/>
      <c r="E102" s="6"/>
      <c r="F102" s="7"/>
      <c r="G102" s="7"/>
      <c r="H102" s="7"/>
      <c r="I102" s="14"/>
      <c r="J102" s="5"/>
      <c r="K102" s="6"/>
      <c r="L102" s="5"/>
      <c r="M102" s="18"/>
      <c r="N102" s="8"/>
      <c r="O102" s="13"/>
      <c r="P102" s="18"/>
      <c r="Q102" s="16"/>
    </row>
    <row r="103" spans="2:17" ht="18" customHeight="1" x14ac:dyDescent="0.15">
      <c r="B103" s="1"/>
      <c r="C103" s="4"/>
      <c r="D103" s="4"/>
      <c r="E103" s="6"/>
      <c r="F103" s="51"/>
      <c r="G103" s="7"/>
      <c r="H103" s="7"/>
      <c r="I103" s="7"/>
      <c r="J103" s="51"/>
      <c r="K103" s="51"/>
      <c r="L103" s="1"/>
      <c r="M103" s="18"/>
      <c r="N103" s="51"/>
      <c r="O103" s="52"/>
      <c r="P103" s="18"/>
      <c r="Q103" s="16"/>
    </row>
    <row r="104" spans="2:17" ht="18" customHeight="1" x14ac:dyDescent="0.15">
      <c r="B104" s="1"/>
      <c r="C104" s="51"/>
      <c r="D104" s="51"/>
      <c r="E104" s="51"/>
      <c r="F104" s="51"/>
      <c r="G104" s="51"/>
      <c r="H104" s="51"/>
      <c r="I104" s="52"/>
      <c r="J104" s="51"/>
      <c r="K104" s="51"/>
      <c r="L104" s="1"/>
      <c r="M104" s="18"/>
      <c r="N104" s="51"/>
      <c r="O104" s="52"/>
      <c r="P104" s="18"/>
      <c r="Q104" s="53"/>
    </row>
    <row r="105" spans="2:17" ht="18" customHeight="1" x14ac:dyDescent="0.15">
      <c r="B105" s="1"/>
      <c r="C105" s="51"/>
      <c r="D105" s="51"/>
      <c r="E105" s="51"/>
      <c r="F105" s="51"/>
      <c r="G105" s="51"/>
      <c r="H105" s="51"/>
      <c r="I105" s="52"/>
      <c r="J105" s="51"/>
      <c r="K105" s="51"/>
      <c r="L105" s="1"/>
      <c r="M105" s="1"/>
      <c r="N105" s="51"/>
      <c r="O105" s="52"/>
      <c r="P105" s="53"/>
      <c r="Q105" s="53"/>
    </row>
    <row r="106" spans="2:17" ht="18" customHeight="1" x14ac:dyDescent="0.15"/>
    <row r="107" spans="2:17" ht="18" customHeight="1" x14ac:dyDescent="0.15"/>
    <row r="108" spans="2:17" ht="18" customHeight="1" x14ac:dyDescent="0.15"/>
    <row r="109" spans="2:17" ht="18" customHeight="1" x14ac:dyDescent="0.15"/>
    <row r="110" spans="2:17" ht="18" customHeight="1" x14ac:dyDescent="0.15"/>
    <row r="111" spans="2:17" ht="18" customHeight="1" x14ac:dyDescent="0.15"/>
    <row r="112" spans="2:17" ht="18" customHeight="1" x14ac:dyDescent="0.15"/>
    <row r="113" spans="2:17" ht="18" customHeight="1" x14ac:dyDescent="0.15"/>
    <row r="114" spans="2:17" s="43" customFormat="1" ht="13.5" customHeight="1" x14ac:dyDescent="0.15">
      <c r="B114" s="37"/>
      <c r="C114" s="38"/>
      <c r="D114" s="38"/>
      <c r="E114" s="39"/>
      <c r="F114" s="40"/>
      <c r="G114" s="40"/>
      <c r="H114" s="40"/>
      <c r="I114" s="41"/>
      <c r="J114" s="42"/>
      <c r="K114" s="39"/>
      <c r="L114" s="37"/>
      <c r="M114" s="37"/>
      <c r="O114" s="44"/>
      <c r="P114" s="45"/>
      <c r="Q114" s="45"/>
    </row>
    <row r="115" spans="2:17" ht="13.5" customHeight="1" x14ac:dyDescent="0.15">
      <c r="B115" s="31"/>
      <c r="C115" s="32"/>
      <c r="D115" s="32"/>
      <c r="E115" s="33"/>
      <c r="F115" s="34"/>
      <c r="G115" s="34"/>
      <c r="H115" s="34"/>
      <c r="I115" s="35"/>
      <c r="J115" s="36"/>
      <c r="K115" s="33"/>
    </row>
    <row r="116" spans="2:17" ht="13.5" customHeight="1" x14ac:dyDescent="0.15">
      <c r="B116" s="4"/>
      <c r="C116" s="4"/>
      <c r="D116" s="4"/>
      <c r="E116" s="6"/>
      <c r="F116" s="7"/>
      <c r="G116" s="7"/>
      <c r="H116" s="7"/>
      <c r="I116" s="14"/>
      <c r="J116" s="5"/>
      <c r="K116" s="6"/>
    </row>
    <row r="117" spans="2:17" ht="13.5" customHeight="1" x14ac:dyDescent="0.15">
      <c r="B117" s="4"/>
      <c r="C117" s="4"/>
      <c r="D117" s="4"/>
      <c r="E117" s="6"/>
      <c r="F117" s="7"/>
      <c r="G117" s="7"/>
      <c r="H117" s="7"/>
      <c r="I117" s="14"/>
      <c r="J117" s="5"/>
      <c r="K117" s="6"/>
    </row>
    <row r="118" spans="2:17" ht="13.5" customHeight="1" x14ac:dyDescent="0.15">
      <c r="B118" s="4"/>
      <c r="C118" s="4"/>
      <c r="D118" s="4"/>
      <c r="E118" s="6"/>
      <c r="F118" s="7"/>
      <c r="G118" s="7"/>
      <c r="H118" s="7"/>
      <c r="I118" s="14"/>
      <c r="J118" s="5"/>
      <c r="K118" s="6"/>
    </row>
  </sheetData>
  <autoFilter ref="B8:O118" xr:uid="{00000000-0009-0000-0000-000000000000}"/>
  <mergeCells count="10">
    <mergeCell ref="G2:I2"/>
    <mergeCell ref="B2:D2"/>
    <mergeCell ref="B3:D3"/>
    <mergeCell ref="B4:D4"/>
    <mergeCell ref="B5:D5"/>
    <mergeCell ref="B36:E36"/>
    <mergeCell ref="B61:E61"/>
    <mergeCell ref="B74:E74"/>
    <mergeCell ref="B10:E10"/>
    <mergeCell ref="B6:D6"/>
  </mergeCells>
  <phoneticPr fontId="13"/>
  <dataValidations count="1">
    <dataValidation allowBlank="1" showInputMessage="1" showErrorMessage="1" sqref="J73:J74 J29:J34 J25:J27" xr:uid="{00000000-0002-0000-0000-000000000000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75" defaultRowHeight="13.5" customHeight="1" x14ac:dyDescent="0.15"/>
  <sheetData/>
  <phoneticPr fontId="13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26" sqref="F26"/>
    </sheetView>
  </sheetViews>
  <sheetFormatPr defaultColWidth="11.75" defaultRowHeight="13.5" customHeight="1" x14ac:dyDescent="0.15"/>
  <sheetData/>
  <phoneticPr fontId="13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(226228)  ③20250916  ミスミ発注分</vt:lpstr>
      <vt:lpstr>Sheet1</vt:lpstr>
      <vt:lpstr>Sheet2</vt:lpstr>
      <vt:lpstr>Sheet3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2025-10-02T06:20:50Z</dcterms:modified>
</cp:coreProperties>
</file>