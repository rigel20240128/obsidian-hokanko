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9D44FEE-618A-4BE5-AD5A-A856F5F3432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ﾛﾎﾞｯﾄ発注 (2268538)  ①" sheetId="12" r:id="rId1"/>
    <sheet name=" (2268538)②　20251008 " sheetId="16" r:id="rId2"/>
    <sheet name="Sheet2" sheetId="2" r:id="rId3"/>
    <sheet name="Sheet3" sheetId="3" r:id="rId4"/>
  </sheets>
  <definedNames>
    <definedName name="_xlnm._FilterDatabase" localSheetId="1" hidden="1">' (2268538)②　20251008 '!$D$8:$Q$58</definedName>
    <definedName name="_xlnm._FilterDatabase" localSheetId="0">'ﾛﾎﾞｯﾄ発注 (2268538)  ①'!$C$8:$P$8</definedName>
    <definedName name="_xlnm.Print_Area" localSheetId="1">' (2268538)②　20251008 '!$C$1:$L$22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16" l="1"/>
  <c r="J30" i="16"/>
  <c r="J12" i="16"/>
  <c r="E15" i="12"/>
  <c r="I11" i="12"/>
  <c r="D19" i="16" l="1"/>
  <c r="D20" i="16" s="1"/>
  <c r="D21" i="16" s="1"/>
  <c r="J22" i="16"/>
  <c r="C22" i="16"/>
  <c r="J21" i="16"/>
  <c r="C21" i="16"/>
  <c r="J20" i="16"/>
  <c r="C20" i="16"/>
  <c r="J19" i="16"/>
  <c r="C19" i="16"/>
  <c r="G14" i="16"/>
  <c r="D22" i="16" l="1"/>
  <c r="D30" i="16" s="1"/>
  <c r="D31" i="16" s="1"/>
  <c r="G25" i="16"/>
  <c r="L2" i="16"/>
  <c r="G34" i="16"/>
  <c r="C35" i="16"/>
  <c r="C41" i="16" s="1"/>
  <c r="I21" i="12" l="1"/>
  <c r="I20" i="12"/>
  <c r="I19" i="12"/>
  <c r="K2" i="12" s="1"/>
  <c r="C12" i="12"/>
  <c r="C13" i="12" s="1"/>
</calcChain>
</file>

<file path=xl/sharedStrings.xml><?xml version="1.0" encoding="utf-8"?>
<sst xmlns="http://schemas.openxmlformats.org/spreadsheetml/2006/main" count="123" uniqueCount="87">
  <si>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</si>
  <si>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</si>
  <si>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</si>
  <si>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</si>
  <si>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</si>
  <si>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</si>
  <si>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</si>
  <si>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</si>
  <si>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</si>
  <si>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</si>
  <si>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</si>
  <si>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</si>
  <si>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</si>
  <si>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</si>
  <si>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</si>
  <si>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</si>
  <si>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</si>
  <si>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</si>
  <si>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</si>
  <si>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</si>
  <si>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</si>
  <si>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</si>
  <si>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</si>
  <si>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</si>
  <si>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</si>
  <si>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0"/>
  </si>
  <si>
    <t>AXAﾛﾎﾞｯﾄ</t>
  </si>
  <si>
    <t>SET</t>
  </si>
  <si>
    <t>専用PCｺﾝﾄﾛｰﾗ ﾓﾆﾀｰ ｷｰﾎﾞｰﾄﾞ &amp; ﾏｳｽ【ﾛﾎﾞｯﾄ付属品】</t>
    <rPh sb="35" eb="38">
      <t>フゾクヒン</t>
    </rPh>
    <phoneticPr fontId="11"/>
  </si>
  <si>
    <t>PCｿﾌﾄ 外部ｽｲｯﾁ 含む【ﾛﾎﾞｯﾄ付属品】</t>
  </si>
  <si>
    <t>①</t>
    <phoneticPr fontId="10"/>
  </si>
  <si>
    <t>AXA400-HV</t>
    <phoneticPr fontId="10"/>
  </si>
  <si>
    <t>AXELIAｼﾘｰｽﾞAXA-ＨV（400角）</t>
    <phoneticPr fontId="10"/>
  </si>
  <si>
    <t>千葉</t>
    <rPh sb="0" eb="2">
      <t>チバ</t>
    </rPh>
    <phoneticPr fontId="10"/>
  </si>
  <si>
    <t>藤倉船装株式会社 (株式会社羽根田商会)</t>
    <rPh sb="10" eb="14">
      <t>カブシキガイシャ</t>
    </rPh>
    <rPh sb="14" eb="17">
      <t>ハネダ</t>
    </rPh>
    <rPh sb="17" eb="19">
      <t>ショウカイ</t>
    </rPh>
    <phoneticPr fontId="10"/>
  </si>
  <si>
    <t>Ｎo.226538</t>
    <phoneticPr fontId="10"/>
  </si>
  <si>
    <t>kg</t>
    <phoneticPr fontId="11"/>
  </si>
  <si>
    <t>TOTAL重量</t>
    <rPh sb="5" eb="7">
      <t>ジュウリョウ</t>
    </rPh>
    <phoneticPr fontId="11"/>
  </si>
  <si>
    <t>架台部分</t>
    <rPh sb="0" eb="2">
      <t>カダイ</t>
    </rPh>
    <rPh sb="2" eb="4">
      <t>ブブン</t>
    </rPh>
    <phoneticPr fontId="11"/>
  </si>
  <si>
    <t>1日目</t>
    <rPh sb="1" eb="2">
      <t>ヒ</t>
    </rPh>
    <rPh sb="2" eb="3">
      <t>メ</t>
    </rPh>
    <phoneticPr fontId="11"/>
  </si>
  <si>
    <t>5日目</t>
    <rPh sb="1" eb="2">
      <t>ヒ</t>
    </rPh>
    <rPh sb="2" eb="3">
      <t>メ</t>
    </rPh>
    <phoneticPr fontId="11"/>
  </si>
  <si>
    <t>制御機材</t>
    <rPh sb="0" eb="2">
      <t>セイギョ</t>
    </rPh>
    <rPh sb="2" eb="4">
      <t>キザイ</t>
    </rPh>
    <phoneticPr fontId="11"/>
  </si>
  <si>
    <t>サーキットプロテクター</t>
    <phoneticPr fontId="11"/>
  </si>
  <si>
    <t>CP30FM-2P005</t>
    <phoneticPr fontId="11"/>
  </si>
  <si>
    <t>富士電機</t>
    <rPh sb="0" eb="2">
      <t>フジ</t>
    </rPh>
    <rPh sb="2" eb="4">
      <t>デンキ</t>
    </rPh>
    <phoneticPr fontId="11"/>
  </si>
  <si>
    <t>配電BOXﾕﾆｯﾄ</t>
    <phoneticPr fontId="11"/>
  </si>
  <si>
    <t>元圧</t>
    <rPh sb="0" eb="1">
      <t>モト</t>
    </rPh>
    <rPh sb="1" eb="2">
      <t>アツ</t>
    </rPh>
    <phoneticPr fontId="11"/>
  </si>
  <si>
    <t>１／４　エアコンビネーション　</t>
  </si>
  <si>
    <t>SMC</t>
  </si>
  <si>
    <t>１／４　三方弁</t>
  </si>
  <si>
    <t>１／４　Ø６　継ぎ手</t>
  </si>
  <si>
    <t>ＫＱ２Ｌ０６－０２Ａ</t>
    <phoneticPr fontId="11"/>
  </si>
  <si>
    <t>１／４　レギュレーター　（逆流機能付）</t>
  </si>
  <si>
    <t>架台ﾕﾆｯﾄ</t>
    <rPh sb="0" eb="2">
      <t>カダイ</t>
    </rPh>
    <phoneticPr fontId="11"/>
  </si>
  <si>
    <t>3日間</t>
    <rPh sb="1" eb="2">
      <t>ヒ</t>
    </rPh>
    <rPh sb="2" eb="3">
      <t>カン</t>
    </rPh>
    <phoneticPr fontId="11"/>
  </si>
  <si>
    <t>入荷日</t>
    <rPh sb="0" eb="2">
      <t>ニュウカ</t>
    </rPh>
    <rPh sb="2" eb="3">
      <t>ビ</t>
    </rPh>
    <phoneticPr fontId="11"/>
  </si>
  <si>
    <t>入荷予定日</t>
    <rPh sb="0" eb="2">
      <t>ニュウカ</t>
    </rPh>
    <rPh sb="2" eb="4">
      <t>ヨテイ</t>
    </rPh>
    <rPh sb="4" eb="5">
      <t>ヒ</t>
    </rPh>
    <phoneticPr fontId="11"/>
  </si>
  <si>
    <t>納期</t>
    <rPh sb="0" eb="2">
      <t>ノウ</t>
    </rPh>
    <phoneticPr fontId="11"/>
  </si>
  <si>
    <t>発注</t>
    <rPh sb="0" eb="2">
      <t>ハッチュウ</t>
    </rPh>
    <phoneticPr fontId="11"/>
  </si>
  <si>
    <t>発注日</t>
    <rPh sb="0" eb="2">
      <t>ハッチュウ</t>
    </rPh>
    <rPh sb="2" eb="3">
      <t>ヒ</t>
    </rPh>
    <phoneticPr fontId="11"/>
  </si>
  <si>
    <t>技術分類</t>
    <rPh sb="0" eb="2">
      <t>ギジュツ</t>
    </rPh>
    <rPh sb="2" eb="4">
      <t>ブンルイ</t>
    </rPh>
    <phoneticPr fontId="11"/>
  </si>
  <si>
    <t>備考</t>
    <rPh sb="0" eb="2">
      <t>ビコウ</t>
    </rPh>
    <phoneticPr fontId="11"/>
  </si>
  <si>
    <t>詳細</t>
    <rPh sb="0" eb="2">
      <t>ショウサイ</t>
    </rPh>
    <phoneticPr fontId="11"/>
  </si>
  <si>
    <t>分類合計</t>
    <rPh sb="0" eb="2">
      <t>ブンルイ</t>
    </rPh>
    <rPh sb="2" eb="4">
      <t>ゴウケイ</t>
    </rPh>
    <phoneticPr fontId="11"/>
  </si>
  <si>
    <t>品名 / 型式</t>
    <rPh sb="0" eb="2">
      <t>ヒンメイ</t>
    </rPh>
    <rPh sb="5" eb="7">
      <t>カタシキ</t>
    </rPh>
    <phoneticPr fontId="11"/>
  </si>
  <si>
    <t>仕入先</t>
    <rPh sb="0" eb="2">
      <t>シイレ</t>
    </rPh>
    <rPh sb="2" eb="3">
      <t>サキ</t>
    </rPh>
    <phoneticPr fontId="11"/>
  </si>
  <si>
    <t>メーカー</t>
    <phoneticPr fontId="11"/>
  </si>
  <si>
    <t>見積り分類</t>
    <rPh sb="0" eb="2">
      <t>ミツモ</t>
    </rPh>
    <rPh sb="3" eb="5">
      <t>ブンルイ</t>
    </rPh>
    <phoneticPr fontId="11"/>
  </si>
  <si>
    <t>部材重さkg</t>
    <rPh sb="0" eb="2">
      <t>ブザイ</t>
    </rPh>
    <rPh sb="2" eb="3">
      <t>オモ</t>
    </rPh>
    <phoneticPr fontId="11"/>
  </si>
  <si>
    <t>最終納品</t>
    <rPh sb="0" eb="2">
      <t>サイシュウ</t>
    </rPh>
    <rPh sb="2" eb="4">
      <t>ノウヒン</t>
    </rPh>
    <phoneticPr fontId="11"/>
  </si>
  <si>
    <t>希望納期</t>
    <rPh sb="0" eb="2">
      <t>キボウ</t>
    </rPh>
    <rPh sb="2" eb="4">
      <t>ノウ</t>
    </rPh>
    <phoneticPr fontId="11"/>
  </si>
  <si>
    <t>図面番号</t>
    <rPh sb="0" eb="1">
      <t>ズ</t>
    </rPh>
    <rPh sb="1" eb="2">
      <t>メン</t>
    </rPh>
    <rPh sb="2" eb="4">
      <t>バンゴウ</t>
    </rPh>
    <phoneticPr fontId="11"/>
  </si>
  <si>
    <t>担当営業</t>
    <rPh sb="0" eb="2">
      <t>タントウ</t>
    </rPh>
    <rPh sb="2" eb="4">
      <t>エイギョウ</t>
    </rPh>
    <phoneticPr fontId="11"/>
  </si>
  <si>
    <t>合計金額</t>
    <rPh sb="0" eb="2">
      <t>ゴウケイ</t>
    </rPh>
    <rPh sb="2" eb="4">
      <t>キンガク</t>
    </rPh>
    <phoneticPr fontId="11"/>
  </si>
  <si>
    <t>お客先名</t>
    <rPh sb="1" eb="3">
      <t>キャクサキ</t>
    </rPh>
    <rPh sb="3" eb="4">
      <t>メイ</t>
    </rPh>
    <phoneticPr fontId="11"/>
  </si>
  <si>
    <t>SETB0288-A01　AXA400-CTB　詳細設計　上下架台</t>
    <phoneticPr fontId="11"/>
  </si>
  <si>
    <t>SMC</t>
    <phoneticPr fontId="11"/>
  </si>
  <si>
    <t>精密レギュレータ IR1000-A  0.01～0.4MPa</t>
    <phoneticPr fontId="11"/>
  </si>
  <si>
    <t xml:space="preserve">ｼﾘﾝｼﾞレギュレーター </t>
    <phoneticPr fontId="11"/>
  </si>
  <si>
    <t>IR1010-01BEA-A  0.01-0.40Mp</t>
    <phoneticPr fontId="11"/>
  </si>
  <si>
    <t>CP30FM-2P007</t>
    <phoneticPr fontId="11"/>
  </si>
  <si>
    <t>1日間</t>
    <rPh sb="1" eb="2">
      <t>ヒ</t>
    </rPh>
    <rPh sb="2" eb="3">
      <t>カン</t>
    </rPh>
    <phoneticPr fontId="10"/>
  </si>
  <si>
    <t>ＡＷ２０Ｋ－０２Ｅ－D</t>
    <phoneticPr fontId="11"/>
  </si>
  <si>
    <t>ＶＨＳ２０－０２-D</t>
    <phoneticPr fontId="11"/>
  </si>
  <si>
    <t>Ｙ２００Ｔ－D</t>
    <phoneticPr fontId="11"/>
  </si>
  <si>
    <t>ACS株式会社</t>
    <rPh sb="3" eb="7">
      <t>カブシキガイシャ</t>
    </rPh>
    <phoneticPr fontId="11"/>
  </si>
  <si>
    <t>22-25-01227A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</si>
</sst>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0_ "/>
    <numFmt numFmtId="182" formatCode="0_);[Red]\(0\)"/>
  </numFmts>
  <fonts count="27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6"/>
      <color rgb="FF0070C0"/>
      <name val="ＭＳ Ｐゴシック"/>
      <family val="3"/>
      <charset val="128"/>
      <scheme val="minor"/>
    </font>
    <font>
      <b/>
      <sz val="20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6" xfId="0" applyBorder="1" applyAlignment="1">
      <alignment vertical="center" shrinkToFit="1"/>
    </xf>
    <xf numFmtId="3" fontId="0" fillId="0" borderId="5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6" xfId="4" applyBorder="1" applyAlignment="1">
      <alignment horizontal="center" vertical="center"/>
    </xf>
    <xf numFmtId="38" fontId="9" fillId="0" borderId="6" xfId="4" applyNumberFormat="1" applyBorder="1" applyAlignment="1">
      <alignment horizontal="right" vertical="center"/>
    </xf>
    <xf numFmtId="180" fontId="9" fillId="0" borderId="6" xfId="4" applyNumberFormat="1" applyBorder="1">
      <alignment vertical="center"/>
    </xf>
    <xf numFmtId="0" fontId="9" fillId="0" borderId="7" xfId="4" applyBorder="1" applyAlignment="1">
      <alignment horizontal="center" vertical="center"/>
    </xf>
    <xf numFmtId="0" fontId="9" fillId="0" borderId="6" xfId="4" applyBorder="1">
      <alignment vertical="center"/>
    </xf>
    <xf numFmtId="3" fontId="9" fillId="6" borderId="6" xfId="4" applyNumberFormat="1" applyFill="1" applyBorder="1" applyAlignment="1">
      <alignment horizontal="center" vertical="center"/>
    </xf>
    <xf numFmtId="3" fontId="9" fillId="5" borderId="6" xfId="4" applyNumberFormat="1" applyFill="1" applyBorder="1" applyAlignment="1">
      <alignment horizontal="center" vertical="center"/>
    </xf>
    <xf numFmtId="0" fontId="9" fillId="5" borderId="6" xfId="4" applyFill="1" applyBorder="1" applyAlignment="1">
      <alignment horizontal="left" vertical="center"/>
    </xf>
    <xf numFmtId="3" fontId="9" fillId="0" borderId="6" xfId="4" applyNumberFormat="1" applyBorder="1" applyAlignment="1">
      <alignment horizontal="center" vertical="center"/>
    </xf>
    <xf numFmtId="3" fontId="9" fillId="0" borderId="7" xfId="4" applyNumberFormat="1" applyBorder="1" applyAlignment="1">
      <alignment horizontal="center" vertical="center"/>
    </xf>
    <xf numFmtId="0" fontId="9" fillId="0" borderId="6" xfId="4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49" fontId="9" fillId="5" borderId="6" xfId="4" applyNumberFormat="1" applyFill="1" applyBorder="1" applyAlignment="1">
      <alignment horizontal="left" vertical="center"/>
    </xf>
    <xf numFmtId="3" fontId="9" fillId="5" borderId="11" xfId="4" applyNumberFormat="1" applyFill="1" applyBorder="1" applyAlignment="1">
      <alignment horizontal="center" vertical="center"/>
    </xf>
    <xf numFmtId="49" fontId="9" fillId="5" borderId="11" xfId="4" applyNumberFormat="1" applyFill="1" applyBorder="1" applyAlignment="1">
      <alignment horizontal="left" vertical="center"/>
    </xf>
    <xf numFmtId="0" fontId="9" fillId="0" borderId="11" xfId="4" applyBorder="1" applyAlignment="1">
      <alignment horizontal="center" vertical="center"/>
    </xf>
    <xf numFmtId="38" fontId="9" fillId="0" borderId="11" xfId="4" applyNumberFormat="1" applyBorder="1" applyAlignment="1">
      <alignment horizontal="center" vertical="center"/>
    </xf>
    <xf numFmtId="0" fontId="9" fillId="0" borderId="12" xfId="4" applyBorder="1" applyAlignment="1">
      <alignment horizontal="center" vertical="center"/>
    </xf>
    <xf numFmtId="49" fontId="9" fillId="0" borderId="6" xfId="4" applyNumberForma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9" fillId="0" borderId="0" xfId="4">
      <alignment vertical="center"/>
    </xf>
    <xf numFmtId="178" fontId="9" fillId="0" borderId="0" xfId="4" applyNumberFormat="1">
      <alignment vertical="center"/>
    </xf>
    <xf numFmtId="179" fontId="9" fillId="0" borderId="0" xfId="4" applyNumberFormat="1">
      <alignment vertical="center"/>
    </xf>
    <xf numFmtId="0" fontId="9" fillId="0" borderId="0" xfId="4" applyAlignment="1">
      <alignment horizontal="right" vertical="center"/>
    </xf>
    <xf numFmtId="179" fontId="9" fillId="0" borderId="0" xfId="4" applyNumberFormat="1" applyAlignment="1">
      <alignment horizontal="center" vertical="center"/>
    </xf>
    <xf numFmtId="0" fontId="9" fillId="0" borderId="0" xfId="4" applyAlignment="1">
      <alignment horizontal="center" vertical="center"/>
    </xf>
    <xf numFmtId="0" fontId="9" fillId="0" borderId="0" xfId="4" applyAlignment="1">
      <alignment horizontal="left" vertical="center"/>
    </xf>
    <xf numFmtId="178" fontId="9" fillId="0" borderId="6" xfId="4" applyNumberFormat="1" applyBorder="1" applyAlignment="1">
      <alignment horizontal="center" vertical="center"/>
    </xf>
    <xf numFmtId="179" fontId="9" fillId="0" borderId="6" xfId="4" applyNumberFormat="1" applyBorder="1" applyAlignment="1">
      <alignment horizontal="center" vertical="center"/>
    </xf>
    <xf numFmtId="176" fontId="9" fillId="0" borderId="6" xfId="4" applyNumberFormat="1" applyBorder="1">
      <alignment vertical="center"/>
    </xf>
    <xf numFmtId="0" fontId="9" fillId="0" borderId="6" xfId="4" applyBorder="1" applyAlignment="1">
      <alignment horizontal="right" vertical="center"/>
    </xf>
    <xf numFmtId="181" fontId="9" fillId="0" borderId="6" xfId="4" applyNumberFormat="1" applyBorder="1" applyAlignment="1">
      <alignment horizontal="right" vertical="center"/>
    </xf>
    <xf numFmtId="0" fontId="17" fillId="0" borderId="6" xfId="4" applyFont="1" applyBorder="1">
      <alignment vertical="center"/>
    </xf>
    <xf numFmtId="0" fontId="12" fillId="0" borderId="6" xfId="4" applyFont="1" applyBorder="1">
      <alignment vertical="center"/>
    </xf>
    <xf numFmtId="0" fontId="9" fillId="7" borderId="0" xfId="4" applyFill="1" applyAlignment="1">
      <alignment horizontal="center" vertical="center"/>
    </xf>
    <xf numFmtId="178" fontId="9" fillId="7" borderId="6" xfId="4" applyNumberFormat="1" applyFill="1" applyBorder="1" applyAlignment="1">
      <alignment horizontal="center" vertical="center"/>
    </xf>
    <xf numFmtId="179" fontId="9" fillId="7" borderId="6" xfId="4" applyNumberFormat="1" applyFill="1" applyBorder="1" applyAlignment="1">
      <alignment horizontal="center" vertical="center"/>
    </xf>
    <xf numFmtId="0" fontId="9" fillId="7" borderId="6" xfId="4" applyFill="1" applyBorder="1" applyAlignment="1">
      <alignment horizontal="center" vertical="center"/>
    </xf>
    <xf numFmtId="3" fontId="9" fillId="7" borderId="6" xfId="4" applyNumberFormat="1" applyFill="1" applyBorder="1" applyAlignment="1">
      <alignment horizontal="center" vertical="center"/>
    </xf>
    <xf numFmtId="0" fontId="9" fillId="7" borderId="6" xfId="4" applyFill="1" applyBorder="1" applyAlignment="1">
      <alignment horizontal="left" vertical="center"/>
    </xf>
    <xf numFmtId="0" fontId="18" fillId="7" borderId="6" xfId="4" applyFont="1" applyFill="1" applyBorder="1">
      <alignment vertical="center"/>
    </xf>
    <xf numFmtId="0" fontId="9" fillId="7" borderId="7" xfId="4" applyFill="1" applyBorder="1" applyAlignment="1">
      <alignment horizontal="center" vertical="center"/>
    </xf>
    <xf numFmtId="0" fontId="9" fillId="7" borderId="6" xfId="4" applyFill="1" applyBorder="1" applyAlignment="1">
      <alignment horizontal="right" vertical="center"/>
    </xf>
    <xf numFmtId="181" fontId="18" fillId="7" borderId="6" xfId="4" applyNumberFormat="1" applyFont="1" applyFill="1" applyBorder="1" applyAlignment="1">
      <alignment horizontal="right" vertical="center"/>
    </xf>
    <xf numFmtId="0" fontId="12" fillId="7" borderId="6" xfId="4" applyFont="1" applyFill="1" applyBorder="1" applyAlignment="1">
      <alignment horizontal="left" vertical="center"/>
    </xf>
    <xf numFmtId="0" fontId="2" fillId="0" borderId="0" xfId="4" applyFont="1" applyAlignment="1">
      <alignment horizontal="center" vertical="center"/>
    </xf>
    <xf numFmtId="3" fontId="9" fillId="7" borderId="9" xfId="4" applyNumberFormat="1" applyFill="1" applyBorder="1" applyAlignment="1">
      <alignment horizontal="center" vertical="center"/>
    </xf>
    <xf numFmtId="0" fontId="2" fillId="8" borderId="15" xfId="4" applyFont="1" applyFill="1" applyBorder="1" applyAlignment="1">
      <alignment horizontal="center" vertical="center"/>
    </xf>
    <xf numFmtId="0" fontId="2" fillId="9" borderId="6" xfId="4" applyFont="1" applyFill="1" applyBorder="1" applyAlignment="1">
      <alignment horizontal="center" vertical="center"/>
    </xf>
    <xf numFmtId="176" fontId="14" fillId="10" borderId="6" xfId="4" applyNumberFormat="1" applyFont="1" applyFill="1" applyBorder="1" applyAlignment="1">
      <alignment horizontal="center" vertical="center"/>
    </xf>
    <xf numFmtId="0" fontId="9" fillId="0" borderId="6" xfId="4" applyBorder="1" applyAlignment="1">
      <alignment horizontal="left" vertical="center" shrinkToFit="1"/>
    </xf>
    <xf numFmtId="181" fontId="18" fillId="0" borderId="6" xfId="4" applyNumberFormat="1" applyFont="1" applyBorder="1" applyAlignment="1">
      <alignment horizontal="right" vertical="center"/>
    </xf>
    <xf numFmtId="0" fontId="18" fillId="0" borderId="6" xfId="4" applyFont="1" applyBorder="1">
      <alignment vertical="center"/>
    </xf>
    <xf numFmtId="3" fontId="18" fillId="0" borderId="6" xfId="4" applyNumberFormat="1" applyFont="1" applyBorder="1" applyAlignment="1">
      <alignment horizontal="center" vertical="center"/>
    </xf>
    <xf numFmtId="3" fontId="9" fillId="11" borderId="6" xfId="4" applyNumberFormat="1" applyFill="1" applyBorder="1" applyAlignment="1">
      <alignment horizontal="center" vertical="center"/>
    </xf>
    <xf numFmtId="0" fontId="18" fillId="0" borderId="6" xfId="4" applyFont="1" applyBorder="1" applyAlignment="1">
      <alignment horizontal="left" vertical="center"/>
    </xf>
    <xf numFmtId="176" fontId="9" fillId="0" borderId="7" xfId="4" applyNumberFormat="1" applyBorder="1" applyAlignment="1">
      <alignment horizontal="left" vertical="center"/>
    </xf>
    <xf numFmtId="0" fontId="12" fillId="0" borderId="6" xfId="3" applyBorder="1" applyAlignment="1">
      <alignment horizontal="center" vertical="center"/>
    </xf>
    <xf numFmtId="0" fontId="9" fillId="0" borderId="9" xfId="4" applyBorder="1" applyAlignment="1">
      <alignment horizontal="center" vertical="center"/>
    </xf>
    <xf numFmtId="0" fontId="9" fillId="12" borderId="6" xfId="4" applyFill="1" applyBorder="1" applyAlignment="1">
      <alignment horizontal="center" vertical="center"/>
    </xf>
    <xf numFmtId="0" fontId="24" fillId="0" borderId="0" xfId="4" applyFont="1">
      <alignment vertical="center"/>
    </xf>
    <xf numFmtId="176" fontId="25" fillId="11" borderId="6" xfId="4" applyNumberFormat="1" applyFont="1" applyFill="1" applyBorder="1" applyAlignment="1">
      <alignment horizontal="center" vertical="center"/>
    </xf>
    <xf numFmtId="176" fontId="14" fillId="10" borderId="7" xfId="4" applyNumberFormat="1" applyFont="1" applyFill="1" applyBorder="1">
      <alignment vertical="center"/>
    </xf>
    <xf numFmtId="182" fontId="18" fillId="0" borderId="6" xfId="0" applyNumberFormat="1" applyFont="1" applyBorder="1" applyAlignment="1">
      <alignment horizontal="center" vertical="center"/>
    </xf>
    <xf numFmtId="38" fontId="18" fillId="0" borderId="6" xfId="0" applyNumberFormat="1" applyFon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0" fontId="18" fillId="0" borderId="7" xfId="0" applyFont="1" applyBorder="1" applyAlignment="1">
      <alignment horizontal="left" vertical="center"/>
    </xf>
    <xf numFmtId="0" fontId="18" fillId="0" borderId="6" xfId="0" applyFont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>
      <alignment vertical="center"/>
    </xf>
    <xf numFmtId="176" fontId="17" fillId="0" borderId="7" xfId="0" applyNumberFormat="1" applyFont="1" applyBorder="1" applyAlignment="1">
      <alignment horizontal="left" vertical="center"/>
    </xf>
    <xf numFmtId="0" fontId="17" fillId="0" borderId="6" xfId="0" applyFont="1" applyBorder="1">
      <alignment vertical="center"/>
    </xf>
    <xf numFmtId="0" fontId="17" fillId="9" borderId="6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17" fillId="9" borderId="6" xfId="0" applyFont="1" applyFill="1" applyBorder="1">
      <alignment vertical="center"/>
    </xf>
    <xf numFmtId="3" fontId="0" fillId="11" borderId="6" xfId="0" applyNumberFormat="1" applyFill="1" applyBorder="1" applyAlignment="1">
      <alignment horizontal="center" vertical="center"/>
    </xf>
    <xf numFmtId="3" fontId="5" fillId="11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12" borderId="6" xfId="0" applyFont="1" applyFill="1" applyBorder="1" applyAlignment="1">
      <alignment horizontal="center" vertical="center"/>
    </xf>
    <xf numFmtId="176" fontId="0" fillId="9" borderId="6" xfId="0" applyNumberFormat="1" applyFill="1" applyBorder="1" applyAlignment="1">
      <alignment horizontal="center" vertical="center"/>
    </xf>
    <xf numFmtId="0" fontId="12" fillId="9" borderId="7" xfId="0" applyFont="1" applyFill="1" applyBorder="1">
      <alignment vertical="center"/>
    </xf>
    <xf numFmtId="0" fontId="0" fillId="9" borderId="6" xfId="0" applyFill="1" applyBorder="1" applyAlignment="1">
      <alignment horizontal="right" vertical="center"/>
    </xf>
    <xf numFmtId="38" fontId="0" fillId="9" borderId="6" xfId="0" applyNumberFormat="1" applyFill="1" applyBorder="1">
      <alignment vertical="center"/>
    </xf>
    <xf numFmtId="3" fontId="19" fillId="0" borderId="6" xfId="4" applyNumberFormat="1" applyFont="1" applyBorder="1" applyAlignment="1">
      <alignment horizontal="center" vertical="center"/>
    </xf>
    <xf numFmtId="49" fontId="2" fillId="0" borderId="6" xfId="4" applyNumberFormat="1" applyFont="1" applyBorder="1" applyAlignment="1">
      <alignment horizontal="left" vertical="center"/>
    </xf>
    <xf numFmtId="0" fontId="2" fillId="0" borderId="6" xfId="4" applyFont="1" applyBorder="1" applyAlignment="1">
      <alignment horizontal="right" vertical="center"/>
    </xf>
    <xf numFmtId="38" fontId="2" fillId="0" borderId="6" xfId="4" applyNumberFormat="1" applyFont="1" applyBorder="1" applyAlignment="1">
      <alignment horizontal="right" vertical="center"/>
    </xf>
    <xf numFmtId="38" fontId="2" fillId="0" borderId="6" xfId="4" applyNumberFormat="1" applyFont="1" applyBorder="1">
      <alignment vertical="center"/>
    </xf>
    <xf numFmtId="38" fontId="18" fillId="8" borderId="6" xfId="0" applyNumberFormat="1" applyFont="1" applyFill="1" applyBorder="1" applyAlignment="1">
      <alignment horizontal="right" vertical="center"/>
    </xf>
    <xf numFmtId="38" fontId="0" fillId="8" borderId="6" xfId="0" applyNumberFormat="1" applyFill="1" applyBorder="1" applyAlignment="1">
      <alignment horizontal="right" vertical="center"/>
    </xf>
    <xf numFmtId="56" fontId="9" fillId="7" borderId="6" xfId="4" applyNumberFormat="1" applyFill="1" applyBorder="1" applyAlignment="1">
      <alignment horizontal="center" vertical="center"/>
    </xf>
    <xf numFmtId="176" fontId="17" fillId="8" borderId="6" xfId="0" applyNumberFormat="1" applyFont="1" applyFill="1" applyBorder="1" applyAlignment="1">
      <alignment horizontal="center" vertical="center"/>
    </xf>
    <xf numFmtId="3" fontId="0" fillId="9" borderId="6" xfId="0" applyNumberFormat="1" applyFill="1" applyBorder="1" applyAlignment="1">
      <alignment horizontal="center" vertical="center"/>
    </xf>
    <xf numFmtId="49" fontId="9" fillId="9" borderId="6" xfId="0" applyNumberFormat="1" applyFont="1" applyFill="1" applyBorder="1" applyAlignment="1">
      <alignment horizontal="left" vertical="center"/>
    </xf>
    <xf numFmtId="0" fontId="0" fillId="9" borderId="6" xfId="0" applyFill="1" applyBorder="1" applyAlignment="1">
      <alignment horizontal="center" vertical="center"/>
    </xf>
    <xf numFmtId="38" fontId="0" fillId="9" borderId="6" xfId="0" applyNumberFormat="1" applyFill="1" applyBorder="1" applyAlignment="1">
      <alignment horizontal="right" vertical="center"/>
    </xf>
    <xf numFmtId="49" fontId="0" fillId="9" borderId="6" xfId="0" applyNumberFormat="1" applyFill="1" applyBorder="1" applyAlignment="1">
      <alignment horizontal="left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4" borderId="7" xfId="3" applyFont="1" applyFill="1" applyBorder="1" applyAlignment="1">
      <alignment horizontal="center" vertical="center"/>
    </xf>
    <xf numFmtId="0" fontId="16" fillId="4" borderId="10" xfId="3" applyFont="1" applyFill="1" applyBorder="1" applyAlignment="1">
      <alignment horizontal="center" vertical="center"/>
    </xf>
    <xf numFmtId="0" fontId="16" fillId="4" borderId="9" xfId="3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shrinkToFit="1"/>
    </xf>
    <xf numFmtId="176" fontId="14" fillId="10" borderId="7" xfId="0" applyNumberFormat="1" applyFont="1" applyFill="1" applyBorder="1" applyAlignment="1">
      <alignment horizontal="center" vertical="center"/>
    </xf>
    <xf numFmtId="176" fontId="14" fillId="10" borderId="10" xfId="0" applyNumberFormat="1" applyFont="1" applyFill="1" applyBorder="1" applyAlignment="1">
      <alignment horizontal="center" vertical="center"/>
    </xf>
    <xf numFmtId="176" fontId="14" fillId="10" borderId="9" xfId="0" applyNumberFormat="1" applyFont="1" applyFill="1" applyBorder="1" applyAlignment="1">
      <alignment horizontal="center" vertical="center"/>
    </xf>
    <xf numFmtId="3" fontId="22" fillId="3" borderId="7" xfId="4" applyNumberFormat="1" applyFont="1" applyFill="1" applyBorder="1" applyAlignment="1">
      <alignment horizontal="center" vertical="center"/>
    </xf>
    <xf numFmtId="3" fontId="22" fillId="3" borderId="10" xfId="4" applyNumberFormat="1" applyFont="1" applyFill="1" applyBorder="1" applyAlignment="1">
      <alignment horizontal="center" vertical="center"/>
    </xf>
    <xf numFmtId="3" fontId="22" fillId="3" borderId="9" xfId="4" applyNumberFormat="1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3" fontId="14" fillId="3" borderId="10" xfId="0" applyNumberFormat="1" applyFont="1" applyFill="1" applyBorder="1" applyAlignment="1">
      <alignment horizontal="center" vertical="center"/>
    </xf>
    <xf numFmtId="3" fontId="14" fillId="3" borderId="9" xfId="0" applyNumberFormat="1" applyFont="1" applyFill="1" applyBorder="1" applyAlignment="1">
      <alignment horizontal="center" vertical="center"/>
    </xf>
    <xf numFmtId="0" fontId="23" fillId="13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6" fillId="13" borderId="10" xfId="4" applyFont="1" applyFill="1" applyBorder="1" applyAlignment="1">
      <alignment horizontal="center" vertical="center"/>
    </xf>
    <xf numFmtId="0" fontId="26" fillId="13" borderId="9" xfId="4" applyFont="1" applyFill="1" applyBorder="1" applyAlignment="1">
      <alignment horizontal="center" vertical="center"/>
    </xf>
  </cellXfs>
  <cellStyles count="7">
    <cellStyle name="ハイパーリンク" xfId="2" xr:uid="{00000000-0005-0000-0000-000000000000}"/>
    <cellStyle name="ハイパーリンク 2" xfId="6" xr:uid="{483ACBC0-304F-459A-9FA9-25735A0D43FF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theme="6" tint="0.59999389629810485"/>
  </sheetPr>
  <dimension ref="B2:R25"/>
  <sheetViews>
    <sheetView zoomScale="85" zoomScaleNormal="85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F21" sqref="F21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38.87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26" customWidth="1"/>
    <col min="18" max="18" width="19.375" style="26" customWidth="1"/>
  </cols>
  <sheetData>
    <row r="2" spans="2:18" ht="20.100000000000001" customHeight="1" x14ac:dyDescent="0.15">
      <c r="C2" s="133" t="s">
        <v>0</v>
      </c>
      <c r="D2" s="133"/>
      <c r="E2" s="133"/>
      <c r="F2" s="24" t="s">
        <v>34</v>
      </c>
      <c r="H2" s="137" t="s">
        <v>1</v>
      </c>
      <c r="I2" s="138"/>
      <c r="J2" s="139"/>
      <c r="K2" s="11">
        <f>SUM(I:I)</f>
        <v>1120000</v>
      </c>
    </row>
    <row r="3" spans="2:18" ht="20.100000000000001" customHeight="1" x14ac:dyDescent="0.15">
      <c r="C3" s="133" t="s">
        <v>2</v>
      </c>
      <c r="D3" s="133"/>
      <c r="E3" s="133"/>
      <c r="F3" s="9" t="s">
        <v>33</v>
      </c>
    </row>
    <row r="4" spans="2:18" ht="20.100000000000001" customHeight="1" x14ac:dyDescent="0.15">
      <c r="C4" s="133" t="s">
        <v>3</v>
      </c>
      <c r="D4" s="133"/>
      <c r="E4" s="133"/>
      <c r="F4" s="9" t="s">
        <v>35</v>
      </c>
      <c r="H4" s="140" t="s">
        <v>30</v>
      </c>
      <c r="I4" s="141"/>
      <c r="J4" s="144"/>
      <c r="K4" s="144"/>
      <c r="L4" s="144"/>
    </row>
    <row r="5" spans="2:18" ht="20.100000000000001" customHeight="1" x14ac:dyDescent="0.15">
      <c r="C5" s="133" t="s">
        <v>4</v>
      </c>
      <c r="D5" s="133"/>
      <c r="E5" s="133"/>
      <c r="F5" s="10">
        <v>45940</v>
      </c>
      <c r="H5" s="142"/>
      <c r="I5" s="143"/>
      <c r="J5" s="144"/>
      <c r="K5" s="144"/>
      <c r="L5" s="144"/>
    </row>
    <row r="6" spans="2:18" ht="20.100000000000001" customHeight="1" x14ac:dyDescent="0.15">
      <c r="C6" s="133" t="s">
        <v>5</v>
      </c>
      <c r="D6" s="133"/>
      <c r="E6" s="133"/>
      <c r="F6" s="10">
        <v>45944</v>
      </c>
      <c r="I6" s="27"/>
    </row>
    <row r="8" spans="2:18" s="3" customFormat="1" ht="19.5" customHeight="1" x14ac:dyDescent="0.15">
      <c r="B8" s="30" t="s">
        <v>25</v>
      </c>
      <c r="C8" s="29" t="s">
        <v>6</v>
      </c>
      <c r="D8" s="4" t="s">
        <v>7</v>
      </c>
      <c r="E8" s="4" t="s">
        <v>8</v>
      </c>
      <c r="F8" s="1" t="s">
        <v>9</v>
      </c>
      <c r="G8" s="1" t="s">
        <v>10</v>
      </c>
      <c r="H8" s="1" t="s">
        <v>11</v>
      </c>
      <c r="I8" s="2" t="s">
        <v>12</v>
      </c>
      <c r="J8" s="2" t="s">
        <v>13</v>
      </c>
      <c r="K8" s="1" t="s">
        <v>14</v>
      </c>
      <c r="L8" s="1" t="s">
        <v>15</v>
      </c>
      <c r="M8" s="1" t="s">
        <v>16</v>
      </c>
      <c r="N8" s="15" t="s">
        <v>17</v>
      </c>
      <c r="O8" s="4" t="s">
        <v>18</v>
      </c>
      <c r="P8" s="1" t="s">
        <v>19</v>
      </c>
      <c r="Q8" s="15" t="s">
        <v>20</v>
      </c>
      <c r="R8" s="8" t="s">
        <v>21</v>
      </c>
    </row>
    <row r="9" spans="2:18" s="3" customFormat="1" ht="19.5" customHeight="1" x14ac:dyDescent="0.15">
      <c r="C9" s="4"/>
      <c r="D9" s="4"/>
      <c r="E9" s="4"/>
      <c r="F9" s="6"/>
      <c r="G9" s="21"/>
      <c r="H9" s="21"/>
      <c r="I9" s="21"/>
      <c r="J9" s="13"/>
      <c r="K9" s="22"/>
      <c r="L9" s="1"/>
      <c r="M9" s="1"/>
      <c r="N9" s="15"/>
      <c r="O9" s="4"/>
      <c r="P9" s="1"/>
      <c r="Q9" s="15"/>
      <c r="R9" s="8"/>
    </row>
    <row r="10" spans="2:18" s="3" customFormat="1" ht="19.5" customHeight="1" x14ac:dyDescent="0.15">
      <c r="C10" s="134" t="s">
        <v>26</v>
      </c>
      <c r="D10" s="135"/>
      <c r="E10" s="135"/>
      <c r="F10" s="136"/>
      <c r="G10" s="31"/>
      <c r="H10" s="32"/>
      <c r="I10" s="33"/>
      <c r="J10" s="34"/>
      <c r="K10" s="35"/>
      <c r="L10" s="1"/>
      <c r="M10" s="1"/>
      <c r="N10" s="15"/>
      <c r="O10" s="4"/>
      <c r="P10" s="1"/>
      <c r="Q10" s="15"/>
      <c r="R10" s="8"/>
    </row>
    <row r="11" spans="2:18" s="3" customFormat="1" ht="19.5" customHeight="1" x14ac:dyDescent="0.15">
      <c r="C11" s="36">
        <v>1</v>
      </c>
      <c r="D11" s="37" t="s">
        <v>27</v>
      </c>
      <c r="E11" s="37" t="s">
        <v>27</v>
      </c>
      <c r="F11" s="38" t="s">
        <v>31</v>
      </c>
      <c r="G11" s="31">
        <v>1</v>
      </c>
      <c r="H11" s="39">
        <v>1120000</v>
      </c>
      <c r="I11" s="40">
        <f>H11*G11</f>
        <v>1120000</v>
      </c>
      <c r="J11" s="34"/>
      <c r="K11" s="41" t="s">
        <v>32</v>
      </c>
      <c r="L11" s="1"/>
      <c r="M11" s="1"/>
      <c r="N11" s="15"/>
      <c r="O11" s="4"/>
      <c r="P11" s="1"/>
      <c r="Q11" s="15"/>
      <c r="R11" s="8"/>
    </row>
    <row r="12" spans="2:18" s="3" customFormat="1" ht="19.5" customHeight="1" x14ac:dyDescent="0.15">
      <c r="C12" s="42">
        <f t="shared" ref="C12:C13" si="0">C11+1</f>
        <v>2</v>
      </c>
      <c r="D12" s="37" t="s">
        <v>27</v>
      </c>
      <c r="E12" s="37" t="s">
        <v>27</v>
      </c>
      <c r="F12" s="43" t="s">
        <v>28</v>
      </c>
      <c r="G12" s="31">
        <v>1</v>
      </c>
      <c r="H12" s="39">
        <v>0</v>
      </c>
      <c r="I12" s="39">
        <v>0</v>
      </c>
      <c r="J12" s="34"/>
      <c r="K12" s="41"/>
      <c r="L12" s="1"/>
      <c r="M12" s="1"/>
      <c r="N12" s="15"/>
      <c r="O12" s="4"/>
      <c r="P12" s="1"/>
      <c r="Q12" s="15"/>
      <c r="R12" s="8"/>
    </row>
    <row r="13" spans="2:18" s="3" customFormat="1" ht="19.5" customHeight="1" x14ac:dyDescent="0.15">
      <c r="C13" s="42">
        <f t="shared" si="0"/>
        <v>3</v>
      </c>
      <c r="D13" s="44" t="s">
        <v>27</v>
      </c>
      <c r="E13" s="44" t="s">
        <v>27</v>
      </c>
      <c r="F13" s="45" t="s">
        <v>29</v>
      </c>
      <c r="G13" s="46">
        <v>1</v>
      </c>
      <c r="H13" s="47">
        <v>0</v>
      </c>
      <c r="I13" s="47">
        <v>0</v>
      </c>
      <c r="J13" s="48"/>
      <c r="K13" s="35"/>
      <c r="L13" s="1"/>
      <c r="M13" s="1"/>
      <c r="N13" s="15"/>
      <c r="O13" s="4"/>
      <c r="P13" s="1"/>
      <c r="Q13" s="15"/>
      <c r="R13" s="8"/>
    </row>
    <row r="14" spans="2:18" s="3" customFormat="1" ht="19.5" customHeight="1" x14ac:dyDescent="0.15">
      <c r="C14" s="39"/>
      <c r="D14" s="39"/>
      <c r="E14" s="39"/>
      <c r="F14" s="49"/>
      <c r="G14" s="31"/>
      <c r="H14" s="32"/>
      <c r="I14" s="33"/>
      <c r="J14" s="34"/>
      <c r="K14" s="35"/>
      <c r="L14" s="1"/>
      <c r="M14" s="1"/>
      <c r="N14" s="15"/>
      <c r="O14" s="4"/>
      <c r="P14" s="1"/>
      <c r="Q14" s="15"/>
      <c r="R14" s="8"/>
    </row>
    <row r="15" spans="2:18" s="3" customFormat="1" ht="19.5" customHeight="1" x14ac:dyDescent="0.15">
      <c r="C15" s="39"/>
      <c r="D15" s="39"/>
      <c r="E15" s="145">
        <f>SUM(I11:I13)</f>
        <v>1120000</v>
      </c>
      <c r="F15" s="146"/>
      <c r="G15" s="146"/>
      <c r="H15" s="147"/>
      <c r="I15" s="33"/>
      <c r="J15" s="34"/>
      <c r="K15" s="35"/>
      <c r="L15" s="1"/>
      <c r="M15" s="1"/>
      <c r="N15" s="15"/>
      <c r="O15" s="4"/>
      <c r="P15" s="1"/>
      <c r="Q15" s="15"/>
      <c r="R15" s="8"/>
    </row>
    <row r="16" spans="2:18" s="3" customFormat="1" ht="19.5" customHeight="1" x14ac:dyDescent="0.15">
      <c r="C16" s="25"/>
      <c r="D16" s="25"/>
      <c r="E16" s="25"/>
      <c r="F16" s="28"/>
      <c r="G16" s="50"/>
      <c r="H16" s="21"/>
      <c r="I16" s="21"/>
      <c r="J16" s="13"/>
      <c r="K16" s="22"/>
      <c r="L16" s="1"/>
      <c r="M16" s="1"/>
      <c r="N16" s="15"/>
      <c r="O16" s="4"/>
      <c r="P16" s="1"/>
      <c r="Q16" s="15"/>
      <c r="R16" s="8"/>
    </row>
    <row r="17" spans="3:18" s="3" customFormat="1" ht="19.5" customHeight="1" x14ac:dyDescent="0.15">
      <c r="C17" s="25"/>
      <c r="D17" s="25"/>
      <c r="E17" s="25"/>
      <c r="F17" s="28"/>
      <c r="G17" s="50"/>
      <c r="H17" s="21"/>
      <c r="I17" s="21"/>
      <c r="J17" s="13"/>
      <c r="K17" s="22"/>
      <c r="L17" s="1"/>
      <c r="M17" s="1"/>
      <c r="N17" s="15"/>
      <c r="O17" s="4"/>
      <c r="P17" s="1"/>
      <c r="Q17" s="15"/>
      <c r="R17" s="8"/>
    </row>
    <row r="18" spans="3:18" ht="18" customHeight="1" x14ac:dyDescent="0.15">
      <c r="C18" s="18"/>
      <c r="D18" s="19"/>
      <c r="E18" s="19"/>
      <c r="F18" s="51"/>
      <c r="G18" s="17"/>
      <c r="H18" s="17"/>
      <c r="I18" s="21"/>
      <c r="J18" s="2"/>
      <c r="K18" s="16"/>
      <c r="L18" s="6"/>
      <c r="M18" s="5"/>
      <c r="N18" s="15"/>
      <c r="O18" s="8"/>
      <c r="P18" s="8"/>
      <c r="Q18" s="15"/>
      <c r="R18" s="14"/>
    </row>
    <row r="19" spans="3:18" ht="18" customHeight="1" x14ac:dyDescent="0.15">
      <c r="C19" s="1"/>
      <c r="D19" s="1"/>
      <c r="E19" s="1"/>
      <c r="F19" s="6" t="s">
        <v>22</v>
      </c>
      <c r="G19" s="21"/>
      <c r="H19" s="21"/>
      <c r="I19" s="21">
        <f>G19*H19</f>
        <v>0</v>
      </c>
      <c r="J19" s="13"/>
      <c r="K19" s="16" t="s">
        <v>23</v>
      </c>
      <c r="L19" s="23"/>
      <c r="M19" s="1"/>
      <c r="N19" s="15"/>
      <c r="O19" s="23"/>
      <c r="P19" s="1"/>
      <c r="Q19" s="15"/>
      <c r="R19" s="14"/>
    </row>
    <row r="20" spans="3:18" ht="18" customHeight="1" x14ac:dyDescent="0.15">
      <c r="C20" s="1"/>
      <c r="D20" s="4"/>
      <c r="E20" s="4"/>
      <c r="F20" s="6" t="s">
        <v>23</v>
      </c>
      <c r="G20" s="21"/>
      <c r="H20" s="21">
        <v>5000</v>
      </c>
      <c r="I20" s="21">
        <f>G20*H20</f>
        <v>0</v>
      </c>
      <c r="J20" s="13"/>
      <c r="K20" s="16" t="s">
        <v>24</v>
      </c>
      <c r="L20" s="23"/>
      <c r="M20" s="1"/>
      <c r="N20" s="15"/>
      <c r="O20" s="23"/>
      <c r="P20" s="1"/>
      <c r="Q20" s="15"/>
      <c r="R20" s="8"/>
    </row>
    <row r="21" spans="3:18" ht="18" customHeight="1" x14ac:dyDescent="0.15">
      <c r="C21" s="1"/>
      <c r="D21" s="4"/>
      <c r="E21" s="4"/>
      <c r="F21" s="6" t="s">
        <v>24</v>
      </c>
      <c r="G21" s="21"/>
      <c r="H21" s="21"/>
      <c r="I21" s="21">
        <f>G21*H21</f>
        <v>0</v>
      </c>
      <c r="J21" s="13"/>
      <c r="K21" s="5"/>
      <c r="L21" s="23"/>
      <c r="M21" s="1"/>
      <c r="N21" s="1"/>
      <c r="O21" s="23"/>
      <c r="P21" s="1"/>
      <c r="Q21" s="8"/>
      <c r="R21" s="8"/>
    </row>
    <row r="22" spans="3:18" ht="18" customHeight="1" x14ac:dyDescent="0.15">
      <c r="C22" s="1"/>
      <c r="D22" s="4"/>
      <c r="E22" s="4"/>
      <c r="F22" s="130"/>
      <c r="G22" s="131"/>
      <c r="H22" s="131"/>
      <c r="I22" s="132"/>
      <c r="J22" s="7"/>
      <c r="K22" s="20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1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  <mergeCell ref="E15:H15"/>
  </mergeCells>
  <phoneticPr fontId="10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97F18-8FCD-45B5-8F9C-89D61F936819}">
  <sheetPr>
    <tabColor rgb="FFFFFF00"/>
  </sheetPr>
  <dimension ref="A2:S61"/>
  <sheetViews>
    <sheetView tabSelected="1" zoomScale="85" zoomScaleNormal="85" workbookViewId="0">
      <pane xSplit="12" ySplit="8" topLeftCell="P9" activePane="bottomRight" state="frozen"/>
      <selection pane="topRight" activeCell="K1" sqref="K1"/>
      <selection pane="bottomLeft" activeCell="A9" sqref="A9"/>
      <selection pane="bottomRight" activeCell="S30" sqref="S30:S31"/>
    </sheetView>
  </sheetViews>
  <sheetFormatPr defaultColWidth="8.875" defaultRowHeight="13.5" x14ac:dyDescent="0.15"/>
  <cols>
    <col min="1" max="2" width="8.875" style="52"/>
    <col min="3" max="3" width="19.5" style="52" customWidth="1"/>
    <col min="4" max="4" width="5.75" style="57" customWidth="1"/>
    <col min="5" max="6" width="15.75" style="52" customWidth="1"/>
    <col min="7" max="7" width="61.125" style="52" customWidth="1"/>
    <col min="8" max="8" width="6.25" style="55" customWidth="1"/>
    <col min="9" max="10" width="9.875" style="52" bestFit="1" customWidth="1"/>
    <col min="11" max="11" width="5.75" style="55" customWidth="1"/>
    <col min="12" max="12" width="54.375" style="52" customWidth="1"/>
    <col min="13" max="13" width="33.875" style="58" customWidth="1"/>
    <col min="14" max="14" width="30.75" style="57" customWidth="1"/>
    <col min="15" max="15" width="13.75" style="56" customWidth="1"/>
    <col min="16" max="16" width="6.375" style="52" customWidth="1"/>
    <col min="17" max="17" width="13.25" style="55" customWidth="1"/>
    <col min="18" max="18" width="18.25" style="54" customWidth="1"/>
    <col min="19" max="19" width="15.625" style="53" customWidth="1"/>
    <col min="20" max="16384" width="8.875" style="52"/>
  </cols>
  <sheetData>
    <row r="2" spans="1:19" ht="20.100000000000001" customHeight="1" x14ac:dyDescent="0.15">
      <c r="D2" s="154" t="s">
        <v>74</v>
      </c>
      <c r="E2" s="154"/>
      <c r="F2" s="154"/>
      <c r="G2" s="24" t="s">
        <v>34</v>
      </c>
      <c r="I2" s="155" t="s">
        <v>73</v>
      </c>
      <c r="J2" s="156"/>
      <c r="K2" s="157"/>
      <c r="L2" s="93">
        <f>SUM(J$1:J$65325)</f>
        <v>23560</v>
      </c>
    </row>
    <row r="3" spans="1:19" ht="20.100000000000001" customHeight="1" x14ac:dyDescent="0.15">
      <c r="D3" s="154" t="s">
        <v>72</v>
      </c>
      <c r="E3" s="154"/>
      <c r="F3" s="154"/>
      <c r="G3" s="9" t="s">
        <v>33</v>
      </c>
    </row>
    <row r="4" spans="1:19" ht="20.100000000000001" customHeight="1" x14ac:dyDescent="0.15">
      <c r="D4" s="154" t="s">
        <v>71</v>
      </c>
      <c r="E4" s="154"/>
      <c r="F4" s="154"/>
      <c r="G4" s="9" t="s">
        <v>35</v>
      </c>
    </row>
    <row r="5" spans="1:19" ht="20.100000000000001" customHeight="1" x14ac:dyDescent="0.15">
      <c r="D5" s="154" t="s">
        <v>70</v>
      </c>
      <c r="E5" s="154"/>
      <c r="F5" s="154"/>
      <c r="G5" s="10">
        <v>45950</v>
      </c>
      <c r="J5" s="92"/>
      <c r="L5" s="52" t="s">
        <v>75</v>
      </c>
    </row>
    <row r="6" spans="1:19" ht="20.100000000000001" customHeight="1" x14ac:dyDescent="0.15">
      <c r="D6" s="154" t="s">
        <v>69</v>
      </c>
      <c r="E6" s="154"/>
      <c r="F6" s="154"/>
      <c r="G6" s="10">
        <v>45951</v>
      </c>
    </row>
    <row r="8" spans="1:19" s="57" customFormat="1" ht="19.7" customHeight="1" x14ac:dyDescent="0.15">
      <c r="A8" s="31"/>
      <c r="B8" s="31"/>
      <c r="C8" s="90" t="s">
        <v>68</v>
      </c>
      <c r="D8" s="39" t="s">
        <v>67</v>
      </c>
      <c r="E8" s="39" t="s">
        <v>66</v>
      </c>
      <c r="F8" s="39" t="s">
        <v>65</v>
      </c>
      <c r="G8" s="31" t="s">
        <v>64</v>
      </c>
      <c r="H8" s="62" t="s">
        <v>10</v>
      </c>
      <c r="I8" s="31" t="s">
        <v>11</v>
      </c>
      <c r="J8" s="34" t="s">
        <v>12</v>
      </c>
      <c r="K8" s="34" t="s">
        <v>63</v>
      </c>
      <c r="L8" s="31" t="s">
        <v>62</v>
      </c>
      <c r="M8" s="41" t="s">
        <v>61</v>
      </c>
      <c r="N8" s="31" t="s">
        <v>60</v>
      </c>
      <c r="O8" s="60" t="s">
        <v>59</v>
      </c>
      <c r="P8" s="39" t="s">
        <v>58</v>
      </c>
      <c r="Q8" s="31" t="s">
        <v>57</v>
      </c>
      <c r="R8" s="60" t="s">
        <v>56</v>
      </c>
      <c r="S8" s="59" t="s">
        <v>55</v>
      </c>
    </row>
    <row r="9" spans="1:19" s="66" customFormat="1" ht="19.7" customHeight="1" x14ac:dyDescent="0.15">
      <c r="A9" s="31"/>
      <c r="B9" s="31"/>
      <c r="C9" s="31"/>
      <c r="D9" s="70"/>
      <c r="E9" s="70"/>
      <c r="F9" s="70"/>
      <c r="G9" s="41"/>
      <c r="H9" s="75"/>
      <c r="I9" s="74"/>
      <c r="J9" s="61"/>
      <c r="K9" s="73"/>
      <c r="L9" s="72"/>
      <c r="M9" s="71"/>
      <c r="N9" s="71"/>
      <c r="O9" s="68"/>
      <c r="P9" s="70"/>
      <c r="Q9" s="69"/>
      <c r="R9" s="68"/>
      <c r="S9" s="67"/>
    </row>
    <row r="10" spans="1:19" s="66" customFormat="1" ht="19.7" customHeight="1" x14ac:dyDescent="0.15">
      <c r="A10" s="31"/>
      <c r="B10" s="31"/>
      <c r="C10" s="31"/>
      <c r="D10" s="70"/>
      <c r="E10" s="70"/>
      <c r="F10" s="70"/>
      <c r="G10" s="41"/>
      <c r="H10" s="75"/>
      <c r="I10" s="74"/>
      <c r="J10" s="61"/>
      <c r="K10" s="73"/>
      <c r="L10" s="72"/>
      <c r="M10" s="71"/>
      <c r="N10" s="71"/>
      <c r="O10" s="68"/>
      <c r="P10" s="70"/>
      <c r="Q10" s="69"/>
      <c r="R10" s="68"/>
      <c r="S10" s="67"/>
    </row>
    <row r="11" spans="1:19" s="66" customFormat="1" ht="19.7" customHeight="1" x14ac:dyDescent="0.15">
      <c r="A11" s="31"/>
      <c r="B11" s="31"/>
      <c r="C11" s="31"/>
      <c r="D11" s="70"/>
      <c r="E11" s="151" t="s">
        <v>78</v>
      </c>
      <c r="F11" s="152"/>
      <c r="G11" s="153"/>
      <c r="H11" s="95"/>
      <c r="I11" s="96"/>
      <c r="J11" s="97"/>
      <c r="K11" s="98"/>
      <c r="L11" s="99"/>
      <c r="M11" s="71"/>
      <c r="N11" s="71"/>
      <c r="O11" s="68"/>
      <c r="P11" s="70"/>
      <c r="Q11" s="69"/>
      <c r="R11" s="68"/>
      <c r="S11" s="67"/>
    </row>
    <row r="12" spans="1:19" s="66" customFormat="1" ht="19.7" customHeight="1" x14ac:dyDescent="0.15">
      <c r="A12" s="91" t="s">
        <v>54</v>
      </c>
      <c r="B12" s="31"/>
      <c r="C12" s="31">
        <v>0.15</v>
      </c>
      <c r="D12" s="108">
        <v>1</v>
      </c>
      <c r="E12" s="105" t="s">
        <v>76</v>
      </c>
      <c r="F12" s="106" t="s">
        <v>85</v>
      </c>
      <c r="G12" s="107" t="s">
        <v>79</v>
      </c>
      <c r="H12" s="105">
        <v>1</v>
      </c>
      <c r="I12" s="124">
        <v>11680</v>
      </c>
      <c r="J12" s="112">
        <f t="shared" ref="J12" si="0">H12*I12</f>
        <v>11680</v>
      </c>
      <c r="K12" s="103"/>
      <c r="L12" s="104" t="s">
        <v>77</v>
      </c>
      <c r="M12" s="71"/>
      <c r="N12" s="71" t="s">
        <v>86</v>
      </c>
      <c r="O12" s="68">
        <v>45944</v>
      </c>
      <c r="P12" s="70"/>
      <c r="Q12" s="123">
        <v>45953</v>
      </c>
      <c r="R12" s="68"/>
      <c r="S12" s="67">
        <v>45951</v>
      </c>
    </row>
    <row r="13" spans="1:19" s="66" customFormat="1" ht="19.7" customHeight="1" x14ac:dyDescent="0.15">
      <c r="A13" s="31"/>
      <c r="B13" s="31"/>
      <c r="C13" s="31"/>
      <c r="D13" s="70"/>
      <c r="E13" s="70"/>
      <c r="F13" s="70"/>
      <c r="G13" s="41"/>
      <c r="H13" s="75"/>
      <c r="I13" s="74"/>
      <c r="J13" s="61"/>
      <c r="K13" s="73"/>
      <c r="L13" s="72"/>
      <c r="M13" s="71"/>
      <c r="N13" s="71"/>
      <c r="O13" s="68"/>
      <c r="P13" s="70"/>
      <c r="Q13" s="69"/>
      <c r="R13" s="68"/>
      <c r="S13" s="67"/>
    </row>
    <row r="14" spans="1:19" s="66" customFormat="1" ht="19.7" customHeight="1" x14ac:dyDescent="0.15">
      <c r="A14" s="31"/>
      <c r="B14" s="31"/>
      <c r="C14" s="31"/>
      <c r="D14" s="70"/>
      <c r="E14" s="70"/>
      <c r="F14" s="70"/>
      <c r="G14" s="94">
        <f>SUM(J12:J13)</f>
        <v>11680</v>
      </c>
      <c r="H14" s="75"/>
      <c r="I14" s="74"/>
      <c r="J14" s="61"/>
      <c r="K14" s="73"/>
      <c r="L14" s="72"/>
      <c r="M14" s="71"/>
      <c r="N14" s="71"/>
      <c r="O14" s="68"/>
      <c r="P14" s="70"/>
      <c r="Q14" s="69"/>
      <c r="R14" s="68"/>
      <c r="S14" s="67"/>
    </row>
    <row r="15" spans="1:19" s="66" customFormat="1" ht="19.7" customHeight="1" x14ac:dyDescent="0.15">
      <c r="A15" s="31"/>
      <c r="B15" s="31"/>
      <c r="C15" s="31"/>
      <c r="D15" s="70"/>
      <c r="E15" s="70"/>
      <c r="F15" s="70"/>
      <c r="G15" s="41"/>
      <c r="H15" s="75"/>
      <c r="I15" s="74"/>
      <c r="J15" s="61"/>
      <c r="K15" s="73"/>
      <c r="L15" s="72"/>
      <c r="M15" s="71"/>
      <c r="N15" s="71"/>
      <c r="O15" s="68"/>
      <c r="P15" s="70"/>
      <c r="Q15" s="69"/>
      <c r="R15" s="68"/>
      <c r="S15" s="67"/>
    </row>
    <row r="16" spans="1:19" s="66" customFormat="1" ht="19.7" customHeight="1" x14ac:dyDescent="0.15">
      <c r="A16" s="31"/>
      <c r="B16" s="31"/>
      <c r="C16" s="31"/>
      <c r="D16" s="70"/>
      <c r="E16" s="70"/>
      <c r="F16" s="70"/>
      <c r="G16" s="41"/>
      <c r="H16" s="75"/>
      <c r="I16" s="74"/>
      <c r="J16" s="61"/>
      <c r="K16" s="73"/>
      <c r="L16" s="72"/>
      <c r="M16" s="71"/>
      <c r="N16" s="71"/>
      <c r="O16" s="68"/>
      <c r="P16" s="70"/>
      <c r="Q16" s="69"/>
      <c r="R16" s="68"/>
      <c r="S16" s="67"/>
    </row>
    <row r="17" spans="1:19" s="66" customFormat="1" ht="19.7" customHeight="1" x14ac:dyDescent="0.15">
      <c r="A17" s="57"/>
      <c r="B17" s="57"/>
      <c r="C17" s="77"/>
      <c r="D17" s="70"/>
      <c r="E17" s="70"/>
      <c r="F17" s="70"/>
      <c r="G17" s="41"/>
      <c r="H17" s="75"/>
      <c r="I17" s="74"/>
      <c r="J17" s="61"/>
      <c r="K17" s="73"/>
      <c r="L17" s="72"/>
      <c r="M17" s="71"/>
      <c r="N17" s="71"/>
      <c r="O17" s="68"/>
      <c r="P17" s="70"/>
      <c r="Q17" s="69"/>
      <c r="R17" s="68"/>
      <c r="S17" s="67"/>
    </row>
    <row r="18" spans="1:19" s="66" customFormat="1" ht="19.7" customHeight="1" x14ac:dyDescent="0.15">
      <c r="A18" s="57"/>
      <c r="B18" s="57"/>
      <c r="C18" s="57"/>
      <c r="D18" s="39"/>
      <c r="E18" s="148" t="s">
        <v>53</v>
      </c>
      <c r="F18" s="149"/>
      <c r="G18" s="150"/>
      <c r="H18" s="75"/>
      <c r="I18" s="74"/>
      <c r="J18" s="61"/>
      <c r="K18" s="73"/>
      <c r="L18" s="72"/>
      <c r="M18" s="71"/>
      <c r="N18" s="71"/>
      <c r="O18" s="68"/>
      <c r="P18" s="70"/>
      <c r="Q18" s="69"/>
      <c r="R18" s="68"/>
      <c r="S18" s="67"/>
    </row>
    <row r="19" spans="1:19" s="57" customFormat="1" ht="19.7" customHeight="1" x14ac:dyDescent="0.15">
      <c r="A19" s="91" t="s">
        <v>40</v>
      </c>
      <c r="B19" s="31">
        <v>0.2</v>
      </c>
      <c r="C19" s="31">
        <f>+B19*H19</f>
        <v>0.2</v>
      </c>
      <c r="D19" s="86">
        <f>+D12+1</f>
        <v>2</v>
      </c>
      <c r="E19" s="105" t="s">
        <v>48</v>
      </c>
      <c r="F19" s="106" t="s">
        <v>85</v>
      </c>
      <c r="G19" s="113" t="s">
        <v>82</v>
      </c>
      <c r="H19" s="114">
        <v>1</v>
      </c>
      <c r="I19" s="115">
        <v>4090</v>
      </c>
      <c r="J19" s="115">
        <f t="shared" ref="J19:J22" si="1">H19*I19</f>
        <v>4090</v>
      </c>
      <c r="K19" s="110"/>
      <c r="L19" s="101" t="s">
        <v>52</v>
      </c>
      <c r="M19" s="100" t="s">
        <v>46</v>
      </c>
      <c r="N19" s="71" t="s">
        <v>86</v>
      </c>
      <c r="O19" s="68">
        <v>45944</v>
      </c>
      <c r="P19" s="39"/>
      <c r="Q19" s="123">
        <v>45953</v>
      </c>
      <c r="R19" s="60"/>
      <c r="S19" s="59">
        <v>45951</v>
      </c>
    </row>
    <row r="20" spans="1:19" s="57" customFormat="1" ht="19.7" customHeight="1" x14ac:dyDescent="0.15">
      <c r="A20" s="91" t="s">
        <v>39</v>
      </c>
      <c r="B20" s="31">
        <v>1.4999999999999999E-2</v>
      </c>
      <c r="C20" s="31">
        <f>+B20*H20</f>
        <v>1.4999999999999999E-2</v>
      </c>
      <c r="D20" s="86">
        <f>+D19+1</f>
        <v>3</v>
      </c>
      <c r="E20" s="105" t="s">
        <v>48</v>
      </c>
      <c r="F20" s="106" t="s">
        <v>85</v>
      </c>
      <c r="G20" s="113" t="s">
        <v>51</v>
      </c>
      <c r="H20" s="114">
        <v>1</v>
      </c>
      <c r="I20" s="115">
        <v>190</v>
      </c>
      <c r="J20" s="115">
        <f t="shared" si="1"/>
        <v>190</v>
      </c>
      <c r="K20" s="110"/>
      <c r="L20" s="101" t="s">
        <v>50</v>
      </c>
      <c r="M20" s="100" t="s">
        <v>46</v>
      </c>
      <c r="N20" s="71" t="s">
        <v>86</v>
      </c>
      <c r="O20" s="68">
        <v>45944</v>
      </c>
      <c r="P20" s="39"/>
      <c r="Q20" s="123">
        <v>45953</v>
      </c>
      <c r="R20" s="60"/>
      <c r="S20" s="59">
        <v>45951</v>
      </c>
    </row>
    <row r="21" spans="1:19" s="57" customFormat="1" ht="19.7" customHeight="1" x14ac:dyDescent="0.15">
      <c r="A21" s="91" t="s">
        <v>39</v>
      </c>
      <c r="B21" s="31">
        <v>0.76</v>
      </c>
      <c r="C21" s="31">
        <f>+B21*H21</f>
        <v>0.76</v>
      </c>
      <c r="D21" s="86">
        <f>+D20+1</f>
        <v>4</v>
      </c>
      <c r="E21" s="105" t="s">
        <v>48</v>
      </c>
      <c r="F21" s="106" t="s">
        <v>85</v>
      </c>
      <c r="G21" s="113" t="s">
        <v>83</v>
      </c>
      <c r="H21" s="114">
        <v>1</v>
      </c>
      <c r="I21" s="115">
        <v>2930</v>
      </c>
      <c r="J21" s="115">
        <f t="shared" si="1"/>
        <v>2930</v>
      </c>
      <c r="K21" s="110"/>
      <c r="L21" s="101" t="s">
        <v>49</v>
      </c>
      <c r="M21" s="100" t="s">
        <v>46</v>
      </c>
      <c r="N21" s="71" t="s">
        <v>86</v>
      </c>
      <c r="O21" s="68">
        <v>45944</v>
      </c>
      <c r="P21" s="39"/>
      <c r="Q21" s="123">
        <v>45953</v>
      </c>
      <c r="R21" s="60"/>
      <c r="S21" s="59">
        <v>45951</v>
      </c>
    </row>
    <row r="22" spans="1:19" s="57" customFormat="1" ht="19.7" customHeight="1" x14ac:dyDescent="0.15">
      <c r="A22" s="91" t="s">
        <v>39</v>
      </c>
      <c r="B22" s="31">
        <v>0.08</v>
      </c>
      <c r="C22" s="31">
        <f>+B22*H22</f>
        <v>0.08</v>
      </c>
      <c r="D22" s="86">
        <f t="shared" ref="D22" si="2">+D21+1</f>
        <v>5</v>
      </c>
      <c r="E22" s="105" t="s">
        <v>48</v>
      </c>
      <c r="F22" s="106" t="s">
        <v>85</v>
      </c>
      <c r="G22" s="113" t="s">
        <v>84</v>
      </c>
      <c r="H22" s="114">
        <v>1</v>
      </c>
      <c r="I22" s="115">
        <v>470</v>
      </c>
      <c r="J22" s="115">
        <f t="shared" si="1"/>
        <v>470</v>
      </c>
      <c r="K22" s="110"/>
      <c r="L22" s="101" t="s">
        <v>47</v>
      </c>
      <c r="M22" s="100" t="s">
        <v>46</v>
      </c>
      <c r="N22" s="71" t="s">
        <v>86</v>
      </c>
      <c r="O22" s="68">
        <v>45944</v>
      </c>
      <c r="P22" s="39"/>
      <c r="Q22" s="123">
        <v>45953</v>
      </c>
      <c r="R22" s="60"/>
      <c r="S22" s="59">
        <v>45951</v>
      </c>
    </row>
    <row r="23" spans="1:19" s="66" customFormat="1" ht="19.7" customHeight="1" x14ac:dyDescent="0.15">
      <c r="A23" s="31"/>
      <c r="B23" s="31"/>
      <c r="C23" s="31"/>
      <c r="D23" s="39"/>
      <c r="E23" s="116"/>
      <c r="F23" s="116"/>
      <c r="G23" s="117"/>
      <c r="H23" s="118"/>
      <c r="I23" s="119"/>
      <c r="J23" s="120"/>
      <c r="K23" s="34"/>
      <c r="L23" s="82"/>
      <c r="M23" s="71"/>
      <c r="N23" s="71"/>
      <c r="O23" s="68"/>
      <c r="P23" s="70"/>
      <c r="Q23" s="69"/>
      <c r="R23" s="68"/>
      <c r="S23" s="67"/>
    </row>
    <row r="24" spans="1:19" s="66" customFormat="1" ht="19.7" customHeight="1" x14ac:dyDescent="0.15">
      <c r="A24" s="31"/>
      <c r="B24" s="31"/>
      <c r="C24" s="31"/>
      <c r="D24" s="39"/>
      <c r="E24" s="39"/>
      <c r="F24" s="39"/>
      <c r="G24" s="76"/>
      <c r="H24" s="83"/>
      <c r="I24" s="62"/>
      <c r="J24" s="61"/>
      <c r="K24" s="73"/>
      <c r="L24" s="82"/>
      <c r="M24" s="71"/>
      <c r="N24" s="71"/>
      <c r="O24" s="68"/>
      <c r="P24" s="70"/>
      <c r="Q24" s="69"/>
      <c r="R24" s="68"/>
      <c r="S24" s="67"/>
    </row>
    <row r="25" spans="1:19" s="57" customFormat="1" ht="19.7" customHeight="1" x14ac:dyDescent="0.15">
      <c r="A25" s="31"/>
      <c r="B25" s="31"/>
      <c r="C25" s="31"/>
      <c r="D25" s="39"/>
      <c r="E25" s="85"/>
      <c r="F25" s="85"/>
      <c r="G25" s="81">
        <f>SUM(J19:J23)</f>
        <v>7680</v>
      </c>
      <c r="H25" s="83"/>
      <c r="I25" s="62"/>
      <c r="J25" s="61"/>
      <c r="K25" s="34"/>
      <c r="L25" s="84"/>
      <c r="M25" s="41"/>
      <c r="N25" s="41"/>
      <c r="O25" s="60"/>
      <c r="P25" s="39"/>
      <c r="Q25" s="31"/>
      <c r="R25" s="60"/>
      <c r="S25" s="59"/>
    </row>
    <row r="26" spans="1:19" s="57" customFormat="1" ht="19.7" customHeight="1" x14ac:dyDescent="0.15">
      <c r="A26" s="31"/>
      <c r="B26" s="31"/>
      <c r="C26" s="31"/>
      <c r="D26" s="39"/>
      <c r="E26" s="85"/>
      <c r="F26" s="85"/>
      <c r="G26" s="41"/>
      <c r="H26" s="83"/>
      <c r="I26" s="62"/>
      <c r="J26" s="61"/>
      <c r="K26" s="34"/>
      <c r="L26" s="84"/>
      <c r="M26" s="41"/>
      <c r="N26" s="41"/>
      <c r="O26" s="60"/>
      <c r="P26" s="39"/>
      <c r="Q26" s="31"/>
      <c r="R26" s="60"/>
      <c r="S26" s="59"/>
    </row>
    <row r="27" spans="1:19" s="57" customFormat="1" ht="19.7" customHeight="1" x14ac:dyDescent="0.15">
      <c r="A27" s="31"/>
      <c r="B27" s="31"/>
      <c r="C27" s="31"/>
      <c r="D27" s="39"/>
      <c r="E27" s="85"/>
      <c r="F27" s="85"/>
      <c r="G27" s="41"/>
      <c r="H27" s="83"/>
      <c r="I27" s="62"/>
      <c r="J27" s="61"/>
      <c r="K27" s="73"/>
      <c r="L27" s="84"/>
      <c r="M27" s="71"/>
      <c r="N27" s="71"/>
      <c r="O27" s="60"/>
      <c r="P27" s="70"/>
      <c r="Q27" s="69"/>
      <c r="R27" s="60"/>
      <c r="S27" s="59"/>
    </row>
    <row r="28" spans="1:19" s="57" customFormat="1" ht="19.7" customHeight="1" x14ac:dyDescent="0.15">
      <c r="A28" s="31"/>
      <c r="B28" s="31"/>
      <c r="C28" s="31"/>
      <c r="D28" s="39"/>
      <c r="E28" s="85"/>
      <c r="F28" s="85"/>
      <c r="G28" s="41"/>
      <c r="H28" s="83"/>
      <c r="I28" s="62"/>
      <c r="J28" s="61"/>
      <c r="K28" s="73"/>
      <c r="L28" s="84"/>
      <c r="M28" s="71"/>
      <c r="N28" s="71"/>
      <c r="O28" s="60"/>
      <c r="P28" s="70"/>
      <c r="Q28" s="69"/>
      <c r="R28" s="60"/>
      <c r="S28" s="59"/>
    </row>
    <row r="29" spans="1:19" s="57" customFormat="1" ht="19.7" customHeight="1" x14ac:dyDescent="0.15">
      <c r="A29" s="31"/>
      <c r="B29" s="31"/>
      <c r="C29" s="31"/>
      <c r="D29" s="39"/>
      <c r="E29" s="134" t="s">
        <v>45</v>
      </c>
      <c r="F29" s="135"/>
      <c r="G29" s="135"/>
      <c r="H29" s="136"/>
      <c r="I29" s="62"/>
      <c r="J29" s="61"/>
      <c r="K29" s="73"/>
      <c r="L29" s="84"/>
      <c r="M29" s="71"/>
      <c r="N29" s="71"/>
      <c r="O29" s="60"/>
      <c r="P29" s="70"/>
      <c r="Q29" s="69"/>
      <c r="R29" s="60"/>
      <c r="S29" s="59"/>
    </row>
    <row r="30" spans="1:19" s="66" customFormat="1" ht="19.7" customHeight="1" x14ac:dyDescent="0.15">
      <c r="A30" s="111" t="s">
        <v>81</v>
      </c>
      <c r="B30" s="31"/>
      <c r="C30" s="31"/>
      <c r="D30" s="109">
        <f>+D22+1</f>
        <v>6</v>
      </c>
      <c r="E30" s="125" t="s">
        <v>44</v>
      </c>
      <c r="F30" s="125" t="s">
        <v>41</v>
      </c>
      <c r="G30" s="126" t="s">
        <v>43</v>
      </c>
      <c r="H30" s="127">
        <v>1</v>
      </c>
      <c r="I30" s="121">
        <v>2100</v>
      </c>
      <c r="J30" s="128">
        <f t="shared" ref="J30" si="3">H30*I30</f>
        <v>2100</v>
      </c>
      <c r="K30" s="110"/>
      <c r="L30" s="102" t="s">
        <v>42</v>
      </c>
      <c r="M30" s="41"/>
      <c r="N30" s="71" t="s">
        <v>86</v>
      </c>
      <c r="O30" s="68">
        <v>45944</v>
      </c>
      <c r="P30" s="70"/>
      <c r="Q30" s="123">
        <v>45953</v>
      </c>
      <c r="R30" s="68"/>
      <c r="S30" s="59">
        <v>45951</v>
      </c>
    </row>
    <row r="31" spans="1:19" s="66" customFormat="1" ht="19.7" customHeight="1" x14ac:dyDescent="0.15">
      <c r="A31" s="111" t="s">
        <v>81</v>
      </c>
      <c r="B31" s="31"/>
      <c r="C31" s="31"/>
      <c r="D31" s="109">
        <f t="shared" ref="D31" si="4">+D30+1</f>
        <v>7</v>
      </c>
      <c r="E31" s="125" t="s">
        <v>44</v>
      </c>
      <c r="F31" s="125" t="s">
        <v>41</v>
      </c>
      <c r="G31" s="129" t="s">
        <v>80</v>
      </c>
      <c r="H31" s="127">
        <v>1</v>
      </c>
      <c r="I31" s="122">
        <v>2100</v>
      </c>
      <c r="J31" s="128">
        <f>H31*I31</f>
        <v>2100</v>
      </c>
      <c r="K31" s="110"/>
      <c r="L31" s="102" t="s">
        <v>42</v>
      </c>
      <c r="M31" s="41"/>
      <c r="N31" s="71" t="s">
        <v>86</v>
      </c>
      <c r="O31" s="68">
        <v>45944</v>
      </c>
      <c r="P31" s="70"/>
      <c r="Q31" s="123">
        <v>45953</v>
      </c>
      <c r="R31" s="68"/>
      <c r="S31" s="59">
        <v>45951</v>
      </c>
    </row>
    <row r="32" spans="1:19" s="66" customFormat="1" ht="19.7" customHeight="1" x14ac:dyDescent="0.15">
      <c r="A32" s="31"/>
      <c r="B32" s="31"/>
      <c r="C32" s="31"/>
      <c r="D32" s="86"/>
      <c r="E32" s="39"/>
      <c r="F32" s="39"/>
      <c r="G32" s="87"/>
      <c r="H32" s="35"/>
      <c r="I32" s="89"/>
      <c r="J32" s="61"/>
      <c r="K32" s="88"/>
      <c r="L32" s="35"/>
      <c r="M32" s="41"/>
      <c r="N32" s="71"/>
      <c r="O32" s="68"/>
      <c r="P32" s="70"/>
      <c r="Q32" s="69"/>
      <c r="R32" s="68"/>
      <c r="S32" s="67"/>
    </row>
    <row r="33" spans="1:19" s="66" customFormat="1" ht="19.7" customHeight="1" x14ac:dyDescent="0.15">
      <c r="A33" s="31"/>
      <c r="B33" s="31"/>
      <c r="C33" s="31"/>
      <c r="D33" s="39"/>
      <c r="E33" s="39"/>
      <c r="F33" s="39"/>
      <c r="G33" s="76"/>
      <c r="H33" s="83"/>
      <c r="I33" s="62"/>
      <c r="J33" s="61"/>
      <c r="K33" s="73"/>
      <c r="L33" s="82"/>
      <c r="M33" s="71"/>
      <c r="N33" s="71"/>
      <c r="O33" s="68"/>
      <c r="P33" s="70"/>
      <c r="Q33" s="69"/>
      <c r="R33" s="68"/>
      <c r="S33" s="67"/>
    </row>
    <row r="34" spans="1:19" s="66" customFormat="1" ht="19.7" customHeight="1" x14ac:dyDescent="0.15">
      <c r="A34" s="57"/>
      <c r="B34" s="57"/>
      <c r="C34" s="57" t="s">
        <v>38</v>
      </c>
      <c r="D34" s="70"/>
      <c r="E34" s="70"/>
      <c r="F34" s="70"/>
      <c r="G34" s="81">
        <f>SUM(J30:J34)</f>
        <v>4200</v>
      </c>
      <c r="H34" s="75"/>
      <c r="I34" s="74"/>
      <c r="J34" s="61"/>
      <c r="K34" s="73"/>
      <c r="L34" s="72"/>
      <c r="M34" s="71"/>
      <c r="N34" s="71"/>
      <c r="O34" s="68"/>
      <c r="P34" s="70"/>
      <c r="Q34" s="69"/>
      <c r="R34" s="68"/>
      <c r="S34" s="67"/>
    </row>
    <row r="35" spans="1:19" s="66" customFormat="1" ht="19.7" customHeight="1" x14ac:dyDescent="0.15">
      <c r="A35" s="57"/>
      <c r="B35" s="57"/>
      <c r="C35" s="80">
        <f>SUM(C19:C34)</f>
        <v>1.0550000000000002</v>
      </c>
      <c r="D35" s="78"/>
      <c r="E35" s="70"/>
      <c r="F35" s="70"/>
      <c r="H35" s="75"/>
      <c r="I35" s="74"/>
      <c r="J35" s="61"/>
      <c r="K35" s="73"/>
      <c r="L35" s="72"/>
      <c r="M35" s="71"/>
      <c r="N35" s="71"/>
      <c r="O35" s="68"/>
      <c r="P35" s="70"/>
      <c r="Q35" s="69"/>
      <c r="R35" s="68"/>
      <c r="S35" s="67"/>
    </row>
    <row r="36" spans="1:19" s="66" customFormat="1" ht="19.7" customHeight="1" x14ac:dyDescent="0.15">
      <c r="A36" s="57"/>
      <c r="B36" s="57"/>
      <c r="C36" s="77" t="s">
        <v>36</v>
      </c>
      <c r="D36" s="70"/>
      <c r="E36" s="70"/>
      <c r="F36" s="70"/>
      <c r="G36" s="76"/>
      <c r="H36" s="75"/>
      <c r="I36" s="74"/>
      <c r="J36" s="61"/>
      <c r="K36" s="73"/>
      <c r="L36" s="72"/>
      <c r="M36" s="71"/>
      <c r="N36" s="71"/>
      <c r="O36" s="68"/>
      <c r="P36" s="70"/>
      <c r="Q36" s="69"/>
      <c r="R36" s="68"/>
      <c r="S36" s="67"/>
    </row>
    <row r="37" spans="1:19" s="66" customFormat="1" ht="19.7" customHeight="1" x14ac:dyDescent="0.15">
      <c r="A37" s="57"/>
      <c r="B37" s="57"/>
      <c r="C37" s="57"/>
      <c r="D37" s="70"/>
      <c r="E37" s="70"/>
      <c r="F37" s="70"/>
      <c r="G37" s="76"/>
      <c r="H37" s="75"/>
      <c r="I37" s="74"/>
      <c r="J37" s="61"/>
      <c r="K37" s="73"/>
      <c r="L37" s="72"/>
      <c r="M37" s="71"/>
      <c r="N37" s="71"/>
      <c r="O37" s="68"/>
      <c r="P37" s="70"/>
      <c r="Q37" s="69"/>
      <c r="R37" s="68"/>
      <c r="S37" s="67"/>
    </row>
    <row r="38" spans="1:19" s="66" customFormat="1" ht="19.7" customHeight="1" x14ac:dyDescent="0.15">
      <c r="A38" s="57"/>
      <c r="B38" s="57"/>
      <c r="C38" s="57"/>
      <c r="D38" s="70"/>
      <c r="E38" s="70"/>
      <c r="F38" s="70"/>
      <c r="G38" s="76"/>
      <c r="H38" s="75"/>
      <c r="I38" s="74"/>
      <c r="J38" s="61"/>
      <c r="K38" s="73"/>
      <c r="L38" s="72"/>
      <c r="M38" s="71"/>
      <c r="N38" s="71"/>
      <c r="O38" s="68"/>
      <c r="P38" s="70"/>
      <c r="Q38" s="69"/>
      <c r="R38" s="68"/>
      <c r="S38" s="67"/>
    </row>
    <row r="39" spans="1:19" s="66" customFormat="1" ht="19.7" customHeight="1" x14ac:dyDescent="0.15">
      <c r="A39" s="57"/>
      <c r="B39" s="57"/>
      <c r="C39" s="57"/>
      <c r="D39" s="70"/>
      <c r="E39" s="70"/>
      <c r="F39" s="70"/>
      <c r="G39" s="76"/>
      <c r="H39" s="75"/>
      <c r="I39" s="74"/>
      <c r="J39" s="61"/>
      <c r="K39" s="73"/>
      <c r="L39" s="72"/>
      <c r="M39" s="71"/>
      <c r="N39" s="71"/>
      <c r="O39" s="68"/>
      <c r="P39" s="70"/>
      <c r="Q39" s="69"/>
      <c r="R39" s="68"/>
      <c r="S39" s="67"/>
    </row>
    <row r="40" spans="1:19" s="66" customFormat="1" ht="19.7" customHeight="1" thickBot="1" x14ac:dyDescent="0.2">
      <c r="A40" s="57"/>
      <c r="B40" s="57"/>
      <c r="C40" s="57" t="s">
        <v>37</v>
      </c>
      <c r="D40" s="70"/>
      <c r="E40" s="70"/>
      <c r="F40" s="70"/>
      <c r="G40" s="76"/>
      <c r="H40" s="75"/>
      <c r="I40" s="74"/>
      <c r="J40" s="61"/>
      <c r="K40" s="73"/>
      <c r="L40" s="72"/>
      <c r="M40" s="71"/>
      <c r="N40" s="71"/>
      <c r="O40" s="68"/>
      <c r="P40" s="70"/>
      <c r="Q40" s="69"/>
      <c r="R40" s="68"/>
      <c r="S40" s="67"/>
    </row>
    <row r="41" spans="1:19" s="66" customFormat="1" ht="19.7" customHeight="1" thickBot="1" x14ac:dyDescent="0.2">
      <c r="A41" s="57"/>
      <c r="B41" s="57"/>
      <c r="C41" s="79" t="e">
        <f>+C35+#REF!+#REF!</f>
        <v>#REF!</v>
      </c>
      <c r="D41" s="78"/>
      <c r="E41" s="70"/>
      <c r="F41" s="70"/>
      <c r="G41" s="76"/>
      <c r="H41" s="75"/>
      <c r="I41" s="74"/>
      <c r="J41" s="61"/>
      <c r="K41" s="73"/>
      <c r="L41" s="72"/>
      <c r="M41" s="71"/>
      <c r="N41" s="71"/>
      <c r="O41" s="68"/>
      <c r="P41" s="70"/>
      <c r="Q41" s="69"/>
      <c r="R41" s="68"/>
      <c r="S41" s="67"/>
    </row>
    <row r="42" spans="1:19" s="66" customFormat="1" ht="19.7" customHeight="1" x14ac:dyDescent="0.15">
      <c r="A42" s="57"/>
      <c r="B42" s="57"/>
      <c r="C42" s="77" t="s">
        <v>36</v>
      </c>
      <c r="D42" s="70"/>
      <c r="E42" s="70"/>
      <c r="F42" s="70"/>
      <c r="G42" s="76"/>
      <c r="H42" s="75"/>
      <c r="I42" s="74"/>
      <c r="J42" s="61"/>
      <c r="K42" s="73"/>
      <c r="L42" s="72"/>
      <c r="M42" s="71"/>
      <c r="N42" s="71"/>
      <c r="O42" s="68"/>
      <c r="P42" s="70"/>
      <c r="Q42" s="69"/>
      <c r="R42" s="68"/>
      <c r="S42" s="67"/>
    </row>
    <row r="43" spans="1:19" s="66" customFormat="1" ht="19.7" customHeight="1" x14ac:dyDescent="0.15">
      <c r="A43" s="57"/>
      <c r="B43" s="57"/>
      <c r="C43" s="57"/>
      <c r="D43" s="70"/>
      <c r="E43" s="70"/>
      <c r="F43" s="70"/>
      <c r="G43" s="76"/>
      <c r="H43" s="75"/>
      <c r="I43" s="74"/>
      <c r="J43" s="61"/>
      <c r="K43" s="73"/>
      <c r="L43" s="72"/>
      <c r="M43" s="71"/>
      <c r="N43" s="71"/>
      <c r="O43" s="68"/>
      <c r="P43" s="70"/>
      <c r="Q43" s="69"/>
      <c r="R43" s="68"/>
      <c r="S43" s="67"/>
    </row>
    <row r="44" spans="1:19" s="66" customFormat="1" ht="19.7" customHeight="1" x14ac:dyDescent="0.15">
      <c r="A44" s="57"/>
      <c r="B44" s="57"/>
      <c r="C44" s="57"/>
      <c r="D44" s="70"/>
      <c r="E44" s="70"/>
      <c r="F44" s="70"/>
      <c r="G44" s="76"/>
      <c r="H44" s="75"/>
      <c r="I44" s="74"/>
      <c r="J44" s="61"/>
      <c r="K44" s="73"/>
      <c r="L44" s="72"/>
      <c r="M44" s="71"/>
      <c r="N44" s="71"/>
      <c r="O44" s="68"/>
      <c r="P44" s="70"/>
      <c r="Q44" s="69"/>
      <c r="R44" s="68"/>
      <c r="S44" s="67"/>
    </row>
    <row r="45" spans="1:19" s="66" customFormat="1" ht="19.7" customHeight="1" x14ac:dyDescent="0.15">
      <c r="A45" s="57"/>
      <c r="B45" s="57"/>
      <c r="C45" s="57"/>
      <c r="D45" s="70"/>
      <c r="E45" s="70"/>
      <c r="F45" s="70"/>
      <c r="G45" s="76"/>
      <c r="H45" s="75"/>
      <c r="I45" s="74"/>
      <c r="J45" s="61"/>
      <c r="K45" s="73"/>
      <c r="L45" s="72"/>
      <c r="M45" s="71"/>
      <c r="N45" s="71"/>
      <c r="O45" s="68"/>
      <c r="P45" s="70"/>
      <c r="Q45" s="69"/>
      <c r="R45" s="68"/>
      <c r="S45" s="67"/>
    </row>
    <row r="46" spans="1:19" s="66" customFormat="1" ht="19.7" customHeight="1" x14ac:dyDescent="0.15">
      <c r="A46" s="57"/>
      <c r="B46" s="57"/>
      <c r="C46" s="57"/>
      <c r="D46" s="70"/>
      <c r="E46" s="70"/>
      <c r="F46" s="70"/>
      <c r="G46" s="76"/>
      <c r="H46" s="75"/>
      <c r="I46" s="74"/>
      <c r="J46" s="61"/>
      <c r="K46" s="73"/>
      <c r="L46" s="72"/>
      <c r="M46" s="71"/>
      <c r="N46" s="71"/>
      <c r="O46" s="68"/>
      <c r="P46" s="70"/>
      <c r="Q46" s="69"/>
      <c r="R46" s="68"/>
      <c r="S46" s="67"/>
    </row>
    <row r="47" spans="1:19" s="66" customFormat="1" ht="19.7" customHeight="1" x14ac:dyDescent="0.15">
      <c r="A47" s="57"/>
      <c r="B47" s="57"/>
      <c r="C47" s="57"/>
      <c r="D47" s="70"/>
      <c r="E47" s="70"/>
      <c r="F47" s="70"/>
      <c r="G47" s="76"/>
      <c r="H47" s="75"/>
      <c r="I47" s="74"/>
      <c r="J47" s="61"/>
      <c r="K47" s="73"/>
      <c r="L47" s="72"/>
      <c r="M47" s="71"/>
      <c r="N47" s="71"/>
      <c r="O47" s="68"/>
      <c r="P47" s="70"/>
      <c r="Q47" s="69"/>
      <c r="R47" s="68"/>
      <c r="S47" s="67"/>
    </row>
    <row r="48" spans="1:19" s="66" customFormat="1" ht="19.7" customHeight="1" x14ac:dyDescent="0.15">
      <c r="A48" s="57"/>
      <c r="B48" s="57"/>
      <c r="C48" s="57"/>
      <c r="D48" s="70"/>
      <c r="E48" s="70"/>
      <c r="F48" s="70"/>
      <c r="G48" s="76"/>
      <c r="H48" s="75"/>
      <c r="I48" s="74"/>
      <c r="J48" s="61"/>
      <c r="K48" s="73"/>
      <c r="L48" s="72"/>
      <c r="M48" s="71"/>
      <c r="N48" s="71"/>
      <c r="O48" s="68"/>
      <c r="P48" s="70"/>
      <c r="Q48" s="69"/>
      <c r="R48" s="68"/>
      <c r="S48" s="67"/>
    </row>
    <row r="49" spans="1:19" s="66" customFormat="1" ht="19.7" customHeight="1" x14ac:dyDescent="0.15">
      <c r="A49" s="57"/>
      <c r="B49" s="57"/>
      <c r="C49" s="57"/>
      <c r="D49" s="70"/>
      <c r="E49" s="70"/>
      <c r="F49" s="70"/>
      <c r="G49" s="76"/>
      <c r="H49" s="75"/>
      <c r="I49" s="74"/>
      <c r="J49" s="61"/>
      <c r="K49" s="73"/>
      <c r="L49" s="72"/>
      <c r="M49" s="71"/>
      <c r="N49" s="71"/>
      <c r="O49" s="68"/>
      <c r="P49" s="70"/>
      <c r="Q49" s="69"/>
      <c r="R49" s="68"/>
      <c r="S49" s="67"/>
    </row>
    <row r="50" spans="1:19" s="66" customFormat="1" ht="19.7" customHeight="1" x14ac:dyDescent="0.15">
      <c r="A50" s="57"/>
      <c r="B50" s="57"/>
      <c r="C50" s="57"/>
      <c r="D50" s="70"/>
      <c r="E50" s="70"/>
      <c r="F50" s="70"/>
      <c r="G50" s="76"/>
      <c r="H50" s="75"/>
      <c r="I50" s="74"/>
      <c r="J50" s="61"/>
      <c r="K50" s="73"/>
      <c r="L50" s="72"/>
      <c r="M50" s="71"/>
      <c r="N50" s="71"/>
      <c r="O50" s="68"/>
      <c r="P50" s="70"/>
      <c r="Q50" s="69"/>
      <c r="R50" s="68"/>
      <c r="S50" s="67"/>
    </row>
    <row r="51" spans="1:19" s="66" customFormat="1" ht="19.7" customHeight="1" x14ac:dyDescent="0.15">
      <c r="A51" s="57"/>
      <c r="B51" s="57"/>
      <c r="C51" s="57"/>
      <c r="D51" s="70"/>
      <c r="E51" s="70"/>
      <c r="F51" s="70"/>
      <c r="G51" s="76"/>
      <c r="H51" s="75"/>
      <c r="I51" s="74"/>
      <c r="J51" s="61"/>
      <c r="K51" s="73"/>
      <c r="L51" s="72"/>
      <c r="M51" s="71"/>
      <c r="N51" s="71"/>
      <c r="O51" s="68"/>
      <c r="P51" s="70"/>
      <c r="Q51" s="69"/>
      <c r="R51" s="68"/>
      <c r="S51" s="67"/>
    </row>
    <row r="52" spans="1:19" s="66" customFormat="1" ht="19.7" customHeight="1" x14ac:dyDescent="0.15">
      <c r="A52" s="57"/>
      <c r="B52" s="57"/>
      <c r="C52" s="57"/>
      <c r="D52" s="70"/>
      <c r="E52" s="70"/>
      <c r="F52" s="70"/>
      <c r="G52" s="76"/>
      <c r="H52" s="75"/>
      <c r="I52" s="74"/>
      <c r="J52" s="61"/>
      <c r="K52" s="73"/>
      <c r="L52" s="72"/>
      <c r="M52" s="71"/>
      <c r="N52" s="71"/>
      <c r="O52" s="68"/>
      <c r="P52" s="70"/>
      <c r="Q52" s="69"/>
      <c r="R52" s="68"/>
      <c r="S52" s="67"/>
    </row>
    <row r="53" spans="1:19" s="66" customFormat="1" ht="19.7" customHeight="1" x14ac:dyDescent="0.15">
      <c r="A53" s="57"/>
      <c r="B53" s="57"/>
      <c r="C53" s="57"/>
      <c r="D53" s="70"/>
      <c r="E53" s="70"/>
      <c r="F53" s="70"/>
      <c r="G53" s="76"/>
      <c r="H53" s="75"/>
      <c r="I53" s="74"/>
      <c r="J53" s="61"/>
      <c r="K53" s="73"/>
      <c r="L53" s="72"/>
      <c r="M53" s="71"/>
      <c r="N53" s="71"/>
      <c r="O53" s="68"/>
      <c r="P53" s="70"/>
      <c r="Q53" s="69"/>
      <c r="R53" s="68"/>
      <c r="S53" s="67"/>
    </row>
    <row r="54" spans="1:19" s="57" customFormat="1" ht="19.7" customHeight="1" x14ac:dyDescent="0.15">
      <c r="D54" s="39"/>
      <c r="E54" s="39"/>
      <c r="F54" s="39"/>
      <c r="G54" s="65"/>
      <c r="H54" s="63"/>
      <c r="I54" s="62"/>
      <c r="J54" s="61"/>
      <c r="K54" s="34"/>
      <c r="L54" s="64"/>
      <c r="M54" s="41"/>
      <c r="N54" s="31"/>
      <c r="O54" s="60"/>
      <c r="P54" s="39"/>
      <c r="Q54" s="31"/>
      <c r="R54" s="60"/>
      <c r="S54" s="59"/>
    </row>
    <row r="55" spans="1:19" s="57" customFormat="1" ht="19.7" customHeight="1" x14ac:dyDescent="0.15">
      <c r="D55" s="39"/>
      <c r="E55" s="39"/>
      <c r="F55" s="39"/>
      <c r="G55" s="41"/>
      <c r="H55" s="63"/>
      <c r="I55" s="62"/>
      <c r="J55" s="61"/>
      <c r="K55" s="34"/>
      <c r="L55" s="41"/>
      <c r="M55" s="41"/>
      <c r="N55" s="31"/>
      <c r="O55" s="60"/>
      <c r="P55" s="39"/>
      <c r="Q55" s="31"/>
      <c r="R55" s="60"/>
      <c r="S55" s="59"/>
    </row>
    <row r="56" spans="1:19" s="57" customFormat="1" ht="19.7" customHeight="1" x14ac:dyDescent="0.15">
      <c r="D56" s="39"/>
      <c r="E56" s="39"/>
      <c r="F56" s="39"/>
      <c r="G56" s="41"/>
      <c r="H56" s="63"/>
      <c r="I56" s="62"/>
      <c r="J56" s="61"/>
      <c r="K56" s="34"/>
      <c r="L56" s="41"/>
      <c r="M56" s="41"/>
      <c r="N56" s="31"/>
      <c r="O56" s="60"/>
      <c r="P56" s="39"/>
      <c r="Q56" s="31"/>
      <c r="R56" s="60"/>
      <c r="S56" s="59"/>
    </row>
    <row r="57" spans="1:19" s="57" customFormat="1" ht="19.7" customHeight="1" x14ac:dyDescent="0.15">
      <c r="D57" s="39"/>
      <c r="E57" s="39"/>
      <c r="F57" s="39"/>
      <c r="G57" s="41"/>
      <c r="H57" s="63"/>
      <c r="I57" s="62"/>
      <c r="J57" s="61"/>
      <c r="K57" s="34"/>
      <c r="L57" s="41"/>
      <c r="M57" s="41"/>
      <c r="N57" s="31"/>
      <c r="O57" s="60"/>
      <c r="P57" s="39"/>
      <c r="Q57" s="31"/>
      <c r="R57" s="60"/>
      <c r="S57" s="59"/>
    </row>
    <row r="58" spans="1:19" s="57" customFormat="1" ht="19.7" customHeight="1" x14ac:dyDescent="0.15">
      <c r="D58" s="39"/>
      <c r="E58" s="39"/>
      <c r="F58" s="39"/>
      <c r="G58" s="41"/>
      <c r="H58" s="63"/>
      <c r="I58" s="62"/>
      <c r="J58" s="61"/>
      <c r="K58" s="34"/>
      <c r="L58" s="41"/>
      <c r="M58" s="41"/>
      <c r="N58" s="31"/>
      <c r="O58" s="60"/>
      <c r="P58" s="39"/>
      <c r="Q58" s="31"/>
      <c r="R58" s="60"/>
      <c r="S58" s="59"/>
    </row>
    <row r="59" spans="1:19" x14ac:dyDescent="0.15">
      <c r="A59" s="57"/>
      <c r="B59" s="57"/>
      <c r="C59" s="57"/>
    </row>
    <row r="60" spans="1:19" x14ac:dyDescent="0.15">
      <c r="A60" s="57"/>
      <c r="B60" s="57"/>
      <c r="C60" s="57"/>
    </row>
    <row r="61" spans="1:19" x14ac:dyDescent="0.15">
      <c r="A61" s="57"/>
      <c r="B61" s="57"/>
      <c r="C61" s="57"/>
    </row>
  </sheetData>
  <autoFilter ref="D8:Q58" xr:uid="{3EA20B7B-128B-4C15-B721-926BA664130F}"/>
  <mergeCells count="9">
    <mergeCell ref="E18:G18"/>
    <mergeCell ref="E29:H29"/>
    <mergeCell ref="E11:G11"/>
    <mergeCell ref="D2:F2"/>
    <mergeCell ref="I2:K2"/>
    <mergeCell ref="D3:F3"/>
    <mergeCell ref="D4:F4"/>
    <mergeCell ref="D5:F5"/>
    <mergeCell ref="D6:F6"/>
  </mergeCells>
  <phoneticPr fontId="10"/>
  <pageMargins left="0" right="0" top="0" bottom="0" header="0" footer="0"/>
  <pageSetup paperSize="8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4" sqref="F24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ﾛﾎﾞｯﾄ発注 (2268538)  ①</vt:lpstr>
      <vt:lpstr> (2268538)②　20251008 </vt:lpstr>
      <vt:lpstr>Sheet2</vt:lpstr>
      <vt:lpstr>Sheet3</vt:lpstr>
      <vt:lpstr>'ﾛﾎﾞｯﾄ発注 (2268538)  ①'!_FilterDatabase</vt:lpstr>
      <vt:lpstr>' (2268538)②　20251008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2025-10-21T06:14:05Z</dcterms:modified>
</cp:coreProperties>
</file>