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C47C5FD0-41BF-4AAD-8FBE-BD236B74BC5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ETB0242-A01　①原価一覧 (20250331)" sheetId="15" r:id="rId1"/>
    <sheet name="Sheet2" sheetId="2" r:id="rId2"/>
    <sheet name="Sheet3" sheetId="3" r:id="rId3"/>
  </sheets>
  <definedNames>
    <definedName name="_xlnm._FilterDatabase" localSheetId="0" hidden="1">'SETB0242-A01　①原価一覧 (20250331)'!$D$8:$Q$36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8" i="15" l="1"/>
  <c r="J17" i="15"/>
  <c r="J16" i="15"/>
  <c r="J15" i="15"/>
  <c r="J14" i="15"/>
  <c r="J13" i="15"/>
  <c r="J12" i="15"/>
  <c r="D79" i="3" l="1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J32" i="15" l="1"/>
  <c r="J31" i="15"/>
  <c r="J30" i="15"/>
  <c r="G20" i="15" l="1"/>
  <c r="L2" i="15"/>
  <c r="D13" i="15" l="1"/>
  <c r="D14" i="15" s="1"/>
  <c r="D15" i="15" s="1"/>
  <c r="D16" i="15" s="1"/>
  <c r="D17" i="15" s="1"/>
  <c r="D18" i="15" s="1"/>
</calcChain>
</file>

<file path=xl/sharedStrings.xml><?xml version="1.0" encoding="utf-8"?>
<sst xmlns="http://schemas.openxmlformats.org/spreadsheetml/2006/main" count="76" uniqueCount="52">
  <si>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</si>
  <si>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</si>
  <si>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</si>
  <si>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</si>
  <si>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</si>
  <si>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</si>
  <si>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</si>
  <si>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</si>
  <si>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</si>
  <si>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</si>
  <si>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</si>
  <si>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</si>
  <si>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</si>
  <si>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</si>
  <si>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</si>
  <si>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</si>
  <si>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</si>
  <si>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</si>
  <si>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</si>
  <si>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</si>
  <si>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</si>
  <si>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</si>
  <si>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ミスミ</t>
  </si>
  <si>
    <t>運送費</t>
  </si>
  <si>
    <t>設計費</t>
  </si>
  <si>
    <t>組立調整費</t>
  </si>
  <si>
    <t>ミスミ</t>
    <phoneticPr fontId="11"/>
  </si>
  <si>
    <t>meviy</t>
    <phoneticPr fontId="11"/>
  </si>
  <si>
    <t>1日目</t>
    <rPh sb="1" eb="2">
      <t>ヒ</t>
    </rPh>
    <rPh sb="2" eb="3">
      <t>メ</t>
    </rPh>
    <phoneticPr fontId="11"/>
  </si>
  <si>
    <t>2日目</t>
    <rPh sb="1" eb="2">
      <t>ヒ</t>
    </rPh>
    <rPh sb="2" eb="3">
      <t>メ</t>
    </rPh>
    <phoneticPr fontId="11"/>
  </si>
  <si>
    <t>出荷依頼項目NO.</t>
    <rPh sb="0" eb="4">
      <t>シュッカイライ</t>
    </rPh>
    <rPh sb="4" eb="6">
      <t>コウモク</t>
    </rPh>
    <phoneticPr fontId="9"/>
  </si>
  <si>
    <t>3日間</t>
    <rPh sb="1" eb="2">
      <t>ヒ</t>
    </rPh>
    <rPh sb="2" eb="3">
      <t>カン</t>
    </rPh>
    <phoneticPr fontId="11"/>
  </si>
  <si>
    <t>ノックピン　ストレート</t>
    <phoneticPr fontId="9"/>
  </si>
  <si>
    <t>①</t>
    <phoneticPr fontId="9"/>
  </si>
  <si>
    <t>エイワ機工(加藤製作所様向）様</t>
    <rPh sb="14" eb="15">
      <t>サマ</t>
    </rPh>
    <phoneticPr fontId="9"/>
  </si>
  <si>
    <t>福島（齋藤）</t>
    <rPh sb="0" eb="2">
      <t>フクシマ</t>
    </rPh>
    <rPh sb="3" eb="5">
      <t>サイトウ</t>
    </rPh>
    <phoneticPr fontId="9"/>
  </si>
  <si>
    <t>SETB0242-X02　ﾜｰｸ3個取治具ﾍﾞｰｽ板</t>
    <phoneticPr fontId="9"/>
  </si>
  <si>
    <t>AFPNHAL3-P3.65-L1-B5-ML9-E1.5-A30</t>
    <phoneticPr fontId="9"/>
  </si>
  <si>
    <t>FWSSS-D7-V3-T7</t>
    <phoneticPr fontId="9"/>
  </si>
  <si>
    <t>MS3-6</t>
    <phoneticPr fontId="9"/>
  </si>
  <si>
    <t>MSC3-18</t>
    <phoneticPr fontId="9"/>
  </si>
  <si>
    <t>SETB0242-X03　ﾜｰｸ3個取治具ﾍﾞｰｽ板　位置決め</t>
    <phoneticPr fontId="9"/>
  </si>
  <si>
    <t>SFB3-6</t>
    <phoneticPr fontId="9"/>
  </si>
  <si>
    <t>MVSHM-3N03004-44Z-JMKCS</t>
    <phoneticPr fontId="9"/>
  </si>
  <si>
    <t>MVSHM-3N03002-44Z-MBEW9</t>
    <phoneticPr fontId="9"/>
  </si>
  <si>
    <t>位置決めピン　高硬度ステンレス　大頭テーパ　－おねじ－</t>
    <phoneticPr fontId="9"/>
  </si>
  <si>
    <t>金属ワッシャ　－並級</t>
    <phoneticPr fontId="9"/>
  </si>
  <si>
    <t>六角穴付皿ボルト　－ステンレス</t>
    <phoneticPr fontId="9"/>
  </si>
  <si>
    <r>
      <t xml:space="preserve">井桁ﾜｰｸ治具 </t>
    </r>
    <r>
      <rPr>
        <b/>
        <sz val="16"/>
        <color indexed="8"/>
        <rFont val="ＭＳ Ｐゴシック"/>
        <family val="3"/>
        <charset val="128"/>
      </rPr>
      <t xml:space="preserve"> 3個ｾｯﾄ　TYPE</t>
    </r>
    <rPh sb="0" eb="2">
      <t>イゲタ</t>
    </rPh>
    <rPh sb="5" eb="7">
      <t>ジグ</t>
    </rPh>
    <rPh sb="10" eb="11">
      <t>コ</t>
    </rPh>
    <phoneticPr fontId="11"/>
  </si>
  <si>
    <t>【222639 】SETB0242-A01　福島氏 加藤製作所様　追加ﾜｰｸ治具　3個ｾｯﾄ治具新規製作　案件　</t>
    <phoneticPr fontId="9"/>
  </si>
  <si>
    <t>AB241F84A2</t>
    <phoneticPr fontId="9"/>
  </si>
  <si>
    <t>Ｎo.222578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</si>
</sst>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20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6"/>
      <color indexed="8"/>
      <name val="ＭＳ Ｐゴシック"/>
      <family val="3"/>
      <charset val="128"/>
    </font>
    <font>
      <sz val="20"/>
      <color theme="1"/>
      <name val="ＭＳ Ｐゴシック"/>
      <family val="3"/>
      <charset val="128"/>
      <scheme val="minor"/>
    </font>
    <font>
      <b/>
      <sz val="14"/>
      <color theme="9" tint="-0.249977111117893"/>
      <name val="ＭＳ Ｐ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</cellStyleXfs>
  <cellXfs count="88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3" fillId="0" borderId="6" xfId="0" applyFont="1" applyBorder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6" xfId="0" applyNumberFormat="1" applyBorder="1">
      <alignment vertical="center"/>
    </xf>
    <xf numFmtId="3" fontId="12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49" fontId="8" fillId="0" borderId="6" xfId="0" applyNumberFormat="1" applyFont="1" applyBorder="1" applyAlignment="1">
      <alignment horizontal="left" vertical="center"/>
    </xf>
    <xf numFmtId="176" fontId="0" fillId="0" borderId="3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176" fontId="15" fillId="0" borderId="11" xfId="0" applyNumberFormat="1" applyFont="1" applyBorder="1" applyAlignment="1">
      <alignment horizontal="center" vertical="center"/>
    </xf>
    <xf numFmtId="180" fontId="13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vertical="center" shrinkToFit="1"/>
    </xf>
    <xf numFmtId="0" fontId="0" fillId="3" borderId="6" xfId="0" applyFill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3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176" fontId="15" fillId="5" borderId="6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0" fillId="6" borderId="6" xfId="0" applyNumberForma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79" fontId="0" fillId="3" borderId="6" xfId="0" applyNumberFormat="1" applyFill="1" applyBorder="1" applyAlignment="1">
      <alignment horizontal="center" vertical="center"/>
    </xf>
    <xf numFmtId="3" fontId="0" fillId="3" borderId="6" xfId="0" applyNumberFormat="1" applyFill="1" applyBorder="1" applyAlignment="1">
      <alignment horizontal="center" vertical="center"/>
    </xf>
    <xf numFmtId="178" fontId="0" fillId="3" borderId="6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8" borderId="6" xfId="0" applyFill="1" applyBorder="1" applyAlignment="1">
      <alignment horizontal="center" vertical="center"/>
    </xf>
    <xf numFmtId="0" fontId="0" fillId="7" borderId="6" xfId="0" applyFill="1" applyBorder="1">
      <alignment vertical="center"/>
    </xf>
    <xf numFmtId="0" fontId="2" fillId="0" borderId="6" xfId="0" applyFont="1" applyBorder="1" applyAlignment="1">
      <alignment horizontal="center" vertical="center"/>
    </xf>
    <xf numFmtId="176" fontId="8" fillId="0" borderId="6" xfId="0" applyNumberFormat="1" applyFont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176" fontId="10" fillId="0" borderId="6" xfId="0" applyNumberFormat="1" applyFont="1" applyBorder="1">
      <alignment vertical="center"/>
    </xf>
    <xf numFmtId="0" fontId="8" fillId="10" borderId="6" xfId="0" applyFont="1" applyFill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6" fillId="0" borderId="0" xfId="0" applyFont="1">
      <alignment vertical="center"/>
    </xf>
    <xf numFmtId="0" fontId="0" fillId="0" borderId="7" xfId="0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3" fontId="13" fillId="6" borderId="6" xfId="0" applyNumberFormat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left" vertical="center"/>
    </xf>
    <xf numFmtId="56" fontId="0" fillId="3" borderId="6" xfId="0" applyNumberForma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8" fillId="11" borderId="11" xfId="0" applyFont="1" applyFill="1" applyBorder="1" applyAlignment="1">
      <alignment horizontal="center" vertical="center" wrapText="1"/>
    </xf>
    <xf numFmtId="0" fontId="18" fillId="11" borderId="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3" fontId="14" fillId="4" borderId="7" xfId="0" applyNumberFormat="1" applyFont="1" applyFill="1" applyBorder="1" applyAlignment="1">
      <alignment horizontal="center" vertical="center"/>
    </xf>
    <xf numFmtId="3" fontId="14" fillId="4" borderId="10" xfId="0" applyNumberFormat="1" applyFont="1" applyFill="1" applyBorder="1" applyAlignment="1">
      <alignment horizontal="center" vertical="center"/>
    </xf>
    <xf numFmtId="3" fontId="14" fillId="4" borderId="9" xfId="0" applyNumberFormat="1" applyFont="1" applyFill="1" applyBorder="1" applyAlignment="1">
      <alignment horizontal="center" vertical="center"/>
    </xf>
  </cellXfs>
  <cellStyles count="5">
    <cellStyle name="ハイパーリンク" xfId="2" xr:uid="{00000000-0005-0000-0000-000000000000}"/>
    <cellStyle name="標準" xfId="0" builtinId="0"/>
    <cellStyle name="標準 2" xfId="4" xr:uid="{C2CBC382-4BC1-4D3B-B64A-4DC2C10C5618}"/>
    <cellStyle name="標準 3" xfId="3" xr:uid="{1B9717F3-D5E1-4047-8E84-2BA2544C8F2B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086D5-7BDD-402D-971F-2474CD5AF234}">
  <sheetPr>
    <tabColor theme="5" tint="0.59999389629810485"/>
  </sheetPr>
  <dimension ref="A2:S36"/>
  <sheetViews>
    <sheetView tabSelected="1" topLeftCell="B1" zoomScale="85" zoomScaleNormal="85" workbookViewId="0">
      <pane ySplit="8" topLeftCell="A9" activePane="bottomLeft" state="frozen"/>
      <selection activeCell="B1" sqref="B1"/>
      <selection pane="bottomLeft" activeCell="G13" sqref="G13"/>
    </sheetView>
  </sheetViews>
  <sheetFormatPr defaultColWidth="11.77734375" defaultRowHeight="13.5" customHeight="1" x14ac:dyDescent="0.2"/>
  <cols>
    <col min="1" max="1" width="9.77734375" customWidth="1"/>
    <col min="2" max="2" width="4.88671875" customWidth="1"/>
    <col min="3" max="3" width="6.44140625" customWidth="1"/>
    <col min="4" max="4" width="6.21875" style="5" customWidth="1"/>
    <col min="5" max="5" width="15.21875" customWidth="1"/>
    <col min="6" max="6" width="15.44140625" customWidth="1"/>
    <col min="7" max="7" width="56.33203125" customWidth="1"/>
    <col min="8" max="8" width="10.77734375" style="5" customWidth="1"/>
    <col min="9" max="10" width="12.109375" style="5" customWidth="1"/>
    <col min="11" max="11" width="7.109375" style="10" customWidth="1"/>
    <col min="12" max="12" width="50.44140625" customWidth="1"/>
    <col min="13" max="13" width="16.109375" customWidth="1"/>
    <col min="14" max="14" width="19" style="5" customWidth="1"/>
    <col min="15" max="15" width="17" style="5" customWidth="1"/>
    <col min="16" max="16" width="9.21875" customWidth="1"/>
    <col min="17" max="17" width="16.33203125" style="5" customWidth="1"/>
    <col min="18" max="18" width="17.88671875" style="26" customWidth="1"/>
    <col min="19" max="19" width="19.33203125" style="26" customWidth="1"/>
  </cols>
  <sheetData>
    <row r="2" spans="1:19" ht="20.100000000000001" customHeight="1" x14ac:dyDescent="0.2">
      <c r="D2" s="75" t="s">
        <v>0</v>
      </c>
      <c r="E2" s="75"/>
      <c r="F2" s="75"/>
      <c r="G2" s="21" t="s">
        <v>34</v>
      </c>
      <c r="I2" s="78" t="s">
        <v>1</v>
      </c>
      <c r="J2" s="79"/>
      <c r="K2" s="80"/>
      <c r="L2" s="9">
        <f>SUM(J:J)</f>
        <v>49009</v>
      </c>
    </row>
    <row r="3" spans="1:19" ht="20.100000000000001" customHeight="1" x14ac:dyDescent="0.2">
      <c r="D3" s="75" t="s">
        <v>2</v>
      </c>
      <c r="E3" s="75"/>
      <c r="F3" s="75"/>
      <c r="G3" s="7" t="s">
        <v>35</v>
      </c>
    </row>
    <row r="4" spans="1:19" ht="20.100000000000001" customHeight="1" x14ac:dyDescent="0.2">
      <c r="D4" s="75" t="s">
        <v>3</v>
      </c>
      <c r="E4" s="75"/>
      <c r="F4" s="75"/>
      <c r="G4" s="7" t="s">
        <v>51</v>
      </c>
      <c r="I4" s="67"/>
      <c r="J4" s="81" t="s">
        <v>49</v>
      </c>
      <c r="K4" s="81"/>
      <c r="L4" s="81"/>
      <c r="M4" s="81"/>
    </row>
    <row r="5" spans="1:19" ht="20.100000000000001" customHeight="1" x14ac:dyDescent="0.2">
      <c r="D5" s="75" t="s">
        <v>4</v>
      </c>
      <c r="E5" s="75"/>
      <c r="F5" s="75"/>
      <c r="G5" s="8">
        <v>45759</v>
      </c>
      <c r="I5" s="76" t="s">
        <v>33</v>
      </c>
      <c r="J5" s="67"/>
      <c r="K5" s="67"/>
      <c r="L5" s="67"/>
    </row>
    <row r="6" spans="1:19" ht="20.100000000000001" customHeight="1" x14ac:dyDescent="0.2">
      <c r="D6" s="75" t="s">
        <v>5</v>
      </c>
      <c r="E6" s="75"/>
      <c r="F6" s="75"/>
      <c r="G6" s="8">
        <v>45760</v>
      </c>
      <c r="I6" s="77"/>
      <c r="J6" s="68"/>
      <c r="K6" s="68"/>
      <c r="L6" s="68"/>
    </row>
    <row r="8" spans="1:19" s="5" customFormat="1" ht="19.5" customHeight="1" x14ac:dyDescent="0.2">
      <c r="C8" s="58" t="s">
        <v>30</v>
      </c>
      <c r="D8" s="41" t="s">
        <v>6</v>
      </c>
      <c r="E8" s="2" t="s">
        <v>7</v>
      </c>
      <c r="F8" s="2" t="s">
        <v>8</v>
      </c>
      <c r="G8" s="17" t="s">
        <v>9</v>
      </c>
      <c r="H8" s="17" t="s">
        <v>10</v>
      </c>
      <c r="I8" s="17" t="s">
        <v>11</v>
      </c>
      <c r="J8" s="1" t="s">
        <v>12</v>
      </c>
      <c r="K8" s="1" t="s">
        <v>13</v>
      </c>
      <c r="L8" s="17" t="s">
        <v>14</v>
      </c>
      <c r="M8" s="17" t="s">
        <v>15</v>
      </c>
      <c r="N8" s="17" t="s">
        <v>16</v>
      </c>
      <c r="O8" s="19" t="s">
        <v>17</v>
      </c>
      <c r="P8" s="2" t="s">
        <v>18</v>
      </c>
      <c r="Q8" s="17" t="s">
        <v>19</v>
      </c>
      <c r="R8" s="19" t="s">
        <v>20</v>
      </c>
      <c r="S8" s="6" t="s">
        <v>21</v>
      </c>
    </row>
    <row r="9" spans="1:19" s="5" customFormat="1" ht="19.5" customHeight="1" x14ac:dyDescent="0.2">
      <c r="A9" s="23"/>
      <c r="B9" s="23"/>
      <c r="C9" s="23"/>
      <c r="D9" s="62"/>
      <c r="E9" s="25"/>
      <c r="F9" s="25"/>
      <c r="G9" s="38"/>
      <c r="H9" s="28"/>
      <c r="I9" s="28"/>
      <c r="J9" s="61"/>
      <c r="K9" s="11"/>
      <c r="L9" s="16"/>
      <c r="M9" s="17"/>
      <c r="N9" s="17"/>
      <c r="O9" s="19"/>
      <c r="P9" s="2"/>
      <c r="Q9" s="17"/>
      <c r="R9" s="19"/>
      <c r="S9" s="6"/>
    </row>
    <row r="10" spans="1:19" ht="18" customHeight="1" x14ac:dyDescent="0.2">
      <c r="A10" s="22"/>
      <c r="B10" s="22"/>
      <c r="C10" s="22"/>
      <c r="D10" s="23"/>
      <c r="E10" s="34"/>
      <c r="F10" s="34"/>
      <c r="G10" s="35"/>
      <c r="H10" s="36"/>
      <c r="I10" s="37"/>
      <c r="J10" s="44"/>
      <c r="K10" s="24"/>
      <c r="L10" s="27"/>
      <c r="M10" s="55"/>
      <c r="N10" s="3"/>
      <c r="O10" s="19"/>
      <c r="P10" s="6"/>
      <c r="Q10" s="6"/>
      <c r="R10" s="19"/>
      <c r="S10" s="12"/>
    </row>
    <row r="11" spans="1:19" s="53" customFormat="1" ht="19.649999999999999" customHeight="1" x14ac:dyDescent="0.2">
      <c r="A11" s="23"/>
      <c r="B11" s="23"/>
      <c r="C11" s="23"/>
      <c r="D11" s="25"/>
      <c r="E11" s="85" t="s">
        <v>48</v>
      </c>
      <c r="F11" s="86"/>
      <c r="G11" s="87"/>
      <c r="H11" s="22"/>
      <c r="I11" s="23"/>
      <c r="J11" s="24"/>
      <c r="K11" s="42"/>
      <c r="L11" s="23"/>
      <c r="M11" s="39"/>
      <c r="N11" s="39"/>
      <c r="O11" s="50"/>
      <c r="P11" s="51"/>
      <c r="Q11" s="31"/>
      <c r="R11" s="50"/>
      <c r="S11" s="52"/>
    </row>
    <row r="12" spans="1:19" s="53" customFormat="1" ht="19.649999999999999" customHeight="1" x14ac:dyDescent="0.2">
      <c r="A12" s="66" t="s">
        <v>31</v>
      </c>
      <c r="B12" s="54"/>
      <c r="C12" s="23"/>
      <c r="D12" s="71">
        <v>1</v>
      </c>
      <c r="E12" s="56" t="s">
        <v>27</v>
      </c>
      <c r="F12" s="25" t="s">
        <v>26</v>
      </c>
      <c r="G12" s="72" t="s">
        <v>44</v>
      </c>
      <c r="H12" s="57">
        <v>1</v>
      </c>
      <c r="I12" s="48">
        <v>11987</v>
      </c>
      <c r="J12" s="29">
        <f t="shared" ref="J12:J18" si="0">H12*I12</f>
        <v>11987</v>
      </c>
      <c r="K12" s="42"/>
      <c r="L12" s="40" t="s">
        <v>36</v>
      </c>
      <c r="M12" s="39"/>
      <c r="N12" s="74" t="s">
        <v>50</v>
      </c>
      <c r="O12" s="50">
        <v>45747</v>
      </c>
      <c r="P12" s="51"/>
      <c r="Q12" s="73">
        <v>45758</v>
      </c>
      <c r="R12" s="50">
        <v>45761</v>
      </c>
      <c r="S12" s="52"/>
    </row>
    <row r="13" spans="1:19" s="53" customFormat="1" ht="19.649999999999999" customHeight="1" x14ac:dyDescent="0.2">
      <c r="A13" s="66" t="s">
        <v>31</v>
      </c>
      <c r="B13" s="54"/>
      <c r="C13" s="23"/>
      <c r="D13" s="60">
        <f t="shared" ref="D13:D18" si="1">+D12+1</f>
        <v>2</v>
      </c>
      <c r="E13" s="30" t="s">
        <v>22</v>
      </c>
      <c r="F13" s="30" t="s">
        <v>22</v>
      </c>
      <c r="G13" s="72" t="s">
        <v>37</v>
      </c>
      <c r="H13" s="57">
        <v>18</v>
      </c>
      <c r="I13" s="48">
        <v>938</v>
      </c>
      <c r="J13" s="29">
        <f t="shared" si="0"/>
        <v>16884</v>
      </c>
      <c r="K13" s="42"/>
      <c r="L13" s="40" t="s">
        <v>45</v>
      </c>
      <c r="M13" s="39"/>
      <c r="N13" s="74" t="s">
        <v>50</v>
      </c>
      <c r="O13" s="50">
        <v>45747</v>
      </c>
      <c r="P13" s="51"/>
      <c r="Q13" s="73">
        <v>45758</v>
      </c>
      <c r="R13" s="50">
        <v>45761</v>
      </c>
      <c r="S13" s="52"/>
    </row>
    <row r="14" spans="1:19" s="53" customFormat="1" ht="19.649999999999999" customHeight="1" x14ac:dyDescent="0.2">
      <c r="A14" s="64" t="s">
        <v>29</v>
      </c>
      <c r="B14" s="54"/>
      <c r="C14" s="23"/>
      <c r="D14" s="47">
        <f t="shared" si="1"/>
        <v>3</v>
      </c>
      <c r="E14" s="30" t="s">
        <v>22</v>
      </c>
      <c r="F14" s="30" t="s">
        <v>22</v>
      </c>
      <c r="G14" s="72" t="s">
        <v>38</v>
      </c>
      <c r="H14" s="57">
        <v>18</v>
      </c>
      <c r="I14" s="48">
        <v>623</v>
      </c>
      <c r="J14" s="29">
        <f t="shared" si="0"/>
        <v>11214</v>
      </c>
      <c r="K14" s="42"/>
      <c r="L14" s="40" t="s">
        <v>46</v>
      </c>
      <c r="M14" s="39"/>
      <c r="N14" s="74" t="s">
        <v>50</v>
      </c>
      <c r="O14" s="50">
        <v>45747</v>
      </c>
      <c r="P14" s="51"/>
      <c r="Q14" s="73">
        <v>45758</v>
      </c>
      <c r="R14" s="50">
        <v>45761</v>
      </c>
      <c r="S14" s="52"/>
    </row>
    <row r="15" spans="1:19" s="53" customFormat="1" ht="19.649999999999999" customHeight="1" x14ac:dyDescent="0.2">
      <c r="A15" s="66" t="s">
        <v>28</v>
      </c>
      <c r="B15" s="54"/>
      <c r="C15" s="23"/>
      <c r="D15" s="47">
        <f t="shared" si="1"/>
        <v>4</v>
      </c>
      <c r="E15" s="30" t="s">
        <v>22</v>
      </c>
      <c r="F15" s="30" t="s">
        <v>22</v>
      </c>
      <c r="G15" s="72" t="s">
        <v>39</v>
      </c>
      <c r="H15" s="57">
        <v>6</v>
      </c>
      <c r="I15" s="48">
        <v>77</v>
      </c>
      <c r="J15" s="29">
        <f t="shared" si="0"/>
        <v>462</v>
      </c>
      <c r="K15" s="42"/>
      <c r="L15" s="40" t="s">
        <v>32</v>
      </c>
      <c r="M15" s="39"/>
      <c r="N15" s="74" t="s">
        <v>50</v>
      </c>
      <c r="O15" s="50">
        <v>45747</v>
      </c>
      <c r="P15" s="51"/>
      <c r="Q15" s="73">
        <v>45758</v>
      </c>
      <c r="R15" s="50">
        <v>45761</v>
      </c>
      <c r="S15" s="52"/>
    </row>
    <row r="16" spans="1:19" s="53" customFormat="1" ht="19.649999999999999" customHeight="1" x14ac:dyDescent="0.2">
      <c r="A16" s="66" t="s">
        <v>28</v>
      </c>
      <c r="B16" s="54"/>
      <c r="C16" s="23"/>
      <c r="D16" s="47">
        <f t="shared" si="1"/>
        <v>5</v>
      </c>
      <c r="E16" s="30" t="s">
        <v>22</v>
      </c>
      <c r="F16" s="30" t="s">
        <v>22</v>
      </c>
      <c r="G16" s="72" t="s">
        <v>40</v>
      </c>
      <c r="H16" s="57">
        <v>18</v>
      </c>
      <c r="I16" s="48">
        <v>95</v>
      </c>
      <c r="J16" s="29">
        <f t="shared" si="0"/>
        <v>1710</v>
      </c>
      <c r="K16" s="42"/>
      <c r="L16" s="40" t="s">
        <v>32</v>
      </c>
      <c r="M16" s="39"/>
      <c r="N16" s="74" t="s">
        <v>50</v>
      </c>
      <c r="O16" s="50">
        <v>45747</v>
      </c>
      <c r="P16" s="51"/>
      <c r="Q16" s="73">
        <v>45758</v>
      </c>
      <c r="R16" s="50">
        <v>45761</v>
      </c>
      <c r="S16" s="52"/>
    </row>
    <row r="17" spans="1:19" s="53" customFormat="1" ht="19.649999999999999" customHeight="1" x14ac:dyDescent="0.2">
      <c r="A17" s="66" t="s">
        <v>31</v>
      </c>
      <c r="B17" s="54"/>
      <c r="C17" s="23"/>
      <c r="D17" s="60">
        <f t="shared" si="1"/>
        <v>6</v>
      </c>
      <c r="E17" s="56" t="s">
        <v>27</v>
      </c>
      <c r="F17" s="25" t="s">
        <v>26</v>
      </c>
      <c r="G17" s="72" t="s">
        <v>43</v>
      </c>
      <c r="H17" s="57">
        <v>2</v>
      </c>
      <c r="I17" s="48">
        <v>3080</v>
      </c>
      <c r="J17" s="29">
        <f t="shared" si="0"/>
        <v>6160</v>
      </c>
      <c r="K17" s="42"/>
      <c r="L17" s="40" t="s">
        <v>41</v>
      </c>
      <c r="M17" s="39"/>
      <c r="N17" s="74" t="s">
        <v>50</v>
      </c>
      <c r="O17" s="50">
        <v>45747</v>
      </c>
      <c r="P17" s="51"/>
      <c r="Q17" s="73">
        <v>45758</v>
      </c>
      <c r="R17" s="50">
        <v>45761</v>
      </c>
      <c r="S17" s="52"/>
    </row>
    <row r="18" spans="1:19" s="53" customFormat="1" ht="19.649999999999999" customHeight="1" x14ac:dyDescent="0.2">
      <c r="A18" s="66" t="s">
        <v>28</v>
      </c>
      <c r="B18" s="54"/>
      <c r="C18" s="23"/>
      <c r="D18" s="47">
        <f t="shared" si="1"/>
        <v>7</v>
      </c>
      <c r="E18" s="30" t="s">
        <v>22</v>
      </c>
      <c r="F18" s="30" t="s">
        <v>22</v>
      </c>
      <c r="G18" s="72" t="s">
        <v>42</v>
      </c>
      <c r="H18" s="57">
        <v>8</v>
      </c>
      <c r="I18" s="48">
        <v>74</v>
      </c>
      <c r="J18" s="29">
        <f t="shared" si="0"/>
        <v>592</v>
      </c>
      <c r="K18" s="42"/>
      <c r="L18" s="40" t="s">
        <v>47</v>
      </c>
      <c r="M18" s="39"/>
      <c r="N18" s="74" t="s">
        <v>50</v>
      </c>
      <c r="O18" s="50">
        <v>45747</v>
      </c>
      <c r="P18" s="51"/>
      <c r="Q18" s="73">
        <v>45758</v>
      </c>
      <c r="R18" s="50">
        <v>45761</v>
      </c>
      <c r="S18" s="52"/>
    </row>
    <row r="19" spans="1:19" s="53" customFormat="1" ht="19.649999999999999" customHeight="1" x14ac:dyDescent="0.2">
      <c r="A19" s="23"/>
      <c r="B19" s="23"/>
      <c r="C19" s="23"/>
      <c r="D19" s="65"/>
      <c r="E19" s="25"/>
      <c r="F19" s="25"/>
      <c r="G19" s="32"/>
      <c r="H19" s="59"/>
      <c r="I19" s="28"/>
      <c r="J19" s="44"/>
      <c r="K19" s="42"/>
      <c r="L19" s="23"/>
      <c r="M19" s="39"/>
      <c r="N19" s="39"/>
      <c r="O19" s="50"/>
      <c r="P19" s="51"/>
      <c r="Q19" s="31"/>
      <c r="R19" s="50"/>
      <c r="S19" s="52"/>
    </row>
    <row r="20" spans="1:19" s="53" customFormat="1" ht="19.649999999999999" customHeight="1" x14ac:dyDescent="0.2">
      <c r="A20" s="23"/>
      <c r="B20" s="23"/>
      <c r="C20" s="23"/>
      <c r="D20" s="25"/>
      <c r="E20" s="25"/>
      <c r="F20" s="25"/>
      <c r="G20" s="43">
        <f>SUM(J12:J19)</f>
        <v>49009</v>
      </c>
      <c r="H20" s="22"/>
      <c r="I20" s="23"/>
      <c r="J20" s="24"/>
      <c r="K20" s="42"/>
      <c r="L20" s="23"/>
      <c r="M20" s="39"/>
      <c r="N20" s="39"/>
      <c r="O20" s="50"/>
      <c r="P20" s="51"/>
      <c r="Q20" s="31"/>
      <c r="R20" s="50"/>
      <c r="S20" s="52"/>
    </row>
    <row r="21" spans="1:19" ht="18" customHeight="1" x14ac:dyDescent="0.2">
      <c r="A21" s="5"/>
      <c r="B21" s="5"/>
      <c r="C21" s="5"/>
      <c r="D21" s="25"/>
      <c r="E21" s="25"/>
      <c r="F21" s="25"/>
      <c r="G21" s="23"/>
      <c r="H21" s="22"/>
      <c r="I21" s="23"/>
      <c r="J21" s="24"/>
      <c r="K21" s="42"/>
      <c r="L21" s="23"/>
      <c r="M21" s="23"/>
      <c r="N21" s="3"/>
      <c r="O21" s="19"/>
      <c r="P21" s="6"/>
      <c r="Q21" s="6"/>
      <c r="R21" s="19"/>
      <c r="S21" s="12"/>
    </row>
    <row r="22" spans="1:19" ht="18" customHeight="1" x14ac:dyDescent="0.2">
      <c r="A22" s="5"/>
      <c r="B22" s="5"/>
      <c r="C22" s="5"/>
      <c r="D22" s="25"/>
      <c r="E22" s="25"/>
      <c r="F22" s="25"/>
      <c r="G22" s="23"/>
      <c r="H22" s="22"/>
      <c r="I22" s="23"/>
      <c r="J22" s="24"/>
      <c r="K22" s="42"/>
      <c r="L22" s="23"/>
      <c r="M22" s="23"/>
      <c r="N22" s="3"/>
      <c r="O22" s="19"/>
      <c r="P22" s="6"/>
      <c r="Q22" s="6"/>
      <c r="R22" s="19"/>
      <c r="S22" s="12"/>
    </row>
    <row r="23" spans="1:19" ht="18" customHeight="1" x14ac:dyDescent="0.2">
      <c r="D23" s="17"/>
      <c r="E23" s="2"/>
      <c r="F23" s="2"/>
      <c r="G23" s="13"/>
      <c r="H23" s="49"/>
      <c r="I23" s="49"/>
      <c r="J23" s="33"/>
      <c r="K23" s="1"/>
      <c r="L23" s="13"/>
      <c r="M23" s="18"/>
      <c r="N23" s="3"/>
      <c r="O23" s="19"/>
      <c r="P23" s="6"/>
      <c r="Q23" s="6"/>
      <c r="R23" s="19"/>
      <c r="S23" s="12"/>
    </row>
    <row r="24" spans="1:19" ht="18" customHeight="1" x14ac:dyDescent="0.2">
      <c r="D24" s="17"/>
      <c r="E24" s="2"/>
      <c r="F24" s="2"/>
      <c r="G24" s="13"/>
      <c r="H24" s="49"/>
      <c r="I24" s="49"/>
      <c r="J24" s="33"/>
      <c r="K24" s="1"/>
      <c r="L24" s="13"/>
      <c r="M24" s="18"/>
      <c r="N24" s="3"/>
      <c r="O24" s="19"/>
      <c r="P24" s="6"/>
      <c r="Q24" s="6"/>
      <c r="R24" s="19"/>
      <c r="S24" s="12"/>
    </row>
    <row r="25" spans="1:19" ht="18" customHeight="1" x14ac:dyDescent="0.2">
      <c r="D25" s="17"/>
      <c r="E25" s="2"/>
      <c r="F25" s="2"/>
      <c r="G25" s="13"/>
      <c r="H25" s="49"/>
      <c r="I25" s="49"/>
      <c r="J25" s="33"/>
      <c r="K25" s="1"/>
      <c r="L25" s="13"/>
      <c r="M25" s="18"/>
      <c r="N25" s="3"/>
      <c r="O25" s="19"/>
      <c r="P25" s="6"/>
      <c r="Q25" s="6"/>
      <c r="R25" s="19"/>
      <c r="S25" s="12"/>
    </row>
    <row r="26" spans="1:19" ht="18" customHeight="1" x14ac:dyDescent="0.2">
      <c r="D26" s="17"/>
      <c r="E26" s="2"/>
      <c r="F26" s="2"/>
      <c r="G26" s="13"/>
      <c r="H26" s="49"/>
      <c r="I26" s="49"/>
      <c r="J26" s="33"/>
      <c r="K26" s="1"/>
      <c r="L26" s="13"/>
      <c r="M26" s="18"/>
      <c r="N26" s="3"/>
      <c r="O26" s="19"/>
      <c r="P26" s="6"/>
      <c r="Q26" s="6"/>
      <c r="R26" s="19"/>
      <c r="S26" s="12"/>
    </row>
    <row r="27" spans="1:19" ht="18" customHeight="1" x14ac:dyDescent="0.2">
      <c r="D27" s="17"/>
      <c r="E27" s="2"/>
      <c r="F27" s="2"/>
      <c r="G27" s="13"/>
      <c r="H27" s="49"/>
      <c r="I27" s="49"/>
      <c r="J27" s="33"/>
      <c r="K27" s="1"/>
      <c r="L27" s="13"/>
      <c r="M27" s="18"/>
      <c r="N27" s="3"/>
      <c r="O27" s="19"/>
      <c r="P27" s="6"/>
      <c r="Q27" s="6"/>
      <c r="R27" s="19"/>
      <c r="S27" s="12"/>
    </row>
    <row r="28" spans="1:19" ht="18" customHeight="1" x14ac:dyDescent="0.2">
      <c r="D28" s="17"/>
      <c r="E28" s="2"/>
      <c r="F28" s="2"/>
      <c r="G28" s="13"/>
      <c r="H28" s="49"/>
      <c r="I28" s="49"/>
      <c r="J28" s="33"/>
      <c r="K28" s="1"/>
      <c r="L28" s="13"/>
      <c r="M28" s="18"/>
      <c r="N28" s="3"/>
      <c r="O28" s="19"/>
      <c r="P28" s="6"/>
      <c r="Q28" s="6"/>
      <c r="R28" s="19"/>
      <c r="S28" s="12"/>
    </row>
    <row r="29" spans="1:19" ht="18" customHeight="1" x14ac:dyDescent="0.2">
      <c r="D29" s="17"/>
      <c r="E29" s="2"/>
      <c r="F29" s="2"/>
      <c r="G29" s="13"/>
      <c r="H29" s="49"/>
      <c r="I29" s="49"/>
      <c r="J29" s="33"/>
      <c r="K29" s="1"/>
      <c r="L29" s="13"/>
      <c r="M29" s="18"/>
      <c r="N29" s="3"/>
      <c r="O29" s="19"/>
      <c r="P29" s="6"/>
      <c r="Q29" s="6"/>
      <c r="R29" s="19"/>
      <c r="S29" s="12"/>
    </row>
    <row r="30" spans="1:19" ht="18" customHeight="1" x14ac:dyDescent="0.2">
      <c r="D30" s="17"/>
      <c r="E30" s="17"/>
      <c r="F30" s="17"/>
      <c r="G30" s="18" t="s">
        <v>23</v>
      </c>
      <c r="H30" s="15"/>
      <c r="I30" s="15"/>
      <c r="J30" s="15">
        <f>H30*I30</f>
        <v>0</v>
      </c>
      <c r="K30" s="11"/>
      <c r="L30" s="13" t="s">
        <v>24</v>
      </c>
      <c r="M30" s="20"/>
      <c r="N30" s="17"/>
      <c r="O30" s="19"/>
      <c r="P30" s="20"/>
      <c r="Q30" s="17"/>
      <c r="R30" s="19"/>
      <c r="S30" s="12"/>
    </row>
    <row r="31" spans="1:19" ht="18" customHeight="1" x14ac:dyDescent="0.2">
      <c r="C31" s="58">
        <v>4</v>
      </c>
      <c r="D31" s="45"/>
      <c r="E31" s="2"/>
      <c r="F31" s="2"/>
      <c r="G31" s="18" t="s">
        <v>24</v>
      </c>
      <c r="H31" s="15"/>
      <c r="I31" s="15">
        <v>5000</v>
      </c>
      <c r="J31" s="15">
        <f>H31*I31</f>
        <v>0</v>
      </c>
      <c r="K31" s="11"/>
      <c r="L31" s="13" t="s">
        <v>25</v>
      </c>
      <c r="M31" s="20"/>
      <c r="N31" s="17"/>
      <c r="O31" s="19"/>
      <c r="P31" s="20"/>
      <c r="Q31" s="17"/>
      <c r="R31" s="19"/>
      <c r="S31" s="6"/>
    </row>
    <row r="32" spans="1:19" ht="18" customHeight="1" x14ac:dyDescent="0.2">
      <c r="D32" s="17"/>
      <c r="E32" s="2"/>
      <c r="F32" s="2"/>
      <c r="G32" s="18" t="s">
        <v>25</v>
      </c>
      <c r="H32" s="15"/>
      <c r="I32" s="15"/>
      <c r="J32" s="15">
        <f>H32*I32</f>
        <v>0</v>
      </c>
      <c r="K32" s="11"/>
      <c r="L32" s="3"/>
      <c r="M32" s="20"/>
      <c r="N32" s="17"/>
      <c r="O32" s="17"/>
      <c r="P32" s="20"/>
      <c r="Q32" s="17"/>
      <c r="R32" s="6"/>
      <c r="S32" s="6"/>
    </row>
    <row r="33" spans="4:12" ht="18" customHeight="1" x14ac:dyDescent="0.2">
      <c r="D33" s="17"/>
      <c r="E33" s="2"/>
      <c r="F33" s="2"/>
      <c r="G33" s="82"/>
      <c r="H33" s="83"/>
      <c r="I33" s="83"/>
      <c r="J33" s="84"/>
      <c r="K33" s="4"/>
      <c r="L33" s="14"/>
    </row>
    <row r="34" spans="4:12" ht="18" customHeight="1" x14ac:dyDescent="0.2"/>
    <row r="35" spans="4:12" ht="18" customHeight="1" x14ac:dyDescent="0.2"/>
    <row r="36" spans="4:12" ht="18" customHeight="1" x14ac:dyDescent="0.2"/>
  </sheetData>
  <autoFilter ref="D8:Q36" xr:uid="{00000000-0009-0000-0000-000003000000}"/>
  <mergeCells count="10">
    <mergeCell ref="G33:J33"/>
    <mergeCell ref="E11:G11"/>
    <mergeCell ref="D5:F5"/>
    <mergeCell ref="I5:I6"/>
    <mergeCell ref="D6:F6"/>
    <mergeCell ref="D2:F2"/>
    <mergeCell ref="I2:K2"/>
    <mergeCell ref="D3:F3"/>
    <mergeCell ref="D4:F4"/>
    <mergeCell ref="J4:M4"/>
  </mergeCells>
  <phoneticPr fontId="9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9"/>
  <sheetViews>
    <sheetView view="pageBreakPreview" zoomScale="140" zoomScaleNormal="100" zoomScaleSheetLayoutView="140" workbookViewId="0">
      <selection activeCell="F16" sqref="F16"/>
    </sheetView>
  </sheetViews>
  <sheetFormatPr defaultColWidth="11.6640625" defaultRowHeight="13.5" customHeight="1" x14ac:dyDescent="0.2"/>
  <cols>
    <col min="1" max="1" width="12.109375" bestFit="1" customWidth="1"/>
    <col min="2" max="2" width="31.44140625" bestFit="1" customWidth="1"/>
    <col min="5" max="5" width="11.6640625" customWidth="1"/>
  </cols>
  <sheetData>
    <row r="1" spans="1:5" ht="13.5" customHeight="1" x14ac:dyDescent="0.2">
      <c r="A1" s="46"/>
      <c r="B1" s="21"/>
    </row>
    <row r="2" spans="1:5" ht="13.5" customHeight="1" x14ac:dyDescent="0.2">
      <c r="A2" s="46"/>
      <c r="B2" s="7"/>
      <c r="D2" s="29">
        <f t="shared" ref="D2:D17" si="0">B2*C2</f>
        <v>0</v>
      </c>
      <c r="E2">
        <v>3480</v>
      </c>
    </row>
    <row r="3" spans="1:5" ht="13.5" customHeight="1" x14ac:dyDescent="0.2">
      <c r="A3" s="46"/>
      <c r="B3" s="7"/>
      <c r="D3" s="29">
        <f t="shared" si="0"/>
        <v>0</v>
      </c>
      <c r="E3">
        <v>1160</v>
      </c>
    </row>
    <row r="4" spans="1:5" ht="13.5" customHeight="1" x14ac:dyDescent="0.2">
      <c r="A4" s="46"/>
      <c r="B4" s="8"/>
      <c r="D4" s="29">
        <f t="shared" si="0"/>
        <v>0</v>
      </c>
      <c r="E4">
        <v>640</v>
      </c>
    </row>
    <row r="5" spans="1:5" ht="13.5" customHeight="1" x14ac:dyDescent="0.2">
      <c r="A5" s="46"/>
      <c r="B5" s="8"/>
      <c r="D5" s="63">
        <f t="shared" si="0"/>
        <v>0</v>
      </c>
      <c r="E5">
        <v>160</v>
      </c>
    </row>
    <row r="6" spans="1:5" ht="13.5" customHeight="1" x14ac:dyDescent="0.2">
      <c r="A6" s="46"/>
      <c r="B6" s="8"/>
      <c r="D6" s="63">
        <f t="shared" si="0"/>
        <v>0</v>
      </c>
      <c r="E6">
        <v>180</v>
      </c>
    </row>
    <row r="7" spans="1:5" ht="13.5" customHeight="1" x14ac:dyDescent="0.2">
      <c r="A7" s="46"/>
      <c r="B7" s="8"/>
      <c r="D7" s="29">
        <f t="shared" si="0"/>
        <v>0</v>
      </c>
      <c r="E7">
        <v>7676</v>
      </c>
    </row>
    <row r="8" spans="1:5" ht="13.5" customHeight="1" x14ac:dyDescent="0.2">
      <c r="A8" s="46"/>
      <c r="B8" s="8"/>
      <c r="D8" s="29">
        <f t="shared" si="0"/>
        <v>0</v>
      </c>
      <c r="E8">
        <v>3260</v>
      </c>
    </row>
    <row r="9" spans="1:5" ht="13.5" customHeight="1" x14ac:dyDescent="0.2">
      <c r="A9" s="46"/>
      <c r="B9" s="8"/>
      <c r="D9" s="29">
        <f t="shared" si="0"/>
        <v>0</v>
      </c>
      <c r="E9">
        <v>400</v>
      </c>
    </row>
    <row r="10" spans="1:5" ht="13.5" customHeight="1" x14ac:dyDescent="0.2">
      <c r="A10" s="46"/>
      <c r="B10" s="8"/>
      <c r="D10" s="29">
        <f t="shared" si="0"/>
        <v>0</v>
      </c>
      <c r="E10">
        <v>560</v>
      </c>
    </row>
    <row r="11" spans="1:5" ht="13.5" customHeight="1" x14ac:dyDescent="0.2">
      <c r="A11" s="46"/>
      <c r="B11" s="8"/>
      <c r="D11" s="29">
        <f t="shared" si="0"/>
        <v>0</v>
      </c>
      <c r="E11">
        <v>620</v>
      </c>
    </row>
    <row r="12" spans="1:5" ht="13.5" customHeight="1" x14ac:dyDescent="0.2">
      <c r="A12" s="46"/>
      <c r="B12" s="8"/>
      <c r="D12" s="29">
        <f t="shared" si="0"/>
        <v>0</v>
      </c>
      <c r="E12">
        <v>976</v>
      </c>
    </row>
    <row r="13" spans="1:5" ht="13.5" customHeight="1" x14ac:dyDescent="0.2">
      <c r="A13" s="46"/>
      <c r="B13" s="8"/>
      <c r="D13" s="29">
        <f t="shared" si="0"/>
        <v>0</v>
      </c>
      <c r="E13">
        <v>5020</v>
      </c>
    </row>
    <row r="14" spans="1:5" ht="13.5" customHeight="1" x14ac:dyDescent="0.2">
      <c r="A14" s="46"/>
      <c r="B14" s="8"/>
      <c r="D14" s="29">
        <f t="shared" si="0"/>
        <v>0</v>
      </c>
      <c r="E14">
        <v>600</v>
      </c>
    </row>
    <row r="15" spans="1:5" ht="13.5" customHeight="1" x14ac:dyDescent="0.2">
      <c r="A15" s="46"/>
      <c r="B15" s="8"/>
      <c r="D15" s="29">
        <f t="shared" si="0"/>
        <v>0</v>
      </c>
      <c r="E15">
        <v>1760</v>
      </c>
    </row>
    <row r="16" spans="1:5" ht="13.5" customHeight="1" x14ac:dyDescent="0.2">
      <c r="A16" s="46"/>
      <c r="B16" s="8"/>
      <c r="D16" s="29">
        <f t="shared" si="0"/>
        <v>0</v>
      </c>
      <c r="E16">
        <v>1840</v>
      </c>
    </row>
    <row r="17" spans="1:12" ht="13.5" customHeight="1" x14ac:dyDescent="0.2">
      <c r="A17" s="46"/>
      <c r="B17" s="8"/>
      <c r="D17" s="29">
        <f t="shared" si="0"/>
        <v>0</v>
      </c>
      <c r="E17">
        <v>10982</v>
      </c>
    </row>
    <row r="18" spans="1:12" ht="13.5" customHeight="1" x14ac:dyDescent="0.2">
      <c r="A18" s="46"/>
      <c r="B18" s="8"/>
      <c r="D18" s="29"/>
    </row>
    <row r="19" spans="1:12" ht="13.5" customHeight="1" x14ac:dyDescent="0.2">
      <c r="A19" s="46"/>
      <c r="B19" s="8"/>
      <c r="D19" s="29"/>
    </row>
    <row r="20" spans="1:12" ht="13.5" customHeight="1" x14ac:dyDescent="0.2">
      <c r="A20" s="46"/>
      <c r="B20" s="8"/>
      <c r="D20" s="29"/>
    </row>
    <row r="21" spans="1:12" ht="13.5" customHeight="1" x14ac:dyDescent="0.2">
      <c r="A21" s="46"/>
      <c r="B21" s="8"/>
      <c r="D21" s="29"/>
    </row>
    <row r="22" spans="1:12" ht="13.5" customHeight="1" x14ac:dyDescent="0.2">
      <c r="A22" s="46"/>
      <c r="B22" s="8"/>
      <c r="D22" s="29">
        <f t="shared" ref="D22:D77" si="1">B22*C22</f>
        <v>0</v>
      </c>
      <c r="E22">
        <v>780</v>
      </c>
    </row>
    <row r="23" spans="1:12" ht="13.5" customHeight="1" x14ac:dyDescent="0.2">
      <c r="A23" s="46"/>
      <c r="B23" s="8"/>
      <c r="D23" s="29">
        <f t="shared" si="1"/>
        <v>0</v>
      </c>
      <c r="E23">
        <v>7000</v>
      </c>
    </row>
    <row r="24" spans="1:12" ht="13.5" customHeight="1" x14ac:dyDescent="0.2">
      <c r="A24" s="46"/>
      <c r="B24" s="8"/>
      <c r="D24" s="29">
        <f t="shared" si="1"/>
        <v>0</v>
      </c>
      <c r="E24">
        <v>5490</v>
      </c>
    </row>
    <row r="25" spans="1:12" ht="13.5" customHeight="1" x14ac:dyDescent="0.2">
      <c r="A25" s="46"/>
      <c r="B25" s="8"/>
      <c r="D25" s="29">
        <f t="shared" si="1"/>
        <v>0</v>
      </c>
      <c r="E25">
        <v>3994</v>
      </c>
    </row>
    <row r="26" spans="1:12" ht="13.5" customHeight="1" x14ac:dyDescent="0.2">
      <c r="A26" s="46"/>
      <c r="B26" s="8"/>
      <c r="C26" s="8"/>
      <c r="D26" s="29">
        <f t="shared" si="1"/>
        <v>0</v>
      </c>
      <c r="E26" s="8">
        <v>2780</v>
      </c>
      <c r="F26" s="8"/>
      <c r="G26" s="8"/>
      <c r="H26" s="8"/>
      <c r="I26" s="8"/>
      <c r="J26" s="8"/>
      <c r="K26" s="8"/>
      <c r="L26" s="8"/>
    </row>
    <row r="27" spans="1:12" ht="13.5" customHeight="1" x14ac:dyDescent="0.2">
      <c r="A27" s="70"/>
      <c r="B27" s="8"/>
      <c r="C27" s="8"/>
      <c r="D27" s="29">
        <f t="shared" si="1"/>
        <v>0</v>
      </c>
      <c r="E27" s="8">
        <v>194</v>
      </c>
      <c r="F27" s="8"/>
      <c r="G27" s="8"/>
      <c r="H27" s="8"/>
      <c r="I27" s="8"/>
      <c r="J27" s="8"/>
      <c r="K27" s="8"/>
      <c r="L27" s="8"/>
    </row>
    <row r="28" spans="1:12" ht="13.5" customHeight="1" x14ac:dyDescent="0.2">
      <c r="A28" s="70"/>
      <c r="B28" s="8"/>
      <c r="C28" s="8"/>
      <c r="D28" s="29">
        <f t="shared" si="1"/>
        <v>0</v>
      </c>
      <c r="E28" s="8">
        <v>4740</v>
      </c>
      <c r="F28" s="8"/>
      <c r="G28" s="8"/>
      <c r="H28" s="8"/>
      <c r="I28" s="8"/>
      <c r="J28" s="8"/>
      <c r="K28" s="8"/>
      <c r="L28" s="8"/>
    </row>
    <row r="29" spans="1:12" ht="13.5" customHeight="1" x14ac:dyDescent="0.2">
      <c r="A29" s="70"/>
      <c r="B29" s="8"/>
      <c r="C29" s="8"/>
      <c r="D29" s="29">
        <f t="shared" si="1"/>
        <v>0</v>
      </c>
      <c r="E29" s="8">
        <v>3568</v>
      </c>
      <c r="F29" s="8"/>
      <c r="G29" s="8"/>
      <c r="H29" s="8"/>
      <c r="I29" s="8"/>
      <c r="J29" s="8"/>
      <c r="K29" s="8"/>
      <c r="L29" s="8"/>
    </row>
    <row r="30" spans="1:12" ht="13.5" customHeight="1" x14ac:dyDescent="0.2">
      <c r="A30" s="70"/>
      <c r="B30" s="8"/>
      <c r="C30" s="8"/>
      <c r="D30" s="29">
        <f t="shared" si="1"/>
        <v>0</v>
      </c>
      <c r="E30" s="8">
        <v>3620</v>
      </c>
      <c r="F30" s="8"/>
      <c r="G30" s="8"/>
      <c r="H30" s="8"/>
      <c r="I30" s="8"/>
      <c r="J30" s="8"/>
      <c r="K30" s="8"/>
      <c r="L30" s="8"/>
    </row>
    <row r="31" spans="1:12" ht="13.5" customHeight="1" x14ac:dyDescent="0.2">
      <c r="A31" s="70"/>
      <c r="B31" s="8"/>
      <c r="C31" s="8"/>
      <c r="D31" s="29">
        <f t="shared" si="1"/>
        <v>0</v>
      </c>
      <c r="E31" s="8">
        <v>368</v>
      </c>
      <c r="F31" s="8"/>
      <c r="G31" s="8"/>
      <c r="H31" s="8"/>
      <c r="I31" s="8"/>
      <c r="J31" s="8"/>
      <c r="K31" s="8"/>
      <c r="L31" s="8"/>
    </row>
    <row r="32" spans="1:12" ht="13.5" customHeight="1" x14ac:dyDescent="0.2">
      <c r="A32" s="70"/>
      <c r="B32" s="8"/>
      <c r="C32" s="8"/>
      <c r="D32" s="29">
        <f t="shared" si="1"/>
        <v>0</v>
      </c>
      <c r="E32" s="8">
        <v>512</v>
      </c>
      <c r="F32" s="8"/>
      <c r="G32" s="8"/>
      <c r="H32" s="8"/>
      <c r="I32" s="8"/>
      <c r="J32" s="8"/>
      <c r="K32" s="8"/>
      <c r="L32" s="8"/>
    </row>
    <row r="33" spans="1:12" ht="13.5" customHeight="1" x14ac:dyDescent="0.2">
      <c r="A33" s="70"/>
      <c r="B33" s="8"/>
      <c r="C33" s="8"/>
      <c r="D33" s="29">
        <f t="shared" si="1"/>
        <v>0</v>
      </c>
      <c r="E33" s="8">
        <v>512</v>
      </c>
      <c r="F33" s="8"/>
      <c r="G33" s="8"/>
      <c r="H33" s="8"/>
      <c r="I33" s="8"/>
      <c r="J33" s="8"/>
      <c r="K33" s="8"/>
      <c r="L33" s="8"/>
    </row>
    <row r="34" spans="1:12" ht="13.5" customHeight="1" x14ac:dyDescent="0.2">
      <c r="A34" s="70"/>
      <c r="B34" s="8"/>
      <c r="C34" s="8"/>
      <c r="D34" s="29">
        <f t="shared" si="1"/>
        <v>0</v>
      </c>
      <c r="E34" s="8">
        <v>512</v>
      </c>
      <c r="F34" s="8"/>
      <c r="G34" s="8"/>
      <c r="H34" s="8"/>
      <c r="I34" s="8"/>
      <c r="J34" s="8"/>
      <c r="K34" s="8"/>
      <c r="L34" s="8"/>
    </row>
    <row r="35" spans="1:12" ht="13.5" customHeight="1" x14ac:dyDescent="0.2">
      <c r="A35" s="70"/>
      <c r="B35" s="8"/>
      <c r="C35" s="8"/>
      <c r="D35" s="29">
        <f t="shared" si="1"/>
        <v>0</v>
      </c>
      <c r="E35" s="8">
        <v>768</v>
      </c>
      <c r="F35" s="8"/>
      <c r="G35" s="8"/>
      <c r="H35" s="8"/>
      <c r="I35" s="8"/>
      <c r="J35" s="8"/>
      <c r="K35" s="8"/>
      <c r="L35" s="8"/>
    </row>
    <row r="36" spans="1:12" ht="13.5" customHeight="1" x14ac:dyDescent="0.2">
      <c r="A36" s="70"/>
      <c r="B36" s="8"/>
      <c r="C36" s="8"/>
      <c r="D36" s="29">
        <f t="shared" si="1"/>
        <v>0</v>
      </c>
      <c r="E36" s="8">
        <v>303</v>
      </c>
      <c r="F36" s="8"/>
      <c r="G36" s="8"/>
      <c r="H36" s="8"/>
      <c r="I36" s="8"/>
      <c r="J36" s="8"/>
      <c r="K36" s="8"/>
      <c r="L36" s="8"/>
    </row>
    <row r="37" spans="1:12" ht="13.5" customHeight="1" x14ac:dyDescent="0.2">
      <c r="A37" s="70"/>
      <c r="B37" s="8"/>
      <c r="C37" s="8"/>
      <c r="D37" s="29">
        <f t="shared" si="1"/>
        <v>0</v>
      </c>
      <c r="E37" s="8">
        <v>9140</v>
      </c>
      <c r="F37" s="8"/>
      <c r="G37" s="8"/>
      <c r="H37" s="8"/>
      <c r="I37" s="8"/>
      <c r="J37" s="8"/>
      <c r="K37" s="8"/>
      <c r="L37" s="8"/>
    </row>
    <row r="38" spans="1:12" ht="13.5" customHeight="1" x14ac:dyDescent="0.2">
      <c r="A38" s="70"/>
      <c r="B38" s="8"/>
      <c r="C38" s="8"/>
      <c r="D38" s="29">
        <f t="shared" si="1"/>
        <v>0</v>
      </c>
      <c r="E38" s="8">
        <v>1108</v>
      </c>
      <c r="F38" s="8"/>
      <c r="G38" s="8"/>
      <c r="H38" s="8"/>
      <c r="I38" s="8"/>
      <c r="J38" s="8"/>
      <c r="K38" s="8"/>
      <c r="L38" s="8"/>
    </row>
    <row r="39" spans="1:12" ht="13.5" customHeight="1" x14ac:dyDescent="0.2">
      <c r="A39" s="70"/>
      <c r="B39" s="8"/>
      <c r="C39" s="8"/>
      <c r="D39" s="29">
        <f t="shared" si="1"/>
        <v>0</v>
      </c>
      <c r="E39" s="8">
        <v>1290</v>
      </c>
      <c r="F39" s="8"/>
      <c r="G39" s="8"/>
      <c r="H39" s="8"/>
      <c r="I39" s="8"/>
      <c r="J39" s="8"/>
      <c r="K39" s="8"/>
      <c r="L39" s="8"/>
    </row>
    <row r="40" spans="1:12" ht="13.5" customHeight="1" x14ac:dyDescent="0.2">
      <c r="B40" s="8"/>
      <c r="C40" s="8"/>
      <c r="D40" s="29">
        <f t="shared" si="1"/>
        <v>0</v>
      </c>
      <c r="E40" s="8">
        <v>4158</v>
      </c>
      <c r="F40" s="8"/>
      <c r="G40" s="8"/>
      <c r="H40" s="8"/>
      <c r="I40" s="8"/>
      <c r="J40" s="8"/>
      <c r="K40" s="8"/>
      <c r="L40" s="8"/>
    </row>
    <row r="41" spans="1:12" ht="13.5" customHeight="1" x14ac:dyDescent="0.2">
      <c r="B41" s="8"/>
      <c r="C41" s="8"/>
      <c r="D41" s="29">
        <f t="shared" si="1"/>
        <v>0</v>
      </c>
      <c r="E41" s="8">
        <v>60</v>
      </c>
      <c r="F41" s="8"/>
      <c r="G41" s="8"/>
      <c r="H41" s="8"/>
      <c r="I41" s="8"/>
      <c r="J41" s="8"/>
      <c r="K41" s="8"/>
      <c r="L41" s="8"/>
    </row>
    <row r="42" spans="1:12" ht="13.5" customHeight="1" x14ac:dyDescent="0.2">
      <c r="B42" s="8"/>
      <c r="C42" s="8"/>
      <c r="D42" s="29">
        <f t="shared" si="1"/>
        <v>0</v>
      </c>
      <c r="E42" s="8">
        <v>660</v>
      </c>
      <c r="F42" s="8"/>
      <c r="G42" s="8"/>
      <c r="H42" s="8"/>
      <c r="I42" s="8"/>
      <c r="J42" s="8"/>
      <c r="K42" s="8"/>
      <c r="L42" s="8"/>
    </row>
    <row r="43" spans="1:12" ht="13.5" customHeight="1" x14ac:dyDescent="0.2">
      <c r="B43" s="8"/>
      <c r="C43" s="8"/>
      <c r="D43" s="29">
        <f t="shared" si="1"/>
        <v>0</v>
      </c>
      <c r="E43" s="8">
        <v>632</v>
      </c>
      <c r="F43" s="8"/>
      <c r="G43" s="8"/>
      <c r="H43" s="8"/>
      <c r="I43" s="8"/>
      <c r="J43" s="8"/>
      <c r="K43" s="8"/>
      <c r="L43" s="8"/>
    </row>
    <row r="44" spans="1:12" ht="13.5" customHeight="1" x14ac:dyDescent="0.2">
      <c r="B44" s="8"/>
      <c r="C44" s="8"/>
      <c r="D44" s="29">
        <f t="shared" si="1"/>
        <v>0</v>
      </c>
      <c r="E44" s="8">
        <v>26226</v>
      </c>
      <c r="F44" s="8"/>
      <c r="G44" s="8"/>
      <c r="H44" s="8"/>
      <c r="I44" s="8"/>
      <c r="J44" s="8"/>
      <c r="K44" s="8"/>
      <c r="L44" s="8"/>
    </row>
    <row r="45" spans="1:12" ht="13.5" customHeight="1" x14ac:dyDescent="0.2">
      <c r="B45" s="8"/>
      <c r="C45" s="8"/>
      <c r="D45" s="29">
        <f t="shared" si="1"/>
        <v>0</v>
      </c>
      <c r="E45" s="8">
        <v>22862</v>
      </c>
      <c r="F45" s="8"/>
      <c r="G45" s="8"/>
      <c r="H45" s="8"/>
      <c r="I45" s="8"/>
      <c r="J45" s="8"/>
      <c r="K45" s="8"/>
      <c r="L45" s="8"/>
    </row>
    <row r="46" spans="1:12" ht="13.5" customHeight="1" x14ac:dyDescent="0.2">
      <c r="B46" s="8"/>
      <c r="C46" s="8"/>
      <c r="D46" s="29">
        <f t="shared" si="1"/>
        <v>0</v>
      </c>
      <c r="E46" s="8">
        <v>10374</v>
      </c>
      <c r="F46" s="8"/>
      <c r="G46" s="8"/>
      <c r="H46" s="8"/>
      <c r="I46" s="8"/>
      <c r="J46" s="8"/>
      <c r="K46" s="8"/>
      <c r="L46" s="8"/>
    </row>
    <row r="47" spans="1:12" ht="13.5" customHeight="1" x14ac:dyDescent="0.2">
      <c r="B47" s="8"/>
      <c r="C47" s="8"/>
      <c r="D47" s="29">
        <f t="shared" si="1"/>
        <v>0</v>
      </c>
      <c r="E47" s="8">
        <v>288</v>
      </c>
      <c r="F47" s="8"/>
      <c r="G47" s="8"/>
      <c r="H47" s="8"/>
      <c r="I47" s="8"/>
      <c r="J47" s="8"/>
      <c r="K47" s="8"/>
      <c r="L47" s="8"/>
    </row>
    <row r="48" spans="1:12" ht="13.5" customHeight="1" x14ac:dyDescent="0.2">
      <c r="B48" s="8"/>
      <c r="C48" s="8"/>
      <c r="D48" s="29">
        <f t="shared" si="1"/>
        <v>0</v>
      </c>
      <c r="E48" s="8">
        <v>648</v>
      </c>
      <c r="F48" s="8"/>
      <c r="G48" s="8"/>
      <c r="H48" s="8"/>
      <c r="I48" s="8"/>
      <c r="J48" s="8"/>
      <c r="K48" s="8"/>
      <c r="L48" s="8"/>
    </row>
    <row r="49" spans="2:12" ht="13.5" customHeight="1" x14ac:dyDescent="0.2">
      <c r="B49" s="8"/>
      <c r="C49" s="8"/>
      <c r="D49" s="29">
        <f t="shared" si="1"/>
        <v>0</v>
      </c>
      <c r="E49" s="8">
        <v>124</v>
      </c>
      <c r="F49" s="8"/>
      <c r="G49" s="8"/>
      <c r="H49" s="8"/>
      <c r="I49" s="8"/>
      <c r="J49" s="8"/>
      <c r="K49" s="8"/>
      <c r="L49" s="8"/>
    </row>
    <row r="50" spans="2:12" ht="13.5" customHeight="1" x14ac:dyDescent="0.2">
      <c r="B50" s="8"/>
      <c r="C50" s="8"/>
      <c r="D50" s="29">
        <f t="shared" si="1"/>
        <v>0</v>
      </c>
      <c r="E50" s="8">
        <v>384</v>
      </c>
      <c r="F50" s="8"/>
      <c r="G50" s="8"/>
      <c r="H50" s="8"/>
      <c r="I50" s="8"/>
      <c r="J50" s="8"/>
      <c r="K50" s="8"/>
      <c r="L50" s="8"/>
    </row>
    <row r="51" spans="2:12" ht="13.5" customHeight="1" x14ac:dyDescent="0.2">
      <c r="B51" s="8"/>
      <c r="C51" s="8"/>
      <c r="D51" s="29">
        <f t="shared" si="1"/>
        <v>0</v>
      </c>
      <c r="E51" s="8">
        <v>5070</v>
      </c>
      <c r="F51" s="8"/>
      <c r="G51" s="8"/>
      <c r="H51" s="8"/>
      <c r="I51" s="8"/>
      <c r="J51" s="8"/>
      <c r="K51" s="8"/>
      <c r="L51" s="8"/>
    </row>
    <row r="52" spans="2:12" ht="13.5" customHeight="1" x14ac:dyDescent="0.2">
      <c r="B52" s="8"/>
      <c r="C52" s="8"/>
      <c r="D52" s="29">
        <f t="shared" si="1"/>
        <v>0</v>
      </c>
      <c r="E52" s="8">
        <v>60</v>
      </c>
      <c r="F52" s="8"/>
      <c r="G52" s="8"/>
      <c r="H52" s="8"/>
      <c r="I52" s="8"/>
      <c r="J52" s="8"/>
      <c r="K52" s="8"/>
      <c r="L52" s="8"/>
    </row>
    <row r="53" spans="2:12" ht="13.5" customHeight="1" x14ac:dyDescent="0.2">
      <c r="B53" s="8"/>
      <c r="C53" s="8"/>
      <c r="D53" s="29">
        <f t="shared" si="1"/>
        <v>0</v>
      </c>
      <c r="E53" s="8">
        <v>660</v>
      </c>
      <c r="F53" s="8"/>
      <c r="G53" s="8"/>
      <c r="H53" s="8"/>
      <c r="I53" s="8"/>
      <c r="J53" s="8"/>
      <c r="K53" s="8"/>
      <c r="L53" s="8"/>
    </row>
    <row r="54" spans="2:12" ht="13.5" customHeight="1" x14ac:dyDescent="0.2">
      <c r="B54" s="8"/>
      <c r="C54" s="8"/>
      <c r="D54" s="29">
        <f t="shared" si="1"/>
        <v>0</v>
      </c>
      <c r="E54" s="8">
        <v>432</v>
      </c>
      <c r="F54" s="8"/>
      <c r="G54" s="8"/>
      <c r="H54" s="8"/>
      <c r="I54" s="8"/>
      <c r="J54" s="8"/>
      <c r="K54" s="8"/>
      <c r="L54" s="8"/>
    </row>
    <row r="55" spans="2:12" ht="13.5" customHeight="1" x14ac:dyDescent="0.2">
      <c r="B55" s="8"/>
      <c r="C55" s="8"/>
      <c r="D55" s="29">
        <f t="shared" si="1"/>
        <v>0</v>
      </c>
      <c r="E55" s="8">
        <v>628</v>
      </c>
      <c r="F55" s="8"/>
      <c r="G55" s="8"/>
      <c r="H55" s="8"/>
      <c r="I55" s="8"/>
      <c r="J55" s="8"/>
      <c r="K55" s="8"/>
      <c r="L55" s="8"/>
    </row>
    <row r="56" spans="2:12" ht="13.5" customHeight="1" x14ac:dyDescent="0.2">
      <c r="D56" s="29">
        <f t="shared" si="1"/>
        <v>0</v>
      </c>
      <c r="E56">
        <v>6371</v>
      </c>
    </row>
    <row r="57" spans="2:12" ht="13.5" customHeight="1" x14ac:dyDescent="0.2">
      <c r="D57" s="29">
        <f t="shared" si="1"/>
        <v>0</v>
      </c>
      <c r="E57">
        <v>60</v>
      </c>
    </row>
    <row r="58" spans="2:12" ht="13.5" customHeight="1" x14ac:dyDescent="0.2">
      <c r="D58" s="29">
        <f t="shared" si="1"/>
        <v>0</v>
      </c>
      <c r="E58">
        <v>384</v>
      </c>
    </row>
    <row r="59" spans="2:12" ht="13.5" customHeight="1" x14ac:dyDescent="0.2">
      <c r="D59" s="29">
        <f t="shared" si="1"/>
        <v>0</v>
      </c>
      <c r="E59">
        <v>432</v>
      </c>
    </row>
    <row r="60" spans="2:12" ht="13.5" customHeight="1" x14ac:dyDescent="0.2">
      <c r="D60" s="29">
        <f t="shared" si="1"/>
        <v>0</v>
      </c>
      <c r="E60">
        <v>6371</v>
      </c>
    </row>
    <row r="61" spans="2:12" ht="13.5" customHeight="1" x14ac:dyDescent="0.2">
      <c r="D61" s="29">
        <f t="shared" si="1"/>
        <v>0</v>
      </c>
      <c r="E61">
        <v>60</v>
      </c>
    </row>
    <row r="62" spans="2:12" ht="13.5" customHeight="1" x14ac:dyDescent="0.2">
      <c r="D62" s="29">
        <f t="shared" si="1"/>
        <v>0</v>
      </c>
      <c r="E62">
        <v>384</v>
      </c>
    </row>
    <row r="63" spans="2:12" ht="13.5" customHeight="1" x14ac:dyDescent="0.2">
      <c r="D63" s="29">
        <f t="shared" si="1"/>
        <v>0</v>
      </c>
      <c r="E63">
        <v>432</v>
      </c>
    </row>
    <row r="64" spans="2:12" ht="13.5" customHeight="1" x14ac:dyDescent="0.2">
      <c r="D64" s="29">
        <f t="shared" si="1"/>
        <v>0</v>
      </c>
      <c r="E64">
        <v>512</v>
      </c>
    </row>
    <row r="65" spans="4:5" ht="13.5" customHeight="1" x14ac:dyDescent="0.2">
      <c r="D65" s="29">
        <f t="shared" si="1"/>
        <v>0</v>
      </c>
      <c r="E65">
        <v>220</v>
      </c>
    </row>
    <row r="66" spans="4:5" ht="13.5" customHeight="1" x14ac:dyDescent="0.2">
      <c r="D66" s="29">
        <f t="shared" si="1"/>
        <v>0</v>
      </c>
      <c r="E66">
        <v>540</v>
      </c>
    </row>
    <row r="67" spans="4:5" ht="13.5" customHeight="1" x14ac:dyDescent="0.2">
      <c r="D67" s="29">
        <f t="shared" si="1"/>
        <v>0</v>
      </c>
      <c r="E67">
        <v>1240</v>
      </c>
    </row>
    <row r="68" spans="4:5" ht="13.5" customHeight="1" x14ac:dyDescent="0.2">
      <c r="D68" s="29">
        <f t="shared" si="1"/>
        <v>0</v>
      </c>
      <c r="E68">
        <v>2060</v>
      </c>
    </row>
    <row r="69" spans="4:5" ht="13.5" customHeight="1" x14ac:dyDescent="0.2">
      <c r="D69" s="29">
        <f t="shared" si="1"/>
        <v>0</v>
      </c>
      <c r="E69">
        <v>240</v>
      </c>
    </row>
    <row r="70" spans="4:5" ht="13.5" customHeight="1" x14ac:dyDescent="0.2">
      <c r="D70" s="69">
        <f t="shared" si="1"/>
        <v>0</v>
      </c>
      <c r="E70">
        <v>3602</v>
      </c>
    </row>
    <row r="71" spans="4:5" ht="13.5" customHeight="1" x14ac:dyDescent="0.2">
      <c r="D71" s="69">
        <f t="shared" si="1"/>
        <v>0</v>
      </c>
      <c r="E71">
        <v>958</v>
      </c>
    </row>
    <row r="72" spans="4:5" ht="13.5" customHeight="1" x14ac:dyDescent="0.2">
      <c r="D72" s="69">
        <f t="shared" si="1"/>
        <v>0</v>
      </c>
      <c r="E72">
        <v>678</v>
      </c>
    </row>
    <row r="73" spans="4:5" ht="13.5" customHeight="1" x14ac:dyDescent="0.2">
      <c r="D73" s="69">
        <f t="shared" si="1"/>
        <v>0</v>
      </c>
      <c r="E73">
        <v>524</v>
      </c>
    </row>
    <row r="74" spans="4:5" ht="13.5" customHeight="1" x14ac:dyDescent="0.2">
      <c r="D74" s="69">
        <f t="shared" si="1"/>
        <v>0</v>
      </c>
      <c r="E74">
        <v>628</v>
      </c>
    </row>
    <row r="75" spans="4:5" ht="13.5" customHeight="1" x14ac:dyDescent="0.2">
      <c r="D75" s="69">
        <f t="shared" si="1"/>
        <v>0</v>
      </c>
      <c r="E75">
        <v>330</v>
      </c>
    </row>
    <row r="76" spans="4:5" ht="13.5" customHeight="1" x14ac:dyDescent="0.2">
      <c r="D76" s="69">
        <f t="shared" si="1"/>
        <v>0</v>
      </c>
      <c r="E76">
        <v>1968</v>
      </c>
    </row>
    <row r="77" spans="4:5" ht="13.5" customHeight="1" x14ac:dyDescent="0.2">
      <c r="D77" s="69">
        <f t="shared" si="1"/>
        <v>0</v>
      </c>
      <c r="E77">
        <v>58</v>
      </c>
    </row>
    <row r="78" spans="4:5" ht="13.5" customHeight="1" x14ac:dyDescent="0.2">
      <c r="D78" s="24"/>
    </row>
    <row r="79" spans="4:5" ht="13.5" customHeight="1" x14ac:dyDescent="0.2">
      <c r="D79" s="24"/>
    </row>
  </sheetData>
  <phoneticPr fontId="9"/>
  <printOptions horizontalCentered="1" verticalCentered="1" gridLines="1"/>
  <pageMargins left="0.70866141732283472" right="0.70866141732283472" top="0.74803149606299213" bottom="0.74803149606299213" header="0.31496062992125984" footer="0.31496062992125984"/>
  <pageSetup paperSize="9" scale="287"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2:D79"/>
  <sheetViews>
    <sheetView topLeftCell="A66" workbookViewId="0">
      <selection activeCell="H23" sqref="H23"/>
    </sheetView>
  </sheetViews>
  <sheetFormatPr defaultColWidth="11.77734375" defaultRowHeight="13.5" customHeight="1" x14ac:dyDescent="0.2"/>
  <sheetData>
    <row r="2" spans="4:4" ht="13.5" customHeight="1" x14ac:dyDescent="0.2">
      <c r="D2">
        <v>3480</v>
      </c>
    </row>
    <row r="3" spans="4:4" ht="13.5" customHeight="1" x14ac:dyDescent="0.2">
      <c r="D3">
        <v>1160</v>
      </c>
    </row>
    <row r="4" spans="4:4" ht="13.5" customHeight="1" x14ac:dyDescent="0.2">
      <c r="D4">
        <v>640</v>
      </c>
    </row>
    <row r="5" spans="4:4" ht="13.5" customHeight="1" x14ac:dyDescent="0.2">
      <c r="D5">
        <v>160</v>
      </c>
    </row>
    <row r="6" spans="4:4" ht="13.5" customHeight="1" x14ac:dyDescent="0.2">
      <c r="D6">
        <v>180</v>
      </c>
    </row>
    <row r="7" spans="4:4" ht="13.5" customHeight="1" x14ac:dyDescent="0.2">
      <c r="D7">
        <v>7676</v>
      </c>
    </row>
    <row r="8" spans="4:4" ht="13.5" customHeight="1" x14ac:dyDescent="0.2">
      <c r="D8">
        <v>3260</v>
      </c>
    </row>
    <row r="9" spans="4:4" ht="13.5" customHeight="1" x14ac:dyDescent="0.2">
      <c r="D9">
        <v>400</v>
      </c>
    </row>
    <row r="10" spans="4:4" ht="13.5" customHeight="1" x14ac:dyDescent="0.2">
      <c r="D10">
        <v>560</v>
      </c>
    </row>
    <row r="11" spans="4:4" ht="13.5" customHeight="1" x14ac:dyDescent="0.2">
      <c r="D11">
        <v>620</v>
      </c>
    </row>
    <row r="12" spans="4:4" ht="13.5" customHeight="1" x14ac:dyDescent="0.2">
      <c r="D12">
        <v>976</v>
      </c>
    </row>
    <row r="13" spans="4:4" ht="13.5" customHeight="1" x14ac:dyDescent="0.2">
      <c r="D13">
        <v>5020</v>
      </c>
    </row>
    <row r="14" spans="4:4" ht="13.5" customHeight="1" x14ac:dyDescent="0.2">
      <c r="D14">
        <v>600</v>
      </c>
    </row>
    <row r="15" spans="4:4" ht="13.5" customHeight="1" x14ac:dyDescent="0.2">
      <c r="D15">
        <v>1760</v>
      </c>
    </row>
    <row r="16" spans="4:4" ht="13.5" customHeight="1" x14ac:dyDescent="0.2">
      <c r="D16">
        <v>1840</v>
      </c>
    </row>
    <row r="17" spans="4:4" ht="13.5" customHeight="1" x14ac:dyDescent="0.2">
      <c r="D17">
        <v>10982</v>
      </c>
    </row>
    <row r="22" spans="4:4" ht="13.5" customHeight="1" x14ac:dyDescent="0.2">
      <c r="D22">
        <v>780</v>
      </c>
    </row>
    <row r="23" spans="4:4" ht="13.5" customHeight="1" x14ac:dyDescent="0.2">
      <c r="D23">
        <v>7000</v>
      </c>
    </row>
    <row r="24" spans="4:4" ht="13.5" customHeight="1" x14ac:dyDescent="0.2">
      <c r="D24">
        <v>5490</v>
      </c>
    </row>
    <row r="25" spans="4:4" ht="13.5" customHeight="1" x14ac:dyDescent="0.2">
      <c r="D25">
        <v>3994</v>
      </c>
    </row>
    <row r="26" spans="4:4" ht="13.5" customHeight="1" x14ac:dyDescent="0.2">
      <c r="D26">
        <v>2780</v>
      </c>
    </row>
    <row r="27" spans="4:4" ht="13.5" customHeight="1" x14ac:dyDescent="0.2">
      <c r="D27">
        <v>194</v>
      </c>
    </row>
    <row r="28" spans="4:4" ht="13.5" customHeight="1" x14ac:dyDescent="0.2">
      <c r="D28">
        <v>4740</v>
      </c>
    </row>
    <row r="29" spans="4:4" ht="13.5" customHeight="1" x14ac:dyDescent="0.2">
      <c r="D29">
        <v>3568</v>
      </c>
    </row>
    <row r="30" spans="4:4" ht="13.5" customHeight="1" x14ac:dyDescent="0.2">
      <c r="D30">
        <v>3620</v>
      </c>
    </row>
    <row r="31" spans="4:4" ht="13.5" customHeight="1" x14ac:dyDescent="0.2">
      <c r="D31">
        <v>368</v>
      </c>
    </row>
    <row r="32" spans="4:4" ht="13.5" customHeight="1" x14ac:dyDescent="0.2">
      <c r="D32">
        <v>512</v>
      </c>
    </row>
    <row r="33" spans="4:4" ht="13.5" customHeight="1" x14ac:dyDescent="0.2">
      <c r="D33">
        <v>512</v>
      </c>
    </row>
    <row r="34" spans="4:4" ht="13.5" customHeight="1" x14ac:dyDescent="0.2">
      <c r="D34">
        <v>512</v>
      </c>
    </row>
    <row r="35" spans="4:4" ht="13.5" customHeight="1" x14ac:dyDescent="0.2">
      <c r="D35">
        <v>768</v>
      </c>
    </row>
    <row r="36" spans="4:4" ht="13.5" customHeight="1" x14ac:dyDescent="0.2">
      <c r="D36">
        <v>303</v>
      </c>
    </row>
    <row r="37" spans="4:4" ht="13.5" customHeight="1" x14ac:dyDescent="0.2">
      <c r="D37">
        <v>9140</v>
      </c>
    </row>
    <row r="38" spans="4:4" ht="13.5" customHeight="1" x14ac:dyDescent="0.2">
      <c r="D38">
        <v>1108</v>
      </c>
    </row>
    <row r="39" spans="4:4" ht="13.5" customHeight="1" x14ac:dyDescent="0.2">
      <c r="D39">
        <v>1290</v>
      </c>
    </row>
    <row r="40" spans="4:4" ht="13.5" customHeight="1" x14ac:dyDescent="0.2">
      <c r="D40">
        <v>4158</v>
      </c>
    </row>
    <row r="41" spans="4:4" ht="13.5" customHeight="1" x14ac:dyDescent="0.2">
      <c r="D41">
        <v>60</v>
      </c>
    </row>
    <row r="42" spans="4:4" ht="13.5" customHeight="1" x14ac:dyDescent="0.2">
      <c r="D42">
        <v>660</v>
      </c>
    </row>
    <row r="43" spans="4:4" ht="13.5" customHeight="1" x14ac:dyDescent="0.2">
      <c r="D43">
        <v>632</v>
      </c>
    </row>
    <row r="44" spans="4:4" ht="13.5" customHeight="1" x14ac:dyDescent="0.2">
      <c r="D44">
        <v>26226</v>
      </c>
    </row>
    <row r="45" spans="4:4" ht="13.5" customHeight="1" x14ac:dyDescent="0.2">
      <c r="D45">
        <v>22862</v>
      </c>
    </row>
    <row r="46" spans="4:4" ht="13.5" customHeight="1" x14ac:dyDescent="0.2">
      <c r="D46">
        <v>10374</v>
      </c>
    </row>
    <row r="47" spans="4:4" ht="13.5" customHeight="1" x14ac:dyDescent="0.2">
      <c r="D47">
        <v>288</v>
      </c>
    </row>
    <row r="48" spans="4:4" ht="13.5" customHeight="1" x14ac:dyDescent="0.2">
      <c r="D48">
        <v>648</v>
      </c>
    </row>
    <row r="49" spans="4:4" ht="13.5" customHeight="1" x14ac:dyDescent="0.2">
      <c r="D49">
        <v>124</v>
      </c>
    </row>
    <row r="50" spans="4:4" ht="13.5" customHeight="1" x14ac:dyDescent="0.2">
      <c r="D50">
        <v>384</v>
      </c>
    </row>
    <row r="51" spans="4:4" ht="13.5" customHeight="1" x14ac:dyDescent="0.2">
      <c r="D51">
        <v>5070</v>
      </c>
    </row>
    <row r="52" spans="4:4" ht="13.5" customHeight="1" x14ac:dyDescent="0.2">
      <c r="D52">
        <v>60</v>
      </c>
    </row>
    <row r="53" spans="4:4" ht="13.5" customHeight="1" x14ac:dyDescent="0.2">
      <c r="D53">
        <v>660</v>
      </c>
    </row>
    <row r="54" spans="4:4" ht="13.5" customHeight="1" x14ac:dyDescent="0.2">
      <c r="D54">
        <v>432</v>
      </c>
    </row>
    <row r="55" spans="4:4" ht="13.5" customHeight="1" x14ac:dyDescent="0.2">
      <c r="D55">
        <v>628</v>
      </c>
    </row>
    <row r="56" spans="4:4" ht="13.5" customHeight="1" x14ac:dyDescent="0.2">
      <c r="D56">
        <v>6371</v>
      </c>
    </row>
    <row r="57" spans="4:4" ht="13.5" customHeight="1" x14ac:dyDescent="0.2">
      <c r="D57">
        <v>60</v>
      </c>
    </row>
    <row r="58" spans="4:4" ht="13.5" customHeight="1" x14ac:dyDescent="0.2">
      <c r="D58">
        <v>384</v>
      </c>
    </row>
    <row r="59" spans="4:4" ht="13.5" customHeight="1" x14ac:dyDescent="0.2">
      <c r="D59">
        <v>432</v>
      </c>
    </row>
    <row r="60" spans="4:4" ht="13.5" customHeight="1" x14ac:dyDescent="0.2">
      <c r="D60">
        <v>6371</v>
      </c>
    </row>
    <row r="61" spans="4:4" ht="13.5" customHeight="1" x14ac:dyDescent="0.2">
      <c r="D61">
        <v>60</v>
      </c>
    </row>
    <row r="62" spans="4:4" ht="13.5" customHeight="1" x14ac:dyDescent="0.2">
      <c r="D62">
        <v>384</v>
      </c>
    </row>
    <row r="63" spans="4:4" ht="13.5" customHeight="1" x14ac:dyDescent="0.2">
      <c r="D63">
        <v>432</v>
      </c>
    </row>
    <row r="64" spans="4:4" ht="13.5" customHeight="1" x14ac:dyDescent="0.2">
      <c r="D64">
        <v>512</v>
      </c>
    </row>
    <row r="65" spans="4:4" ht="13.5" customHeight="1" x14ac:dyDescent="0.2">
      <c r="D65">
        <v>220</v>
      </c>
    </row>
    <row r="66" spans="4:4" ht="13.5" customHeight="1" x14ac:dyDescent="0.2">
      <c r="D66">
        <v>540</v>
      </c>
    </row>
    <row r="67" spans="4:4" ht="13.5" customHeight="1" x14ac:dyDescent="0.2">
      <c r="D67">
        <v>1240</v>
      </c>
    </row>
    <row r="68" spans="4:4" ht="13.5" customHeight="1" x14ac:dyDescent="0.2">
      <c r="D68">
        <v>2060</v>
      </c>
    </row>
    <row r="69" spans="4:4" ht="13.5" customHeight="1" x14ac:dyDescent="0.2">
      <c r="D69">
        <v>240</v>
      </c>
    </row>
    <row r="70" spans="4:4" ht="13.5" customHeight="1" x14ac:dyDescent="0.2">
      <c r="D70">
        <v>3602</v>
      </c>
    </row>
    <row r="71" spans="4:4" ht="13.5" customHeight="1" x14ac:dyDescent="0.2">
      <c r="D71">
        <v>958</v>
      </c>
    </row>
    <row r="72" spans="4:4" ht="13.5" customHeight="1" x14ac:dyDescent="0.2">
      <c r="D72">
        <v>678</v>
      </c>
    </row>
    <row r="73" spans="4:4" ht="13.5" customHeight="1" x14ac:dyDescent="0.2">
      <c r="D73">
        <v>524</v>
      </c>
    </row>
    <row r="74" spans="4:4" ht="13.5" customHeight="1" x14ac:dyDescent="0.2">
      <c r="D74">
        <v>628</v>
      </c>
    </row>
    <row r="75" spans="4:4" ht="13.5" customHeight="1" x14ac:dyDescent="0.2">
      <c r="D75">
        <v>330</v>
      </c>
    </row>
    <row r="76" spans="4:4" ht="13.5" customHeight="1" x14ac:dyDescent="0.2">
      <c r="D76">
        <v>1968</v>
      </c>
    </row>
    <row r="77" spans="4:4" ht="13.5" customHeight="1" x14ac:dyDescent="0.2">
      <c r="D77">
        <v>58</v>
      </c>
    </row>
    <row r="79" spans="4:4" ht="13.5" customHeight="1" x14ac:dyDescent="0.2">
      <c r="D79">
        <f>SUM(D2:D78)</f>
        <v>187311</v>
      </c>
    </row>
  </sheetData>
  <phoneticPr fontId="9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SETB0242-A01　①原価一覧 (20250331)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齋藤 秀昭</cp:lastModifiedBy>
  <cp:lastPrinted>2025-01-27T09:45:53Z</cp:lastPrinted>
  <dcterms:created xsi:type="dcterms:W3CDTF">2016-05-16T08:05:24Z</dcterms:created>
  <dcterms:modified xsi:type="dcterms:W3CDTF">2025-04-03T02:31:01Z</dcterms:modified>
</cp:coreProperties>
</file>