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73C6CD8-E4A7-4AEE-90D1-EF2ECC5251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  20230512 (1式)" sheetId="6" r:id="rId1"/>
  </sheets>
  <definedNames>
    <definedName name="_xlnm._FilterDatabase" localSheetId="0" hidden="1">'原価表  20230512 (1式)'!$D$9:$Q$109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" i="6" l="1"/>
  <c r="J99" i="6"/>
  <c r="J60" i="6"/>
  <c r="J59" i="6"/>
  <c r="J104" i="6"/>
  <c r="J103" i="6"/>
  <c r="J102" i="6"/>
  <c r="J101" i="6"/>
  <c r="J98" i="6"/>
  <c r="J97" i="6"/>
  <c r="J80" i="6"/>
  <c r="J92" i="6"/>
  <c r="J82" i="6"/>
  <c r="J46" i="6"/>
  <c r="J40" i="6"/>
  <c r="J41" i="6"/>
  <c r="J42" i="6"/>
  <c r="J43" i="6"/>
  <c r="J44" i="6"/>
  <c r="J45" i="6"/>
  <c r="J35" i="6"/>
  <c r="J32" i="6"/>
  <c r="J38" i="6"/>
  <c r="J37" i="6"/>
  <c r="J34" i="6"/>
  <c r="J31" i="6"/>
  <c r="J29" i="6"/>
  <c r="J28" i="6"/>
  <c r="J26" i="6"/>
  <c r="J27" i="6"/>
  <c r="J17" i="6"/>
  <c r="J16" i="6"/>
  <c r="J25" i="6"/>
  <c r="J24" i="6"/>
  <c r="J23" i="6"/>
  <c r="J71" i="6"/>
  <c r="J70" i="6"/>
  <c r="J69" i="6"/>
  <c r="J68" i="6"/>
  <c r="J67" i="6"/>
  <c r="J66" i="6"/>
  <c r="J65" i="6"/>
  <c r="J64" i="6"/>
  <c r="J63" i="6"/>
  <c r="J62" i="6"/>
  <c r="J61" i="6"/>
  <c r="J58" i="6"/>
  <c r="J57" i="6"/>
  <c r="J56" i="6"/>
  <c r="J55" i="6"/>
  <c r="J54" i="6"/>
  <c r="J85" i="6"/>
  <c r="J81" i="6"/>
  <c r="J83" i="6"/>
  <c r="J84" i="6"/>
  <c r="D14" i="6"/>
  <c r="D15" i="6" s="1"/>
  <c r="D16" i="6" s="1"/>
  <c r="D17" i="6" s="1"/>
  <c r="D23" i="6" s="1"/>
  <c r="D24" i="6" s="1"/>
  <c r="D25" i="6" s="1"/>
  <c r="D26" i="6" s="1"/>
  <c r="D27" i="6" s="1"/>
  <c r="D28" i="6" s="1"/>
  <c r="D29" i="6" s="1"/>
  <c r="D31" i="6" s="1"/>
  <c r="D32" i="6" s="1"/>
  <c r="D34" i="6" s="1"/>
  <c r="D35" i="6" s="1"/>
  <c r="D37" i="6" s="1"/>
  <c r="D38" i="6" s="1"/>
  <c r="D40" i="6" s="1"/>
  <c r="D41" i="6" s="1"/>
  <c r="D42" i="6" s="1"/>
  <c r="D43" i="6" s="1"/>
  <c r="D44" i="6" s="1"/>
  <c r="D45" i="6" s="1"/>
  <c r="D46" i="6" s="1"/>
  <c r="D54" i="6" s="1"/>
  <c r="J79" i="6"/>
  <c r="J93" i="6"/>
  <c r="J94" i="6"/>
  <c r="J91" i="6"/>
  <c r="J90" i="6"/>
  <c r="J89" i="6"/>
  <c r="J88" i="6"/>
  <c r="J87" i="6"/>
  <c r="J86" i="6"/>
  <c r="J96" i="6"/>
  <c r="J95" i="6"/>
  <c r="J78" i="6"/>
  <c r="J15" i="6"/>
  <c r="J14" i="6"/>
  <c r="J131" i="6"/>
  <c r="J130" i="6"/>
  <c r="J129" i="6"/>
  <c r="J128" i="6"/>
  <c r="J127" i="6"/>
  <c r="J126" i="6"/>
  <c r="J13" i="6"/>
  <c r="G107" i="6" l="1"/>
  <c r="G48" i="6"/>
  <c r="G73" i="6"/>
  <c r="D55" i="6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G19" i="6"/>
  <c r="L2" i="6"/>
  <c r="D67" i="6" l="1"/>
  <c r="D68" i="6" s="1"/>
  <c r="D69" i="6" l="1"/>
  <c r="D70" i="6" l="1"/>
  <c r="D71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l="1"/>
  <c r="D98" i="6" s="1"/>
  <c r="D99" i="6" s="1"/>
  <c r="D100" i="6" s="1"/>
  <c r="D101" i="6" s="1"/>
  <c r="D102" i="6" s="1"/>
  <c r="D103" i="6" s="1"/>
  <c r="D104" i="6" s="1"/>
</calcChain>
</file>

<file path=xl/sharedStrings.xml><?xml version="1.0" encoding="utf-8"?>
<sst xmlns="http://schemas.openxmlformats.org/spreadsheetml/2006/main" count="387" uniqueCount="194">
  <si>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</si>
  <si>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</si>
  <si>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</si>
  <si>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</si>
  <si>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</si>
  <si>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</si>
  <si>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</si>
  <si>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</si>
  <si>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</si>
  <si>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</si>
  <si>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</si>
  <si>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</si>
  <si>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</si>
  <si>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</si>
  <si>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</si>
  <si>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</si>
  <si>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</si>
  <si>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</si>
  <si>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</si>
  <si>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</si>
  <si>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</si>
  <si>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</si>
  <si>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</si>
  <si>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制御機材</t>
    <rPh sb="0" eb="1">
      <t>セイ</t>
    </rPh>
    <rPh sb="1" eb="2">
      <t>オ</t>
    </rPh>
    <rPh sb="2" eb="4">
      <t>キザイ</t>
    </rPh>
    <phoneticPr fontId="2"/>
  </si>
  <si>
    <t>MWS-DS37A-HT37</t>
    <phoneticPr fontId="2"/>
  </si>
  <si>
    <t>DINレール</t>
    <phoneticPr fontId="2"/>
  </si>
  <si>
    <t>BVHVU6-3</t>
    <phoneticPr fontId="2"/>
  </si>
  <si>
    <t>ツ－ル治具部分</t>
    <rPh sb="3" eb="5">
      <t>ジグ</t>
    </rPh>
    <rPh sb="5" eb="7">
      <t>ブブン</t>
    </rPh>
    <phoneticPr fontId="2"/>
  </si>
  <si>
    <t>ミスミ</t>
  </si>
  <si>
    <t>コモン端子台</t>
    <rPh sb="3" eb="5">
      <t>タンシ</t>
    </rPh>
    <rPh sb="5" eb="6">
      <t>ダイ</t>
    </rPh>
    <phoneticPr fontId="2"/>
  </si>
  <si>
    <t>Dsubコネクタハーネス</t>
    <phoneticPr fontId="2"/>
  </si>
  <si>
    <t>石鍋</t>
    <rPh sb="0" eb="2">
      <t>イシナベ</t>
    </rPh>
    <phoneticPr fontId="2"/>
  </si>
  <si>
    <t>SMC</t>
  </si>
  <si>
    <t>2日目</t>
    <rPh sb="1" eb="2">
      <t>ヒ</t>
    </rPh>
    <rPh sb="2" eb="3">
      <t>メ</t>
    </rPh>
    <phoneticPr fontId="10"/>
  </si>
  <si>
    <t>1日目</t>
    <rPh sb="1" eb="2">
      <t>ヒ</t>
    </rPh>
    <rPh sb="2" eb="3">
      <t>メ</t>
    </rPh>
    <phoneticPr fontId="10"/>
  </si>
  <si>
    <t>meviy</t>
    <phoneticPr fontId="2"/>
  </si>
  <si>
    <t>ケシール(齋藤）</t>
    <rPh sb="5" eb="7">
      <t>サイトウ</t>
    </rPh>
    <phoneticPr fontId="2"/>
  </si>
  <si>
    <t xml:space="preserve">SCB4-10 </t>
    <phoneticPr fontId="13"/>
  </si>
  <si>
    <r>
      <t>六角穴付ボルト  4</t>
    </r>
    <r>
      <rPr>
        <sz val="11"/>
        <color indexed="10"/>
        <rFont val="ＭＳ Ｐゴシック"/>
        <family val="3"/>
        <charset val="128"/>
      </rPr>
      <t>本　　  社内在庫使用</t>
    </r>
    <rPh sb="10" eb="11">
      <t>ホン</t>
    </rPh>
    <phoneticPr fontId="13"/>
  </si>
  <si>
    <t>Dsubコネクタ端子台</t>
    <rPh sb="8" eb="10">
      <t>タンシ</t>
    </rPh>
    <rPh sb="10" eb="11">
      <t>ダイ</t>
    </rPh>
    <phoneticPr fontId="2"/>
  </si>
  <si>
    <t>ハンドバルブ　φ6</t>
    <phoneticPr fontId="2"/>
  </si>
  <si>
    <t>MKS9L-10P</t>
    <phoneticPr fontId="11"/>
  </si>
  <si>
    <t>MKBシリーズ　止め金具【10個入り】</t>
    <phoneticPr fontId="11"/>
  </si>
  <si>
    <t>カッチンダクト</t>
    <phoneticPr fontId="2"/>
  </si>
  <si>
    <t>ADR-341-JP</t>
    <phoneticPr fontId="2"/>
  </si>
  <si>
    <t>ＪＡＰＰY</t>
    <phoneticPr fontId="2"/>
  </si>
  <si>
    <t>フィルタレギュレータ</t>
    <phoneticPr fontId="11"/>
  </si>
  <si>
    <t>MNCNL6-M5</t>
    <phoneticPr fontId="11"/>
  </si>
  <si>
    <t>ミニチュアワンタッチ継手　エルボ</t>
    <phoneticPr fontId="11"/>
  </si>
  <si>
    <t>配電ﾕﾆｯﾄ</t>
    <rPh sb="0" eb="2">
      <t>ハイデン</t>
    </rPh>
    <phoneticPr fontId="2"/>
  </si>
  <si>
    <t>3日目</t>
    <rPh sb="1" eb="2">
      <t>ヒ</t>
    </rPh>
    <rPh sb="2" eb="3">
      <t>メ</t>
    </rPh>
    <phoneticPr fontId="11"/>
  </si>
  <si>
    <t>8日目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</si>
  <si>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</si>
  <si>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BCBFB4-6</t>
    <phoneticPr fontId="11"/>
  </si>
  <si>
    <t>NCLA5-10-10</t>
    <phoneticPr fontId="11"/>
  </si>
  <si>
    <t>SCB4-5</t>
    <phoneticPr fontId="11"/>
  </si>
  <si>
    <t>金属カラー　　並級</t>
    <phoneticPr fontId="11"/>
  </si>
  <si>
    <t>六角穴付ボタンボルト　フランジ付タイプ</t>
    <phoneticPr fontId="11"/>
  </si>
  <si>
    <t>六角穴付ボルト－ステンレス　4本</t>
    <rPh sb="15" eb="16">
      <t>ホン</t>
    </rPh>
    <phoneticPr fontId="11"/>
  </si>
  <si>
    <t>2日目</t>
    <rPh sb="1" eb="2">
      <t>ヒ</t>
    </rPh>
    <rPh sb="2" eb="3">
      <t>メ</t>
    </rPh>
    <phoneticPr fontId="11"/>
  </si>
  <si>
    <t>Dsub9　オス　コネクタハーネス　#4-40ショートねじ</t>
    <phoneticPr fontId="2"/>
  </si>
  <si>
    <t>ワンタッチ継手　ブラインドプラグ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</si>
  <si>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11"/>
  </si>
  <si>
    <t>ｱｽﾞﾜﾝ</t>
    <phoneticPr fontId="2"/>
  </si>
  <si>
    <t>5-079-01　</t>
    <phoneticPr fontId="2"/>
  </si>
  <si>
    <t>ミニカップ（PP製）　5mL　100個入　No.5</t>
    <phoneticPr fontId="2"/>
  </si>
  <si>
    <t>東北マテリアルス</t>
    <rPh sb="0" eb="2">
      <t>トウホク</t>
    </rPh>
    <phoneticPr fontId="2"/>
  </si>
  <si>
    <t>155180-Z006</t>
    <phoneticPr fontId="2"/>
  </si>
  <si>
    <t>バキュームトップ</t>
    <phoneticPr fontId="2"/>
  </si>
  <si>
    <t>155180-Z007　</t>
    <phoneticPr fontId="2"/>
  </si>
  <si>
    <t>バキュームパイプ</t>
    <phoneticPr fontId="2"/>
  </si>
  <si>
    <t>155180-Z005</t>
    <phoneticPr fontId="2"/>
  </si>
  <si>
    <t>バキュームベース</t>
    <phoneticPr fontId="2"/>
  </si>
  <si>
    <t>FTCLSS-V2.0-D6-H20-T2-L12.0</t>
    <phoneticPr fontId="2"/>
  </si>
  <si>
    <t>金属カラー　－ツバ付タイプ　並級/精密級－</t>
    <phoneticPr fontId="2"/>
  </si>
  <si>
    <t>FWRBNA-D37-V6-T1</t>
    <phoneticPr fontId="2"/>
  </si>
  <si>
    <t>ゴムワッシャ</t>
    <phoneticPr fontId="2"/>
  </si>
  <si>
    <t>MNCNL6-1</t>
    <phoneticPr fontId="2"/>
  </si>
  <si>
    <t>ミニチュアワンタッチ継手　エルボ</t>
    <phoneticPr fontId="2"/>
  </si>
  <si>
    <t>ＮＳF38</t>
    <phoneticPr fontId="2"/>
  </si>
  <si>
    <t>Oリング</t>
    <phoneticPr fontId="2"/>
  </si>
  <si>
    <t>SCB4-12</t>
    <phoneticPr fontId="2"/>
  </si>
  <si>
    <t>六角穴付ボルト－ステンレス</t>
    <phoneticPr fontId="2"/>
  </si>
  <si>
    <t>在庫使用　　　2個　</t>
    <phoneticPr fontId="2"/>
  </si>
  <si>
    <t>吸着パッド　ソフトタイプ・ベローズタイプ</t>
    <phoneticPr fontId="2"/>
  </si>
  <si>
    <t>WRBNA10-6-3</t>
    <phoneticPr fontId="2"/>
  </si>
  <si>
    <t>継手　ｲｼﾞｪｸﾀｰ用</t>
    <phoneticPr fontId="2"/>
  </si>
  <si>
    <t>SMC</t>
    <phoneticPr fontId="2"/>
  </si>
  <si>
    <t>MNCNL6-M5</t>
    <phoneticPr fontId="2"/>
  </si>
  <si>
    <t>継手　ｲｼﾞｪｸﾀｰ用</t>
  </si>
  <si>
    <t>USTEL6</t>
    <phoneticPr fontId="2"/>
  </si>
  <si>
    <t>ワンタッチ継手　ユニオンティ</t>
    <phoneticPr fontId="2"/>
  </si>
  <si>
    <t>PUT4-10-B</t>
    <phoneticPr fontId="2"/>
  </si>
  <si>
    <t>エアチューブ</t>
    <phoneticPr fontId="2"/>
  </si>
  <si>
    <t>PUT6-10-B</t>
    <phoneticPr fontId="2"/>
  </si>
  <si>
    <t>FWRBNA-D10-V2-T5</t>
    <phoneticPr fontId="2"/>
  </si>
  <si>
    <t>ゴムワッシャ FWRBNA</t>
    <phoneticPr fontId="2"/>
  </si>
  <si>
    <t>FWRBNA-D19-V2-T1</t>
    <phoneticPr fontId="2"/>
  </si>
  <si>
    <t>1日目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</si>
  <si>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</si>
  <si>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</si>
  <si>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>3日目</t>
    <rPh sb="1" eb="2">
      <t>ヒ</t>
    </rPh>
    <rPh sb="2" eb="3">
      <t>メ</t>
    </rPh>
    <phoneticPr fontId="2"/>
  </si>
  <si>
    <t>ﾜｰｸ治具受け部分</t>
    <rPh sb="3" eb="5">
      <t>ジグ</t>
    </rPh>
    <rPh sb="5" eb="6">
      <t>ウ</t>
    </rPh>
    <rPh sb="7" eb="9">
      <t>ブブン</t>
    </rPh>
    <phoneticPr fontId="2"/>
  </si>
  <si>
    <t>ALSBG8-37-M4-N4</t>
    <phoneticPr fontId="11"/>
  </si>
  <si>
    <t>AETGS10-38.5-SC15-M4-N4</t>
    <phoneticPr fontId="11"/>
  </si>
  <si>
    <t>AJPNGB4-P5.95-B6.5-G5-RAC</t>
    <phoneticPr fontId="11"/>
  </si>
  <si>
    <r>
      <t>六角穴付ボルト  2</t>
    </r>
    <r>
      <rPr>
        <sz val="11"/>
        <color indexed="10"/>
        <rFont val="ＭＳ Ｐゴシック"/>
        <family val="3"/>
        <charset val="128"/>
      </rPr>
      <t>本　　  社内在庫使用</t>
    </r>
    <rPh sb="10" eb="11">
      <t>ホン</t>
    </rPh>
    <phoneticPr fontId="13"/>
  </si>
  <si>
    <t>WGLS-30-10-12</t>
    <phoneticPr fontId="11"/>
  </si>
  <si>
    <t>AFPBA5-P5.95-L8-B3</t>
    <phoneticPr fontId="11"/>
  </si>
  <si>
    <r>
      <t>六角穴付ボルト  6</t>
    </r>
    <r>
      <rPr>
        <sz val="11"/>
        <color indexed="10"/>
        <rFont val="ＭＳ Ｐゴシック"/>
        <family val="3"/>
        <charset val="128"/>
      </rPr>
      <t>本　　  社内在庫使用</t>
    </r>
    <rPh sb="10" eb="11">
      <t>ホン</t>
    </rPh>
    <phoneticPr fontId="13"/>
  </si>
  <si>
    <t>SCB4-10</t>
    <phoneticPr fontId="13"/>
  </si>
  <si>
    <t>MS3-10 ノックピン</t>
    <phoneticPr fontId="11"/>
  </si>
  <si>
    <t>5日目</t>
    <rPh sb="1" eb="2">
      <t>ヒ</t>
    </rPh>
    <rPh sb="2" eb="3">
      <t>メ</t>
    </rPh>
    <phoneticPr fontId="11"/>
  </si>
  <si>
    <t>AFPBA5-P7.95-L8-B3</t>
    <phoneticPr fontId="11"/>
  </si>
  <si>
    <t>マーカーピン　六角穴付タイプ</t>
    <phoneticPr fontId="11"/>
  </si>
  <si>
    <t>JPLRS5-P6-B7</t>
    <phoneticPr fontId="11"/>
  </si>
  <si>
    <t>SETB0150-Y01　AXA-HV　ﾂｰﾙ治具板</t>
    <phoneticPr fontId="11"/>
  </si>
  <si>
    <t>MS4-10</t>
    <phoneticPr fontId="13"/>
  </si>
  <si>
    <r>
      <t xml:space="preserve">ノックピン　　　　 2　本　　　   </t>
    </r>
    <r>
      <rPr>
        <sz val="11"/>
        <rFont val="ＭＳ Ｐゴシック"/>
        <family val="3"/>
        <charset val="128"/>
      </rPr>
      <t>　</t>
    </r>
    <rPh sb="12" eb="13">
      <t>ホン</t>
    </rPh>
    <phoneticPr fontId="13"/>
  </si>
  <si>
    <t xml:space="preserve">SCB4-12 </t>
    <phoneticPr fontId="13"/>
  </si>
  <si>
    <t>SETB0150-A01　AXA300-HV+BEATRUM+ﾜｰｸ治具+ﾏｰｷﾝｸﾞﾌﾟﾚｰﾄ原価一覧　20230426</t>
    <phoneticPr fontId="2"/>
  </si>
  <si>
    <t>SETB0150-X01　ﾜｰｸ治具ﾍﾞｰｽ</t>
    <phoneticPr fontId="11"/>
  </si>
  <si>
    <t>AETGS8-22.5-SC5-M4-N4</t>
    <phoneticPr fontId="11"/>
  </si>
  <si>
    <t>円形支柱－片端おねじ片端めねじ</t>
    <phoneticPr fontId="11"/>
  </si>
  <si>
    <t>位置決めピン　高硬度ステンレス　R・テーパ・テーパR　－　全ねじ　－</t>
    <phoneticPr fontId="11"/>
  </si>
  <si>
    <t>六角支柱－片端おねじ片端めねじ</t>
    <phoneticPr fontId="11"/>
  </si>
  <si>
    <t>ノックピン　プラス公差　端部形状　2本</t>
    <rPh sb="18" eb="19">
      <t>ホン</t>
    </rPh>
    <phoneticPr fontId="11"/>
  </si>
  <si>
    <t>SETB0150-X02　ﾊﾞｷﾞｭｳｰﾑｸﾘｰﾆﾝｸﾞﾕﾆｯﾄ受け</t>
    <phoneticPr fontId="11"/>
  </si>
  <si>
    <t>SCB4-12</t>
    <phoneticPr fontId="13"/>
  </si>
  <si>
    <t>SETB0150-X03　拭き取りステージ　拭き取りステージ</t>
    <phoneticPr fontId="11"/>
  </si>
  <si>
    <t>MVBLK-AMW-3DD-47BTW</t>
    <phoneticPr fontId="11"/>
  </si>
  <si>
    <t>SETB0150-X04　ﾏｰｷﾝｸﾞﾌﾟﾚｰﾄ</t>
    <phoneticPr fontId="11"/>
  </si>
  <si>
    <t>MVSHM-3N03004-3DD-22TG4</t>
    <phoneticPr fontId="11"/>
  </si>
  <si>
    <t>SFB3-6</t>
    <phoneticPr fontId="11"/>
  </si>
  <si>
    <t>六角穴付皿ボルト　－ステンレス</t>
    <phoneticPr fontId="11"/>
  </si>
  <si>
    <t>SETB0150-X05　ﾜｰｸ治具受け</t>
    <phoneticPr fontId="11"/>
  </si>
  <si>
    <t>ノックピン　プラス公差　端部形状　20本</t>
    <rPh sb="19" eb="20">
      <t>ホン</t>
    </rPh>
    <phoneticPr fontId="11"/>
  </si>
  <si>
    <t>SCB3-12</t>
    <phoneticPr fontId="11"/>
  </si>
  <si>
    <r>
      <t>六角穴付ボルト  8</t>
    </r>
    <r>
      <rPr>
        <sz val="11"/>
        <rFont val="ＭＳ Ｐゴシック"/>
        <family val="3"/>
        <charset val="128"/>
      </rPr>
      <t xml:space="preserve">本　　 </t>
    </r>
    <rPh sb="10" eb="11">
      <t>ホン</t>
    </rPh>
    <phoneticPr fontId="13"/>
  </si>
  <si>
    <t>MVBLK-AMW-3DD-SYSFP</t>
    <phoneticPr fontId="11"/>
  </si>
  <si>
    <t>位置決めピン　高硬度ステンレス　大頭テーパ　－圧入－</t>
    <phoneticPr fontId="11"/>
  </si>
  <si>
    <t>ワークガイド　Ｌ字型タイプ</t>
    <phoneticPr fontId="11"/>
  </si>
  <si>
    <t>ﾉｽﾞﾙｸﾘｰﾆﾝｸﾞ</t>
    <phoneticPr fontId="2"/>
  </si>
  <si>
    <t>SCB3-6</t>
    <phoneticPr fontId="11"/>
  </si>
  <si>
    <t>六角穴付ボルト－ステンレス　2本</t>
    <rPh sb="15" eb="16">
      <t>ホン</t>
    </rPh>
    <phoneticPr fontId="11"/>
  </si>
  <si>
    <t>SCB5-18</t>
    <phoneticPr fontId="11"/>
  </si>
  <si>
    <t>R03ｺﾈｸﾀ ﾊｰﾈｽ　BEATRUM　HEATER　5m</t>
    <phoneticPr fontId="2"/>
  </si>
  <si>
    <t>R03ｺﾈｸﾀ ﾊｰﾈｽ　BEATRUM　SOL　5m</t>
    <phoneticPr fontId="2"/>
  </si>
  <si>
    <t>7日目</t>
    <rPh sb="1" eb="2">
      <t>ヒ</t>
    </rPh>
    <rPh sb="2" eb="3">
      <t>メ</t>
    </rPh>
    <phoneticPr fontId="11"/>
  </si>
  <si>
    <t>MVSHM-3N03002-3DD-41Y7L</t>
    <phoneticPr fontId="11"/>
  </si>
  <si>
    <t>MWI-COM-P10N10</t>
    <phoneticPr fontId="2"/>
  </si>
  <si>
    <t>MRB-250</t>
    <phoneticPr fontId="2"/>
  </si>
  <si>
    <t xml:space="preserve">SPWF4 </t>
    <phoneticPr fontId="2"/>
  </si>
  <si>
    <t>チェリック</t>
    <phoneticPr fontId="2"/>
  </si>
  <si>
    <t>CNYW6-6</t>
    <phoneticPr fontId="2"/>
  </si>
  <si>
    <t>ワンタッチ継手 R（PT）付二重Y型 CNYW</t>
    <phoneticPr fontId="2"/>
  </si>
  <si>
    <t>BSLG6</t>
    <phoneticPr fontId="2"/>
  </si>
  <si>
    <t>Axend Cirtek ﾌｨﾘﾋﾟﾝ</t>
    <phoneticPr fontId="2"/>
  </si>
  <si>
    <t xml:space="preserve">205580 </t>
    <phoneticPr fontId="2"/>
  </si>
  <si>
    <t>NA3GH UL規格 横巻きシールドセンサー用(３芯）</t>
    <rPh sb="25" eb="26">
      <t>シン</t>
    </rPh>
    <phoneticPr fontId="2"/>
  </si>
  <si>
    <t>NA3GH-24-3-8</t>
    <phoneticPr fontId="2"/>
  </si>
  <si>
    <t>ZX1101-J15LZ-E55C Z Series(ZX1101) 1個 SMC 【通販モノタロウ】 (monotaro.com)</t>
  </si>
  <si>
    <r>
      <t>ZX1101-J15LZ-E</t>
    </r>
    <r>
      <rPr>
        <sz val="11"/>
        <color indexed="10"/>
        <rFont val="ＭＳ Ｐゴシック"/>
        <family val="3"/>
        <charset val="128"/>
      </rPr>
      <t>55C</t>
    </r>
    <phoneticPr fontId="2"/>
  </si>
  <si>
    <t>10日目</t>
    <rPh sb="2" eb="3">
      <t>ヒ</t>
    </rPh>
    <rPh sb="3" eb="4">
      <t>メ</t>
    </rPh>
    <phoneticPr fontId="2"/>
  </si>
  <si>
    <r>
      <t>真空発生エジェクタ　　</t>
    </r>
    <r>
      <rPr>
        <sz val="11"/>
        <color indexed="10"/>
        <rFont val="ＭＳ Ｐゴシック"/>
        <family val="3"/>
        <charset val="128"/>
      </rPr>
      <t>PNP仕様</t>
    </r>
    <rPh sb="11" eb="16">
      <t>セミセシヨウ</t>
    </rPh>
    <phoneticPr fontId="2"/>
  </si>
  <si>
    <t>IDEC</t>
    <phoneticPr fontId="2"/>
  </si>
  <si>
    <t>制御機材</t>
    <rPh sb="0" eb="4">
      <t>セイギョキザイ</t>
    </rPh>
    <phoneticPr fontId="2"/>
  </si>
  <si>
    <t>RY2S-ULDC24</t>
    <phoneticPr fontId="2"/>
  </si>
  <si>
    <t>RY形ミニチュアリレー　　3A</t>
    <phoneticPr fontId="2"/>
  </si>
  <si>
    <t>SY2S-05B</t>
    <phoneticPr fontId="2"/>
  </si>
  <si>
    <t>ワンタッチ Sソケット表面配線形</t>
    <phoneticPr fontId="2"/>
  </si>
  <si>
    <t>SFA-101PN20</t>
    <phoneticPr fontId="2"/>
  </si>
  <si>
    <t>ワンタッチ Sソケット リレー固定ばね【10～20個入り】</t>
    <phoneticPr fontId="2"/>
  </si>
  <si>
    <t>MVBLK-AMW-3DD-BWWW9</t>
    <phoneticPr fontId="11"/>
  </si>
  <si>
    <t>SRP6</t>
    <phoneticPr fontId="2"/>
  </si>
  <si>
    <t>SETB0150-Z03 電磁弁+レギュラーﾕﾆｯﾄ取付板金</t>
    <phoneticPr fontId="11"/>
  </si>
  <si>
    <t>UJDST4-W</t>
    <phoneticPr fontId="2"/>
  </si>
  <si>
    <t>ﾜﾝﾀｯﾁ継手異径ﾕﾆｵﾝｽﾄﾚｰﾄ</t>
    <rPh sb="5" eb="7">
      <t>ツギテ</t>
    </rPh>
    <rPh sb="7" eb="8">
      <t>イ</t>
    </rPh>
    <rPh sb="8" eb="9">
      <t>ケイ</t>
    </rPh>
    <phoneticPr fontId="2"/>
  </si>
  <si>
    <t>USSTL4</t>
    <phoneticPr fontId="2"/>
  </si>
  <si>
    <t>ﾜﾝﾀｯﾁ継手ﾕﾆｵﾝｽﾄﾚｰﾄ</t>
    <rPh sb="5" eb="7">
      <t>ツギテ</t>
    </rPh>
    <phoneticPr fontId="2"/>
  </si>
  <si>
    <t>PDDU-PT-MS-9-2.5-02S</t>
    <phoneticPr fontId="2"/>
  </si>
  <si>
    <t>PDDJ-PS-JS-37-2</t>
    <phoneticPr fontId="2"/>
  </si>
  <si>
    <t>MVBLK-AMW-3DX-N1FJL</t>
    <phoneticPr fontId="11"/>
  </si>
  <si>
    <t>MVBLK-AMW-3DX-XWDYA</t>
    <phoneticPr fontId="11"/>
  </si>
  <si>
    <t>MS3-10</t>
    <phoneticPr fontId="11"/>
  </si>
  <si>
    <t>4Week</t>
    <phoneticPr fontId="2"/>
  </si>
  <si>
    <t>在庫使用　　　16個　</t>
    <phoneticPr fontId="2"/>
  </si>
  <si>
    <r>
      <t>平座金－単品販売－　M4用　16</t>
    </r>
    <r>
      <rPr>
        <b/>
        <sz val="11"/>
        <color rgb="FFFF0000"/>
        <rFont val="ＭＳ Ｐゴシック"/>
        <family val="3"/>
        <charset val="128"/>
      </rPr>
      <t>個</t>
    </r>
    <r>
      <rPr>
        <sz val="11"/>
        <color rgb="FFFF0000"/>
        <rFont val="ＭＳ Ｐゴシック"/>
        <family val="3"/>
        <charset val="128"/>
      </rPr>
      <t>　</t>
    </r>
    <rPh sb="12" eb="13">
      <t>ヨウ</t>
    </rPh>
    <rPh sb="16" eb="17">
      <t>コ</t>
    </rPh>
    <phoneticPr fontId="2"/>
  </si>
  <si>
    <t>まとめて注文</t>
    <rPh sb="4" eb="6">
      <t>チュウモン</t>
    </rPh>
    <phoneticPr fontId="11"/>
  </si>
  <si>
    <t>②</t>
    <phoneticPr fontId="11"/>
  </si>
  <si>
    <t>モノタロウ</t>
    <phoneticPr fontId="11"/>
  </si>
  <si>
    <r>
      <t>AW10-M5BG-A(0)→</t>
    </r>
    <r>
      <rPr>
        <sz val="11"/>
        <color rgb="FFFF0000"/>
        <rFont val="ＭＳ Ｐゴシック"/>
        <family val="3"/>
        <charset val="128"/>
        <scheme val="minor"/>
      </rPr>
      <t>AW10-M5BG-Aにて発注</t>
    </r>
    <rPh sb="28" eb="30">
      <t>ハッチュウ</t>
    </rPh>
    <phoneticPr fontId="11"/>
  </si>
  <si>
    <r>
      <t>KCC7-18700-210226-402</t>
    </r>
    <r>
      <rPr>
        <sz val="11"/>
        <color rgb="FFFF0000"/>
        <rFont val="ＭＳ Ｐゴシック"/>
        <family val="3"/>
        <charset val="128"/>
        <scheme val="minor"/>
      </rPr>
      <t>➡ｷｬﾝｾﾙ</t>
    </r>
    <phoneticPr fontId="11"/>
  </si>
  <si>
    <r>
      <t>KCC7-22000-210226-401</t>
    </r>
    <r>
      <rPr>
        <sz val="11"/>
        <color rgb="FFFF0000"/>
        <rFont val="ＭＳ Ｐゴシック"/>
        <family val="3"/>
        <charset val="128"/>
        <scheme val="minor"/>
      </rPr>
      <t>➡ｷｬﾝｾﾙ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</si>
</sst>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  <numFmt numFmtId="184" formatCode="&quot;¥&quot;#,##0_);[Red]\(&quot;¥&quot;#,##0\)"/>
  </numFmts>
  <fonts count="2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22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/>
  </cellStyleXfs>
  <cellXfs count="20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16" fillId="0" borderId="1" xfId="0" applyNumberFormat="1" applyFont="1" applyBorder="1" applyAlignment="1">
      <alignment horizontal="center" vertical="center"/>
    </xf>
    <xf numFmtId="0" fontId="6" fillId="0" borderId="1" xfId="2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19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8" fillId="0" borderId="1" xfId="2" applyFont="1" applyBorder="1" applyAlignment="1">
      <alignment vertical="center"/>
    </xf>
    <xf numFmtId="176" fontId="0" fillId="0" borderId="2" xfId="0" applyNumberFormat="1" applyBorder="1" applyAlignment="1"/>
    <xf numFmtId="0" fontId="6" fillId="0" borderId="1" xfId="2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16" fillId="4" borderId="1" xfId="0" applyNumberFormat="1" applyFont="1" applyFill="1" applyBorder="1" applyAlignment="1">
      <alignment horizontal="center" vertical="center"/>
    </xf>
    <xf numFmtId="176" fontId="16" fillId="4" borderId="1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76" fontId="18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76" fontId="6" fillId="0" borderId="1" xfId="0" applyNumberFormat="1" applyFont="1" applyBorder="1" applyAlignment="1"/>
    <xf numFmtId="0" fontId="20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176" fontId="0" fillId="0" borderId="1" xfId="0" applyNumberFormat="1" applyBorder="1" applyAlignment="1"/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2" fontId="22" fillId="3" borderId="1" xfId="0" applyNumberFormat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" xfId="0" applyFont="1" applyBorder="1">
      <alignment vertical="center"/>
    </xf>
    <xf numFmtId="3" fontId="0" fillId="5" borderId="1" xfId="0" applyNumberFormat="1" applyFill="1" applyBorder="1" applyAlignment="1">
      <alignment horizontal="center" vertical="center"/>
    </xf>
    <xf numFmtId="0" fontId="6" fillId="5" borderId="1" xfId="2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left" vertical="center" shrinkToFit="1"/>
    </xf>
    <xf numFmtId="176" fontId="6" fillId="0" borderId="2" xfId="0" applyNumberFormat="1" applyFont="1" applyBorder="1">
      <alignment vertical="center"/>
    </xf>
    <xf numFmtId="0" fontId="6" fillId="0" borderId="2" xfId="0" applyFont="1" applyBorder="1">
      <alignment vertical="center"/>
    </xf>
    <xf numFmtId="176" fontId="20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0" fontId="6" fillId="5" borderId="1" xfId="2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0" fillId="0" borderId="15" xfId="0" applyNumberFormat="1" applyBorder="1" applyAlignment="1">
      <alignment horizontal="right" vertical="center"/>
    </xf>
    <xf numFmtId="176" fontId="20" fillId="0" borderId="15" xfId="0" applyNumberFormat="1" applyFont="1" applyBorder="1" applyAlignment="1">
      <alignment horizontal="right" vertical="center"/>
    </xf>
    <xf numFmtId="176" fontId="6" fillId="0" borderId="1" xfId="2" applyNumberFormat="1" applyBorder="1" applyAlignment="1">
      <alignment horizontal="right" vertical="center"/>
    </xf>
    <xf numFmtId="176" fontId="18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176" fontId="7" fillId="0" borderId="1" xfId="0" applyNumberFormat="1" applyFont="1" applyBorder="1">
      <alignment vertical="center"/>
    </xf>
    <xf numFmtId="176" fontId="7" fillId="0" borderId="1" xfId="0" applyNumberFormat="1" applyFont="1" applyBorder="1" applyAlignment="1"/>
    <xf numFmtId="0" fontId="9" fillId="0" borderId="1" xfId="2" applyFont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176" fontId="20" fillId="0" borderId="1" xfId="0" applyNumberFormat="1" applyFont="1" applyBorder="1">
      <alignment vertical="center"/>
    </xf>
    <xf numFmtId="0" fontId="6" fillId="0" borderId="1" xfId="2" applyBorder="1" applyAlignment="1">
      <alignment horizontal="left"/>
    </xf>
    <xf numFmtId="3" fontId="16" fillId="8" borderId="1" xfId="0" applyNumberFormat="1" applyFont="1" applyFill="1" applyBorder="1" applyAlignment="1">
      <alignment horizontal="center" vertical="center"/>
    </xf>
    <xf numFmtId="176" fontId="16" fillId="8" borderId="1" xfId="0" applyNumberFormat="1" applyFont="1" applyFill="1" applyBorder="1" applyAlignment="1">
      <alignment horizontal="left" vertical="center"/>
    </xf>
    <xf numFmtId="183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76" fontId="21" fillId="8" borderId="1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1" xfId="0" applyFont="1" applyFill="1" applyBorder="1">
      <alignment vertical="center"/>
    </xf>
    <xf numFmtId="0" fontId="16" fillId="8" borderId="1" xfId="0" applyFont="1" applyFill="1" applyBorder="1" applyAlignment="1">
      <alignment horizontal="left" vertical="center"/>
    </xf>
    <xf numFmtId="176" fontId="1" fillId="0" borderId="1" xfId="0" applyNumberFormat="1" applyFont="1" applyBorder="1" applyAlignment="1"/>
    <xf numFmtId="176" fontId="1" fillId="0" borderId="1" xfId="0" applyNumberFormat="1" applyFont="1" applyBorder="1" applyAlignment="1">
      <alignment horizontal="left" vertical="center"/>
    </xf>
    <xf numFmtId="3" fontId="17" fillId="3" borderId="1" xfId="0" applyNumberFormat="1" applyFont="1" applyFill="1" applyBorder="1" applyAlignment="1">
      <alignment horizontal="center" vertical="center"/>
    </xf>
    <xf numFmtId="184" fontId="25" fillId="3" borderId="1" xfId="0" applyNumberFormat="1" applyFont="1" applyFill="1" applyBorder="1" applyAlignment="1">
      <alignment horizontal="right" vertical="center"/>
    </xf>
    <xf numFmtId="5" fontId="19" fillId="0" borderId="1" xfId="0" applyNumberFormat="1" applyFont="1" applyBorder="1" applyAlignment="1">
      <alignment horizontal="right" vertical="center"/>
    </xf>
    <xf numFmtId="176" fontId="20" fillId="0" borderId="1" xfId="0" applyNumberFormat="1" applyFont="1" applyBorder="1" applyAlignment="1">
      <alignment horizontal="right" vertical="center"/>
    </xf>
    <xf numFmtId="176" fontId="20" fillId="0" borderId="2" xfId="0" applyNumberFormat="1" applyFont="1" applyBorder="1" applyAlignment="1"/>
    <xf numFmtId="0" fontId="20" fillId="0" borderId="1" xfId="0" applyFont="1" applyBorder="1" applyAlignment="1">
      <alignment horizontal="left" vertical="center" shrinkToFit="1"/>
    </xf>
    <xf numFmtId="0" fontId="0" fillId="9" borderId="6" xfId="0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left" vertical="center" shrinkToFit="1"/>
    </xf>
    <xf numFmtId="38" fontId="20" fillId="0" borderId="1" xfId="0" applyNumberFormat="1" applyFont="1" applyBorder="1">
      <alignment vertical="center"/>
    </xf>
    <xf numFmtId="176" fontId="0" fillId="0" borderId="15" xfId="0" applyNumberFormat="1" applyBorder="1" applyAlignment="1">
      <alignment horizontal="center" vertical="center"/>
    </xf>
    <xf numFmtId="3" fontId="23" fillId="0" borderId="1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shrinkToFit="1"/>
    </xf>
    <xf numFmtId="0" fontId="15" fillId="0" borderId="0" xfId="1">
      <alignment vertical="center"/>
    </xf>
    <xf numFmtId="176" fontId="1" fillId="5" borderId="1" xfId="2" applyNumberFormat="1" applyFont="1" applyFill="1" applyBorder="1" applyAlignment="1">
      <alignment horizontal="right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left" vertical="center"/>
    </xf>
    <xf numFmtId="3" fontId="2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38" fontId="0" fillId="5" borderId="1" xfId="0" applyNumberFormat="1" applyFill="1" applyBorder="1">
      <alignment vertical="center"/>
    </xf>
    <xf numFmtId="3" fontId="6" fillId="5" borderId="2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center" vertical="center"/>
    </xf>
    <xf numFmtId="38" fontId="20" fillId="5" borderId="1" xfId="0" applyNumberFormat="1" applyFont="1" applyFill="1" applyBorder="1">
      <alignment vertical="center"/>
    </xf>
    <xf numFmtId="182" fontId="20" fillId="5" borderId="1" xfId="0" applyNumberFormat="1" applyFont="1" applyFill="1" applyBorder="1">
      <alignment vertical="center"/>
    </xf>
    <xf numFmtId="0" fontId="20" fillId="5" borderId="1" xfId="0" applyFont="1" applyFill="1" applyBorder="1">
      <alignment vertical="center"/>
    </xf>
    <xf numFmtId="0" fontId="20" fillId="0" borderId="15" xfId="0" applyFont="1" applyBorder="1" applyAlignment="1">
      <alignment vertical="center" shrinkToFit="1"/>
    </xf>
    <xf numFmtId="182" fontId="0" fillId="5" borderId="1" xfId="0" applyNumberFormat="1" applyFill="1" applyBorder="1">
      <alignment vertical="center"/>
    </xf>
    <xf numFmtId="3" fontId="23" fillId="5" borderId="16" xfId="0" applyNumberFormat="1" applyFont="1" applyFill="1" applyBorder="1" applyAlignment="1">
      <alignment horizontal="center" vertical="center"/>
    </xf>
    <xf numFmtId="0" fontId="6" fillId="5" borderId="1" xfId="2" applyFill="1" applyBorder="1" applyAlignment="1">
      <alignment vertical="center"/>
    </xf>
    <xf numFmtId="38" fontId="6" fillId="0" borderId="1" xfId="0" applyNumberFormat="1" applyFont="1" applyBorder="1">
      <alignment vertical="center"/>
    </xf>
    <xf numFmtId="38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20" fillId="5" borderId="1" xfId="0" applyNumberFormat="1" applyFont="1" applyFill="1" applyBorder="1" applyAlignment="1">
      <alignment horizontal="right" vertical="center"/>
    </xf>
    <xf numFmtId="49" fontId="0" fillId="5" borderId="1" xfId="0" applyNumberFormat="1" applyFill="1" applyBorder="1" applyAlignment="1">
      <alignment horizontal="left" vertical="center"/>
    </xf>
    <xf numFmtId="38" fontId="20" fillId="5" borderId="1" xfId="0" applyNumberFormat="1" applyFon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0" fontId="6" fillId="5" borderId="1" xfId="2" applyFill="1" applyBorder="1" applyAlignment="1">
      <alignment horizontal="left"/>
    </xf>
    <xf numFmtId="181" fontId="20" fillId="5" borderId="1" xfId="2" applyNumberFormat="1" applyFont="1" applyFill="1" applyBorder="1" applyAlignment="1">
      <alignment horizontal="right" vertical="center"/>
    </xf>
    <xf numFmtId="176" fontId="20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>
      <alignment vertical="center"/>
    </xf>
    <xf numFmtId="0" fontId="23" fillId="5" borderId="1" xfId="0" applyFont="1" applyFill="1" applyBorder="1" applyAlignment="1">
      <alignment horizontal="center" vertical="center"/>
    </xf>
    <xf numFmtId="176" fontId="24" fillId="5" borderId="1" xfId="0" applyNumberFormat="1" applyFont="1" applyFill="1" applyBorder="1" applyAlignment="1">
      <alignment horizontal="right" vertical="center"/>
    </xf>
    <xf numFmtId="176" fontId="0" fillId="5" borderId="1" xfId="0" applyNumberFormat="1" applyFill="1" applyBorder="1">
      <alignment vertical="center"/>
    </xf>
    <xf numFmtId="0" fontId="0" fillId="5" borderId="0" xfId="0" applyFill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shrinkToFit="1"/>
    </xf>
    <xf numFmtId="3" fontId="6" fillId="5" borderId="1" xfId="2" applyNumberFormat="1" applyFill="1" applyBorder="1" applyAlignment="1">
      <alignment horizontal="center" vertical="center"/>
    </xf>
    <xf numFmtId="176" fontId="6" fillId="5" borderId="1" xfId="0" applyNumberFormat="1" applyFont="1" applyFill="1" applyBorder="1">
      <alignment vertical="center"/>
    </xf>
    <xf numFmtId="0" fontId="16" fillId="0" borderId="1" xfId="0" applyFont="1" applyBorder="1" applyAlignment="1">
      <alignment horizontal="left" vertical="center"/>
    </xf>
    <xf numFmtId="0" fontId="21" fillId="4" borderId="1" xfId="0" applyFont="1" applyFill="1" applyBorder="1">
      <alignment vertical="center"/>
    </xf>
    <xf numFmtId="176" fontId="16" fillId="4" borderId="1" xfId="0" applyNumberFormat="1" applyFont="1" applyFill="1" applyBorder="1">
      <alignment vertical="center"/>
    </xf>
    <xf numFmtId="176" fontId="16" fillId="4" borderId="1" xfId="0" applyNumberFormat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right" vertical="center"/>
    </xf>
    <xf numFmtId="0" fontId="0" fillId="5" borderId="2" xfId="0" applyFill="1" applyBorder="1">
      <alignment vertical="center"/>
    </xf>
    <xf numFmtId="176" fontId="16" fillId="0" borderId="1" xfId="0" applyNumberFormat="1" applyFont="1" applyBorder="1" applyAlignment="1">
      <alignment horizontal="right"/>
    </xf>
    <xf numFmtId="0" fontId="0" fillId="10" borderId="1" xfId="0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8" fontId="16" fillId="4" borderId="1" xfId="0" applyNumberFormat="1" applyFont="1" applyFill="1" applyBorder="1" applyAlignment="1">
      <alignment horizontal="right" vertical="center"/>
    </xf>
    <xf numFmtId="38" fontId="16" fillId="0" borderId="1" xfId="0" applyNumberFormat="1" applyFont="1" applyBorder="1">
      <alignment vertical="center"/>
    </xf>
    <xf numFmtId="3" fontId="21" fillId="5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8" fontId="19" fillId="10" borderId="11" xfId="0" applyNumberFormat="1" applyFont="1" applyFill="1" applyBorder="1" applyAlignment="1">
      <alignment horizontal="left" vertical="center" shrinkToFit="1"/>
    </xf>
    <xf numFmtId="38" fontId="19" fillId="10" borderId="12" xfId="0" applyNumberFormat="1" applyFont="1" applyFill="1" applyBorder="1" applyAlignment="1">
      <alignment horizontal="left" vertical="center" shrinkToFit="1"/>
    </xf>
    <xf numFmtId="38" fontId="19" fillId="10" borderId="4" xfId="0" applyNumberFormat="1" applyFont="1" applyFill="1" applyBorder="1" applyAlignment="1">
      <alignment horizontal="left" vertical="center" shrinkToFit="1"/>
    </xf>
    <xf numFmtId="38" fontId="19" fillId="10" borderId="13" xfId="0" applyNumberFormat="1" applyFont="1" applyFill="1" applyBorder="1" applyAlignment="1">
      <alignment horizontal="left" vertical="center" shrinkToFit="1"/>
    </xf>
    <xf numFmtId="0" fontId="27" fillId="6" borderId="1" xfId="0" applyFont="1" applyFill="1" applyBorder="1" applyAlignment="1">
      <alignment horizontal="center" vertical="center"/>
    </xf>
    <xf numFmtId="0" fontId="8" fillId="11" borderId="2" xfId="2" applyFont="1" applyFill="1" applyBorder="1" applyAlignment="1">
      <alignment horizontal="center" vertical="center"/>
    </xf>
    <xf numFmtId="0" fontId="8" fillId="11" borderId="9" xfId="2" applyFont="1" applyFill="1" applyBorder="1" applyAlignment="1">
      <alignment horizontal="center" vertical="center"/>
    </xf>
    <xf numFmtId="0" fontId="8" fillId="11" borderId="10" xfId="2" applyFont="1" applyFill="1" applyBorder="1" applyAlignment="1">
      <alignment horizontal="center" vertical="center"/>
    </xf>
    <xf numFmtId="0" fontId="8" fillId="11" borderId="4" xfId="2" applyFont="1" applyFill="1" applyBorder="1" applyAlignment="1">
      <alignment horizontal="center" vertical="center"/>
    </xf>
    <xf numFmtId="0" fontId="8" fillId="11" borderId="14" xfId="2" applyFont="1" applyFill="1" applyBorder="1" applyAlignment="1">
      <alignment horizontal="center" vertical="center"/>
    </xf>
    <xf numFmtId="0" fontId="8" fillId="11" borderId="13" xfId="2" applyFont="1" applyFill="1" applyBorder="1" applyAlignment="1">
      <alignment horizontal="center" vertical="center"/>
    </xf>
  </cellXfs>
  <cellStyles count="3">
    <cellStyle name="ハイパーリンク" xfId="1" builtinId="8"/>
    <cellStyle name="標準" xfId="0" builtinId="0"/>
    <cellStyle name="標準_発注管理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4461/0362/?t.mpn=zx1101-j15lz-e5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32"/>
  <sheetViews>
    <sheetView tabSelected="1" zoomScale="82" zoomScaleNormal="82" workbookViewId="0">
      <pane xSplit="12" ySplit="9" topLeftCell="O10" activePane="bottomRight" state="frozen"/>
      <selection pane="topRight" activeCell="K1" sqref="K1"/>
      <selection pane="bottomLeft" activeCell="A9" sqref="A9"/>
      <selection pane="bottomRight" activeCell="A101" sqref="A101:XFD101"/>
    </sheetView>
  </sheetViews>
  <sheetFormatPr defaultRowHeight="13.5" x14ac:dyDescent="0.15"/>
  <cols>
    <col min="3" max="3" width="17.25" customWidth="1"/>
    <col min="4" max="4" width="18.125" style="3" customWidth="1"/>
    <col min="5" max="5" width="14.375" bestFit="1" customWidth="1"/>
    <col min="6" max="6" width="13.125" bestFit="1" customWidth="1"/>
    <col min="7" max="7" width="52.375" customWidth="1"/>
    <col min="8" max="8" width="6.25" style="3" customWidth="1"/>
    <col min="9" max="10" width="9.875" style="8" bestFit="1" customWidth="1"/>
    <col min="11" max="11" width="5.75" style="8" customWidth="1"/>
    <col min="12" max="12" width="49" customWidth="1"/>
    <col min="13" max="13" width="41.625" customWidth="1"/>
    <col min="14" max="14" width="46.875" style="3" customWidth="1"/>
    <col min="15" max="15" width="13.75" style="10" customWidth="1"/>
    <col min="16" max="16" width="6.375" customWidth="1"/>
    <col min="17" max="17" width="13.25" style="8" customWidth="1"/>
    <col min="18" max="18" width="14.5" style="12" customWidth="1"/>
    <col min="19" max="19" width="15.625" style="13" customWidth="1"/>
  </cols>
  <sheetData>
    <row r="2" spans="1:19" ht="20.100000000000001" customHeight="1" x14ac:dyDescent="0.15">
      <c r="D2" s="188" t="s">
        <v>11</v>
      </c>
      <c r="E2" s="188"/>
      <c r="F2" s="188"/>
      <c r="G2" s="9" t="s">
        <v>157</v>
      </c>
      <c r="I2" s="189" t="s">
        <v>15</v>
      </c>
      <c r="J2" s="190"/>
      <c r="K2" s="191"/>
      <c r="L2" s="7">
        <f>SUM(J:J)</f>
        <v>195594</v>
      </c>
    </row>
    <row r="3" spans="1:19" ht="20.100000000000001" customHeight="1" x14ac:dyDescent="0.15">
      <c r="D3" s="188" t="s">
        <v>10</v>
      </c>
      <c r="E3" s="188"/>
      <c r="F3" s="188"/>
      <c r="G3" s="5" t="s">
        <v>36</v>
      </c>
    </row>
    <row r="4" spans="1:19" ht="20.100000000000001" customHeight="1" x14ac:dyDescent="0.15">
      <c r="D4" s="188" t="s">
        <v>12</v>
      </c>
      <c r="E4" s="188"/>
      <c r="F4" s="188"/>
      <c r="G4" s="68" t="s">
        <v>158</v>
      </c>
      <c r="J4" s="77"/>
      <c r="L4" s="192" t="s">
        <v>120</v>
      </c>
      <c r="M4" s="193"/>
    </row>
    <row r="5" spans="1:19" ht="20.100000000000001" customHeight="1" x14ac:dyDescent="0.15">
      <c r="D5" s="188" t="s">
        <v>13</v>
      </c>
      <c r="E5" s="188"/>
      <c r="F5" s="188"/>
      <c r="G5" s="6">
        <v>45085</v>
      </c>
      <c r="I5" s="196" t="s">
        <v>189</v>
      </c>
      <c r="L5" s="194"/>
      <c r="M5" s="195"/>
    </row>
    <row r="6" spans="1:19" ht="20.100000000000001" customHeight="1" x14ac:dyDescent="0.15">
      <c r="D6" s="188" t="s">
        <v>14</v>
      </c>
      <c r="E6" s="188"/>
      <c r="F6" s="188"/>
      <c r="G6" s="6">
        <v>45089</v>
      </c>
      <c r="I6" s="196"/>
      <c r="L6" s="15"/>
      <c r="M6" s="20"/>
    </row>
    <row r="7" spans="1:19" ht="20.100000000000001" customHeight="1" x14ac:dyDescent="0.15">
      <c r="D7" s="17"/>
      <c r="E7" s="17"/>
      <c r="F7" s="17"/>
      <c r="G7" s="16"/>
      <c r="L7" s="15"/>
      <c r="M7" s="20"/>
      <c r="N7" s="18"/>
    </row>
    <row r="9" spans="1:19" s="3" customFormat="1" ht="19.7" customHeight="1" x14ac:dyDescent="0.15">
      <c r="C9" s="1" t="s">
        <v>62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78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7" customHeight="1" x14ac:dyDescent="0.15">
      <c r="A10" s="62"/>
      <c r="B10" s="88"/>
      <c r="C10" s="1"/>
      <c r="D10" s="39"/>
      <c r="E10" s="39"/>
      <c r="F10" s="39"/>
      <c r="G10" s="39"/>
      <c r="H10" s="1"/>
      <c r="I10" s="28"/>
      <c r="J10" s="78"/>
      <c r="K10" s="2"/>
      <c r="L10" s="1"/>
      <c r="M10" s="1"/>
      <c r="N10" s="1"/>
      <c r="O10" s="11"/>
      <c r="P10" s="4"/>
      <c r="Q10" s="1"/>
      <c r="R10" s="11"/>
      <c r="S10" s="14"/>
    </row>
    <row r="11" spans="1:19" s="3" customFormat="1" ht="19.7" customHeight="1" x14ac:dyDescent="0.15">
      <c r="A11" s="62"/>
      <c r="B11" s="88"/>
      <c r="C11" s="1"/>
      <c r="D11" s="4"/>
      <c r="E11" s="4"/>
      <c r="F11" s="4"/>
      <c r="G11" s="26"/>
      <c r="H11" s="1"/>
      <c r="I11" s="21"/>
      <c r="J11" s="79"/>
      <c r="K11" s="2"/>
      <c r="L11" s="25"/>
      <c r="M11" s="22"/>
      <c r="N11" s="4"/>
      <c r="O11" s="11"/>
      <c r="P11" s="4"/>
      <c r="Q11" s="19"/>
      <c r="R11" s="19"/>
      <c r="S11" s="14"/>
    </row>
    <row r="12" spans="1:19" s="3" customFormat="1" ht="19.7" customHeight="1" x14ac:dyDescent="0.15">
      <c r="A12" s="62"/>
      <c r="B12" s="88"/>
      <c r="C12" s="1"/>
      <c r="D12" s="197" t="s">
        <v>27</v>
      </c>
      <c r="E12" s="198"/>
      <c r="F12" s="198"/>
      <c r="G12" s="199"/>
      <c r="H12" s="1"/>
      <c r="I12" s="21"/>
      <c r="J12" s="79"/>
      <c r="K12" s="2"/>
      <c r="L12" s="25"/>
      <c r="M12" s="22"/>
      <c r="N12" s="4"/>
      <c r="O12" s="11"/>
      <c r="P12" s="4"/>
      <c r="Q12" s="19"/>
      <c r="R12" s="19"/>
      <c r="S12" s="14"/>
    </row>
    <row r="13" spans="1:19" s="3" customFormat="1" ht="19.7" customHeight="1" x14ac:dyDescent="0.15">
      <c r="A13" s="124" t="s">
        <v>51</v>
      </c>
      <c r="B13" s="125"/>
      <c r="C13" s="89">
        <v>7</v>
      </c>
      <c r="D13" s="4">
        <v>1</v>
      </c>
      <c r="E13" s="65" t="s">
        <v>35</v>
      </c>
      <c r="F13" s="67" t="s">
        <v>28</v>
      </c>
      <c r="G13" s="146" t="s">
        <v>173</v>
      </c>
      <c r="H13" s="66">
        <v>1</v>
      </c>
      <c r="I13" s="80">
        <v>13336</v>
      </c>
      <c r="J13" s="81">
        <f t="shared" ref="J13:J17" si="0">H13*I13</f>
        <v>13336</v>
      </c>
      <c r="K13" s="40"/>
      <c r="L13" s="41" t="s">
        <v>116</v>
      </c>
      <c r="M13" s="22"/>
      <c r="N13" s="4"/>
      <c r="O13" s="11">
        <v>45062</v>
      </c>
      <c r="P13" s="4"/>
      <c r="Q13" s="19"/>
      <c r="R13" s="19">
        <v>45085</v>
      </c>
      <c r="S13" s="14">
        <v>45085</v>
      </c>
    </row>
    <row r="14" spans="1:19" s="3" customFormat="1" ht="19.7" customHeight="1" x14ac:dyDescent="0.15">
      <c r="A14" s="124" t="s">
        <v>52</v>
      </c>
      <c r="B14" s="125"/>
      <c r="C14" s="89">
        <v>7</v>
      </c>
      <c r="D14" s="4">
        <f>+D13+1</f>
        <v>2</v>
      </c>
      <c r="E14" s="48" t="s">
        <v>22</v>
      </c>
      <c r="F14" s="48" t="s">
        <v>22</v>
      </c>
      <c r="G14" s="69" t="s">
        <v>37</v>
      </c>
      <c r="H14" s="49"/>
      <c r="I14" s="82">
        <v>23</v>
      </c>
      <c r="J14" s="81">
        <f t="shared" si="0"/>
        <v>0</v>
      </c>
      <c r="K14" s="40"/>
      <c r="L14" s="54" t="s">
        <v>38</v>
      </c>
      <c r="M14" s="22"/>
      <c r="N14" s="4"/>
      <c r="O14" s="11"/>
      <c r="P14" s="4"/>
      <c r="Q14" s="19"/>
      <c r="R14" s="19"/>
      <c r="S14" s="14"/>
    </row>
    <row r="15" spans="1:19" s="3" customFormat="1" ht="19.7" customHeight="1" x14ac:dyDescent="0.15">
      <c r="A15" s="124" t="s">
        <v>52</v>
      </c>
      <c r="B15" s="125"/>
      <c r="C15" s="89">
        <v>7</v>
      </c>
      <c r="D15" s="4">
        <f>+D14+1</f>
        <v>3</v>
      </c>
      <c r="E15" s="128" t="s">
        <v>22</v>
      </c>
      <c r="F15" s="128" t="s">
        <v>22</v>
      </c>
      <c r="G15" s="133" t="s">
        <v>117</v>
      </c>
      <c r="H15" s="162">
        <v>2</v>
      </c>
      <c r="I15" s="155">
        <v>319</v>
      </c>
      <c r="J15" s="111">
        <f t="shared" si="0"/>
        <v>638</v>
      </c>
      <c r="K15" s="112"/>
      <c r="L15" s="113" t="s">
        <v>118</v>
      </c>
      <c r="M15" s="22"/>
      <c r="N15" s="4"/>
      <c r="O15" s="11">
        <v>45062</v>
      </c>
      <c r="P15" s="4"/>
      <c r="Q15" s="19"/>
      <c r="R15" s="19">
        <v>45085</v>
      </c>
      <c r="S15" s="14">
        <v>45085</v>
      </c>
    </row>
    <row r="16" spans="1:19" s="3" customFormat="1" ht="19.7" customHeight="1" x14ac:dyDescent="0.15">
      <c r="A16" s="124" t="s">
        <v>52</v>
      </c>
      <c r="B16" s="125"/>
      <c r="C16" s="89">
        <v>7</v>
      </c>
      <c r="D16" s="4">
        <f>+D15+1</f>
        <v>4</v>
      </c>
      <c r="E16" s="48" t="s">
        <v>22</v>
      </c>
      <c r="F16" s="48" t="s">
        <v>22</v>
      </c>
      <c r="G16" s="69" t="s">
        <v>119</v>
      </c>
      <c r="H16" s="49"/>
      <c r="I16" s="82">
        <v>23</v>
      </c>
      <c r="J16" s="81">
        <f t="shared" si="0"/>
        <v>0</v>
      </c>
      <c r="K16" s="40"/>
      <c r="L16" s="54" t="s">
        <v>38</v>
      </c>
      <c r="M16" s="22"/>
      <c r="N16" s="4"/>
      <c r="O16" s="11"/>
      <c r="P16" s="4"/>
      <c r="Q16" s="19"/>
      <c r="R16" s="19"/>
      <c r="S16" s="14"/>
    </row>
    <row r="17" spans="1:19" s="3" customFormat="1" ht="19.7" customHeight="1" x14ac:dyDescent="0.15">
      <c r="A17" s="124" t="s">
        <v>59</v>
      </c>
      <c r="B17" s="125"/>
      <c r="C17" s="89">
        <v>7</v>
      </c>
      <c r="D17" s="4">
        <f>+D16+1</f>
        <v>5</v>
      </c>
      <c r="E17" s="163" t="s">
        <v>22</v>
      </c>
      <c r="F17" s="163" t="s">
        <v>22</v>
      </c>
      <c r="G17" s="164" t="s">
        <v>115</v>
      </c>
      <c r="H17" s="165">
        <v>2</v>
      </c>
      <c r="I17" s="166">
        <v>1390</v>
      </c>
      <c r="J17" s="57">
        <f t="shared" si="0"/>
        <v>2780</v>
      </c>
      <c r="K17" s="33"/>
      <c r="L17" s="24" t="s">
        <v>114</v>
      </c>
      <c r="M17" s="22"/>
      <c r="N17" s="4"/>
      <c r="O17" s="11">
        <v>45062</v>
      </c>
      <c r="P17" s="4"/>
      <c r="Q17" s="19"/>
      <c r="R17" s="19">
        <v>45085</v>
      </c>
      <c r="S17" s="14">
        <v>45085</v>
      </c>
    </row>
    <row r="18" spans="1:19" s="3" customFormat="1" ht="19.7" customHeight="1" x14ac:dyDescent="0.15">
      <c r="A18" s="62"/>
      <c r="B18" s="88"/>
      <c r="C18" s="1"/>
      <c r="D18" s="4"/>
      <c r="E18" s="4"/>
      <c r="F18" s="59"/>
      <c r="G18" s="24"/>
      <c r="H18" s="60"/>
      <c r="I18" s="85"/>
      <c r="J18" s="57"/>
      <c r="K18" s="58"/>
      <c r="L18" s="54"/>
      <c r="M18" s="22"/>
      <c r="N18" s="4"/>
      <c r="O18" s="11"/>
      <c r="P18" s="4"/>
      <c r="Q18" s="19"/>
      <c r="R18" s="19"/>
      <c r="S18" s="14"/>
    </row>
    <row r="19" spans="1:19" s="3" customFormat="1" ht="19.7" customHeight="1" x14ac:dyDescent="0.15">
      <c r="A19" s="62"/>
      <c r="B19" s="88"/>
      <c r="C19" s="1"/>
      <c r="D19" s="4"/>
      <c r="E19" s="4"/>
      <c r="F19" s="4"/>
      <c r="G19" s="61">
        <f>SUM(J13:J18)</f>
        <v>16754</v>
      </c>
      <c r="H19" s="70"/>
      <c r="I19" s="81"/>
      <c r="J19" s="81"/>
      <c r="K19" s="33"/>
      <c r="L19" s="24"/>
      <c r="M19" s="22"/>
      <c r="N19" s="4"/>
      <c r="O19" s="11"/>
      <c r="P19" s="4"/>
      <c r="Q19" s="19"/>
      <c r="R19" s="19"/>
      <c r="S19" s="14"/>
    </row>
    <row r="20" spans="1:19" s="3" customFormat="1" ht="19.7" customHeight="1" x14ac:dyDescent="0.15">
      <c r="A20" s="62"/>
      <c r="B20" s="88"/>
      <c r="C20" s="1"/>
      <c r="D20" s="4"/>
      <c r="E20" s="4"/>
      <c r="F20" s="4"/>
      <c r="G20" s="64"/>
      <c r="H20" s="1"/>
      <c r="I20" s="21"/>
      <c r="J20" s="81"/>
      <c r="K20" s="2"/>
      <c r="L20" s="24"/>
      <c r="M20" s="22"/>
      <c r="N20" s="4"/>
      <c r="O20" s="11"/>
      <c r="P20" s="4"/>
      <c r="Q20" s="19"/>
      <c r="R20" s="19"/>
      <c r="S20" s="14"/>
    </row>
    <row r="21" spans="1:19" s="3" customFormat="1" ht="19.7" customHeight="1" x14ac:dyDescent="0.15">
      <c r="A21" s="62"/>
      <c r="B21" s="88"/>
      <c r="C21" s="1"/>
      <c r="D21" s="4"/>
      <c r="E21" s="4"/>
      <c r="F21" s="4"/>
      <c r="G21" s="64"/>
      <c r="H21" s="1"/>
      <c r="I21" s="21"/>
      <c r="J21" s="81"/>
      <c r="K21" s="2"/>
      <c r="L21" s="24"/>
      <c r="M21" s="22"/>
      <c r="N21" s="4"/>
      <c r="O21" s="11"/>
      <c r="P21" s="4"/>
      <c r="Q21" s="19"/>
      <c r="R21" s="19"/>
      <c r="S21" s="14"/>
    </row>
    <row r="22" spans="1:19" s="3" customFormat="1" ht="19.7" customHeight="1" x14ac:dyDescent="0.15">
      <c r="A22" s="62"/>
      <c r="B22" s="88"/>
      <c r="C22" s="1"/>
      <c r="D22" s="197" t="s">
        <v>102</v>
      </c>
      <c r="E22" s="198"/>
      <c r="F22" s="198"/>
      <c r="G22" s="199"/>
      <c r="H22" s="1"/>
      <c r="I22" s="21"/>
      <c r="J22" s="81"/>
      <c r="K22" s="2"/>
      <c r="L22" s="24"/>
      <c r="M22" s="22"/>
      <c r="N22" s="4"/>
      <c r="O22" s="11"/>
      <c r="P22" s="4"/>
      <c r="Q22" s="19"/>
      <c r="R22" s="19"/>
      <c r="S22" s="14"/>
    </row>
    <row r="23" spans="1:19" s="3" customFormat="1" ht="19.7" customHeight="1" x14ac:dyDescent="0.15">
      <c r="A23" s="124" t="s">
        <v>51</v>
      </c>
      <c r="B23" s="125"/>
      <c r="C23" s="181">
        <v>10</v>
      </c>
      <c r="D23" s="4">
        <f>+D17+1</f>
        <v>6</v>
      </c>
      <c r="E23" s="65" t="s">
        <v>35</v>
      </c>
      <c r="F23" s="65" t="s">
        <v>22</v>
      </c>
      <c r="G23" s="148" t="s">
        <v>182</v>
      </c>
      <c r="H23" s="147">
        <v>1</v>
      </c>
      <c r="I23" s="143">
        <v>17285</v>
      </c>
      <c r="J23" s="57">
        <f t="shared" ref="J23:J29" si="1">H23*I23</f>
        <v>17285</v>
      </c>
      <c r="K23" s="2"/>
      <c r="L23" s="24" t="s">
        <v>121</v>
      </c>
      <c r="M23" s="22"/>
      <c r="N23" s="4"/>
      <c r="O23" s="11">
        <v>45062</v>
      </c>
      <c r="P23" s="4"/>
      <c r="Q23" s="19"/>
      <c r="R23" s="19">
        <v>45085</v>
      </c>
      <c r="S23" s="14">
        <v>45085</v>
      </c>
    </row>
    <row r="24" spans="1:19" s="3" customFormat="1" ht="19.7" customHeight="1" x14ac:dyDescent="0.15">
      <c r="A24" s="124" t="s">
        <v>112</v>
      </c>
      <c r="B24" s="125"/>
      <c r="C24" s="181">
        <v>10</v>
      </c>
      <c r="D24" s="4">
        <f>+D23+1</f>
        <v>7</v>
      </c>
      <c r="E24" s="151" t="s">
        <v>22</v>
      </c>
      <c r="F24" s="151" t="s">
        <v>22</v>
      </c>
      <c r="G24" s="148" t="s">
        <v>122</v>
      </c>
      <c r="H24" s="147">
        <v>2</v>
      </c>
      <c r="I24" s="143">
        <v>1200</v>
      </c>
      <c r="J24" s="57">
        <f t="shared" si="1"/>
        <v>2400</v>
      </c>
      <c r="K24" s="2"/>
      <c r="L24" s="24" t="s">
        <v>123</v>
      </c>
      <c r="M24" s="22"/>
      <c r="N24" s="4"/>
      <c r="O24" s="11">
        <v>45062</v>
      </c>
      <c r="P24" s="4"/>
      <c r="Q24" s="19"/>
      <c r="R24" s="19">
        <v>45085</v>
      </c>
      <c r="S24" s="14">
        <v>45085</v>
      </c>
    </row>
    <row r="25" spans="1:19" s="3" customFormat="1" ht="19.7" customHeight="1" x14ac:dyDescent="0.15">
      <c r="A25" s="124" t="s">
        <v>112</v>
      </c>
      <c r="B25" s="125"/>
      <c r="C25" s="181">
        <v>10</v>
      </c>
      <c r="D25" s="4">
        <f t="shared" ref="D25:D46" si="2">+D24+1</f>
        <v>8</v>
      </c>
      <c r="E25" s="151" t="s">
        <v>22</v>
      </c>
      <c r="F25" s="151" t="s">
        <v>22</v>
      </c>
      <c r="G25" s="148" t="s">
        <v>104</v>
      </c>
      <c r="H25" s="147">
        <v>2</v>
      </c>
      <c r="I25" s="143">
        <v>1290</v>
      </c>
      <c r="J25" s="57">
        <f t="shared" si="1"/>
        <v>2580</v>
      </c>
      <c r="K25" s="2"/>
      <c r="L25" s="24" t="s">
        <v>123</v>
      </c>
      <c r="M25" s="22"/>
      <c r="N25" s="4"/>
      <c r="O25" s="11">
        <v>45062</v>
      </c>
      <c r="P25" s="4"/>
      <c r="Q25" s="19"/>
      <c r="R25" s="19">
        <v>45085</v>
      </c>
      <c r="S25" s="14">
        <v>45085</v>
      </c>
    </row>
    <row r="26" spans="1:19" s="3" customFormat="1" ht="19.7" customHeight="1" x14ac:dyDescent="0.15">
      <c r="A26" s="124" t="s">
        <v>112</v>
      </c>
      <c r="B26" s="125"/>
      <c r="C26" s="181">
        <v>10</v>
      </c>
      <c r="D26" s="4">
        <f t="shared" si="2"/>
        <v>9</v>
      </c>
      <c r="E26" s="151" t="s">
        <v>22</v>
      </c>
      <c r="F26" s="151" t="s">
        <v>22</v>
      </c>
      <c r="G26" s="148" t="s">
        <v>105</v>
      </c>
      <c r="H26" s="147">
        <v>2</v>
      </c>
      <c r="I26" s="143">
        <v>800</v>
      </c>
      <c r="J26" s="57">
        <f t="shared" si="1"/>
        <v>1600</v>
      </c>
      <c r="K26" s="2"/>
      <c r="L26" s="24" t="s">
        <v>124</v>
      </c>
      <c r="M26" s="22"/>
      <c r="N26" s="4"/>
      <c r="O26" s="11">
        <v>45062</v>
      </c>
      <c r="P26" s="4"/>
      <c r="Q26" s="19"/>
      <c r="R26" s="19">
        <v>45085</v>
      </c>
      <c r="S26" s="14">
        <v>45085</v>
      </c>
    </row>
    <row r="27" spans="1:19" s="3" customFormat="1" ht="19.7" customHeight="1" x14ac:dyDescent="0.15">
      <c r="A27" s="124" t="s">
        <v>112</v>
      </c>
      <c r="B27" s="125"/>
      <c r="C27" s="181">
        <v>10</v>
      </c>
      <c r="D27" s="4">
        <f t="shared" si="2"/>
        <v>10</v>
      </c>
      <c r="E27" s="151" t="s">
        <v>22</v>
      </c>
      <c r="F27" s="151" t="s">
        <v>22</v>
      </c>
      <c r="G27" s="148" t="s">
        <v>103</v>
      </c>
      <c r="H27" s="147">
        <v>4</v>
      </c>
      <c r="I27" s="143">
        <v>1030</v>
      </c>
      <c r="J27" s="57">
        <f t="shared" si="1"/>
        <v>4120</v>
      </c>
      <c r="K27" s="2"/>
      <c r="L27" s="24" t="s">
        <v>125</v>
      </c>
      <c r="M27" s="22"/>
      <c r="N27" s="4"/>
      <c r="O27" s="11">
        <v>45062</v>
      </c>
      <c r="P27" s="4"/>
      <c r="Q27" s="19"/>
      <c r="R27" s="19">
        <v>45085</v>
      </c>
      <c r="S27" s="14">
        <v>45085</v>
      </c>
    </row>
    <row r="28" spans="1:19" s="3" customFormat="1" ht="19.7" customHeight="1" x14ac:dyDescent="0.15">
      <c r="A28" s="124" t="s">
        <v>52</v>
      </c>
      <c r="B28" s="125"/>
      <c r="C28" s="181">
        <v>10</v>
      </c>
      <c r="D28" s="4">
        <f t="shared" si="2"/>
        <v>11</v>
      </c>
      <c r="E28" s="184" t="s">
        <v>22</v>
      </c>
      <c r="F28" s="184" t="s">
        <v>22</v>
      </c>
      <c r="G28" s="174" t="s">
        <v>184</v>
      </c>
      <c r="H28" s="184"/>
      <c r="I28" s="185">
        <v>19</v>
      </c>
      <c r="J28" s="180">
        <f t="shared" si="1"/>
        <v>0</v>
      </c>
      <c r="K28" s="183"/>
      <c r="L28" s="173" t="s">
        <v>126</v>
      </c>
      <c r="M28" s="186" t="s">
        <v>188</v>
      </c>
      <c r="N28" s="4"/>
      <c r="O28" s="11"/>
      <c r="P28" s="4"/>
      <c r="Q28" s="19"/>
      <c r="R28" s="19"/>
      <c r="S28" s="14"/>
    </row>
    <row r="29" spans="1:19" s="3" customFormat="1" ht="19.7" customHeight="1" x14ac:dyDescent="0.15">
      <c r="A29" s="124" t="s">
        <v>52</v>
      </c>
      <c r="B29" s="125"/>
      <c r="C29" s="181">
        <v>10</v>
      </c>
      <c r="D29" s="4">
        <f t="shared" si="2"/>
        <v>12</v>
      </c>
      <c r="E29" s="48" t="s">
        <v>22</v>
      </c>
      <c r="F29" s="48" t="s">
        <v>22</v>
      </c>
      <c r="G29" s="69" t="s">
        <v>110</v>
      </c>
      <c r="H29" s="49"/>
      <c r="I29" s="82">
        <v>23</v>
      </c>
      <c r="J29" s="57">
        <f t="shared" si="1"/>
        <v>0</v>
      </c>
      <c r="K29" s="40"/>
      <c r="L29" s="54" t="s">
        <v>38</v>
      </c>
      <c r="M29" s="22"/>
      <c r="N29" s="4"/>
      <c r="O29" s="11"/>
      <c r="P29" s="4"/>
      <c r="Q29" s="19"/>
      <c r="R29" s="19"/>
      <c r="S29" s="14"/>
    </row>
    <row r="30" spans="1:19" s="3" customFormat="1" ht="19.7" customHeight="1" x14ac:dyDescent="0.15">
      <c r="A30" s="62"/>
      <c r="B30" s="88"/>
      <c r="C30" s="1"/>
      <c r="D30" s="4"/>
      <c r="E30" s="43"/>
      <c r="F30" s="43"/>
      <c r="G30" s="64"/>
      <c r="H30" s="1"/>
      <c r="I30" s="21"/>
      <c r="J30" s="57"/>
      <c r="K30" s="2"/>
      <c r="L30" s="24"/>
      <c r="M30" s="22"/>
      <c r="N30" s="4"/>
      <c r="O30" s="11"/>
      <c r="P30" s="4"/>
      <c r="Q30" s="19"/>
      <c r="R30" s="19"/>
      <c r="S30" s="14"/>
    </row>
    <row r="31" spans="1:19" s="3" customFormat="1" ht="19.7" customHeight="1" x14ac:dyDescent="0.15">
      <c r="A31" s="124" t="s">
        <v>51</v>
      </c>
      <c r="B31" s="125"/>
      <c r="C31" s="181">
        <v>10</v>
      </c>
      <c r="D31" s="4">
        <f>+D29+1</f>
        <v>13</v>
      </c>
      <c r="E31" s="65" t="s">
        <v>35</v>
      </c>
      <c r="F31" s="65" t="s">
        <v>22</v>
      </c>
      <c r="G31" s="148" t="s">
        <v>183</v>
      </c>
      <c r="H31" s="147">
        <v>1</v>
      </c>
      <c r="I31" s="143">
        <v>5131</v>
      </c>
      <c r="J31" s="57">
        <f t="shared" ref="J31:J46" si="3">H31*I31</f>
        <v>5131</v>
      </c>
      <c r="K31" s="2"/>
      <c r="L31" s="24" t="s">
        <v>127</v>
      </c>
      <c r="M31" s="22"/>
      <c r="N31" s="4"/>
      <c r="O31" s="11">
        <v>45062</v>
      </c>
      <c r="P31" s="4"/>
      <c r="Q31" s="19"/>
      <c r="R31" s="19">
        <v>45085</v>
      </c>
      <c r="S31" s="14">
        <v>45085</v>
      </c>
    </row>
    <row r="32" spans="1:19" s="3" customFormat="1" ht="19.7" customHeight="1" x14ac:dyDescent="0.15">
      <c r="A32" s="124" t="s">
        <v>52</v>
      </c>
      <c r="B32" s="125"/>
      <c r="C32" s="181">
        <v>10</v>
      </c>
      <c r="D32" s="4">
        <f t="shared" si="2"/>
        <v>14</v>
      </c>
      <c r="E32" s="48" t="s">
        <v>22</v>
      </c>
      <c r="F32" s="48" t="s">
        <v>22</v>
      </c>
      <c r="G32" s="69" t="s">
        <v>128</v>
      </c>
      <c r="H32" s="49"/>
      <c r="I32" s="82">
        <v>23</v>
      </c>
      <c r="J32" s="57">
        <f>H32*I32</f>
        <v>0</v>
      </c>
      <c r="K32" s="40"/>
      <c r="L32" s="54" t="s">
        <v>38</v>
      </c>
      <c r="M32" s="22"/>
      <c r="N32" s="4"/>
      <c r="O32" s="11"/>
      <c r="P32" s="4"/>
      <c r="Q32" s="19"/>
      <c r="R32" s="19"/>
      <c r="S32" s="14"/>
    </row>
    <row r="33" spans="1:19" s="3" customFormat="1" ht="19.7" customHeight="1" x14ac:dyDescent="0.15">
      <c r="A33" s="62"/>
      <c r="B33" s="88"/>
      <c r="C33" s="1"/>
      <c r="D33" s="4"/>
      <c r="E33" s="43"/>
      <c r="F33" s="43"/>
      <c r="G33" s="64"/>
      <c r="H33" s="1"/>
      <c r="I33" s="21"/>
      <c r="J33" s="57"/>
      <c r="K33" s="2"/>
      <c r="L33" s="24"/>
      <c r="M33" s="22"/>
      <c r="N33" s="4"/>
      <c r="O33" s="11"/>
      <c r="P33" s="4"/>
      <c r="Q33" s="19"/>
      <c r="R33" s="19"/>
      <c r="S33" s="14"/>
    </row>
    <row r="34" spans="1:19" s="3" customFormat="1" ht="19.7" customHeight="1" x14ac:dyDescent="0.15">
      <c r="A34" s="124" t="s">
        <v>51</v>
      </c>
      <c r="B34" s="125"/>
      <c r="C34" s="181">
        <v>10</v>
      </c>
      <c r="D34" s="4">
        <f>+D32+1</f>
        <v>15</v>
      </c>
      <c r="E34" s="65" t="s">
        <v>35</v>
      </c>
      <c r="F34" s="65" t="s">
        <v>22</v>
      </c>
      <c r="G34" s="148" t="s">
        <v>130</v>
      </c>
      <c r="H34" s="147">
        <v>1</v>
      </c>
      <c r="I34" s="143">
        <v>12503</v>
      </c>
      <c r="J34" s="57">
        <f t="shared" si="3"/>
        <v>12503</v>
      </c>
      <c r="K34" s="2"/>
      <c r="L34" s="24" t="s">
        <v>129</v>
      </c>
      <c r="M34" s="22"/>
      <c r="N34" s="4"/>
      <c r="O34" s="11">
        <v>45062</v>
      </c>
      <c r="P34" s="4"/>
      <c r="Q34" s="19"/>
      <c r="R34" s="19">
        <v>45085</v>
      </c>
      <c r="S34" s="14">
        <v>45085</v>
      </c>
    </row>
    <row r="35" spans="1:19" s="3" customFormat="1" ht="19.7" customHeight="1" x14ac:dyDescent="0.15">
      <c r="A35" s="114" t="s">
        <v>52</v>
      </c>
      <c r="B35" s="88"/>
      <c r="C35" s="181">
        <v>10</v>
      </c>
      <c r="D35" s="4">
        <f t="shared" si="2"/>
        <v>16</v>
      </c>
      <c r="E35" s="48" t="s">
        <v>22</v>
      </c>
      <c r="F35" s="48" t="s">
        <v>22</v>
      </c>
      <c r="G35" s="69" t="s">
        <v>110</v>
      </c>
      <c r="H35" s="49"/>
      <c r="I35" s="82">
        <v>23</v>
      </c>
      <c r="J35" s="57">
        <f>H35*I35</f>
        <v>0</v>
      </c>
      <c r="K35" s="40"/>
      <c r="L35" s="54" t="s">
        <v>106</v>
      </c>
      <c r="M35" s="22"/>
      <c r="N35" s="4"/>
      <c r="O35" s="11"/>
      <c r="P35" s="4"/>
      <c r="Q35" s="19"/>
      <c r="R35" s="19"/>
      <c r="S35" s="14"/>
    </row>
    <row r="36" spans="1:19" s="3" customFormat="1" ht="19.7" customHeight="1" x14ac:dyDescent="0.15">
      <c r="A36" s="62"/>
      <c r="B36" s="88"/>
      <c r="C36" s="1"/>
      <c r="D36" s="4"/>
      <c r="E36" s="43"/>
      <c r="F36" s="43"/>
      <c r="G36" s="64"/>
      <c r="H36" s="1"/>
      <c r="I36" s="21"/>
      <c r="J36" s="57"/>
      <c r="K36" s="2"/>
      <c r="L36" s="24"/>
      <c r="M36" s="22"/>
      <c r="N36" s="4"/>
      <c r="O36" s="11"/>
      <c r="P36" s="4"/>
      <c r="Q36" s="19"/>
      <c r="R36" s="19"/>
      <c r="S36" s="14"/>
    </row>
    <row r="37" spans="1:19" s="3" customFormat="1" ht="19.7" customHeight="1" x14ac:dyDescent="0.15">
      <c r="A37" s="124" t="s">
        <v>50</v>
      </c>
      <c r="B37" s="125"/>
      <c r="C37" s="181">
        <v>10</v>
      </c>
      <c r="D37" s="4">
        <f>+D35+1</f>
        <v>17</v>
      </c>
      <c r="E37" s="65" t="s">
        <v>35</v>
      </c>
      <c r="F37" s="65" t="s">
        <v>22</v>
      </c>
      <c r="G37" s="148" t="s">
        <v>132</v>
      </c>
      <c r="H37" s="147">
        <v>1</v>
      </c>
      <c r="I37" s="143">
        <v>2120</v>
      </c>
      <c r="J37" s="57">
        <f t="shared" si="3"/>
        <v>2120</v>
      </c>
      <c r="K37" s="2"/>
      <c r="L37" s="24" t="s">
        <v>131</v>
      </c>
      <c r="M37" s="22"/>
      <c r="N37" s="4"/>
      <c r="O37" s="11">
        <v>45062</v>
      </c>
      <c r="P37" s="4"/>
      <c r="Q37" s="19"/>
      <c r="R37" s="19">
        <v>45085</v>
      </c>
      <c r="S37" s="14">
        <v>45085</v>
      </c>
    </row>
    <row r="38" spans="1:19" s="3" customFormat="1" ht="19.7" customHeight="1" x14ac:dyDescent="0.15">
      <c r="A38" s="124" t="s">
        <v>52</v>
      </c>
      <c r="B38" s="125"/>
      <c r="C38" s="181">
        <v>10</v>
      </c>
      <c r="D38" s="4">
        <f t="shared" si="2"/>
        <v>18</v>
      </c>
      <c r="E38" s="151" t="s">
        <v>22</v>
      </c>
      <c r="F38" s="151" t="s">
        <v>22</v>
      </c>
      <c r="G38" s="148" t="s">
        <v>133</v>
      </c>
      <c r="H38" s="147">
        <v>4</v>
      </c>
      <c r="I38" s="143">
        <v>104</v>
      </c>
      <c r="J38" s="57">
        <f t="shared" si="3"/>
        <v>416</v>
      </c>
      <c r="K38" s="2"/>
      <c r="L38" s="24" t="s">
        <v>134</v>
      </c>
      <c r="M38" s="22"/>
      <c r="N38" s="4"/>
      <c r="O38" s="11">
        <v>45062</v>
      </c>
      <c r="P38" s="4"/>
      <c r="Q38" s="19"/>
      <c r="R38" s="19">
        <v>45085</v>
      </c>
      <c r="S38" s="14">
        <v>45085</v>
      </c>
    </row>
    <row r="39" spans="1:19" s="3" customFormat="1" ht="19.7" customHeight="1" x14ac:dyDescent="0.15">
      <c r="A39" s="62"/>
      <c r="B39" s="88"/>
      <c r="C39" s="1"/>
      <c r="D39" s="4"/>
      <c r="E39" s="43"/>
      <c r="F39" s="43"/>
      <c r="G39" s="64"/>
      <c r="H39" s="1"/>
      <c r="I39" s="21"/>
      <c r="J39" s="57"/>
      <c r="K39" s="2"/>
      <c r="L39" s="24"/>
      <c r="M39" s="22"/>
      <c r="N39" s="4"/>
      <c r="O39" s="11"/>
      <c r="P39" s="4"/>
      <c r="Q39" s="19"/>
      <c r="R39" s="19"/>
      <c r="S39" s="14"/>
    </row>
    <row r="40" spans="1:19" s="3" customFormat="1" ht="19.7" customHeight="1" x14ac:dyDescent="0.15">
      <c r="A40" s="124" t="s">
        <v>51</v>
      </c>
      <c r="B40" s="125"/>
      <c r="C40" s="181">
        <v>10</v>
      </c>
      <c r="D40" s="4">
        <f>+D38+1</f>
        <v>19</v>
      </c>
      <c r="E40" s="65" t="s">
        <v>35</v>
      </c>
      <c r="F40" s="65" t="s">
        <v>22</v>
      </c>
      <c r="G40" s="148" t="s">
        <v>139</v>
      </c>
      <c r="H40" s="147">
        <v>1</v>
      </c>
      <c r="I40" s="143">
        <v>24533</v>
      </c>
      <c r="J40" s="57">
        <f t="shared" si="3"/>
        <v>24533</v>
      </c>
      <c r="K40" s="2"/>
      <c r="L40" s="24" t="s">
        <v>135</v>
      </c>
      <c r="M40" s="22"/>
      <c r="N40" s="4"/>
      <c r="O40" s="11">
        <v>45062</v>
      </c>
      <c r="P40" s="4"/>
      <c r="Q40" s="19"/>
      <c r="R40" s="19">
        <v>45085</v>
      </c>
      <c r="S40" s="14">
        <v>45085</v>
      </c>
    </row>
    <row r="41" spans="1:19" s="3" customFormat="1" ht="19.7" customHeight="1" x14ac:dyDescent="0.15">
      <c r="A41" s="124" t="s">
        <v>50</v>
      </c>
      <c r="B41" s="125"/>
      <c r="C41" s="181">
        <v>10</v>
      </c>
      <c r="D41" s="4">
        <f t="shared" si="2"/>
        <v>20</v>
      </c>
      <c r="E41" s="151" t="s">
        <v>22</v>
      </c>
      <c r="F41" s="151" t="s">
        <v>22</v>
      </c>
      <c r="G41" s="148" t="s">
        <v>108</v>
      </c>
      <c r="H41" s="147">
        <v>1</v>
      </c>
      <c r="I41" s="143">
        <v>600</v>
      </c>
      <c r="J41" s="57">
        <f t="shared" si="3"/>
        <v>600</v>
      </c>
      <c r="K41" s="2"/>
      <c r="L41" s="24" t="s">
        <v>140</v>
      </c>
      <c r="M41" s="22"/>
      <c r="N41" s="4"/>
      <c r="O41" s="11">
        <v>45062</v>
      </c>
      <c r="P41" s="4"/>
      <c r="Q41" s="19"/>
      <c r="R41" s="19">
        <v>45085</v>
      </c>
      <c r="S41" s="14">
        <v>45085</v>
      </c>
    </row>
    <row r="42" spans="1:19" s="3" customFormat="1" ht="19.7" customHeight="1" x14ac:dyDescent="0.15">
      <c r="A42" s="124" t="s">
        <v>50</v>
      </c>
      <c r="B42" s="125"/>
      <c r="C42" s="181">
        <v>10</v>
      </c>
      <c r="D42" s="4">
        <f t="shared" si="2"/>
        <v>21</v>
      </c>
      <c r="E42" s="151" t="s">
        <v>22</v>
      </c>
      <c r="F42" s="151" t="s">
        <v>22</v>
      </c>
      <c r="G42" s="148" t="s">
        <v>113</v>
      </c>
      <c r="H42" s="147">
        <v>1</v>
      </c>
      <c r="I42" s="143">
        <v>600</v>
      </c>
      <c r="J42" s="57">
        <f t="shared" si="3"/>
        <v>600</v>
      </c>
      <c r="K42" s="2"/>
      <c r="L42" s="24" t="s">
        <v>140</v>
      </c>
      <c r="M42" s="22"/>
      <c r="N42" s="4"/>
      <c r="O42" s="11">
        <v>45062</v>
      </c>
      <c r="P42" s="4"/>
      <c r="Q42" s="19"/>
      <c r="R42" s="19">
        <v>45085</v>
      </c>
      <c r="S42" s="14">
        <v>45085</v>
      </c>
    </row>
    <row r="43" spans="1:19" s="3" customFormat="1" ht="19.7" customHeight="1" x14ac:dyDescent="0.15">
      <c r="A43" s="124" t="s">
        <v>52</v>
      </c>
      <c r="B43" s="125"/>
      <c r="C43" s="181">
        <v>10</v>
      </c>
      <c r="D43" s="4">
        <f t="shared" si="2"/>
        <v>22</v>
      </c>
      <c r="E43" s="151" t="s">
        <v>22</v>
      </c>
      <c r="F43" s="151" t="s">
        <v>22</v>
      </c>
      <c r="G43" s="148" t="s">
        <v>111</v>
      </c>
      <c r="H43" s="147">
        <v>30</v>
      </c>
      <c r="I43" s="143">
        <v>19</v>
      </c>
      <c r="J43" s="57">
        <f t="shared" si="3"/>
        <v>570</v>
      </c>
      <c r="K43" s="2"/>
      <c r="L43" s="24" t="s">
        <v>136</v>
      </c>
      <c r="M43" s="22"/>
      <c r="N43" s="4"/>
      <c r="O43" s="11">
        <v>45062</v>
      </c>
      <c r="P43" s="4"/>
      <c r="Q43" s="19"/>
      <c r="R43" s="19">
        <v>45085</v>
      </c>
      <c r="S43" s="14">
        <v>45085</v>
      </c>
    </row>
    <row r="44" spans="1:19" s="3" customFormat="1" ht="19.7" customHeight="1" x14ac:dyDescent="0.15">
      <c r="A44" s="124" t="s">
        <v>52</v>
      </c>
      <c r="B44" s="125"/>
      <c r="C44" s="181">
        <v>10</v>
      </c>
      <c r="D44" s="4">
        <f t="shared" si="2"/>
        <v>23</v>
      </c>
      <c r="E44" s="151" t="s">
        <v>22</v>
      </c>
      <c r="F44" s="151" t="s">
        <v>22</v>
      </c>
      <c r="G44" s="148" t="s">
        <v>137</v>
      </c>
      <c r="H44" s="147">
        <v>10</v>
      </c>
      <c r="I44" s="143">
        <v>23</v>
      </c>
      <c r="J44" s="57">
        <f t="shared" si="3"/>
        <v>230</v>
      </c>
      <c r="K44" s="2"/>
      <c r="L44" s="113" t="s">
        <v>138</v>
      </c>
      <c r="M44" s="22"/>
      <c r="N44" s="4"/>
      <c r="O44" s="11">
        <v>45062</v>
      </c>
      <c r="P44" s="4"/>
      <c r="Q44" s="19"/>
      <c r="R44" s="19">
        <v>45085</v>
      </c>
      <c r="S44" s="14">
        <v>45085</v>
      </c>
    </row>
    <row r="45" spans="1:19" s="3" customFormat="1" ht="19.7" customHeight="1" x14ac:dyDescent="0.15">
      <c r="A45" s="124" t="s">
        <v>52</v>
      </c>
      <c r="B45" s="125"/>
      <c r="C45" s="181">
        <v>10</v>
      </c>
      <c r="D45" s="4">
        <f t="shared" si="2"/>
        <v>24</v>
      </c>
      <c r="E45" s="48" t="s">
        <v>22</v>
      </c>
      <c r="F45" s="48" t="s">
        <v>22</v>
      </c>
      <c r="G45" s="69" t="s">
        <v>110</v>
      </c>
      <c r="H45" s="49"/>
      <c r="I45" s="82">
        <v>23</v>
      </c>
      <c r="J45" s="57">
        <f t="shared" si="3"/>
        <v>0</v>
      </c>
      <c r="K45" s="40"/>
      <c r="L45" s="54" t="s">
        <v>109</v>
      </c>
      <c r="M45" s="22"/>
      <c r="N45" s="4"/>
      <c r="O45" s="11"/>
      <c r="P45" s="4"/>
      <c r="Q45" s="19"/>
      <c r="R45" s="19"/>
      <c r="S45" s="14"/>
    </row>
    <row r="46" spans="1:19" s="3" customFormat="1" ht="19.7" customHeight="1" x14ac:dyDescent="0.15">
      <c r="A46" s="124" t="s">
        <v>59</v>
      </c>
      <c r="B46" s="125"/>
      <c r="C46" s="181">
        <v>10</v>
      </c>
      <c r="D46" s="4">
        <f t="shared" si="2"/>
        <v>25</v>
      </c>
      <c r="E46" s="151" t="s">
        <v>22</v>
      </c>
      <c r="F46" s="151" t="s">
        <v>22</v>
      </c>
      <c r="G46" s="148" t="s">
        <v>107</v>
      </c>
      <c r="H46" s="147">
        <v>4</v>
      </c>
      <c r="I46" s="143">
        <v>2420</v>
      </c>
      <c r="J46" s="57">
        <f t="shared" si="3"/>
        <v>9680</v>
      </c>
      <c r="K46" s="2"/>
      <c r="L46" s="24" t="s">
        <v>141</v>
      </c>
      <c r="M46" s="22"/>
      <c r="N46" s="4"/>
      <c r="O46" s="11">
        <v>45062</v>
      </c>
      <c r="P46" s="4"/>
      <c r="Q46" s="19"/>
      <c r="R46" s="19">
        <v>45085</v>
      </c>
      <c r="S46" s="14">
        <v>45085</v>
      </c>
    </row>
    <row r="47" spans="1:19" s="3" customFormat="1" ht="19.7" customHeight="1" x14ac:dyDescent="0.15">
      <c r="A47" s="62"/>
      <c r="B47" s="88"/>
      <c r="C47" s="1"/>
      <c r="D47" s="4"/>
      <c r="E47" s="4"/>
      <c r="F47" s="4"/>
      <c r="G47" s="64"/>
      <c r="H47" s="1"/>
      <c r="I47" s="21"/>
      <c r="J47" s="81"/>
      <c r="K47" s="2"/>
      <c r="L47" s="24"/>
      <c r="M47" s="22"/>
      <c r="N47" s="4"/>
      <c r="O47" s="11"/>
      <c r="P47" s="4"/>
      <c r="Q47" s="19"/>
      <c r="R47" s="19"/>
      <c r="S47" s="14"/>
    </row>
    <row r="48" spans="1:19" s="3" customFormat="1" ht="19.7" customHeight="1" x14ac:dyDescent="0.15">
      <c r="A48" s="62"/>
      <c r="B48" s="88"/>
      <c r="C48" s="1"/>
      <c r="D48" s="4"/>
      <c r="E48" s="4"/>
      <c r="F48" s="4"/>
      <c r="G48" s="61">
        <f>SUM(J23:J46)</f>
        <v>84368</v>
      </c>
      <c r="H48" s="1"/>
      <c r="I48" s="21"/>
      <c r="J48" s="81"/>
      <c r="K48" s="2"/>
      <c r="L48" s="24"/>
      <c r="M48" s="22"/>
      <c r="N48" s="4"/>
      <c r="O48" s="11"/>
      <c r="P48" s="4"/>
      <c r="Q48" s="19"/>
      <c r="R48" s="19"/>
      <c r="S48" s="14"/>
    </row>
    <row r="49" spans="1:19" s="3" customFormat="1" ht="19.7" customHeight="1" x14ac:dyDescent="0.15">
      <c r="A49" s="62"/>
      <c r="B49" s="88"/>
      <c r="C49" s="1"/>
      <c r="D49" s="4"/>
      <c r="E49" s="4"/>
      <c r="F49" s="4"/>
      <c r="G49" s="64"/>
      <c r="H49" s="1"/>
      <c r="I49" s="21"/>
      <c r="J49" s="81"/>
      <c r="K49" s="2"/>
      <c r="L49" s="24"/>
      <c r="M49" s="22"/>
      <c r="N49" s="4"/>
      <c r="O49" s="11"/>
      <c r="P49" s="4"/>
      <c r="Q49" s="19"/>
      <c r="R49" s="19"/>
      <c r="S49" s="14"/>
    </row>
    <row r="50" spans="1:19" s="3" customFormat="1" ht="19.7" customHeight="1" x14ac:dyDescent="0.15">
      <c r="A50" s="62"/>
      <c r="B50" s="88"/>
      <c r="C50" s="1"/>
      <c r="D50" s="4"/>
      <c r="E50" s="4"/>
      <c r="F50" s="4"/>
      <c r="G50" s="64"/>
      <c r="H50" s="1"/>
      <c r="I50" s="21"/>
      <c r="J50" s="81"/>
      <c r="K50" s="2"/>
      <c r="L50" s="24"/>
      <c r="M50" s="22"/>
      <c r="N50" s="4"/>
      <c r="O50" s="11"/>
      <c r="P50" s="4"/>
      <c r="Q50" s="19"/>
      <c r="R50" s="19"/>
      <c r="S50" s="14"/>
    </row>
    <row r="51" spans="1:19" s="3" customFormat="1" ht="19.7" customHeight="1" x14ac:dyDescent="0.15">
      <c r="A51" s="62"/>
      <c r="B51" s="88"/>
      <c r="C51" s="1"/>
      <c r="D51" s="4"/>
      <c r="E51" s="4"/>
      <c r="F51" s="4"/>
      <c r="G51" s="64"/>
      <c r="H51" s="1"/>
      <c r="I51" s="21"/>
      <c r="J51" s="81"/>
      <c r="K51" s="2"/>
      <c r="L51" s="24"/>
      <c r="M51" s="22"/>
      <c r="N51" s="4"/>
      <c r="O51" s="11"/>
      <c r="P51" s="4"/>
      <c r="Q51" s="19"/>
      <c r="R51" s="19"/>
      <c r="S51" s="14"/>
    </row>
    <row r="52" spans="1:19" s="3" customFormat="1" ht="19.7" customHeight="1" x14ac:dyDescent="0.15">
      <c r="A52" s="62"/>
      <c r="B52" s="88"/>
      <c r="C52" s="1"/>
      <c r="D52" s="4"/>
      <c r="E52" s="4"/>
      <c r="F52" s="4"/>
      <c r="G52" s="26"/>
      <c r="H52" s="1"/>
      <c r="I52" s="21"/>
      <c r="J52" s="79"/>
      <c r="K52" s="2"/>
      <c r="L52" s="25"/>
      <c r="M52" s="22"/>
      <c r="N52" s="4"/>
      <c r="O52" s="11"/>
      <c r="P52" s="4"/>
      <c r="Q52" s="19"/>
      <c r="R52" s="19"/>
      <c r="S52" s="14"/>
    </row>
    <row r="53" spans="1:19" s="3" customFormat="1" ht="19.7" customHeight="1" x14ac:dyDescent="0.15">
      <c r="A53" s="62"/>
      <c r="B53" s="88"/>
      <c r="C53" s="1"/>
      <c r="D53" s="200" t="s">
        <v>142</v>
      </c>
      <c r="E53" s="201"/>
      <c r="F53" s="201"/>
      <c r="G53" s="202"/>
      <c r="H53" s="31"/>
      <c r="I53" s="90"/>
      <c r="J53" s="91"/>
      <c r="K53" s="92"/>
      <c r="L53" s="93"/>
      <c r="M53" s="22"/>
      <c r="N53" s="4"/>
      <c r="O53" s="11"/>
      <c r="P53" s="4"/>
      <c r="Q53" s="19"/>
      <c r="R53" s="19"/>
      <c r="S53" s="14"/>
    </row>
    <row r="54" spans="1:19" s="3" customFormat="1" ht="19.7" customHeight="1" x14ac:dyDescent="0.15">
      <c r="A54" s="124" t="s">
        <v>99</v>
      </c>
      <c r="B54" s="125"/>
      <c r="C54" s="94">
        <v>9</v>
      </c>
      <c r="D54" s="4">
        <f>+D46+1</f>
        <v>26</v>
      </c>
      <c r="E54" s="65" t="s">
        <v>63</v>
      </c>
      <c r="F54" s="169" t="s">
        <v>31</v>
      </c>
      <c r="G54" s="170" t="s">
        <v>64</v>
      </c>
      <c r="H54" s="158">
        <v>1</v>
      </c>
      <c r="I54" s="167">
        <v>1120</v>
      </c>
      <c r="J54" s="95">
        <f>H54*I54</f>
        <v>1120</v>
      </c>
      <c r="K54" s="40"/>
      <c r="L54" s="54" t="s">
        <v>65</v>
      </c>
      <c r="M54" s="22"/>
      <c r="N54" s="4"/>
      <c r="O54" s="19">
        <v>45062</v>
      </c>
      <c r="P54" s="4"/>
      <c r="Q54" s="19">
        <v>45085</v>
      </c>
      <c r="R54" s="29">
        <v>45085</v>
      </c>
      <c r="S54" s="14">
        <v>45083</v>
      </c>
    </row>
    <row r="55" spans="1:19" s="3" customFormat="1" ht="19.7" customHeight="1" x14ac:dyDescent="0.15">
      <c r="A55" s="124" t="s">
        <v>185</v>
      </c>
      <c r="B55" s="125"/>
      <c r="C55" s="94">
        <v>9</v>
      </c>
      <c r="D55" s="4" t="e">
        <f>+#REF!+1</f>
        <v>#REF!</v>
      </c>
      <c r="E55" s="159" t="s">
        <v>66</v>
      </c>
      <c r="F55" s="159" t="s">
        <v>66</v>
      </c>
      <c r="G55" s="160" t="s">
        <v>67</v>
      </c>
      <c r="H55" s="66">
        <v>1</v>
      </c>
      <c r="I55" s="141">
        <v>6600</v>
      </c>
      <c r="J55" s="96">
        <f>H55*I55</f>
        <v>6600</v>
      </c>
      <c r="K55" s="56"/>
      <c r="L55" s="97" t="s">
        <v>68</v>
      </c>
      <c r="M55" s="22"/>
      <c r="N55" s="4"/>
      <c r="O55" s="19">
        <v>45062</v>
      </c>
      <c r="P55" s="4"/>
      <c r="Q55" s="19">
        <v>45085</v>
      </c>
      <c r="R55" s="29">
        <v>45086</v>
      </c>
      <c r="S55" s="14">
        <v>45084</v>
      </c>
    </row>
    <row r="56" spans="1:19" s="3" customFormat="1" ht="19.7" customHeight="1" x14ac:dyDescent="0.15">
      <c r="A56" s="124" t="s">
        <v>185</v>
      </c>
      <c r="B56" s="125"/>
      <c r="C56" s="94">
        <v>9</v>
      </c>
      <c r="D56" s="4" t="e">
        <f t="shared" ref="D56:D71" si="4">+D55+1</f>
        <v>#REF!</v>
      </c>
      <c r="E56" s="159" t="s">
        <v>66</v>
      </c>
      <c r="F56" s="159" t="s">
        <v>66</v>
      </c>
      <c r="G56" s="160" t="s">
        <v>69</v>
      </c>
      <c r="H56" s="66">
        <v>1</v>
      </c>
      <c r="I56" s="141">
        <v>2400</v>
      </c>
      <c r="J56" s="96">
        <f>H56*I56</f>
        <v>2400</v>
      </c>
      <c r="K56" s="56"/>
      <c r="L56" s="97" t="s">
        <v>70</v>
      </c>
      <c r="M56" s="22"/>
      <c r="N56" s="4"/>
      <c r="O56" s="11">
        <v>45062</v>
      </c>
      <c r="P56" s="4"/>
      <c r="Q56" s="19">
        <v>45085</v>
      </c>
      <c r="R56" s="29">
        <v>45086</v>
      </c>
      <c r="S56" s="14">
        <v>45084</v>
      </c>
    </row>
    <row r="57" spans="1:19" s="3" customFormat="1" ht="19.7" customHeight="1" x14ac:dyDescent="0.15">
      <c r="A57" s="124" t="s">
        <v>185</v>
      </c>
      <c r="B57" s="125"/>
      <c r="C57" s="94">
        <v>9</v>
      </c>
      <c r="D57" s="4" t="e">
        <f t="shared" si="4"/>
        <v>#REF!</v>
      </c>
      <c r="E57" s="159" t="s">
        <v>66</v>
      </c>
      <c r="F57" s="159" t="s">
        <v>66</v>
      </c>
      <c r="G57" s="160" t="s">
        <v>71</v>
      </c>
      <c r="H57" s="66">
        <v>1</v>
      </c>
      <c r="I57" s="141">
        <v>12500</v>
      </c>
      <c r="J57" s="96">
        <f>H57*I57</f>
        <v>12500</v>
      </c>
      <c r="K57" s="56"/>
      <c r="L57" s="97" t="s">
        <v>72</v>
      </c>
      <c r="M57" s="22"/>
      <c r="N57" s="4"/>
      <c r="O57" s="11">
        <v>45062</v>
      </c>
      <c r="P57" s="4"/>
      <c r="Q57" s="19">
        <v>45085</v>
      </c>
      <c r="R57" s="29">
        <v>45086</v>
      </c>
      <c r="S57" s="14">
        <v>45084</v>
      </c>
    </row>
    <row r="58" spans="1:19" s="3" customFormat="1" ht="19.7" customHeight="1" x14ac:dyDescent="0.15">
      <c r="A58" s="124" t="s">
        <v>100</v>
      </c>
      <c r="B58" s="125"/>
      <c r="C58" s="94">
        <v>9</v>
      </c>
      <c r="D58" s="4" t="e">
        <f>+D57+1</f>
        <v>#REF!</v>
      </c>
      <c r="E58" s="4" t="s">
        <v>22</v>
      </c>
      <c r="F58" s="4" t="s">
        <v>22</v>
      </c>
      <c r="G58" s="160" t="s">
        <v>73</v>
      </c>
      <c r="H58" s="66">
        <v>1</v>
      </c>
      <c r="I58" s="141">
        <v>900</v>
      </c>
      <c r="J58" s="96">
        <f t="shared" ref="J58:J71" si="5">H58*I58</f>
        <v>900</v>
      </c>
      <c r="K58" s="56"/>
      <c r="L58" s="97" t="s">
        <v>74</v>
      </c>
      <c r="M58" s="22"/>
      <c r="N58" s="4"/>
      <c r="O58" s="11">
        <v>45062</v>
      </c>
      <c r="P58" s="4"/>
      <c r="Q58" s="19"/>
      <c r="R58" s="19">
        <v>45085</v>
      </c>
      <c r="S58" s="14">
        <v>45085</v>
      </c>
    </row>
    <row r="59" spans="1:19" s="3" customFormat="1" ht="19.7" customHeight="1" x14ac:dyDescent="0.15">
      <c r="A59" s="168" t="s">
        <v>99</v>
      </c>
      <c r="B59" s="125"/>
      <c r="C59" s="94">
        <v>9</v>
      </c>
      <c r="D59" s="4" t="e">
        <f t="shared" ref="D59:D65" si="6">+D58+1</f>
        <v>#REF!</v>
      </c>
      <c r="E59" s="37" t="s">
        <v>28</v>
      </c>
      <c r="F59" s="37" t="s">
        <v>28</v>
      </c>
      <c r="G59" s="153" t="s">
        <v>97</v>
      </c>
      <c r="H59" s="161">
        <v>1</v>
      </c>
      <c r="I59" s="157">
        <v>390</v>
      </c>
      <c r="J59" s="142">
        <f>H59*I59</f>
        <v>390</v>
      </c>
      <c r="K59" s="56"/>
      <c r="L59" s="44" t="s">
        <v>96</v>
      </c>
      <c r="M59" s="22"/>
      <c r="N59" s="4"/>
      <c r="O59" s="11">
        <v>45062</v>
      </c>
      <c r="P59" s="4"/>
      <c r="Q59" s="19"/>
      <c r="R59" s="19">
        <v>45085</v>
      </c>
      <c r="S59" s="14">
        <v>45085</v>
      </c>
    </row>
    <row r="60" spans="1:19" s="3" customFormat="1" ht="19.7" customHeight="1" x14ac:dyDescent="0.15">
      <c r="A60" s="168" t="s">
        <v>99</v>
      </c>
      <c r="B60" s="125"/>
      <c r="C60" s="94">
        <v>9</v>
      </c>
      <c r="D60" s="4" t="e">
        <f t="shared" si="6"/>
        <v>#REF!</v>
      </c>
      <c r="E60" s="37" t="s">
        <v>28</v>
      </c>
      <c r="F60" s="37" t="s">
        <v>28</v>
      </c>
      <c r="G60" s="153" t="s">
        <v>95</v>
      </c>
      <c r="H60" s="161">
        <v>1</v>
      </c>
      <c r="I60" s="157">
        <v>240</v>
      </c>
      <c r="J60" s="142">
        <f>H60*I60</f>
        <v>240</v>
      </c>
      <c r="K60" s="56"/>
      <c r="L60" s="44" t="s">
        <v>96</v>
      </c>
      <c r="M60" s="22"/>
      <c r="N60" s="4"/>
      <c r="O60" s="11">
        <v>45062</v>
      </c>
      <c r="P60" s="4"/>
      <c r="Q60" s="19"/>
      <c r="R60" s="19">
        <v>45085</v>
      </c>
      <c r="S60" s="14">
        <v>45085</v>
      </c>
    </row>
    <row r="61" spans="1:19" s="3" customFormat="1" ht="19.7" customHeight="1" x14ac:dyDescent="0.15">
      <c r="A61" s="124" t="s">
        <v>99</v>
      </c>
      <c r="B61" s="125"/>
      <c r="C61" s="94">
        <v>9</v>
      </c>
      <c r="D61" s="4" t="e">
        <f t="shared" si="6"/>
        <v>#REF!</v>
      </c>
      <c r="E61" s="4" t="s">
        <v>22</v>
      </c>
      <c r="F61" s="4" t="s">
        <v>22</v>
      </c>
      <c r="G61" s="160" t="s">
        <v>75</v>
      </c>
      <c r="H61" s="66">
        <v>1</v>
      </c>
      <c r="I61" s="141">
        <v>540</v>
      </c>
      <c r="J61" s="96">
        <f t="shared" si="5"/>
        <v>540</v>
      </c>
      <c r="K61" s="56"/>
      <c r="L61" s="97" t="s">
        <v>76</v>
      </c>
      <c r="M61" s="22"/>
      <c r="N61" s="4"/>
      <c r="O61" s="11">
        <v>45062</v>
      </c>
      <c r="P61" s="4"/>
      <c r="Q61" s="19"/>
      <c r="R61" s="19">
        <v>45085</v>
      </c>
      <c r="S61" s="14">
        <v>45085</v>
      </c>
    </row>
    <row r="62" spans="1:19" s="3" customFormat="1" ht="19.7" customHeight="1" x14ac:dyDescent="0.15">
      <c r="A62" s="124" t="s">
        <v>98</v>
      </c>
      <c r="B62" s="125"/>
      <c r="C62" s="94">
        <v>9</v>
      </c>
      <c r="D62" s="4" t="e">
        <f t="shared" si="6"/>
        <v>#REF!</v>
      </c>
      <c r="E62" s="4" t="s">
        <v>22</v>
      </c>
      <c r="F62" s="4" t="s">
        <v>22</v>
      </c>
      <c r="G62" s="160" t="s">
        <v>77</v>
      </c>
      <c r="H62" s="66">
        <v>1</v>
      </c>
      <c r="I62" s="141">
        <v>230</v>
      </c>
      <c r="J62" s="96">
        <f t="shared" si="5"/>
        <v>230</v>
      </c>
      <c r="K62" s="56"/>
      <c r="L62" s="97" t="s">
        <v>78</v>
      </c>
      <c r="M62" s="22"/>
      <c r="N62" s="4"/>
      <c r="O62" s="11">
        <v>45062</v>
      </c>
      <c r="P62" s="4"/>
      <c r="Q62" s="19"/>
      <c r="R62" s="19">
        <v>45085</v>
      </c>
      <c r="S62" s="14">
        <v>45085</v>
      </c>
    </row>
    <row r="63" spans="1:19" s="3" customFormat="1" ht="19.7" customHeight="1" x14ac:dyDescent="0.15">
      <c r="A63" s="124" t="s">
        <v>98</v>
      </c>
      <c r="B63" s="125"/>
      <c r="C63" s="94">
        <v>9</v>
      </c>
      <c r="D63" s="4" t="e">
        <f t="shared" si="6"/>
        <v>#REF!</v>
      </c>
      <c r="E63" s="47" t="s">
        <v>22</v>
      </c>
      <c r="F63" s="47" t="s">
        <v>22</v>
      </c>
      <c r="G63" s="141" t="s">
        <v>79</v>
      </c>
      <c r="H63" s="151">
        <v>1</v>
      </c>
      <c r="I63" s="155">
        <v>434</v>
      </c>
      <c r="J63" s="96">
        <f t="shared" si="5"/>
        <v>434</v>
      </c>
      <c r="K63" s="56"/>
      <c r="L63" s="25" t="s">
        <v>80</v>
      </c>
      <c r="M63" s="22"/>
      <c r="N63" s="4"/>
      <c r="O63" s="11">
        <v>45062</v>
      </c>
      <c r="P63" s="4"/>
      <c r="Q63" s="19"/>
      <c r="R63" s="19">
        <v>45085</v>
      </c>
      <c r="S63" s="14">
        <v>45085</v>
      </c>
    </row>
    <row r="64" spans="1:19" s="3" customFormat="1" ht="19.7" customHeight="1" x14ac:dyDescent="0.15">
      <c r="A64" s="124" t="s">
        <v>98</v>
      </c>
      <c r="B64" s="125"/>
      <c r="C64" s="94">
        <v>9</v>
      </c>
      <c r="D64" s="4" t="e">
        <f t="shared" si="6"/>
        <v>#REF!</v>
      </c>
      <c r="E64" s="98" t="s">
        <v>22</v>
      </c>
      <c r="F64" s="98" t="s">
        <v>22</v>
      </c>
      <c r="G64" s="99" t="s">
        <v>81</v>
      </c>
      <c r="H64" s="100"/>
      <c r="I64" s="101">
        <v>27</v>
      </c>
      <c r="J64" s="102">
        <f t="shared" si="5"/>
        <v>0</v>
      </c>
      <c r="K64" s="103"/>
      <c r="L64" s="104" t="s">
        <v>82</v>
      </c>
      <c r="M64" s="105" t="s">
        <v>83</v>
      </c>
      <c r="N64" s="4"/>
      <c r="O64" s="11"/>
      <c r="P64" s="4"/>
      <c r="Q64" s="19"/>
      <c r="R64" s="19"/>
      <c r="S64" s="14"/>
    </row>
    <row r="65" spans="1:19" s="3" customFormat="1" ht="19.7" customHeight="1" x14ac:dyDescent="0.15">
      <c r="A65" s="124" t="s">
        <v>98</v>
      </c>
      <c r="B65" s="125"/>
      <c r="C65" s="94">
        <v>9</v>
      </c>
      <c r="D65" s="4" t="e">
        <f t="shared" si="6"/>
        <v>#REF!</v>
      </c>
      <c r="E65" s="4" t="s">
        <v>22</v>
      </c>
      <c r="F65" s="4" t="s">
        <v>22</v>
      </c>
      <c r="G65" s="160" t="s">
        <v>174</v>
      </c>
      <c r="H65" s="66">
        <v>2</v>
      </c>
      <c r="I65" s="141">
        <v>180</v>
      </c>
      <c r="J65" s="96">
        <f t="shared" si="5"/>
        <v>360</v>
      </c>
      <c r="K65" s="56"/>
      <c r="L65" s="97" t="s">
        <v>84</v>
      </c>
      <c r="M65" s="22"/>
      <c r="N65" s="4"/>
      <c r="O65" s="11">
        <v>45062</v>
      </c>
      <c r="P65" s="4"/>
      <c r="Q65" s="19"/>
      <c r="R65" s="19">
        <v>45085</v>
      </c>
      <c r="S65" s="14">
        <v>45085</v>
      </c>
    </row>
    <row r="66" spans="1:19" s="3" customFormat="1" ht="19.7" customHeight="1" x14ac:dyDescent="0.15">
      <c r="A66" s="124" t="s">
        <v>101</v>
      </c>
      <c r="B66" s="125"/>
      <c r="C66" s="94">
        <v>9</v>
      </c>
      <c r="D66" s="4" t="e">
        <f t="shared" si="4"/>
        <v>#REF!</v>
      </c>
      <c r="E66" s="4" t="s">
        <v>22</v>
      </c>
      <c r="F66" s="4" t="s">
        <v>22</v>
      </c>
      <c r="G66" s="160" t="s">
        <v>85</v>
      </c>
      <c r="H66" s="66">
        <v>1</v>
      </c>
      <c r="I66" s="141">
        <v>110</v>
      </c>
      <c r="J66" s="96">
        <f t="shared" si="5"/>
        <v>110</v>
      </c>
      <c r="K66" s="56"/>
      <c r="L66" s="97" t="s">
        <v>76</v>
      </c>
      <c r="M66" s="22"/>
      <c r="N66" s="4"/>
      <c r="O66" s="11">
        <v>45062</v>
      </c>
      <c r="P66" s="4"/>
      <c r="Q66" s="19"/>
      <c r="R66" s="19">
        <v>45085</v>
      </c>
      <c r="S66" s="14">
        <v>45085</v>
      </c>
    </row>
    <row r="67" spans="1:19" s="3" customFormat="1" ht="19.7" customHeight="1" x14ac:dyDescent="0.15">
      <c r="A67" s="124" t="s">
        <v>163</v>
      </c>
      <c r="B67" s="125"/>
      <c r="C67" s="94">
        <v>9</v>
      </c>
      <c r="D67" s="171" t="e">
        <f>+D66+1</f>
        <v>#REF!</v>
      </c>
      <c r="E67" s="126" t="s">
        <v>87</v>
      </c>
      <c r="F67" s="65" t="s">
        <v>190</v>
      </c>
      <c r="G67" s="121" t="s">
        <v>162</v>
      </c>
      <c r="H67" s="147">
        <v>1</v>
      </c>
      <c r="I67" s="123">
        <v>23139</v>
      </c>
      <c r="J67" s="57">
        <f t="shared" si="5"/>
        <v>23139</v>
      </c>
      <c r="K67" s="106"/>
      <c r="L67" s="127" t="s">
        <v>164</v>
      </c>
      <c r="M67" s="122" t="s">
        <v>161</v>
      </c>
      <c r="N67" s="4"/>
      <c r="O67" s="11">
        <v>45062</v>
      </c>
      <c r="P67" s="4"/>
      <c r="Q67" s="19">
        <v>45085</v>
      </c>
      <c r="R67" s="19">
        <v>45071</v>
      </c>
      <c r="S67" s="14">
        <v>45071</v>
      </c>
    </row>
    <row r="68" spans="1:19" s="3" customFormat="1" ht="19.7" customHeight="1" x14ac:dyDescent="0.15">
      <c r="A68" s="124" t="s">
        <v>98</v>
      </c>
      <c r="B68" s="125"/>
      <c r="C68" s="94">
        <v>9</v>
      </c>
      <c r="D68" s="32" t="e">
        <f t="shared" si="4"/>
        <v>#REF!</v>
      </c>
      <c r="E68" s="4" t="s">
        <v>22</v>
      </c>
      <c r="F68" s="4" t="s">
        <v>22</v>
      </c>
      <c r="G68" s="141" t="s">
        <v>88</v>
      </c>
      <c r="H68" s="66">
        <v>2</v>
      </c>
      <c r="I68" s="141">
        <v>270</v>
      </c>
      <c r="J68" s="96">
        <f t="shared" si="5"/>
        <v>540</v>
      </c>
      <c r="K68" s="56"/>
      <c r="L68" s="41" t="s">
        <v>86</v>
      </c>
      <c r="M68" s="22" t="s">
        <v>89</v>
      </c>
      <c r="N68" s="4"/>
      <c r="O68" s="11">
        <v>45062</v>
      </c>
      <c r="P68" s="4"/>
      <c r="Q68" s="19"/>
      <c r="R68" s="19">
        <v>45085</v>
      </c>
      <c r="S68" s="14">
        <v>45085</v>
      </c>
    </row>
    <row r="69" spans="1:19" s="3" customFormat="1" ht="19.7" customHeight="1" x14ac:dyDescent="0.15">
      <c r="A69" s="124" t="s">
        <v>98</v>
      </c>
      <c r="B69" s="125"/>
      <c r="C69" s="94">
        <v>9</v>
      </c>
      <c r="D69" s="32" t="e">
        <f>+D68+1</f>
        <v>#REF!</v>
      </c>
      <c r="E69" s="4" t="s">
        <v>22</v>
      </c>
      <c r="F69" s="4" t="s">
        <v>22</v>
      </c>
      <c r="G69" s="121" t="s">
        <v>90</v>
      </c>
      <c r="H69" s="147">
        <v>1</v>
      </c>
      <c r="I69" s="123">
        <v>260</v>
      </c>
      <c r="J69" s="57">
        <f t="shared" si="5"/>
        <v>260</v>
      </c>
      <c r="K69" s="106"/>
      <c r="L69" s="107" t="s">
        <v>91</v>
      </c>
      <c r="M69" s="22"/>
      <c r="N69" s="4"/>
      <c r="O69" s="11">
        <v>45062</v>
      </c>
      <c r="P69" s="4"/>
      <c r="Q69" s="19"/>
      <c r="R69" s="19">
        <v>45085</v>
      </c>
      <c r="S69" s="14">
        <v>45085</v>
      </c>
    </row>
    <row r="70" spans="1:19" s="3" customFormat="1" ht="19.7" customHeight="1" x14ac:dyDescent="0.15">
      <c r="A70" s="124" t="s">
        <v>98</v>
      </c>
      <c r="B70" s="125"/>
      <c r="C70" s="94">
        <v>9</v>
      </c>
      <c r="D70" s="32" t="e">
        <f>+D69+1</f>
        <v>#REF!</v>
      </c>
      <c r="E70" s="47" t="s">
        <v>22</v>
      </c>
      <c r="F70" s="47" t="s">
        <v>22</v>
      </c>
      <c r="G70" s="148" t="s">
        <v>92</v>
      </c>
      <c r="H70" s="152">
        <v>1</v>
      </c>
      <c r="I70" s="172">
        <v>690</v>
      </c>
      <c r="J70" s="115">
        <f t="shared" si="5"/>
        <v>690</v>
      </c>
      <c r="K70" s="55"/>
      <c r="L70" s="116" t="s">
        <v>93</v>
      </c>
      <c r="M70" s="117"/>
      <c r="N70" s="4"/>
      <c r="O70" s="11">
        <v>45062</v>
      </c>
      <c r="P70" s="4"/>
      <c r="Q70" s="19"/>
      <c r="R70" s="19">
        <v>45085</v>
      </c>
      <c r="S70" s="14">
        <v>45085</v>
      </c>
    </row>
    <row r="71" spans="1:19" s="3" customFormat="1" ht="19.7" customHeight="1" x14ac:dyDescent="0.15">
      <c r="A71" s="124" t="s">
        <v>98</v>
      </c>
      <c r="B71" s="125"/>
      <c r="C71" s="94">
        <v>9</v>
      </c>
      <c r="D71" s="32" t="e">
        <f t="shared" si="4"/>
        <v>#REF!</v>
      </c>
      <c r="E71" s="47" t="s">
        <v>22</v>
      </c>
      <c r="F71" s="47" t="s">
        <v>22</v>
      </c>
      <c r="G71" s="148" t="s">
        <v>94</v>
      </c>
      <c r="H71" s="152">
        <v>1</v>
      </c>
      <c r="I71" s="172">
        <v>990</v>
      </c>
      <c r="J71" s="115">
        <f t="shared" si="5"/>
        <v>990</v>
      </c>
      <c r="K71" s="55"/>
      <c r="L71" s="116" t="s">
        <v>93</v>
      </c>
      <c r="M71" s="117"/>
      <c r="N71" s="4"/>
      <c r="O71" s="11">
        <v>45062</v>
      </c>
      <c r="P71" s="4"/>
      <c r="Q71" s="19"/>
      <c r="R71" s="19">
        <v>45085</v>
      </c>
      <c r="S71" s="14">
        <v>45085</v>
      </c>
    </row>
    <row r="72" spans="1:19" s="3" customFormat="1" ht="19.7" customHeight="1" x14ac:dyDescent="0.15">
      <c r="A72" s="62"/>
      <c r="B72" s="88"/>
      <c r="C72" s="1"/>
      <c r="D72" s="34"/>
      <c r="E72" s="31"/>
      <c r="F72" s="31"/>
      <c r="G72" s="30"/>
      <c r="H72" s="32"/>
      <c r="I72" s="30"/>
      <c r="J72" s="33"/>
      <c r="K72" s="58"/>
      <c r="L72" s="41"/>
      <c r="M72" s="22"/>
      <c r="N72" s="4"/>
      <c r="O72" s="11"/>
      <c r="P72" s="4"/>
      <c r="Q72" s="19"/>
      <c r="R72" s="19"/>
      <c r="S72" s="14"/>
    </row>
    <row r="73" spans="1:19" s="3" customFormat="1" ht="19.7" customHeight="1" x14ac:dyDescent="0.15">
      <c r="A73" s="62"/>
      <c r="B73" s="88"/>
      <c r="C73" s="1"/>
      <c r="D73" s="34"/>
      <c r="E73" s="31"/>
      <c r="F73" s="108"/>
      <c r="G73" s="109">
        <f>SUM(J54:J71)</f>
        <v>51443</v>
      </c>
      <c r="H73" s="32"/>
      <c r="I73" s="30"/>
      <c r="J73"/>
      <c r="K73" s="58"/>
      <c r="L73" s="41"/>
      <c r="M73" s="22"/>
      <c r="N73" s="4"/>
      <c r="O73" s="11"/>
      <c r="P73" s="4"/>
      <c r="Q73" s="19"/>
      <c r="R73" s="19"/>
      <c r="S73" s="14"/>
    </row>
    <row r="74" spans="1:19" s="3" customFormat="1" ht="19.7" customHeight="1" x14ac:dyDescent="0.15">
      <c r="A74" s="62"/>
      <c r="B74" s="88"/>
      <c r="C74" s="1"/>
      <c r="D74" s="4"/>
      <c r="E74" s="4"/>
      <c r="F74" s="4"/>
      <c r="G74" s="110"/>
      <c r="H74" s="1"/>
      <c r="I74" s="21"/>
      <c r="J74" s="95"/>
      <c r="K74" s="2"/>
      <c r="L74" s="25"/>
      <c r="M74" s="22"/>
      <c r="N74" s="4"/>
      <c r="O74" s="11"/>
      <c r="P74" s="4"/>
      <c r="Q74" s="19"/>
      <c r="R74" s="19"/>
      <c r="S74" s="14"/>
    </row>
    <row r="75" spans="1:19" s="3" customFormat="1" ht="19.7" customHeight="1" x14ac:dyDescent="0.15">
      <c r="A75" s="62"/>
      <c r="B75" s="88"/>
      <c r="C75" s="1"/>
      <c r="D75" s="4"/>
      <c r="E75" s="4"/>
      <c r="F75" s="4"/>
      <c r="G75" s="26"/>
      <c r="H75" s="1"/>
      <c r="I75" s="21"/>
      <c r="J75" s="79"/>
      <c r="K75" s="2"/>
      <c r="L75" s="25"/>
      <c r="M75" s="22"/>
      <c r="N75" s="4"/>
      <c r="O75" s="11"/>
      <c r="P75" s="4"/>
      <c r="Q75" s="19"/>
      <c r="R75" s="19"/>
      <c r="S75" s="14"/>
    </row>
    <row r="76" spans="1:19" s="3" customFormat="1" ht="19.7" customHeight="1" x14ac:dyDescent="0.15">
      <c r="A76" s="62"/>
      <c r="B76" s="88"/>
      <c r="C76" s="1"/>
      <c r="D76" s="4"/>
      <c r="E76" s="4"/>
      <c r="F76" s="4"/>
      <c r="G76" s="26"/>
      <c r="H76" s="1"/>
      <c r="I76" s="21"/>
      <c r="J76" s="79"/>
      <c r="K76" s="2"/>
      <c r="L76" s="25"/>
      <c r="M76" s="22"/>
      <c r="N76" s="4"/>
      <c r="O76" s="11"/>
      <c r="P76" s="4"/>
      <c r="Q76" s="19"/>
      <c r="R76" s="19"/>
      <c r="S76" s="14"/>
    </row>
    <row r="77" spans="1:19" s="3" customFormat="1" ht="19.7" customHeight="1" x14ac:dyDescent="0.15">
      <c r="A77" s="62"/>
      <c r="B77" s="88"/>
      <c r="C77" s="1"/>
      <c r="D77" s="197" t="s">
        <v>49</v>
      </c>
      <c r="E77" s="198"/>
      <c r="F77" s="198"/>
      <c r="G77" s="199"/>
      <c r="H77" s="1"/>
      <c r="I77" s="21"/>
      <c r="J77" s="79"/>
      <c r="K77" s="2"/>
      <c r="L77" s="25"/>
      <c r="M77" s="22"/>
      <c r="N77" s="4"/>
      <c r="O77" s="11"/>
      <c r="P77" s="4"/>
      <c r="Q77" s="19"/>
      <c r="R77" s="19"/>
      <c r="S77" s="14"/>
    </row>
    <row r="78" spans="1:19" s="3" customFormat="1" ht="19.7" customHeight="1" x14ac:dyDescent="0.15">
      <c r="A78" s="124" t="s">
        <v>50</v>
      </c>
      <c r="B78" s="125"/>
      <c r="C78" s="182">
        <v>8</v>
      </c>
      <c r="D78" s="4" t="e">
        <f>+D71+1</f>
        <v>#REF!</v>
      </c>
      <c r="E78" s="65" t="s">
        <v>35</v>
      </c>
      <c r="F78" s="65" t="s">
        <v>22</v>
      </c>
      <c r="G78" s="156" t="s">
        <v>149</v>
      </c>
      <c r="H78" s="147">
        <v>1</v>
      </c>
      <c r="I78" s="143">
        <v>6780</v>
      </c>
      <c r="J78" s="57">
        <f t="shared" ref="J78:J101" si="7">H78*I78</f>
        <v>6780</v>
      </c>
      <c r="K78" s="2"/>
      <c r="L78" s="25" t="s">
        <v>175</v>
      </c>
      <c r="M78" s="22"/>
      <c r="N78" s="4"/>
      <c r="O78" s="11">
        <v>45062</v>
      </c>
      <c r="P78" s="4"/>
      <c r="Q78" s="19"/>
      <c r="R78" s="19">
        <v>45085</v>
      </c>
      <c r="S78" s="14">
        <v>45085</v>
      </c>
    </row>
    <row r="79" spans="1:19" s="3" customFormat="1" ht="19.7" customHeight="1" x14ac:dyDescent="0.15">
      <c r="A79" s="124" t="s">
        <v>52</v>
      </c>
      <c r="B79" s="125"/>
      <c r="C79" s="182">
        <v>8</v>
      </c>
      <c r="D79" s="4" t="e">
        <f t="shared" ref="D79:D96" si="8">+D78+1</f>
        <v>#REF!</v>
      </c>
      <c r="E79" s="47" t="s">
        <v>22</v>
      </c>
      <c r="F79" s="47" t="s">
        <v>22</v>
      </c>
      <c r="G79" s="156" t="s">
        <v>53</v>
      </c>
      <c r="H79" s="147">
        <v>16</v>
      </c>
      <c r="I79" s="143">
        <v>90</v>
      </c>
      <c r="J79" s="57">
        <f t="shared" si="7"/>
        <v>1440</v>
      </c>
      <c r="K79" s="2"/>
      <c r="L79" s="25" t="s">
        <v>57</v>
      </c>
      <c r="M79" s="22"/>
      <c r="N79" s="4"/>
      <c r="O79" s="11">
        <v>45062</v>
      </c>
      <c r="P79" s="4"/>
      <c r="Q79" s="19"/>
      <c r="R79" s="19">
        <v>45085</v>
      </c>
      <c r="S79" s="14">
        <v>45085</v>
      </c>
    </row>
    <row r="80" spans="1:19" s="3" customFormat="1" ht="19.7" customHeight="1" x14ac:dyDescent="0.15">
      <c r="A80" s="124" t="s">
        <v>52</v>
      </c>
      <c r="B80" s="125"/>
      <c r="C80" s="182">
        <v>8</v>
      </c>
      <c r="D80" s="4" t="e">
        <f t="shared" si="8"/>
        <v>#REF!</v>
      </c>
      <c r="E80" s="48" t="s">
        <v>22</v>
      </c>
      <c r="F80" s="48" t="s">
        <v>22</v>
      </c>
      <c r="G80" s="174" t="s">
        <v>152</v>
      </c>
      <c r="H80" s="174"/>
      <c r="I80" s="175">
        <v>92</v>
      </c>
      <c r="J80" s="175">
        <f t="shared" si="7"/>
        <v>0</v>
      </c>
      <c r="K80" s="176"/>
      <c r="L80" s="177" t="s">
        <v>187</v>
      </c>
      <c r="M80" s="105" t="s">
        <v>186</v>
      </c>
      <c r="N80" s="4"/>
      <c r="O80" s="11"/>
      <c r="P80" s="4"/>
      <c r="Q80" s="19"/>
      <c r="R80" s="19"/>
      <c r="S80" s="14"/>
    </row>
    <row r="81" spans="1:19" s="3" customFormat="1" ht="19.7" customHeight="1" x14ac:dyDescent="0.15">
      <c r="A81" s="124" t="s">
        <v>52</v>
      </c>
      <c r="B81" s="125"/>
      <c r="C81" s="182">
        <v>8</v>
      </c>
      <c r="D81" s="4" t="e">
        <f t="shared" si="8"/>
        <v>#REF!</v>
      </c>
      <c r="E81" s="47" t="s">
        <v>22</v>
      </c>
      <c r="F81" s="47" t="s">
        <v>22</v>
      </c>
      <c r="G81" s="156" t="s">
        <v>54</v>
      </c>
      <c r="H81" s="147">
        <v>6</v>
      </c>
      <c r="I81" s="143">
        <v>270</v>
      </c>
      <c r="J81" s="57">
        <f t="shared" si="7"/>
        <v>1620</v>
      </c>
      <c r="K81" s="2"/>
      <c r="L81" s="25" t="s">
        <v>56</v>
      </c>
      <c r="M81" s="22"/>
      <c r="N81" s="4"/>
      <c r="O81" s="11">
        <v>45062</v>
      </c>
      <c r="P81" s="4"/>
      <c r="Q81" s="19"/>
      <c r="R81" s="19">
        <v>45085</v>
      </c>
      <c r="S81" s="14">
        <v>45085</v>
      </c>
    </row>
    <row r="82" spans="1:19" s="3" customFormat="1" ht="19.7" customHeight="1" x14ac:dyDescent="0.15">
      <c r="A82" s="124" t="s">
        <v>52</v>
      </c>
      <c r="B82" s="125"/>
      <c r="C82" s="182">
        <v>8</v>
      </c>
      <c r="D82" s="4" t="e">
        <f t="shared" si="8"/>
        <v>#REF!</v>
      </c>
      <c r="E82" s="47" t="s">
        <v>22</v>
      </c>
      <c r="F82" s="47" t="s">
        <v>22</v>
      </c>
      <c r="G82" s="156" t="s">
        <v>143</v>
      </c>
      <c r="H82" s="147">
        <v>10</v>
      </c>
      <c r="I82" s="143">
        <v>18</v>
      </c>
      <c r="J82" s="57">
        <f t="shared" si="7"/>
        <v>180</v>
      </c>
      <c r="K82" s="2"/>
      <c r="L82" s="45" t="s">
        <v>58</v>
      </c>
      <c r="M82" s="22"/>
      <c r="N82" s="4"/>
      <c r="O82" s="11">
        <v>45062</v>
      </c>
      <c r="P82" s="4"/>
      <c r="Q82" s="19"/>
      <c r="R82" s="19">
        <v>45085</v>
      </c>
      <c r="S82" s="14">
        <v>45085</v>
      </c>
    </row>
    <row r="83" spans="1:19" s="3" customFormat="1" ht="19.7" customHeight="1" x14ac:dyDescent="0.15">
      <c r="A83" s="124" t="s">
        <v>52</v>
      </c>
      <c r="B83" s="125"/>
      <c r="C83" s="182">
        <v>8</v>
      </c>
      <c r="D83" s="4" t="e">
        <f t="shared" si="8"/>
        <v>#REF!</v>
      </c>
      <c r="E83" s="47" t="s">
        <v>22</v>
      </c>
      <c r="F83" s="47" t="s">
        <v>22</v>
      </c>
      <c r="G83" s="156" t="s">
        <v>55</v>
      </c>
      <c r="H83" s="147">
        <v>10</v>
      </c>
      <c r="I83" s="143">
        <v>32</v>
      </c>
      <c r="J83" s="57">
        <f t="shared" si="7"/>
        <v>320</v>
      </c>
      <c r="K83" s="2"/>
      <c r="L83" s="45" t="s">
        <v>144</v>
      </c>
      <c r="M83" s="22"/>
      <c r="N83" s="4"/>
      <c r="O83" s="11">
        <v>45062</v>
      </c>
      <c r="P83" s="4"/>
      <c r="Q83" s="19"/>
      <c r="R83" s="19">
        <v>45085</v>
      </c>
      <c r="S83" s="14">
        <v>45085</v>
      </c>
    </row>
    <row r="84" spans="1:19" s="3" customFormat="1" ht="19.7" customHeight="1" x14ac:dyDescent="0.15">
      <c r="A84" s="124" t="s">
        <v>52</v>
      </c>
      <c r="B84" s="125"/>
      <c r="C84" s="182">
        <v>8</v>
      </c>
      <c r="D84" s="4" t="e">
        <f t="shared" si="8"/>
        <v>#REF!</v>
      </c>
      <c r="E84" s="47" t="s">
        <v>22</v>
      </c>
      <c r="F84" s="47" t="s">
        <v>22</v>
      </c>
      <c r="G84" s="156" t="s">
        <v>145</v>
      </c>
      <c r="H84" s="147">
        <v>10</v>
      </c>
      <c r="I84" s="143">
        <v>27</v>
      </c>
      <c r="J84" s="57">
        <f t="shared" si="7"/>
        <v>270</v>
      </c>
      <c r="K84" s="2"/>
      <c r="L84" s="45" t="s">
        <v>58</v>
      </c>
      <c r="M84" s="22"/>
      <c r="N84" s="4"/>
      <c r="O84" s="11">
        <v>45062</v>
      </c>
      <c r="P84" s="4"/>
      <c r="Q84" s="19"/>
      <c r="R84" s="19">
        <v>45085</v>
      </c>
      <c r="S84" s="14">
        <v>45085</v>
      </c>
    </row>
    <row r="85" spans="1:19" s="3" customFormat="1" ht="19.7" customHeight="1" x14ac:dyDescent="0.15">
      <c r="A85" s="124" t="s">
        <v>59</v>
      </c>
      <c r="B85" s="125"/>
      <c r="C85" s="182">
        <v>8</v>
      </c>
      <c r="D85" s="4" t="e">
        <f t="shared" si="8"/>
        <v>#REF!</v>
      </c>
      <c r="E85" s="4" t="s">
        <v>22</v>
      </c>
      <c r="F85" s="4" t="s">
        <v>22</v>
      </c>
      <c r="G85" s="145" t="s">
        <v>180</v>
      </c>
      <c r="H85" s="151">
        <v>1</v>
      </c>
      <c r="I85" s="80">
        <v>1627</v>
      </c>
      <c r="J85" s="81">
        <f>H85*I85</f>
        <v>1627</v>
      </c>
      <c r="K85" s="33"/>
      <c r="L85" s="76" t="s">
        <v>60</v>
      </c>
      <c r="M85" s="22"/>
      <c r="N85" s="4"/>
      <c r="O85" s="11">
        <v>45062</v>
      </c>
      <c r="P85" s="4"/>
      <c r="Q85" s="19"/>
      <c r="R85" s="19">
        <v>45085</v>
      </c>
      <c r="S85" s="14">
        <v>45085</v>
      </c>
    </row>
    <row r="86" spans="1:19" s="3" customFormat="1" ht="19.7" customHeight="1" x14ac:dyDescent="0.15">
      <c r="A86" s="124" t="s">
        <v>59</v>
      </c>
      <c r="B86" s="125"/>
      <c r="C86" s="182">
        <v>8</v>
      </c>
      <c r="D86" s="4" t="e">
        <f t="shared" si="8"/>
        <v>#REF!</v>
      </c>
      <c r="E86" s="4" t="s">
        <v>22</v>
      </c>
      <c r="F86" s="4" t="s">
        <v>22</v>
      </c>
      <c r="G86" s="145" t="s">
        <v>181</v>
      </c>
      <c r="H86" s="151">
        <v>1</v>
      </c>
      <c r="I86" s="80">
        <v>4059</v>
      </c>
      <c r="J86" s="81">
        <f t="shared" si="7"/>
        <v>4059</v>
      </c>
      <c r="K86" s="33"/>
      <c r="L86" s="25" t="s">
        <v>30</v>
      </c>
      <c r="M86" s="22"/>
      <c r="N86" s="4"/>
      <c r="O86" s="11">
        <v>45062</v>
      </c>
      <c r="P86" s="4"/>
      <c r="Q86" s="19"/>
      <c r="R86" s="19">
        <v>45085</v>
      </c>
      <c r="S86" s="14">
        <v>45085</v>
      </c>
    </row>
    <row r="87" spans="1:19" s="3" customFormat="1" ht="19.7" customHeight="1" x14ac:dyDescent="0.15">
      <c r="A87" s="124" t="s">
        <v>52</v>
      </c>
      <c r="B87" s="125"/>
      <c r="C87" s="182">
        <v>8</v>
      </c>
      <c r="D87" s="4" t="e">
        <f t="shared" si="8"/>
        <v>#REF!</v>
      </c>
      <c r="E87" s="4" t="s">
        <v>22</v>
      </c>
      <c r="F87" s="4" t="s">
        <v>22</v>
      </c>
      <c r="G87" s="153" t="s">
        <v>24</v>
      </c>
      <c r="H87" s="151">
        <v>1</v>
      </c>
      <c r="I87" s="80">
        <v>5117</v>
      </c>
      <c r="J87" s="81">
        <f t="shared" si="7"/>
        <v>5117</v>
      </c>
      <c r="K87" s="33"/>
      <c r="L87" s="25" t="s">
        <v>39</v>
      </c>
      <c r="M87" s="22"/>
      <c r="N87" s="4"/>
      <c r="O87" s="11">
        <v>45062</v>
      </c>
      <c r="P87" s="4"/>
      <c r="Q87" s="19"/>
      <c r="R87" s="19">
        <v>45085</v>
      </c>
      <c r="S87" s="14">
        <v>45085</v>
      </c>
    </row>
    <row r="88" spans="1:19" s="3" customFormat="1" ht="19.7" customHeight="1" x14ac:dyDescent="0.15">
      <c r="A88" s="124" t="s">
        <v>52</v>
      </c>
      <c r="B88" s="125"/>
      <c r="C88" s="182">
        <v>8</v>
      </c>
      <c r="D88" s="4" t="e">
        <f t="shared" si="8"/>
        <v>#REF!</v>
      </c>
      <c r="E88" s="4" t="s">
        <v>22</v>
      </c>
      <c r="F88" s="4" t="s">
        <v>22</v>
      </c>
      <c r="G88" s="153" t="s">
        <v>150</v>
      </c>
      <c r="H88" s="151">
        <v>1</v>
      </c>
      <c r="I88" s="80">
        <v>4239</v>
      </c>
      <c r="J88" s="81">
        <f t="shared" si="7"/>
        <v>4239</v>
      </c>
      <c r="K88" s="71"/>
      <c r="L88" s="25" t="s">
        <v>29</v>
      </c>
      <c r="M88" s="22"/>
      <c r="N88" s="4"/>
      <c r="O88" s="11">
        <v>45062</v>
      </c>
      <c r="P88" s="4"/>
      <c r="Q88" s="19"/>
      <c r="R88" s="19">
        <v>45085</v>
      </c>
      <c r="S88" s="14">
        <v>45085</v>
      </c>
    </row>
    <row r="89" spans="1:19" s="3" customFormat="1" ht="19.7" customHeight="1" x14ac:dyDescent="0.15">
      <c r="A89" s="124" t="s">
        <v>50</v>
      </c>
      <c r="B89" s="125"/>
      <c r="C89" s="182">
        <v>8</v>
      </c>
      <c r="D89" s="4" t="e">
        <f t="shared" si="8"/>
        <v>#REF!</v>
      </c>
      <c r="E89" s="4" t="s">
        <v>22</v>
      </c>
      <c r="F89" s="4" t="s">
        <v>22</v>
      </c>
      <c r="G89" s="153" t="s">
        <v>151</v>
      </c>
      <c r="H89" s="151">
        <v>1</v>
      </c>
      <c r="I89" s="80">
        <v>977</v>
      </c>
      <c r="J89" s="81">
        <f t="shared" si="7"/>
        <v>977</v>
      </c>
      <c r="K89" s="27"/>
      <c r="L89" s="25" t="s">
        <v>25</v>
      </c>
      <c r="M89" s="22"/>
      <c r="N89" s="4"/>
      <c r="O89" s="11">
        <v>45062</v>
      </c>
      <c r="P89" s="4"/>
      <c r="Q89" s="19"/>
      <c r="R89" s="19">
        <v>45085</v>
      </c>
      <c r="S89" s="14">
        <v>45085</v>
      </c>
    </row>
    <row r="90" spans="1:19" s="3" customFormat="1" ht="19.7" customHeight="1" x14ac:dyDescent="0.15">
      <c r="A90" s="124" t="s">
        <v>52</v>
      </c>
      <c r="B90" s="125"/>
      <c r="C90" s="182">
        <v>8</v>
      </c>
      <c r="D90" s="4" t="e">
        <f>+D89+1</f>
        <v>#REF!</v>
      </c>
      <c r="E90" s="47" t="s">
        <v>22</v>
      </c>
      <c r="F90" s="47" t="s">
        <v>22</v>
      </c>
      <c r="G90" s="148" t="s">
        <v>26</v>
      </c>
      <c r="H90" s="152">
        <v>1</v>
      </c>
      <c r="I90" s="154">
        <v>860</v>
      </c>
      <c r="J90" s="83">
        <f>H90*I90</f>
        <v>860</v>
      </c>
      <c r="K90" s="55"/>
      <c r="L90" s="72" t="s">
        <v>40</v>
      </c>
      <c r="M90" s="22"/>
      <c r="N90" s="4"/>
      <c r="O90" s="11">
        <v>45062</v>
      </c>
      <c r="P90" s="4"/>
      <c r="Q90" s="19"/>
      <c r="R90" s="19">
        <v>45085</v>
      </c>
      <c r="S90" s="14">
        <v>45085</v>
      </c>
    </row>
    <row r="91" spans="1:19" s="3" customFormat="1" ht="19.7" customHeight="1" x14ac:dyDescent="0.15">
      <c r="A91" s="124" t="s">
        <v>148</v>
      </c>
      <c r="B91" s="125"/>
      <c r="C91" s="182">
        <v>8</v>
      </c>
      <c r="D91" s="4" t="e">
        <f t="shared" si="8"/>
        <v>#REF!</v>
      </c>
      <c r="E91" s="4" t="s">
        <v>22</v>
      </c>
      <c r="F91" s="4" t="s">
        <v>22</v>
      </c>
      <c r="G91" s="137" t="s">
        <v>193</v>
      </c>
      <c r="H91" s="151"/>
      <c r="I91" s="157"/>
      <c r="J91" s="21">
        <f>H91*I91</f>
        <v>0</v>
      </c>
      <c r="K91" s="2"/>
      <c r="L91" s="25" t="s">
        <v>146</v>
      </c>
      <c r="M91" s="22"/>
      <c r="N91" s="4"/>
      <c r="O91" s="11"/>
      <c r="P91" s="4"/>
      <c r="Q91" s="19"/>
      <c r="R91" s="19"/>
      <c r="S91" s="14"/>
    </row>
    <row r="92" spans="1:19" s="3" customFormat="1" ht="19.7" customHeight="1" x14ac:dyDescent="0.15">
      <c r="A92" s="124" t="s">
        <v>148</v>
      </c>
      <c r="B92" s="125"/>
      <c r="C92" s="182">
        <v>8</v>
      </c>
      <c r="D92" s="4" t="e">
        <f t="shared" si="8"/>
        <v>#REF!</v>
      </c>
      <c r="E92" s="4" t="s">
        <v>22</v>
      </c>
      <c r="F92" s="4" t="s">
        <v>22</v>
      </c>
      <c r="G92" s="137" t="s">
        <v>192</v>
      </c>
      <c r="H92" s="151"/>
      <c r="I92" s="157"/>
      <c r="J92" s="21">
        <f>H92*I92</f>
        <v>0</v>
      </c>
      <c r="K92" s="2"/>
      <c r="L92" s="25" t="s">
        <v>147</v>
      </c>
      <c r="M92" s="22"/>
      <c r="N92" s="4"/>
      <c r="O92" s="11"/>
      <c r="P92" s="4"/>
      <c r="Q92" s="19"/>
      <c r="R92" s="19"/>
      <c r="S92" s="14"/>
    </row>
    <row r="93" spans="1:19" s="3" customFormat="1" ht="19.7" customHeight="1" x14ac:dyDescent="0.15">
      <c r="A93" s="124" t="s">
        <v>112</v>
      </c>
      <c r="B93" s="125"/>
      <c r="C93" s="182">
        <v>8</v>
      </c>
      <c r="D93" s="4" t="e">
        <f t="shared" si="8"/>
        <v>#REF!</v>
      </c>
      <c r="E93" s="47" t="s">
        <v>45</v>
      </c>
      <c r="F93" s="47" t="s">
        <v>22</v>
      </c>
      <c r="G93" s="148" t="s">
        <v>44</v>
      </c>
      <c r="H93" s="149">
        <v>1</v>
      </c>
      <c r="I93" s="154">
        <v>1367</v>
      </c>
      <c r="J93" s="84">
        <f>H93*I93</f>
        <v>1367</v>
      </c>
      <c r="K93" s="73"/>
      <c r="L93" s="74" t="s">
        <v>43</v>
      </c>
      <c r="M93" s="22"/>
      <c r="N93" s="4"/>
      <c r="O93" s="11">
        <v>45062</v>
      </c>
      <c r="P93" s="4"/>
      <c r="Q93" s="19"/>
      <c r="R93" s="19">
        <v>45085</v>
      </c>
      <c r="S93" s="14">
        <v>45085</v>
      </c>
    </row>
    <row r="94" spans="1:19" s="3" customFormat="1" ht="19.7" customHeight="1" x14ac:dyDescent="0.15">
      <c r="A94" s="124" t="s">
        <v>52</v>
      </c>
      <c r="B94" s="125"/>
      <c r="C94" s="182">
        <v>8</v>
      </c>
      <c r="D94" s="4" t="e">
        <f t="shared" si="8"/>
        <v>#REF!</v>
      </c>
      <c r="E94" s="4" t="s">
        <v>22</v>
      </c>
      <c r="F94" s="4" t="s">
        <v>22</v>
      </c>
      <c r="G94" s="150" t="s">
        <v>41</v>
      </c>
      <c r="H94" s="151">
        <v>1</v>
      </c>
      <c r="I94" s="155">
        <v>672</v>
      </c>
      <c r="J94" s="21">
        <f>H94*I94</f>
        <v>672</v>
      </c>
      <c r="K94" s="75"/>
      <c r="L94" s="38" t="s">
        <v>42</v>
      </c>
      <c r="M94" s="22"/>
      <c r="N94" s="4"/>
      <c r="O94" s="11">
        <v>45062</v>
      </c>
      <c r="P94" s="4"/>
      <c r="Q94" s="19"/>
      <c r="R94" s="19">
        <v>45085</v>
      </c>
      <c r="S94" s="14">
        <v>45085</v>
      </c>
    </row>
    <row r="95" spans="1:19" s="3" customFormat="1" ht="19.7" customHeight="1" x14ac:dyDescent="0.15">
      <c r="A95" s="124" t="s">
        <v>34</v>
      </c>
      <c r="B95" s="125"/>
      <c r="C95" s="182">
        <v>8</v>
      </c>
      <c r="D95" s="4" t="e">
        <f t="shared" si="8"/>
        <v>#REF!</v>
      </c>
      <c r="E95" s="1" t="s">
        <v>32</v>
      </c>
      <c r="F95" s="1" t="s">
        <v>23</v>
      </c>
      <c r="G95" s="144" t="s">
        <v>191</v>
      </c>
      <c r="H95" s="147">
        <v>1</v>
      </c>
      <c r="I95" s="178">
        <v>3040</v>
      </c>
      <c r="J95" s="57">
        <f t="shared" si="7"/>
        <v>3040</v>
      </c>
      <c r="K95" s="2"/>
      <c r="L95" s="24" t="s">
        <v>46</v>
      </c>
      <c r="M95" s="24"/>
      <c r="N95" s="4"/>
      <c r="O95" s="11">
        <v>45062</v>
      </c>
      <c r="P95" s="4"/>
      <c r="Q95" s="19">
        <v>45085</v>
      </c>
      <c r="R95" s="19">
        <v>45084</v>
      </c>
      <c r="S95" s="14">
        <v>45083</v>
      </c>
    </row>
    <row r="96" spans="1:19" s="3" customFormat="1" ht="19.7" customHeight="1" x14ac:dyDescent="0.15">
      <c r="A96" s="124" t="s">
        <v>34</v>
      </c>
      <c r="B96" s="125"/>
      <c r="C96" s="182">
        <v>8</v>
      </c>
      <c r="D96" s="4" t="e">
        <f t="shared" si="8"/>
        <v>#REF!</v>
      </c>
      <c r="E96" s="4" t="s">
        <v>22</v>
      </c>
      <c r="F96" s="4" t="s">
        <v>22</v>
      </c>
      <c r="G96" s="144" t="s">
        <v>47</v>
      </c>
      <c r="H96" s="147">
        <v>4</v>
      </c>
      <c r="I96" s="178">
        <v>270</v>
      </c>
      <c r="J96" s="57">
        <f t="shared" si="7"/>
        <v>1080</v>
      </c>
      <c r="K96" s="2"/>
      <c r="L96" s="24" t="s">
        <v>48</v>
      </c>
      <c r="M96" s="24"/>
      <c r="N96" s="4"/>
      <c r="O96" s="11">
        <v>45062</v>
      </c>
      <c r="P96" s="4"/>
      <c r="Q96" s="19"/>
      <c r="R96" s="19">
        <v>45085</v>
      </c>
      <c r="S96" s="14">
        <v>45085</v>
      </c>
    </row>
    <row r="97" spans="1:19" s="3" customFormat="1" ht="19.7" customHeight="1" x14ac:dyDescent="0.15">
      <c r="A97" s="124" t="s">
        <v>34</v>
      </c>
      <c r="B97" s="125"/>
      <c r="C97" s="182">
        <v>8</v>
      </c>
      <c r="D97" s="119" t="e">
        <f>D96+1</f>
        <v>#REF!</v>
      </c>
      <c r="E97" s="36" t="s">
        <v>153</v>
      </c>
      <c r="F97" s="47" t="s">
        <v>22</v>
      </c>
      <c r="G97" s="145" t="s">
        <v>154</v>
      </c>
      <c r="H97" s="126">
        <v>1</v>
      </c>
      <c r="I97" s="126">
        <v>622</v>
      </c>
      <c r="J97" s="118">
        <f t="shared" si="7"/>
        <v>622</v>
      </c>
      <c r="K97" s="2"/>
      <c r="L97" s="54" t="s">
        <v>155</v>
      </c>
      <c r="M97" s="22"/>
      <c r="N97" s="4"/>
      <c r="O97" s="11">
        <v>45062</v>
      </c>
      <c r="P97" s="4"/>
      <c r="Q97" s="19"/>
      <c r="R97" s="19">
        <v>45085</v>
      </c>
      <c r="S97" s="14">
        <v>45085</v>
      </c>
    </row>
    <row r="98" spans="1:19" s="3" customFormat="1" ht="19.7" customHeight="1" x14ac:dyDescent="0.15">
      <c r="A98" s="124" t="s">
        <v>34</v>
      </c>
      <c r="B98" s="125"/>
      <c r="C98" s="182">
        <v>8</v>
      </c>
      <c r="D98" s="119" t="e">
        <f t="shared" ref="D98:D104" si="9">D97+1</f>
        <v>#REF!</v>
      </c>
      <c r="E98" s="47" t="s">
        <v>22</v>
      </c>
      <c r="F98" s="47" t="s">
        <v>22</v>
      </c>
      <c r="G98" s="129" t="s">
        <v>156</v>
      </c>
      <c r="H98" s="147">
        <v>2</v>
      </c>
      <c r="I98" s="147">
        <v>120</v>
      </c>
      <c r="J98" s="118">
        <f t="shared" si="7"/>
        <v>240</v>
      </c>
      <c r="K98" s="28"/>
      <c r="L98" s="25" t="s">
        <v>61</v>
      </c>
      <c r="M98" s="22"/>
      <c r="N98" s="4"/>
      <c r="O98" s="11">
        <v>45062</v>
      </c>
      <c r="P98" s="4"/>
      <c r="Q98" s="19"/>
      <c r="R98" s="19">
        <v>45085</v>
      </c>
      <c r="S98" s="14">
        <v>45085</v>
      </c>
    </row>
    <row r="99" spans="1:19" s="3" customFormat="1" ht="19.7" customHeight="1" x14ac:dyDescent="0.15">
      <c r="A99" s="124" t="s">
        <v>34</v>
      </c>
      <c r="B99" s="125"/>
      <c r="C99" s="182">
        <v>8</v>
      </c>
      <c r="D99" s="119" t="e">
        <f t="shared" si="9"/>
        <v>#REF!</v>
      </c>
      <c r="E99" s="34" t="s">
        <v>22</v>
      </c>
      <c r="F99" s="34" t="s">
        <v>22</v>
      </c>
      <c r="G99" s="146" t="s">
        <v>176</v>
      </c>
      <c r="H99" s="66">
        <v>2</v>
      </c>
      <c r="I99" s="66">
        <v>250</v>
      </c>
      <c r="J99" s="42">
        <f t="shared" si="7"/>
        <v>500</v>
      </c>
      <c r="K99" s="40"/>
      <c r="L99" s="41" t="s">
        <v>177</v>
      </c>
      <c r="M99" s="22"/>
      <c r="N99" s="4"/>
      <c r="O99" s="11">
        <v>45062</v>
      </c>
      <c r="P99" s="4"/>
      <c r="Q99" s="19"/>
      <c r="R99" s="19">
        <v>45085</v>
      </c>
      <c r="S99" s="14">
        <v>45085</v>
      </c>
    </row>
    <row r="100" spans="1:19" s="3" customFormat="1" ht="19.7" customHeight="1" x14ac:dyDescent="0.15">
      <c r="A100" s="124" t="s">
        <v>34</v>
      </c>
      <c r="B100" s="125"/>
      <c r="C100" s="182">
        <v>8</v>
      </c>
      <c r="D100" s="119" t="e">
        <f t="shared" si="9"/>
        <v>#REF!</v>
      </c>
      <c r="E100" s="34" t="s">
        <v>22</v>
      </c>
      <c r="F100" s="34" t="s">
        <v>22</v>
      </c>
      <c r="G100" s="146" t="s">
        <v>178</v>
      </c>
      <c r="H100" s="66">
        <v>2</v>
      </c>
      <c r="I100" s="66">
        <v>200</v>
      </c>
      <c r="J100" s="42">
        <f t="shared" si="7"/>
        <v>400</v>
      </c>
      <c r="K100" s="40"/>
      <c r="L100" s="41" t="s">
        <v>179</v>
      </c>
      <c r="M100" s="22"/>
      <c r="N100" s="4"/>
      <c r="O100" s="11">
        <v>45062</v>
      </c>
      <c r="P100" s="4"/>
      <c r="Q100" s="19"/>
      <c r="R100" s="19">
        <v>45085</v>
      </c>
      <c r="S100" s="14">
        <v>45085</v>
      </c>
    </row>
    <row r="101" spans="1:19" s="3" customFormat="1" ht="19.7" customHeight="1" x14ac:dyDescent="0.15">
      <c r="A101" s="124" t="s">
        <v>33</v>
      </c>
      <c r="B101" s="125"/>
      <c r="C101" s="182">
        <v>8</v>
      </c>
      <c r="D101" s="119" t="e">
        <f t="shared" si="9"/>
        <v>#REF!</v>
      </c>
      <c r="E101" s="4" t="s">
        <v>22</v>
      </c>
      <c r="F101" s="4" t="s">
        <v>22</v>
      </c>
      <c r="G101" s="179" t="s">
        <v>160</v>
      </c>
      <c r="H101" s="147">
        <v>1</v>
      </c>
      <c r="I101" s="158">
        <v>5400</v>
      </c>
      <c r="J101" s="42">
        <f t="shared" si="7"/>
        <v>5400</v>
      </c>
      <c r="K101" s="120"/>
      <c r="L101" s="24" t="s">
        <v>159</v>
      </c>
      <c r="M101" s="22"/>
      <c r="N101" s="4"/>
      <c r="O101" s="11">
        <v>45062</v>
      </c>
      <c r="P101" s="4"/>
      <c r="Q101" s="19"/>
      <c r="R101" s="19">
        <v>45085</v>
      </c>
      <c r="S101" s="14">
        <v>45085</v>
      </c>
    </row>
    <row r="102" spans="1:19" s="3" customFormat="1" ht="19.7" customHeight="1" x14ac:dyDescent="0.15">
      <c r="A102" s="124" t="s">
        <v>98</v>
      </c>
      <c r="B102" s="125"/>
      <c r="C102" s="182">
        <v>8</v>
      </c>
      <c r="D102" s="140" t="e">
        <f t="shared" si="9"/>
        <v>#REF!</v>
      </c>
      <c r="E102" s="65" t="s">
        <v>165</v>
      </c>
      <c r="F102" s="128" t="s">
        <v>166</v>
      </c>
      <c r="G102" s="129" t="s">
        <v>167</v>
      </c>
      <c r="H102" s="130">
        <v>2</v>
      </c>
      <c r="I102" s="131">
        <v>690</v>
      </c>
      <c r="J102" s="139">
        <f>H102*I102</f>
        <v>1380</v>
      </c>
      <c r="K102" s="130"/>
      <c r="L102" s="129" t="s">
        <v>168</v>
      </c>
      <c r="M102" s="22"/>
      <c r="N102" s="4"/>
      <c r="O102" s="11">
        <v>45062</v>
      </c>
      <c r="P102" s="4"/>
      <c r="Q102" s="19">
        <v>45085</v>
      </c>
      <c r="R102" s="19">
        <v>45084</v>
      </c>
      <c r="S102" s="14">
        <v>45083</v>
      </c>
    </row>
    <row r="103" spans="1:19" s="3" customFormat="1" ht="19.7" customHeight="1" x14ac:dyDescent="0.15">
      <c r="A103" s="124" t="s">
        <v>98</v>
      </c>
      <c r="B103" s="125"/>
      <c r="C103" s="182">
        <v>8</v>
      </c>
      <c r="D103" s="140" t="e">
        <f t="shared" si="9"/>
        <v>#REF!</v>
      </c>
      <c r="E103" s="65" t="s">
        <v>165</v>
      </c>
      <c r="F103" s="132" t="s">
        <v>166</v>
      </c>
      <c r="G103" s="133" t="s">
        <v>169</v>
      </c>
      <c r="H103" s="130">
        <v>2</v>
      </c>
      <c r="I103" s="131">
        <v>270</v>
      </c>
      <c r="J103" s="139">
        <f>H103*I103</f>
        <v>540</v>
      </c>
      <c r="K103" s="130"/>
      <c r="L103" s="129" t="s">
        <v>170</v>
      </c>
      <c r="M103" s="22"/>
      <c r="N103" s="4"/>
      <c r="O103" s="11">
        <v>45062</v>
      </c>
      <c r="P103" s="4"/>
      <c r="Q103" s="19">
        <v>45085</v>
      </c>
      <c r="R103" s="19">
        <v>45084</v>
      </c>
      <c r="S103" s="14">
        <v>45083</v>
      </c>
    </row>
    <row r="104" spans="1:19" s="3" customFormat="1" ht="19.7" customHeight="1" x14ac:dyDescent="0.15">
      <c r="A104" s="124" t="s">
        <v>98</v>
      </c>
      <c r="B104" s="125"/>
      <c r="C104" s="182">
        <v>8</v>
      </c>
      <c r="D104" s="140" t="e">
        <f t="shared" si="9"/>
        <v>#REF!</v>
      </c>
      <c r="E104" s="128" t="s">
        <v>165</v>
      </c>
      <c r="F104" s="187" t="s">
        <v>166</v>
      </c>
      <c r="G104" s="133" t="s">
        <v>171</v>
      </c>
      <c r="H104" s="134">
        <v>1</v>
      </c>
      <c r="I104" s="135">
        <v>299</v>
      </c>
      <c r="J104" s="136">
        <f>H104*I104</f>
        <v>299</v>
      </c>
      <c r="K104" s="134"/>
      <c r="L104" s="137" t="s">
        <v>172</v>
      </c>
      <c r="M104" s="138"/>
      <c r="N104" s="4"/>
      <c r="O104" s="11">
        <v>45062</v>
      </c>
      <c r="P104" s="4"/>
      <c r="Q104" s="19">
        <v>45085</v>
      </c>
      <c r="R104" s="19">
        <v>45084</v>
      </c>
      <c r="S104" s="14">
        <v>45083</v>
      </c>
    </row>
    <row r="105" spans="1:19" s="3" customFormat="1" ht="19.7" customHeight="1" x14ac:dyDescent="0.15">
      <c r="A105" s="62"/>
      <c r="B105" s="88"/>
      <c r="C105" s="1"/>
      <c r="D105" s="119"/>
      <c r="E105" s="4"/>
      <c r="F105" s="59"/>
      <c r="G105" s="24"/>
      <c r="H105" s="60"/>
      <c r="I105" s="85"/>
      <c r="J105" s="57"/>
      <c r="K105" s="42"/>
      <c r="L105" s="41"/>
      <c r="M105" s="22"/>
      <c r="N105" s="4"/>
      <c r="O105" s="11"/>
      <c r="P105" s="4"/>
      <c r="Q105" s="19"/>
      <c r="R105" s="19"/>
      <c r="S105" s="14"/>
    </row>
    <row r="106" spans="1:19" s="3" customFormat="1" ht="19.7" customHeight="1" x14ac:dyDescent="0.15">
      <c r="A106" s="62"/>
      <c r="B106" s="88"/>
      <c r="C106" s="1"/>
      <c r="D106" s="4"/>
      <c r="E106" s="4"/>
      <c r="F106" s="59"/>
      <c r="G106" s="24"/>
      <c r="H106" s="60"/>
      <c r="I106" s="85"/>
      <c r="J106" s="81"/>
      <c r="K106" s="42"/>
      <c r="L106" s="41"/>
      <c r="M106" s="22"/>
      <c r="N106" s="4"/>
      <c r="O106" s="11"/>
      <c r="P106" s="4"/>
      <c r="Q106" s="19"/>
      <c r="R106" s="19"/>
      <c r="S106" s="14"/>
    </row>
    <row r="107" spans="1:19" s="3" customFormat="1" ht="19.7" customHeight="1" x14ac:dyDescent="0.15">
      <c r="A107" s="62"/>
      <c r="B107" s="88"/>
      <c r="C107" s="1"/>
      <c r="D107" s="4"/>
      <c r="E107" s="36"/>
      <c r="F107" s="4"/>
      <c r="G107" s="35">
        <f>SUM(J78:J105)</f>
        <v>43029</v>
      </c>
      <c r="H107" s="60"/>
      <c r="I107" s="85"/>
      <c r="J107" s="81"/>
      <c r="K107" s="42"/>
      <c r="L107" s="41"/>
      <c r="M107" s="22"/>
      <c r="N107" s="4"/>
      <c r="O107" s="11"/>
      <c r="P107" s="4"/>
      <c r="Q107" s="19"/>
      <c r="R107" s="19"/>
      <c r="S107" s="14"/>
    </row>
    <row r="108" spans="1:19" s="3" customFormat="1" ht="19.7" customHeight="1" x14ac:dyDescent="0.15">
      <c r="A108" s="62"/>
      <c r="B108" s="88"/>
      <c r="C108" s="1"/>
      <c r="D108" s="4"/>
      <c r="E108" s="36"/>
      <c r="F108" s="46"/>
      <c r="G108" s="24"/>
      <c r="H108" s="60"/>
      <c r="I108" s="85"/>
      <c r="J108" s="81"/>
      <c r="K108" s="42"/>
      <c r="L108" s="41"/>
      <c r="M108" s="22"/>
      <c r="N108" s="4"/>
      <c r="O108" s="11"/>
      <c r="P108" s="4"/>
      <c r="Q108" s="19"/>
      <c r="R108" s="19"/>
      <c r="S108" s="14"/>
    </row>
    <row r="109" spans="1:19" s="3" customFormat="1" ht="19.7" customHeight="1" x14ac:dyDescent="0.15">
      <c r="A109" s="62"/>
      <c r="B109" s="88"/>
      <c r="C109" s="1"/>
      <c r="D109" s="4"/>
      <c r="E109" s="4"/>
      <c r="F109" s="59"/>
      <c r="G109" s="24"/>
      <c r="H109" s="60"/>
      <c r="I109" s="85"/>
      <c r="J109" s="57"/>
      <c r="K109" s="42"/>
      <c r="L109" s="41"/>
      <c r="M109" s="22"/>
      <c r="N109" s="4"/>
      <c r="O109" s="11"/>
      <c r="P109" s="4"/>
      <c r="Q109" s="19"/>
      <c r="R109" s="19"/>
      <c r="S109" s="14"/>
    </row>
    <row r="110" spans="1:19" s="3" customFormat="1" ht="19.7" customHeight="1" x14ac:dyDescent="0.15">
      <c r="A110" s="62"/>
      <c r="B110" s="88"/>
      <c r="C110" s="1"/>
      <c r="D110" s="4"/>
      <c r="E110" s="4"/>
      <c r="F110" s="4"/>
      <c r="G110" s="26"/>
      <c r="H110" s="50"/>
      <c r="I110" s="86"/>
      <c r="J110" s="81"/>
      <c r="K110" s="51"/>
      <c r="L110" s="52"/>
      <c r="M110" s="25"/>
      <c r="N110" s="4"/>
      <c r="O110" s="11"/>
      <c r="P110" s="4"/>
      <c r="Q110" s="19"/>
      <c r="R110" s="19"/>
      <c r="S110" s="14"/>
    </row>
    <row r="111" spans="1:19" s="3" customFormat="1" ht="19.7" customHeight="1" x14ac:dyDescent="0.15">
      <c r="A111" s="62"/>
      <c r="B111" s="88"/>
      <c r="C111" s="1"/>
      <c r="D111" s="4"/>
      <c r="E111" s="4"/>
      <c r="F111" s="4"/>
      <c r="G111" s="45"/>
      <c r="H111" s="1"/>
      <c r="I111" s="81"/>
      <c r="J111" s="81"/>
      <c r="K111" s="2"/>
      <c r="L111" s="25"/>
      <c r="M111" s="22"/>
      <c r="N111" s="4"/>
      <c r="O111" s="11"/>
      <c r="P111" s="4"/>
      <c r="Q111" s="19"/>
      <c r="R111" s="19"/>
      <c r="S111" s="14"/>
    </row>
    <row r="112" spans="1:19" s="3" customFormat="1" ht="19.7" customHeight="1" x14ac:dyDescent="0.15">
      <c r="A112" s="62"/>
      <c r="B112" s="88"/>
      <c r="C112" s="1"/>
      <c r="D112" s="4"/>
      <c r="E112" s="4"/>
      <c r="F112" s="4"/>
      <c r="G112" s="53"/>
      <c r="H112" s="1"/>
      <c r="I112" s="81"/>
      <c r="J112" s="81"/>
      <c r="K112" s="2"/>
      <c r="L112" s="25"/>
      <c r="M112" s="22"/>
      <c r="N112" s="4"/>
      <c r="O112" s="11"/>
      <c r="P112" s="4"/>
      <c r="Q112" s="19"/>
      <c r="R112" s="19"/>
      <c r="S112" s="14"/>
    </row>
    <row r="113" spans="1:19" s="3" customFormat="1" ht="19.7" customHeight="1" x14ac:dyDescent="0.15">
      <c r="A113" s="62"/>
      <c r="B113" s="62"/>
      <c r="C113" s="1"/>
      <c r="D113" s="4"/>
      <c r="E113" s="4"/>
      <c r="F113" s="4"/>
      <c r="G113" s="26"/>
      <c r="H113" s="1"/>
      <c r="I113" s="21"/>
      <c r="J113" s="79"/>
      <c r="K113" s="2"/>
      <c r="L113" s="25"/>
      <c r="M113" s="25"/>
      <c r="N113" s="4"/>
      <c r="O113" s="11"/>
      <c r="P113" s="11"/>
      <c r="Q113" s="11"/>
      <c r="R113" s="19"/>
      <c r="S113" s="14"/>
    </row>
    <row r="114" spans="1:19" s="3" customFormat="1" ht="19.7" customHeight="1" x14ac:dyDescent="0.15">
      <c r="A114" s="62"/>
      <c r="B114" s="62"/>
      <c r="C114" s="1"/>
      <c r="D114" s="4"/>
      <c r="E114" s="4"/>
      <c r="F114" s="4"/>
      <c r="G114" s="24"/>
      <c r="H114" s="1"/>
      <c r="I114" s="81"/>
      <c r="J114" s="79"/>
      <c r="K114" s="27"/>
      <c r="L114" s="25"/>
      <c r="M114" s="25"/>
      <c r="N114" s="4"/>
      <c r="O114" s="11"/>
      <c r="P114" s="11"/>
      <c r="Q114" s="11"/>
      <c r="R114" s="19"/>
      <c r="S114" s="14"/>
    </row>
    <row r="115" spans="1:19" s="3" customFormat="1" ht="19.7" customHeight="1" x14ac:dyDescent="0.15">
      <c r="A115" s="62"/>
      <c r="B115" s="62"/>
      <c r="C115" s="1"/>
      <c r="D115" s="4"/>
      <c r="E115" s="4"/>
      <c r="F115" s="4"/>
      <c r="G115" s="24"/>
      <c r="H115" s="1"/>
      <c r="I115" s="81"/>
      <c r="J115" s="81"/>
      <c r="K115" s="27"/>
      <c r="L115" s="25"/>
      <c r="M115" s="25"/>
      <c r="N115" s="4"/>
      <c r="O115" s="11"/>
      <c r="P115" s="4"/>
      <c r="Q115" s="19"/>
      <c r="R115" s="19"/>
      <c r="S115" s="14"/>
    </row>
    <row r="116" spans="1:19" s="3" customFormat="1" ht="19.7" customHeight="1" x14ac:dyDescent="0.15">
      <c r="A116" s="62"/>
      <c r="B116" s="62"/>
      <c r="C116" s="1"/>
      <c r="D116" s="4"/>
      <c r="E116" s="4"/>
      <c r="F116" s="4"/>
      <c r="G116" s="24"/>
      <c r="H116" s="1"/>
      <c r="I116" s="81"/>
      <c r="J116" s="79"/>
      <c r="K116" s="27"/>
      <c r="L116" s="25"/>
      <c r="M116" s="25"/>
      <c r="N116" s="4"/>
      <c r="O116" s="11"/>
      <c r="P116" s="4"/>
      <c r="Q116" s="19"/>
      <c r="R116" s="19"/>
      <c r="S116" s="14"/>
    </row>
    <row r="117" spans="1:19" s="3" customFormat="1" ht="19.7" customHeight="1" x14ac:dyDescent="0.15">
      <c r="A117" s="62"/>
      <c r="B117" s="62"/>
      <c r="C117" s="1"/>
      <c r="D117" s="4"/>
      <c r="E117" s="4"/>
      <c r="F117" s="4"/>
      <c r="G117" s="24"/>
      <c r="H117" s="1"/>
      <c r="I117" s="81"/>
      <c r="J117" s="79"/>
      <c r="K117" s="27"/>
      <c r="L117" s="25"/>
      <c r="M117" s="25"/>
      <c r="N117" s="4"/>
      <c r="O117" s="11"/>
      <c r="P117" s="4"/>
      <c r="Q117" s="19"/>
      <c r="R117" s="19"/>
      <c r="S117" s="14"/>
    </row>
    <row r="118" spans="1:19" s="3" customFormat="1" ht="19.7" customHeight="1" x14ac:dyDescent="0.15">
      <c r="A118" s="62"/>
      <c r="B118" s="62"/>
      <c r="C118" s="1"/>
      <c r="D118" s="4"/>
      <c r="E118" s="4"/>
      <c r="F118" s="4"/>
      <c r="G118" s="24"/>
      <c r="H118" s="1"/>
      <c r="I118" s="81"/>
      <c r="J118" s="79"/>
      <c r="K118" s="27"/>
      <c r="L118" s="25"/>
      <c r="M118" s="25"/>
      <c r="N118" s="4"/>
      <c r="O118" s="11"/>
      <c r="P118" s="4"/>
      <c r="Q118" s="19"/>
      <c r="R118" s="19"/>
      <c r="S118" s="14"/>
    </row>
    <row r="119" spans="1:19" s="3" customFormat="1" ht="19.7" customHeight="1" x14ac:dyDescent="0.15">
      <c r="A119" s="62"/>
      <c r="B119" s="62"/>
      <c r="C119" s="1"/>
      <c r="D119" s="4"/>
      <c r="E119" s="4"/>
      <c r="F119" s="4"/>
      <c r="G119" s="26"/>
      <c r="H119" s="1"/>
      <c r="I119" s="21"/>
      <c r="J119" s="79"/>
      <c r="K119" s="2"/>
      <c r="L119" s="25"/>
      <c r="M119" s="25"/>
      <c r="N119" s="4"/>
      <c r="O119" s="11"/>
      <c r="P119" s="4"/>
      <c r="Q119" s="19"/>
      <c r="R119" s="19"/>
      <c r="S119" s="14"/>
    </row>
    <row r="120" spans="1:19" s="3" customFormat="1" ht="19.7" customHeight="1" x14ac:dyDescent="0.15">
      <c r="A120" s="62"/>
      <c r="B120" s="62"/>
      <c r="C120" s="1"/>
      <c r="D120" s="4"/>
      <c r="E120" s="4"/>
      <c r="F120" s="4"/>
      <c r="G120" s="26"/>
      <c r="H120" s="1"/>
      <c r="I120" s="21"/>
      <c r="J120" s="79"/>
      <c r="K120" s="2"/>
      <c r="L120" s="25"/>
      <c r="M120" s="25"/>
      <c r="N120" s="4"/>
      <c r="O120" s="11"/>
      <c r="P120" s="4"/>
      <c r="Q120" s="19"/>
      <c r="R120" s="19"/>
      <c r="S120" s="14"/>
    </row>
    <row r="121" spans="1:19" ht="19.7" customHeight="1" x14ac:dyDescent="0.15">
      <c r="A121" s="62"/>
      <c r="B121" s="62"/>
      <c r="C121" s="1"/>
      <c r="D121" s="4"/>
      <c r="E121" s="1"/>
      <c r="F121" s="1"/>
      <c r="G121" s="26"/>
      <c r="H121" s="1"/>
      <c r="I121" s="21"/>
      <c r="J121" s="79"/>
      <c r="K121" s="2"/>
      <c r="L121" s="25"/>
      <c r="M121" s="24"/>
      <c r="N121" s="4"/>
      <c r="O121" s="11"/>
      <c r="P121" s="4"/>
      <c r="Q121" s="19"/>
      <c r="R121" s="19"/>
      <c r="S121" s="14"/>
    </row>
    <row r="122" spans="1:19" ht="19.7" customHeight="1" x14ac:dyDescent="0.15">
      <c r="A122" s="62"/>
      <c r="B122" s="62"/>
      <c r="C122" s="1"/>
      <c r="D122" s="4"/>
      <c r="E122" s="4"/>
      <c r="F122" s="4"/>
      <c r="G122" s="23"/>
      <c r="H122" s="1"/>
      <c r="I122" s="21"/>
      <c r="J122" s="81"/>
      <c r="K122" s="2"/>
      <c r="L122" s="25"/>
      <c r="M122" s="25"/>
      <c r="N122" s="4"/>
      <c r="O122" s="11"/>
      <c r="P122" s="4"/>
      <c r="Q122" s="19"/>
      <c r="R122" s="19"/>
      <c r="S122" s="14"/>
    </row>
    <row r="123" spans="1:19" ht="19.7" customHeight="1" x14ac:dyDescent="0.15">
      <c r="A123" s="62"/>
      <c r="B123" s="62"/>
      <c r="C123" s="1"/>
      <c r="D123" s="4"/>
      <c r="E123" s="4"/>
      <c r="F123" s="4"/>
      <c r="G123" s="26"/>
      <c r="H123" s="1"/>
      <c r="I123" s="21"/>
      <c r="J123" s="79"/>
      <c r="K123" s="2"/>
      <c r="L123" s="25"/>
      <c r="M123" s="24"/>
      <c r="N123" s="4"/>
      <c r="O123" s="11"/>
      <c r="P123" s="4"/>
      <c r="Q123" s="19"/>
      <c r="R123" s="29"/>
      <c r="S123" s="14"/>
    </row>
    <row r="124" spans="1:19" ht="19.7" customHeight="1" x14ac:dyDescent="0.15">
      <c r="A124" s="62"/>
      <c r="B124" s="62"/>
      <c r="C124" s="1"/>
      <c r="D124" s="4"/>
      <c r="E124" s="4"/>
      <c r="F124" s="4"/>
      <c r="G124" s="26"/>
      <c r="H124" s="1"/>
      <c r="I124" s="21"/>
      <c r="J124" s="79"/>
      <c r="K124" s="2"/>
      <c r="L124" s="25"/>
      <c r="M124" s="24"/>
      <c r="N124" s="4"/>
      <c r="O124" s="11"/>
      <c r="P124" s="4"/>
      <c r="Q124" s="19"/>
      <c r="R124" s="19"/>
      <c r="S124" s="14"/>
    </row>
    <row r="125" spans="1:19" ht="19.7" customHeight="1" x14ac:dyDescent="0.15">
      <c r="A125" s="62"/>
      <c r="B125" s="62"/>
      <c r="C125" s="1"/>
      <c r="D125" s="4"/>
      <c r="E125" s="4"/>
      <c r="F125" s="4"/>
      <c r="G125" s="26"/>
      <c r="H125" s="1"/>
      <c r="I125" s="21"/>
      <c r="J125" s="79"/>
      <c r="K125" s="2"/>
      <c r="L125" s="25"/>
      <c r="M125" s="24"/>
      <c r="N125" s="4"/>
      <c r="O125" s="11"/>
      <c r="P125" s="4"/>
      <c r="Q125" s="19"/>
      <c r="R125" s="19"/>
      <c r="S125" s="14"/>
    </row>
    <row r="126" spans="1:19" ht="19.7" customHeight="1" x14ac:dyDescent="0.15">
      <c r="A126" s="62"/>
      <c r="B126" s="62"/>
      <c r="C126" s="1"/>
      <c r="D126" s="4"/>
      <c r="E126" s="4"/>
      <c r="F126" s="4"/>
      <c r="G126" s="26"/>
      <c r="H126" s="1"/>
      <c r="I126" s="21"/>
      <c r="J126" s="79">
        <f t="shared" ref="J126:J131" si="10">H126*I126</f>
        <v>0</v>
      </c>
      <c r="K126" s="2"/>
      <c r="L126" s="25"/>
      <c r="M126" s="24"/>
      <c r="N126" s="4"/>
      <c r="O126" s="11"/>
      <c r="P126" s="4"/>
      <c r="Q126" s="19"/>
      <c r="R126" s="19"/>
      <c r="S126" s="14"/>
    </row>
    <row r="127" spans="1:19" ht="19.7" customHeight="1" x14ac:dyDescent="0.15">
      <c r="A127" s="62"/>
      <c r="B127" s="62"/>
      <c r="C127" s="1"/>
      <c r="D127" s="4"/>
      <c r="E127" s="4"/>
      <c r="F127" s="4"/>
      <c r="G127" s="26"/>
      <c r="H127" s="1"/>
      <c r="I127" s="21"/>
      <c r="J127" s="79">
        <f t="shared" si="10"/>
        <v>0</v>
      </c>
      <c r="K127" s="2"/>
      <c r="L127" s="25"/>
      <c r="M127" s="24"/>
      <c r="N127" s="4"/>
      <c r="O127" s="11"/>
      <c r="P127" s="4"/>
      <c r="Q127" s="19"/>
      <c r="R127" s="19"/>
      <c r="S127" s="14"/>
    </row>
    <row r="128" spans="1:19" ht="19.7" customHeight="1" x14ac:dyDescent="0.15">
      <c r="A128" s="62"/>
      <c r="B128" s="62"/>
      <c r="C128" s="1"/>
      <c r="D128" s="4"/>
      <c r="E128" s="4"/>
      <c r="F128" s="4"/>
      <c r="G128" s="26"/>
      <c r="H128" s="1"/>
      <c r="I128" s="21"/>
      <c r="J128" s="79">
        <f t="shared" si="10"/>
        <v>0</v>
      </c>
      <c r="K128" s="2"/>
      <c r="L128" s="25"/>
      <c r="M128" s="24"/>
      <c r="N128" s="4"/>
      <c r="O128" s="11"/>
      <c r="P128" s="4"/>
      <c r="Q128" s="19"/>
      <c r="R128" s="19"/>
      <c r="S128" s="14"/>
    </row>
    <row r="129" spans="1:19" ht="19.7" customHeight="1" x14ac:dyDescent="0.15">
      <c r="A129" s="62"/>
      <c r="B129" s="62"/>
      <c r="C129" s="63"/>
      <c r="D129" s="4"/>
      <c r="E129" s="4"/>
      <c r="F129" s="4"/>
      <c r="G129" s="26"/>
      <c r="H129" s="1"/>
      <c r="I129" s="21"/>
      <c r="J129" s="79">
        <f t="shared" si="10"/>
        <v>0</v>
      </c>
      <c r="K129" s="2"/>
      <c r="L129" s="25"/>
      <c r="M129" s="24"/>
      <c r="N129" s="4"/>
      <c r="O129" s="11"/>
      <c r="P129" s="4"/>
      <c r="Q129" s="19"/>
      <c r="R129" s="19"/>
      <c r="S129" s="14"/>
    </row>
    <row r="130" spans="1:19" ht="19.7" customHeight="1" x14ac:dyDescent="0.15">
      <c r="A130" s="62"/>
      <c r="B130" s="62"/>
      <c r="C130" s="63"/>
      <c r="D130" s="4"/>
      <c r="E130" s="4"/>
      <c r="F130" s="4"/>
      <c r="G130" s="26"/>
      <c r="H130" s="1"/>
      <c r="I130" s="21"/>
      <c r="J130" s="79">
        <f t="shared" si="10"/>
        <v>0</v>
      </c>
      <c r="K130" s="2"/>
      <c r="L130" s="25"/>
      <c r="M130" s="24"/>
      <c r="N130" s="4"/>
      <c r="O130" s="11"/>
      <c r="P130" s="4"/>
      <c r="Q130" s="19"/>
      <c r="R130" s="19"/>
      <c r="S130" s="14"/>
    </row>
    <row r="131" spans="1:19" ht="19.7" customHeight="1" x14ac:dyDescent="0.15">
      <c r="A131" s="62"/>
      <c r="B131" s="62"/>
      <c r="C131" s="63"/>
      <c r="D131" s="4"/>
      <c r="E131" s="4"/>
      <c r="F131" s="4"/>
      <c r="G131" s="26"/>
      <c r="H131" s="1"/>
      <c r="I131" s="21"/>
      <c r="J131" s="79">
        <f t="shared" si="10"/>
        <v>0</v>
      </c>
      <c r="K131" s="2"/>
      <c r="L131" s="25"/>
      <c r="M131" s="24"/>
      <c r="N131" s="4"/>
      <c r="O131" s="11"/>
      <c r="P131" s="4"/>
      <c r="Q131" s="19"/>
      <c r="R131" s="19"/>
      <c r="S131" s="14"/>
    </row>
    <row r="132" spans="1:19" x14ac:dyDescent="0.15">
      <c r="J132" s="87"/>
    </row>
  </sheetData>
  <autoFilter ref="D9:Q109" xr:uid="{00000000-0009-0000-0000-000000000000}"/>
  <mergeCells count="12">
    <mergeCell ref="D6:F6"/>
    <mergeCell ref="I5:I6"/>
    <mergeCell ref="D12:G12"/>
    <mergeCell ref="D77:G77"/>
    <mergeCell ref="D53:G53"/>
    <mergeCell ref="D22:G22"/>
    <mergeCell ref="D2:F2"/>
    <mergeCell ref="I2:K2"/>
    <mergeCell ref="D3:F3"/>
    <mergeCell ref="D4:F4"/>
    <mergeCell ref="L4:M5"/>
    <mergeCell ref="D5:F5"/>
  </mergeCells>
  <phoneticPr fontId="11"/>
  <dataValidations disablePrompts="1" count="2">
    <dataValidation imeMode="hiragana" allowBlank="1" showInputMessage="1" showErrorMessage="1" sqref="L36:L43 L19:L28 L30:L31 L33:L34 L80 L46:L51" xr:uid="{00000000-0002-0000-0000-000000000000}"/>
    <dataValidation allowBlank="1" showInputMessage="1" showErrorMessage="1" sqref="L17" xr:uid="{00000000-0002-0000-0000-000001000000}"/>
  </dataValidations>
  <hyperlinks>
    <hyperlink ref="M67" r:id="rId1" display="https://www.monotaro.com/p/4461/0362/?t.mpn=zx1101-j15lz-e55c" xr:uid="{00000000-0004-0000-0000-000000000000}"/>
  </hyperlinks>
  <pageMargins left="0.2" right="0.2" top="0.36" bottom="0.41" header="0.3" footer="0.3"/>
  <pageSetup paperSize="9" scale="7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  20230512 (1式)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2018-06-15T01:25:43Z</cp:lastPrinted>
  <dcterms:created xsi:type="dcterms:W3CDTF">2011-12-13T06:48:43Z</dcterms:created>
  <dcterms:modified xsi:type="dcterms:W3CDTF">2023-06-08T06:23:36Z</dcterms:modified>
</cp:coreProperties>
</file>