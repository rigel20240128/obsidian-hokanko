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E4D52FDC-79E0-4BA4-AE57-4B501CC008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原価表!$B$9:$O$27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68" i="1"/>
  <c r="H67" i="1"/>
  <c r="H66" i="1"/>
  <c r="H65" i="1"/>
  <c r="H64" i="1"/>
  <c r="H63" i="1"/>
  <c r="H62" i="1"/>
  <c r="H60" i="1" l="1"/>
  <c r="H53" i="1"/>
  <c r="H47" i="1"/>
  <c r="H45" i="1"/>
  <c r="H46" i="1"/>
  <c r="H61" i="1"/>
  <c r="H59" i="1"/>
  <c r="H58" i="1"/>
  <c r="H57" i="1"/>
  <c r="H56" i="1"/>
  <c r="H55" i="1"/>
  <c r="H54" i="1"/>
  <c r="H52" i="1"/>
  <c r="H51" i="1"/>
  <c r="H50" i="1"/>
  <c r="H49" i="1"/>
  <c r="H48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8" i="1"/>
  <c r="H17" i="1"/>
  <c r="H16" i="1"/>
  <c r="H15" i="1"/>
  <c r="H14" i="1"/>
  <c r="H13" i="1"/>
  <c r="H12" i="1"/>
  <c r="H11" i="1"/>
  <c r="J2" i="1" l="1"/>
</calcChain>
</file>

<file path=xl/sharedStrings.xml><?xml version="1.0" encoding="utf-8"?>
<sst xmlns="http://schemas.openxmlformats.org/spreadsheetml/2006/main" count="270" uniqueCount="144">
  <si>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</si>
  <si>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</si>
  <si>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</si>
  <si>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</si>
  <si>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</si>
  <si>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</si>
  <si>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</si>
  <si>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</si>
  <si>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</si>
  <si>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</si>
  <si>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</si>
  <si>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</si>
  <si>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</si>
  <si>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</si>
  <si>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</si>
  <si>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</si>
  <si>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</si>
  <si>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</si>
  <si>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</si>
  <si>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</si>
  <si>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</si>
  <si>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</si>
  <si>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</si>
  <si>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日本省力技術研究所</t>
    <phoneticPr fontId="7"/>
  </si>
  <si>
    <t>日本省力技術研究所</t>
    <rPh sb="0" eb="2">
      <t>ニホン</t>
    </rPh>
    <rPh sb="2" eb="4">
      <t>ショウリョク</t>
    </rPh>
    <rPh sb="4" eb="6">
      <t>ギジュツ</t>
    </rPh>
    <rPh sb="6" eb="9">
      <t>ケンキュウショ</t>
    </rPh>
    <phoneticPr fontId="7"/>
  </si>
  <si>
    <t>制御機材</t>
    <rPh sb="0" eb="2">
      <t>セイギョ</t>
    </rPh>
    <rPh sb="2" eb="4">
      <t>キザイ</t>
    </rPh>
    <phoneticPr fontId="7"/>
  </si>
  <si>
    <t>オムロン</t>
    <phoneticPr fontId="7"/>
  </si>
  <si>
    <t>制御機材</t>
    <rPh sb="0" eb="4">
      <t>セイギョキザイ</t>
    </rPh>
    <phoneticPr fontId="7"/>
  </si>
  <si>
    <t>アズワン</t>
    <phoneticPr fontId="7"/>
  </si>
  <si>
    <t>オリエンタルモーター</t>
    <phoneticPr fontId="7"/>
  </si>
  <si>
    <t>オリムベクスタ</t>
    <phoneticPr fontId="7"/>
  </si>
  <si>
    <t>ミスミ</t>
    <phoneticPr fontId="7"/>
  </si>
  <si>
    <t>コネクト</t>
    <phoneticPr fontId="7"/>
  </si>
  <si>
    <t>MGP-0020P-1</t>
    <phoneticPr fontId="7"/>
  </si>
  <si>
    <t>MC-146-AFA</t>
    <phoneticPr fontId="7"/>
  </si>
  <si>
    <t>PYFZ-08</t>
    <phoneticPr fontId="7"/>
  </si>
  <si>
    <t>MY2N</t>
    <phoneticPr fontId="7"/>
  </si>
  <si>
    <t>1-2957-01</t>
    <phoneticPr fontId="7"/>
  </si>
  <si>
    <t>9000-300X300X1.0</t>
    <phoneticPr fontId="7"/>
  </si>
  <si>
    <t>CFPNLA4-P6-L2-B2-ML8</t>
    <phoneticPr fontId="7"/>
  </si>
  <si>
    <t>FAMDS-SUD-T2-A125-B30-L20-F10-H110-N4-J20-V10-S17-NA4-K15</t>
    <phoneticPr fontId="7"/>
  </si>
  <si>
    <t>IBNC-T0.2-H8-L50-A4.5-X4-P10</t>
    <phoneticPr fontId="7"/>
  </si>
  <si>
    <t>MSH4-10</t>
    <phoneticPr fontId="7"/>
  </si>
  <si>
    <t>MTCS</t>
    <phoneticPr fontId="7"/>
  </si>
  <si>
    <t>SLSBWRK7-50</t>
    <phoneticPr fontId="7"/>
  </si>
  <si>
    <t>XYSPG80</t>
    <phoneticPr fontId="7"/>
  </si>
  <si>
    <t>MSEN0.32-1000</t>
    <phoneticPr fontId="7"/>
  </si>
  <si>
    <t>OA-W-15M-07</t>
    <phoneticPr fontId="7"/>
  </si>
  <si>
    <t>XCRS60</t>
    <phoneticPr fontId="7"/>
  </si>
  <si>
    <t>SLSBWF7-32</t>
    <phoneticPr fontId="7"/>
  </si>
  <si>
    <t>MSNDM6-1</t>
    <phoneticPr fontId="7"/>
  </si>
  <si>
    <t>MCHK5-30-V100-W40</t>
    <phoneticPr fontId="7"/>
  </si>
  <si>
    <t>NOOS4-10</t>
    <phoneticPr fontId="7"/>
  </si>
  <si>
    <t>CPS20-8-8</t>
    <phoneticPr fontId="7"/>
  </si>
  <si>
    <t>MSSFS4-4</t>
    <phoneticPr fontId="7"/>
  </si>
  <si>
    <t>SCB3-5</t>
    <phoneticPr fontId="7"/>
  </si>
  <si>
    <t>SCB3-6</t>
    <phoneticPr fontId="7"/>
  </si>
  <si>
    <t>SCB4-6</t>
    <phoneticPr fontId="7"/>
  </si>
  <si>
    <t>SCB4-10</t>
    <phoneticPr fontId="7"/>
  </si>
  <si>
    <t>SCB4-15</t>
    <phoneticPr fontId="7"/>
  </si>
  <si>
    <t>SCB5-10</t>
    <phoneticPr fontId="7"/>
  </si>
  <si>
    <t>図番：JR-AS00-361-01A</t>
    <rPh sb="0" eb="2">
      <t>ズバン</t>
    </rPh>
    <phoneticPr fontId="7"/>
  </si>
  <si>
    <t>図番：JR-AS00-361-02改A</t>
    <rPh sb="0" eb="2">
      <t>ズバン</t>
    </rPh>
    <rPh sb="17" eb="18">
      <t>アラタ</t>
    </rPh>
    <phoneticPr fontId="7"/>
  </si>
  <si>
    <t>図番：JR-AS00-361-03改A</t>
    <phoneticPr fontId="7"/>
  </si>
  <si>
    <t>図番：JR-AS00-361-04A</t>
    <phoneticPr fontId="7"/>
  </si>
  <si>
    <t>図番：JR-AS00-361-05C</t>
    <rPh sb="0" eb="2">
      <t>ズバン</t>
    </rPh>
    <phoneticPr fontId="7"/>
  </si>
  <si>
    <t>図番：JR-AS00-361-06A</t>
    <rPh sb="0" eb="2">
      <t>ズバン</t>
    </rPh>
    <phoneticPr fontId="7"/>
  </si>
  <si>
    <t xml:space="preserve">図番：JR-AS00-361-07B </t>
    <rPh sb="0" eb="2">
      <t>ズバン</t>
    </rPh>
    <phoneticPr fontId="7"/>
  </si>
  <si>
    <t>２型スペアギヤポンプ</t>
    <rPh sb="1" eb="2">
      <t>ガタ</t>
    </rPh>
    <phoneticPr fontId="7"/>
  </si>
  <si>
    <t>２液混合吐出装置</t>
    <rPh sb="1" eb="2">
      <t>エキ</t>
    </rPh>
    <rPh sb="2" eb="4">
      <t>コンゴウ</t>
    </rPh>
    <rPh sb="4" eb="6">
      <t>トシュツ</t>
    </rPh>
    <rPh sb="6" eb="8">
      <t>ソウチ</t>
    </rPh>
    <phoneticPr fontId="7"/>
  </si>
  <si>
    <t>ミキサー</t>
    <phoneticPr fontId="7"/>
  </si>
  <si>
    <t>ソケット</t>
    <phoneticPr fontId="7"/>
  </si>
  <si>
    <t>ミニパワーリレー</t>
    <phoneticPr fontId="7"/>
  </si>
  <si>
    <t>カップ</t>
    <phoneticPr fontId="7"/>
  </si>
  <si>
    <t>モーター</t>
    <phoneticPr fontId="7"/>
  </si>
  <si>
    <t>モーターコントローラー</t>
    <phoneticPr fontId="7"/>
  </si>
  <si>
    <t>PTFEシート</t>
    <phoneticPr fontId="7"/>
  </si>
  <si>
    <t>位置決めピン</t>
    <rPh sb="0" eb="3">
      <t>イチキ</t>
    </rPh>
    <phoneticPr fontId="7"/>
  </si>
  <si>
    <t>ブラケット</t>
    <phoneticPr fontId="7"/>
  </si>
  <si>
    <t>薄板バネ</t>
    <rPh sb="0" eb="2">
      <t>ウスイタ</t>
    </rPh>
    <phoneticPr fontId="7"/>
  </si>
  <si>
    <t>ノックピン</t>
    <phoneticPr fontId="7"/>
  </si>
  <si>
    <t>温調コントローラー</t>
    <rPh sb="0" eb="2">
      <t>オンチョウ</t>
    </rPh>
    <phoneticPr fontId="7"/>
  </si>
  <si>
    <t>六角支柱ネジ</t>
    <rPh sb="0" eb="2">
      <t>ロッカク</t>
    </rPh>
    <rPh sb="2" eb="4">
      <t>シチュウ</t>
    </rPh>
    <phoneticPr fontId="7"/>
  </si>
  <si>
    <t>XY軸クロスローラ</t>
    <rPh sb="2" eb="3">
      <t>ジク</t>
    </rPh>
    <phoneticPr fontId="7"/>
  </si>
  <si>
    <t>異形継ぎ手</t>
    <rPh sb="0" eb="2">
      <t>イケイ</t>
    </rPh>
    <rPh sb="2" eb="3">
      <t>ツ</t>
    </rPh>
    <rPh sb="4" eb="5">
      <t>テ</t>
    </rPh>
    <phoneticPr fontId="7"/>
  </si>
  <si>
    <t>サーミスタ</t>
    <phoneticPr fontId="7"/>
  </si>
  <si>
    <t>ケーブルグラウンド</t>
    <phoneticPr fontId="7"/>
  </si>
  <si>
    <t>アジャスター</t>
    <phoneticPr fontId="7"/>
  </si>
  <si>
    <t>六角支柱</t>
    <rPh sb="0" eb="2">
      <t>ロッカク</t>
    </rPh>
    <rPh sb="2" eb="4">
      <t>シチュウ</t>
    </rPh>
    <phoneticPr fontId="7"/>
  </si>
  <si>
    <t>温度センサ</t>
    <rPh sb="0" eb="2">
      <t>オンド</t>
    </rPh>
    <phoneticPr fontId="7"/>
  </si>
  <si>
    <t>ヒーター</t>
    <phoneticPr fontId="7"/>
  </si>
  <si>
    <t>ローレットノブ</t>
    <phoneticPr fontId="7"/>
  </si>
  <si>
    <t>カップリング</t>
    <phoneticPr fontId="7"/>
  </si>
  <si>
    <t>六角穴止めネジ</t>
    <rPh sb="0" eb="2">
      <t>ロッカク</t>
    </rPh>
    <rPh sb="2" eb="3">
      <t>アナ</t>
    </rPh>
    <rPh sb="3" eb="4">
      <t>ト</t>
    </rPh>
    <phoneticPr fontId="7"/>
  </si>
  <si>
    <t>六角ネジ</t>
    <rPh sb="0" eb="2">
      <t>ロッカク</t>
    </rPh>
    <phoneticPr fontId="7"/>
  </si>
  <si>
    <t>治具</t>
    <rPh sb="0" eb="2">
      <t>ジグ</t>
    </rPh>
    <phoneticPr fontId="7"/>
  </si>
  <si>
    <t>Dsub37ピンコネクタケーブル　片側バラ</t>
    <rPh sb="17" eb="19">
      <t>カタガワ</t>
    </rPh>
    <phoneticPr fontId="7"/>
  </si>
  <si>
    <t>APMTS-T3-T2</t>
    <phoneticPr fontId="7"/>
  </si>
  <si>
    <t>SSHH-SUS-M4-5</t>
    <phoneticPr fontId="1"/>
  </si>
  <si>
    <t>止めネジ</t>
    <rPh sb="0" eb="1">
      <t>ト</t>
    </rPh>
    <phoneticPr fontId="1"/>
  </si>
  <si>
    <t>3P-W-3</t>
    <phoneticPr fontId="1"/>
  </si>
  <si>
    <t>電源ケーブル</t>
    <rPh sb="0" eb="2">
      <t>デンゲン</t>
    </rPh>
    <phoneticPr fontId="1"/>
  </si>
  <si>
    <t>SCB3-20</t>
    <phoneticPr fontId="7"/>
  </si>
  <si>
    <t>BLM230-A2</t>
    <phoneticPr fontId="7"/>
  </si>
  <si>
    <t>BMUD30-A2　</t>
    <phoneticPr fontId="7"/>
  </si>
  <si>
    <t>ID-200N　特424</t>
    <rPh sb="8" eb="9">
      <t>トク</t>
    </rPh>
    <phoneticPr fontId="7"/>
  </si>
  <si>
    <t>図番：JR-AS50-734-20</t>
    <rPh sb="0" eb="2">
      <t>ズバン</t>
    </rPh>
    <phoneticPr fontId="7"/>
  </si>
  <si>
    <t>図番：JR-AS50-734-21</t>
    <rPh sb="0" eb="2">
      <t>ズバン</t>
    </rPh>
    <phoneticPr fontId="7"/>
  </si>
  <si>
    <t>図番：JR-AS50-734-22</t>
    <rPh sb="0" eb="2">
      <t>ズバン</t>
    </rPh>
    <phoneticPr fontId="7"/>
  </si>
  <si>
    <t>図番：JR-AS50-734-23</t>
    <rPh sb="0" eb="2">
      <t>ズバン</t>
    </rPh>
    <phoneticPr fontId="7"/>
  </si>
  <si>
    <t>図番：JR-AS50-734-24</t>
    <rPh sb="0" eb="2">
      <t>ズバン</t>
    </rPh>
    <phoneticPr fontId="7"/>
  </si>
  <si>
    <t>図番：JR-AS50-734-25</t>
    <rPh sb="0" eb="2">
      <t>ズバン</t>
    </rPh>
    <phoneticPr fontId="7"/>
  </si>
  <si>
    <t>FSMAS-AM-T3.0-A20-B50-L80-H15-F50-N4-V60-S40-NA10</t>
    <phoneticPr fontId="1"/>
  </si>
  <si>
    <t>Ｌ型板金</t>
    <phoneticPr fontId="1"/>
  </si>
  <si>
    <t>NSDJ-PT-SB-37-2.5</t>
    <phoneticPr fontId="7"/>
  </si>
  <si>
    <t>株式会社啓愛社</t>
    <rPh sb="0" eb="4">
      <t>カブシキカイシャ</t>
    </rPh>
    <rPh sb="4" eb="7">
      <t>ケイアイシャ</t>
    </rPh>
    <phoneticPr fontId="1"/>
  </si>
  <si>
    <t>前回、組立時不足品 M4止めネジ 5ｍｍ</t>
    <rPh sb="0" eb="2">
      <t>ゼンカイ</t>
    </rPh>
    <rPh sb="3" eb="5">
      <t>クミタテ</t>
    </rPh>
    <rPh sb="5" eb="6">
      <t>ジ</t>
    </rPh>
    <rPh sb="6" eb="9">
      <t>フソクヒン</t>
    </rPh>
    <rPh sb="12" eb="13">
      <t>ト</t>
    </rPh>
    <phoneticPr fontId="1"/>
  </si>
  <si>
    <t>前回、組立時不足品　ヒーター用100V電源ケーブル</t>
    <rPh sb="0" eb="2">
      <t>ゼンカイ</t>
    </rPh>
    <rPh sb="3" eb="5">
      <t>クミタテ</t>
    </rPh>
    <rPh sb="5" eb="6">
      <t>ジ</t>
    </rPh>
    <rPh sb="6" eb="9">
      <t>フソクヒン</t>
    </rPh>
    <rPh sb="14" eb="15">
      <t>ヨウ</t>
    </rPh>
    <rPh sb="19" eb="21">
      <t>デンゲン</t>
    </rPh>
    <phoneticPr fontId="1"/>
  </si>
  <si>
    <t>治具</t>
    <rPh sb="0" eb="2">
      <t>ジグ</t>
    </rPh>
    <phoneticPr fontId="1"/>
  </si>
  <si>
    <t>共用ソケット</t>
    <rPh sb="0" eb="2">
      <t>キョウヨウ</t>
    </rPh>
    <phoneticPr fontId="1"/>
  </si>
  <si>
    <t>MISUMI</t>
    <phoneticPr fontId="7"/>
  </si>
  <si>
    <t>MY2N-D2 DC24</t>
  </si>
  <si>
    <t>DB-15SP</t>
  </si>
  <si>
    <t>Dsub15ピン　オス</t>
    <phoneticPr fontId="7"/>
  </si>
  <si>
    <t>DB-15SS</t>
  </si>
  <si>
    <t>Dsub15ピン　メス</t>
    <phoneticPr fontId="7"/>
  </si>
  <si>
    <t>DA-C8-J10-F1-1R</t>
  </si>
  <si>
    <t>Dsubフード</t>
    <phoneticPr fontId="1"/>
  </si>
  <si>
    <t>MVSHM-3N02002-3EZ-3GCBA</t>
  </si>
  <si>
    <t>■SETA0160-Z01</t>
    <phoneticPr fontId="1"/>
  </si>
  <si>
    <t>TKR-TWE1</t>
  </si>
  <si>
    <t>ｱｸｾｻﾘｰ ﾌﾟﾘﾝﾄｷﾊﾞﾝTKRｼﾘｰｽﾞ</t>
  </si>
  <si>
    <t>蛇の目-日本省力コントローラー間 2ヘッドリレー電気制御部品</t>
    <rPh sb="0" eb="1">
      <t>ジャ</t>
    </rPh>
    <rPh sb="2" eb="3">
      <t>メ</t>
    </rPh>
    <rPh sb="4" eb="6">
      <t>ニホン</t>
    </rPh>
    <rPh sb="6" eb="8">
      <t>ショウリョク</t>
    </rPh>
    <rPh sb="15" eb="16">
      <t>アイダ</t>
    </rPh>
    <rPh sb="24" eb="26">
      <t>デンキ</t>
    </rPh>
    <rPh sb="26" eb="28">
      <t>セイギョ</t>
    </rPh>
    <rPh sb="28" eb="30">
      <t>ブヒン</t>
    </rPh>
    <phoneticPr fontId="1"/>
  </si>
  <si>
    <t>蛇の目-日本省力コントローラー間 3ヘッドリレー電気制御部品</t>
    <rPh sb="0" eb="1">
      <t>ジャ</t>
    </rPh>
    <rPh sb="2" eb="3">
      <t>メ</t>
    </rPh>
    <rPh sb="4" eb="6">
      <t>ニホン</t>
    </rPh>
    <rPh sb="6" eb="8">
      <t>ショウリョク</t>
    </rPh>
    <rPh sb="15" eb="16">
      <t>アイダ</t>
    </rPh>
    <rPh sb="24" eb="26">
      <t>デンキ</t>
    </rPh>
    <rPh sb="26" eb="28">
      <t>セイギョ</t>
    </rPh>
    <rPh sb="28" eb="30">
      <t>ブヒン</t>
    </rPh>
    <phoneticPr fontId="1"/>
  </si>
  <si>
    <t>蛇の目-日本省力コントローラー間 4ヘッドリレー電気制御部品</t>
    <rPh sb="0" eb="1">
      <t>ジャ</t>
    </rPh>
    <rPh sb="2" eb="3">
      <t>メ</t>
    </rPh>
    <rPh sb="4" eb="6">
      <t>ニホン</t>
    </rPh>
    <rPh sb="6" eb="8">
      <t>ショウリョク</t>
    </rPh>
    <rPh sb="15" eb="16">
      <t>アイダ</t>
    </rPh>
    <rPh sb="24" eb="26">
      <t>デンキ</t>
    </rPh>
    <rPh sb="26" eb="28">
      <t>セイギョ</t>
    </rPh>
    <rPh sb="28" eb="30">
      <t>ブヒン</t>
    </rPh>
    <phoneticPr fontId="1"/>
  </si>
  <si>
    <t>蛇の目-日本省力コントローラー間 5ヘッドリレー電気制御部品</t>
    <rPh sb="0" eb="1">
      <t>ジャ</t>
    </rPh>
    <rPh sb="2" eb="3">
      <t>メ</t>
    </rPh>
    <rPh sb="4" eb="6">
      <t>ニホン</t>
    </rPh>
    <rPh sb="6" eb="8">
      <t>ショウリョク</t>
    </rPh>
    <rPh sb="15" eb="16">
      <t>アイダ</t>
    </rPh>
    <rPh sb="24" eb="26">
      <t>デンキ</t>
    </rPh>
    <rPh sb="26" eb="28">
      <t>セイギョ</t>
    </rPh>
    <rPh sb="28" eb="30">
      <t>ブヒン</t>
    </rPh>
    <phoneticPr fontId="1"/>
  </si>
  <si>
    <t>蛇の目-日本省力コントローラー間 6ヘッドリレー電気制御部品</t>
    <rPh sb="0" eb="1">
      <t>ジャ</t>
    </rPh>
    <rPh sb="2" eb="3">
      <t>メ</t>
    </rPh>
    <rPh sb="4" eb="6">
      <t>ニホン</t>
    </rPh>
    <rPh sb="6" eb="8">
      <t>ショウリョク</t>
    </rPh>
    <rPh sb="15" eb="16">
      <t>アイダ</t>
    </rPh>
    <rPh sb="24" eb="26">
      <t>デンキ</t>
    </rPh>
    <rPh sb="26" eb="28">
      <t>セイギョ</t>
    </rPh>
    <rPh sb="28" eb="30">
      <t>ブヒン</t>
    </rPh>
    <phoneticPr fontId="1"/>
  </si>
  <si>
    <t>蛇の目-日本省力コントローラー間 7ヘッドリレー電気制御部品</t>
    <rPh sb="0" eb="1">
      <t>ジャ</t>
    </rPh>
    <rPh sb="2" eb="3">
      <t>メ</t>
    </rPh>
    <rPh sb="4" eb="6">
      <t>ニホン</t>
    </rPh>
    <rPh sb="6" eb="8">
      <t>ショウリョク</t>
    </rPh>
    <rPh sb="15" eb="16">
      <t>アイダ</t>
    </rPh>
    <rPh sb="24" eb="26">
      <t>デンキ</t>
    </rPh>
    <rPh sb="26" eb="28">
      <t>セイギョ</t>
    </rPh>
    <rPh sb="28" eb="30">
      <t>ブヒン</t>
    </rPh>
    <phoneticPr fontId="1"/>
  </si>
  <si>
    <t>蛇の目-日本省力コントローラー間 8ヘッドリレー電気制御部品</t>
    <rPh sb="0" eb="1">
      <t>ジャ</t>
    </rPh>
    <rPh sb="2" eb="3">
      <t>メ</t>
    </rPh>
    <rPh sb="4" eb="6">
      <t>ニホン</t>
    </rPh>
    <rPh sb="6" eb="8">
      <t>ショウリョク</t>
    </rPh>
    <rPh sb="15" eb="16">
      <t>アイダ</t>
    </rPh>
    <rPh sb="24" eb="26">
      <t>デンキ</t>
    </rPh>
    <rPh sb="26" eb="28">
      <t>セイギョ</t>
    </rPh>
    <rPh sb="28" eb="30">
      <t>ブヒン</t>
    </rPh>
    <phoneticPr fontId="1"/>
  </si>
  <si>
    <t>蛇の目</t>
    <rPh sb="0" eb="1">
      <t>ジャ</t>
    </rPh>
    <rPh sb="2" eb="3">
      <t>メ</t>
    </rPh>
    <phoneticPr fontId="1"/>
  </si>
  <si>
    <t>JR3303N</t>
    <phoneticPr fontId="1"/>
  </si>
  <si>
    <t>3軸卓上ロボット</t>
    <rPh sb="1" eb="2">
      <t>ジク</t>
    </rPh>
    <rPh sb="2" eb="4">
      <t>タクジョウ</t>
    </rPh>
    <phoneticPr fontId="1"/>
  </si>
  <si>
    <t>在庫品</t>
    <rPh sb="0" eb="3">
      <t>ザイコヒン</t>
    </rPh>
    <phoneticPr fontId="1"/>
  </si>
  <si>
    <r>
      <t>図番：JR-AS50-734-26➡</t>
    </r>
    <r>
      <rPr>
        <b/>
        <sz val="11"/>
        <color rgb="FFFF0000"/>
        <rFont val="ＭＳ Ｐゴシック"/>
        <family val="3"/>
        <charset val="128"/>
        <scheme val="minor"/>
      </rPr>
      <t>JR-AS50-7</t>
    </r>
    <r>
      <rPr>
        <b/>
        <sz val="11"/>
        <color rgb="FF0070C0"/>
        <rFont val="ＭＳ Ｐゴシック"/>
        <family val="3"/>
        <charset val="128"/>
        <scheme val="minor"/>
      </rPr>
      <t>2</t>
    </r>
    <r>
      <rPr>
        <b/>
        <sz val="11"/>
        <color rgb="FFFF0000"/>
        <rFont val="ＭＳ Ｐゴシック"/>
        <family val="3"/>
        <charset val="128"/>
        <scheme val="minor"/>
      </rPr>
      <t>4-26</t>
    </r>
    <rPh sb="0" eb="2">
      <t>ズバン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</si>
</sst>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1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sz val="11"/>
      <color rgb="FF333333"/>
      <name val="メイリオ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4"/>
      <color rgb="FFFF0000"/>
      <name val="ＭＳ Ｐゴシック"/>
      <family val="3"/>
      <charset val="128"/>
      <scheme val="minor"/>
    </font>
    <font>
      <b/>
      <u/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180" fontId="0" fillId="3" borderId="1" xfId="0" applyNumberFormat="1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38" fontId="12" fillId="3" borderId="0" xfId="0" applyNumberFormat="1" applyFont="1" applyFill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38" fontId="10" fillId="0" borderId="0" xfId="0" applyNumberFormat="1" applyFont="1">
      <alignment vertical="center"/>
    </xf>
    <xf numFmtId="38" fontId="12" fillId="0" borderId="0" xfId="0" applyNumberFormat="1" applyFont="1">
      <alignment vertical="center"/>
    </xf>
    <xf numFmtId="0" fontId="1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0" fillId="0" borderId="4" xfId="0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3" fontId="0" fillId="0" borderId="1" xfId="0" applyNumberFormat="1" applyBorder="1">
      <alignment vertical="center"/>
    </xf>
    <xf numFmtId="3" fontId="0" fillId="0" borderId="2" xfId="0" applyNumberFormat="1" applyBorder="1">
      <alignment vertical="center"/>
    </xf>
    <xf numFmtId="176" fontId="5" fillId="3" borderId="1" xfId="0" applyNumberFormat="1" applyFont="1" applyFill="1" applyBorder="1">
      <alignment vertical="center"/>
    </xf>
    <xf numFmtId="180" fontId="5" fillId="3" borderId="1" xfId="0" applyNumberFormat="1" applyFont="1" applyFill="1" applyBorder="1">
      <alignment vertical="center"/>
    </xf>
    <xf numFmtId="3" fontId="0" fillId="3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8"/>
  <sheetViews>
    <sheetView tabSelected="1" zoomScale="70" zoomScaleNormal="70" workbookViewId="0">
      <pane xSplit="8" topLeftCell="L1" activePane="topRight" state="frozen"/>
      <selection pane="topRight" activeCell="Q11" sqref="Q11:Q13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4" width="19.25" bestFit="1" customWidth="1"/>
    <col min="5" max="5" width="56" customWidth="1"/>
    <col min="6" max="6" width="6.25" customWidth="1"/>
    <col min="7" max="8" width="20.5" customWidth="1"/>
    <col min="9" max="9" width="16" style="1" customWidth="1"/>
    <col min="10" max="10" width="35.25" bestFit="1" customWidth="1"/>
    <col min="11" max="11" width="62.125" bestFit="1" customWidth="1"/>
    <col min="12" max="12" width="72.75" style="4" bestFit="1" customWidth="1"/>
    <col min="13" max="13" width="13.75" style="5" customWidth="1"/>
    <col min="14" max="14" width="6.875" customWidth="1"/>
    <col min="15" max="15" width="17.25" style="1" customWidth="1"/>
    <col min="16" max="16" width="14.5" style="6" customWidth="1"/>
    <col min="17" max="17" width="14.25" style="7" customWidth="1"/>
  </cols>
  <sheetData>
    <row r="2" spans="2:17" ht="20.100000000000001" customHeight="1" x14ac:dyDescent="0.15">
      <c r="B2" s="57" t="s">
        <v>11</v>
      </c>
      <c r="C2" s="57"/>
      <c r="D2" s="57"/>
      <c r="E2" s="2" t="s">
        <v>115</v>
      </c>
      <c r="G2" s="40"/>
      <c r="H2" s="40"/>
      <c r="I2" s="35" t="s">
        <v>15</v>
      </c>
      <c r="J2" s="3">
        <f>SUM(H:H)</f>
        <v>4188009</v>
      </c>
    </row>
    <row r="3" spans="2:17" ht="20.100000000000001" customHeight="1" x14ac:dyDescent="0.15">
      <c r="B3" s="57" t="s">
        <v>10</v>
      </c>
      <c r="C3" s="57"/>
      <c r="D3" s="57"/>
      <c r="E3" s="8" t="s">
        <v>22</v>
      </c>
    </row>
    <row r="4" spans="2:17" ht="20.100000000000001" customHeight="1" x14ac:dyDescent="0.15">
      <c r="B4" s="57" t="s">
        <v>12</v>
      </c>
      <c r="C4" s="57"/>
      <c r="D4" s="57"/>
      <c r="E4" s="8">
        <v>208212</v>
      </c>
      <c r="I4" s="9"/>
      <c r="J4" s="9"/>
      <c r="L4" s="28"/>
    </row>
    <row r="5" spans="2:17" ht="20.100000000000001" customHeight="1" x14ac:dyDescent="0.15">
      <c r="B5" s="57" t="s">
        <v>13</v>
      </c>
      <c r="C5" s="57"/>
      <c r="D5" s="57"/>
      <c r="E5" s="10">
        <v>45210</v>
      </c>
      <c r="G5" s="4"/>
      <c r="J5" s="9"/>
      <c r="L5" s="33"/>
    </row>
    <row r="6" spans="2:17" ht="20.100000000000001" customHeight="1" x14ac:dyDescent="0.15">
      <c r="B6" s="57" t="s">
        <v>14</v>
      </c>
      <c r="C6" s="57"/>
      <c r="D6" s="57"/>
      <c r="E6" s="10">
        <v>45271</v>
      </c>
      <c r="J6" s="32"/>
      <c r="L6" s="34"/>
    </row>
    <row r="7" spans="2:17" ht="20.100000000000001" customHeight="1" x14ac:dyDescent="0.15">
      <c r="B7" s="11"/>
      <c r="C7" s="11"/>
      <c r="D7" s="11"/>
      <c r="E7" s="26"/>
      <c r="J7" s="9"/>
      <c r="L7" s="29"/>
      <c r="Q7" s="30"/>
    </row>
    <row r="9" spans="2:17" s="4" customFormat="1" ht="19.7" customHeight="1" x14ac:dyDescent="0.15">
      <c r="B9" s="12" t="s">
        <v>4</v>
      </c>
      <c r="C9" s="12" t="s">
        <v>9</v>
      </c>
      <c r="D9" s="12" t="s">
        <v>5</v>
      </c>
      <c r="E9" s="13" t="s">
        <v>8</v>
      </c>
      <c r="F9" s="13" t="s">
        <v>0</v>
      </c>
      <c r="G9" s="13" t="s">
        <v>1</v>
      </c>
      <c r="H9" s="14" t="s">
        <v>2</v>
      </c>
      <c r="I9" s="14" t="s">
        <v>18</v>
      </c>
      <c r="J9" s="13" t="s">
        <v>3</v>
      </c>
      <c r="K9" s="13" t="s">
        <v>17</v>
      </c>
      <c r="L9" s="13" t="s">
        <v>16</v>
      </c>
      <c r="M9" s="15" t="s">
        <v>6</v>
      </c>
      <c r="N9" s="12" t="s">
        <v>19</v>
      </c>
      <c r="O9" s="13" t="s">
        <v>7</v>
      </c>
      <c r="P9" s="15" t="s">
        <v>20</v>
      </c>
      <c r="Q9" s="16" t="s">
        <v>21</v>
      </c>
    </row>
    <row r="10" spans="2:17" s="4" customFormat="1" ht="19.7" customHeight="1" x14ac:dyDescent="0.15">
      <c r="B10" s="12">
        <v>1</v>
      </c>
      <c r="C10" s="46" t="s">
        <v>139</v>
      </c>
      <c r="D10" s="46" t="s">
        <v>139</v>
      </c>
      <c r="E10" s="41" t="s">
        <v>140</v>
      </c>
      <c r="F10" s="19">
        <v>1</v>
      </c>
      <c r="G10" s="47">
        <v>593000</v>
      </c>
      <c r="H10" s="48">
        <f>G10*F10</f>
        <v>593000</v>
      </c>
      <c r="I10" s="14"/>
      <c r="J10" s="41" t="s">
        <v>141</v>
      </c>
      <c r="K10" s="13"/>
      <c r="L10" s="13" t="s">
        <v>142</v>
      </c>
      <c r="M10" s="16"/>
      <c r="N10" s="12"/>
      <c r="O10" s="13"/>
      <c r="P10" s="15"/>
      <c r="Q10" s="16"/>
    </row>
    <row r="11" spans="2:17" s="4" customFormat="1" ht="19.7" customHeight="1" x14ac:dyDescent="0.15">
      <c r="B11" s="12">
        <v>2</v>
      </c>
      <c r="C11" s="23" t="s">
        <v>23</v>
      </c>
      <c r="D11" s="23" t="s">
        <v>23</v>
      </c>
      <c r="E11" s="18" t="s">
        <v>33</v>
      </c>
      <c r="F11" s="18">
        <v>4</v>
      </c>
      <c r="G11" s="24">
        <v>78160</v>
      </c>
      <c r="H11" s="24">
        <f t="shared" ref="H11:H43" si="0">G11*F11</f>
        <v>312640</v>
      </c>
      <c r="I11" s="14"/>
      <c r="J11" s="23" t="s">
        <v>68</v>
      </c>
      <c r="K11" s="21"/>
      <c r="L11" s="21"/>
      <c r="M11" s="15">
        <v>45156</v>
      </c>
      <c r="N11" s="12"/>
      <c r="O11" s="20">
        <v>45210</v>
      </c>
      <c r="P11" s="16"/>
      <c r="Q11" s="22">
        <v>45243</v>
      </c>
    </row>
    <row r="12" spans="2:17" s="4" customFormat="1" ht="19.7" customHeight="1" x14ac:dyDescent="0.15">
      <c r="B12" s="12">
        <v>2</v>
      </c>
      <c r="C12" s="23" t="s">
        <v>24</v>
      </c>
      <c r="D12" s="23" t="s">
        <v>24</v>
      </c>
      <c r="E12" s="18" t="s">
        <v>105</v>
      </c>
      <c r="F12" s="18">
        <v>2</v>
      </c>
      <c r="G12" s="24">
        <v>1254400</v>
      </c>
      <c r="H12" s="24">
        <f t="shared" si="0"/>
        <v>2508800</v>
      </c>
      <c r="I12" s="14"/>
      <c r="J12" s="23" t="s">
        <v>69</v>
      </c>
      <c r="K12" s="13"/>
      <c r="L12" s="21"/>
      <c r="M12" s="15">
        <v>45156</v>
      </c>
      <c r="N12" s="12"/>
      <c r="O12" s="20">
        <v>45210</v>
      </c>
      <c r="P12" s="16"/>
      <c r="Q12" s="22">
        <v>45243</v>
      </c>
    </row>
    <row r="13" spans="2:17" s="4" customFormat="1" ht="19.7" customHeight="1" x14ac:dyDescent="0.15">
      <c r="B13" s="12">
        <v>2</v>
      </c>
      <c r="C13" s="23" t="s">
        <v>24</v>
      </c>
      <c r="D13" s="23" t="s">
        <v>24</v>
      </c>
      <c r="E13" s="18" t="s">
        <v>34</v>
      </c>
      <c r="F13" s="18">
        <v>4</v>
      </c>
      <c r="G13" s="24">
        <v>36480</v>
      </c>
      <c r="H13" s="24">
        <f t="shared" si="0"/>
        <v>145920</v>
      </c>
      <c r="I13" s="14"/>
      <c r="J13" s="23" t="s">
        <v>70</v>
      </c>
      <c r="K13" s="13"/>
      <c r="L13" s="21"/>
      <c r="M13" s="15">
        <v>45156</v>
      </c>
      <c r="N13" s="12"/>
      <c r="O13" s="20">
        <v>45210</v>
      </c>
      <c r="P13" s="16"/>
      <c r="Q13" s="22">
        <v>45243</v>
      </c>
    </row>
    <row r="14" spans="2:17" s="56" customFormat="1" ht="19.7" customHeight="1" x14ac:dyDescent="0.15">
      <c r="B14" s="51">
        <v>3</v>
      </c>
      <c r="C14" s="23" t="s">
        <v>26</v>
      </c>
      <c r="D14" s="23" t="s">
        <v>27</v>
      </c>
      <c r="E14" s="23" t="s">
        <v>35</v>
      </c>
      <c r="F14" s="23">
        <v>2</v>
      </c>
      <c r="G14" s="24">
        <v>250</v>
      </c>
      <c r="H14" s="24">
        <f t="shared" si="0"/>
        <v>500</v>
      </c>
      <c r="I14" s="52"/>
      <c r="J14" s="23" t="s">
        <v>71</v>
      </c>
      <c r="K14" s="51"/>
      <c r="L14" s="53"/>
      <c r="M14" s="54">
        <v>45154</v>
      </c>
      <c r="N14" s="51"/>
      <c r="O14" s="55">
        <v>45210</v>
      </c>
      <c r="P14" s="22"/>
      <c r="Q14" s="22">
        <v>45183</v>
      </c>
    </row>
    <row r="15" spans="2:17" s="56" customFormat="1" ht="19.7" customHeight="1" x14ac:dyDescent="0.15">
      <c r="B15" s="51">
        <v>3</v>
      </c>
      <c r="C15" s="23" t="s">
        <v>26</v>
      </c>
      <c r="D15" s="23" t="s">
        <v>27</v>
      </c>
      <c r="E15" s="23" t="s">
        <v>36</v>
      </c>
      <c r="F15" s="23">
        <v>2</v>
      </c>
      <c r="G15" s="24">
        <v>730</v>
      </c>
      <c r="H15" s="24">
        <f t="shared" si="0"/>
        <v>1460</v>
      </c>
      <c r="I15" s="52"/>
      <c r="J15" s="23" t="s">
        <v>72</v>
      </c>
      <c r="K15" s="51"/>
      <c r="L15" s="53"/>
      <c r="M15" s="54">
        <v>45154</v>
      </c>
      <c r="N15" s="51"/>
      <c r="O15" s="55">
        <v>45210</v>
      </c>
      <c r="P15" s="22"/>
      <c r="Q15" s="22">
        <v>45183</v>
      </c>
    </row>
    <row r="16" spans="2:17" s="56" customFormat="1" ht="19.7" customHeight="1" x14ac:dyDescent="0.15">
      <c r="B16" s="51">
        <v>3</v>
      </c>
      <c r="C16" s="23" t="s">
        <v>28</v>
      </c>
      <c r="D16" s="23" t="s">
        <v>25</v>
      </c>
      <c r="E16" s="23" t="s">
        <v>37</v>
      </c>
      <c r="F16" s="23">
        <v>2</v>
      </c>
      <c r="G16" s="49">
        <v>10840</v>
      </c>
      <c r="H16" s="49">
        <f t="shared" si="0"/>
        <v>21680</v>
      </c>
      <c r="I16" s="52"/>
      <c r="J16" s="23" t="s">
        <v>73</v>
      </c>
      <c r="K16" s="51"/>
      <c r="L16" s="53"/>
      <c r="M16" s="54">
        <v>45154</v>
      </c>
      <c r="N16" s="51"/>
      <c r="O16" s="55">
        <v>45210</v>
      </c>
      <c r="P16" s="22"/>
      <c r="Q16" s="22">
        <v>45183</v>
      </c>
    </row>
    <row r="17" spans="2:17" s="4" customFormat="1" ht="19.7" customHeight="1" x14ac:dyDescent="0.15">
      <c r="B17" s="12">
        <v>3</v>
      </c>
      <c r="C17" s="23" t="s">
        <v>29</v>
      </c>
      <c r="D17" s="23" t="s">
        <v>30</v>
      </c>
      <c r="E17" s="18" t="s">
        <v>103</v>
      </c>
      <c r="F17" s="18">
        <v>2</v>
      </c>
      <c r="G17" s="49">
        <v>8960</v>
      </c>
      <c r="H17" s="49">
        <f t="shared" si="0"/>
        <v>17920</v>
      </c>
      <c r="I17" s="17"/>
      <c r="J17" s="23" t="s">
        <v>74</v>
      </c>
      <c r="K17" s="21"/>
      <c r="L17" s="21"/>
      <c r="M17" s="15">
        <v>45154</v>
      </c>
      <c r="N17" s="12"/>
      <c r="O17" s="20">
        <v>45210</v>
      </c>
      <c r="P17" s="16">
        <v>45210</v>
      </c>
      <c r="Q17" s="16">
        <v>45210</v>
      </c>
    </row>
    <row r="18" spans="2:17" s="4" customFormat="1" ht="19.7" customHeight="1" x14ac:dyDescent="0.15">
      <c r="B18" s="12">
        <v>3</v>
      </c>
      <c r="C18" s="23" t="s">
        <v>29</v>
      </c>
      <c r="D18" s="23" t="s">
        <v>30</v>
      </c>
      <c r="E18" s="18" t="s">
        <v>104</v>
      </c>
      <c r="F18" s="18">
        <v>2</v>
      </c>
      <c r="G18" s="50">
        <v>11760</v>
      </c>
      <c r="H18" s="50">
        <f t="shared" si="0"/>
        <v>23520</v>
      </c>
      <c r="I18" s="17"/>
      <c r="J18" s="23" t="s">
        <v>75</v>
      </c>
      <c r="K18" s="21"/>
      <c r="L18" s="21"/>
      <c r="M18" s="15">
        <v>45154</v>
      </c>
      <c r="N18" s="12"/>
      <c r="O18" s="20">
        <v>45210</v>
      </c>
      <c r="P18" s="16">
        <v>45210</v>
      </c>
      <c r="Q18" s="16">
        <v>45210</v>
      </c>
    </row>
    <row r="19" spans="2:17" s="4" customFormat="1" ht="19.7" customHeight="1" x14ac:dyDescent="0.15">
      <c r="B19" s="12">
        <v>3</v>
      </c>
      <c r="C19" s="23" t="s">
        <v>31</v>
      </c>
      <c r="D19" s="23" t="s">
        <v>31</v>
      </c>
      <c r="E19" s="18" t="s">
        <v>114</v>
      </c>
      <c r="F19" s="38">
        <v>2</v>
      </c>
      <c r="G19" s="25">
        <v>5295</v>
      </c>
      <c r="H19" s="24">
        <v>4630</v>
      </c>
      <c r="I19" s="17"/>
      <c r="J19" s="23" t="s">
        <v>96</v>
      </c>
      <c r="K19" s="21"/>
      <c r="L19" s="21"/>
      <c r="M19" s="15">
        <v>45154</v>
      </c>
      <c r="N19" s="12"/>
      <c r="O19" s="20"/>
      <c r="P19" s="16">
        <v>45184</v>
      </c>
      <c r="Q19" s="16">
        <v>45184</v>
      </c>
    </row>
    <row r="20" spans="2:17" s="4" customFormat="1" ht="19.7" customHeight="1" x14ac:dyDescent="0.15">
      <c r="B20" s="12">
        <v>3</v>
      </c>
      <c r="C20" s="23" t="s">
        <v>31</v>
      </c>
      <c r="D20" s="23" t="s">
        <v>31</v>
      </c>
      <c r="E20" s="18" t="s">
        <v>38</v>
      </c>
      <c r="F20" s="18">
        <v>2</v>
      </c>
      <c r="G20" s="24">
        <v>2014</v>
      </c>
      <c r="H20" s="24">
        <f t="shared" si="0"/>
        <v>4028</v>
      </c>
      <c r="I20" s="19"/>
      <c r="J20" s="23" t="s">
        <v>76</v>
      </c>
      <c r="K20" s="12"/>
      <c r="L20" s="21"/>
      <c r="M20" s="15">
        <v>45154</v>
      </c>
      <c r="N20" s="12"/>
      <c r="O20" s="20"/>
      <c r="P20" s="16">
        <v>45184</v>
      </c>
      <c r="Q20" s="16">
        <v>45184</v>
      </c>
    </row>
    <row r="21" spans="2:17" s="4" customFormat="1" ht="19.7" customHeight="1" x14ac:dyDescent="0.15">
      <c r="B21" s="12">
        <v>3</v>
      </c>
      <c r="C21" s="23" t="s">
        <v>31</v>
      </c>
      <c r="D21" s="23" t="s">
        <v>31</v>
      </c>
      <c r="E21" s="18" t="s">
        <v>39</v>
      </c>
      <c r="F21" s="18">
        <v>4</v>
      </c>
      <c r="G21" s="24">
        <v>1680</v>
      </c>
      <c r="H21" s="24">
        <f t="shared" si="0"/>
        <v>6720</v>
      </c>
      <c r="I21" s="19"/>
      <c r="J21" s="23" t="s">
        <v>77</v>
      </c>
      <c r="K21" s="12"/>
      <c r="L21" s="21"/>
      <c r="M21" s="15">
        <v>45154</v>
      </c>
      <c r="N21" s="12"/>
      <c r="O21" s="20"/>
      <c r="P21" s="16">
        <v>45184</v>
      </c>
      <c r="Q21" s="16">
        <v>45184</v>
      </c>
    </row>
    <row r="22" spans="2:17" s="4" customFormat="1" ht="19.7" customHeight="1" x14ac:dyDescent="0.15">
      <c r="B22" s="12">
        <v>3</v>
      </c>
      <c r="C22" s="23" t="s">
        <v>31</v>
      </c>
      <c r="D22" s="23" t="s">
        <v>31</v>
      </c>
      <c r="E22" t="s">
        <v>40</v>
      </c>
      <c r="F22" s="18">
        <v>2</v>
      </c>
      <c r="G22" s="24">
        <v>3700</v>
      </c>
      <c r="H22" s="24">
        <f t="shared" si="0"/>
        <v>7400</v>
      </c>
      <c r="I22" s="19"/>
      <c r="J22" s="23" t="s">
        <v>78</v>
      </c>
      <c r="K22" s="12"/>
      <c r="L22" s="21"/>
      <c r="M22" s="15">
        <v>45154</v>
      </c>
      <c r="N22" s="12"/>
      <c r="O22" s="20"/>
      <c r="P22" s="16">
        <v>45184</v>
      </c>
      <c r="Q22" s="16">
        <v>45184</v>
      </c>
    </row>
    <row r="23" spans="2:17" s="4" customFormat="1" ht="19.7" customHeight="1" x14ac:dyDescent="0.15">
      <c r="B23" s="12">
        <v>3</v>
      </c>
      <c r="C23" s="23" t="s">
        <v>31</v>
      </c>
      <c r="D23" s="23" t="s">
        <v>31</v>
      </c>
      <c r="E23" s="18" t="s">
        <v>41</v>
      </c>
      <c r="F23" s="18">
        <v>2</v>
      </c>
      <c r="G23" s="24">
        <v>1256</v>
      </c>
      <c r="H23" s="24">
        <f t="shared" si="0"/>
        <v>2512</v>
      </c>
      <c r="I23" s="17"/>
      <c r="J23" s="23" t="s">
        <v>79</v>
      </c>
      <c r="K23" s="12"/>
      <c r="L23" s="21"/>
      <c r="M23" s="15">
        <v>45154</v>
      </c>
      <c r="N23" s="12"/>
      <c r="O23" s="20"/>
      <c r="P23" s="16">
        <v>45184</v>
      </c>
      <c r="Q23" s="16">
        <v>45184</v>
      </c>
    </row>
    <row r="24" spans="2:17" s="4" customFormat="1" ht="19.7" customHeight="1" x14ac:dyDescent="0.15">
      <c r="B24" s="12">
        <v>3</v>
      </c>
      <c r="C24" s="23" t="s">
        <v>31</v>
      </c>
      <c r="D24" s="23" t="s">
        <v>31</v>
      </c>
      <c r="E24" s="39" t="s">
        <v>42</v>
      </c>
      <c r="F24" s="18">
        <v>2</v>
      </c>
      <c r="G24" s="24">
        <v>150</v>
      </c>
      <c r="H24" s="24">
        <f t="shared" si="0"/>
        <v>300</v>
      </c>
      <c r="I24" s="17"/>
      <c r="J24" s="23" t="s">
        <v>80</v>
      </c>
      <c r="K24" s="12"/>
      <c r="L24" s="21"/>
      <c r="M24" s="15">
        <v>45154</v>
      </c>
      <c r="N24" s="12"/>
      <c r="O24" s="20"/>
      <c r="P24" s="16">
        <v>45184</v>
      </c>
      <c r="Q24" s="16">
        <v>45184</v>
      </c>
    </row>
    <row r="25" spans="2:17" s="4" customFormat="1" ht="19.7" customHeight="1" x14ac:dyDescent="0.15">
      <c r="B25" s="12">
        <v>3</v>
      </c>
      <c r="C25" s="23" t="s">
        <v>31</v>
      </c>
      <c r="D25" s="23" t="s">
        <v>31</v>
      </c>
      <c r="E25" s="18" t="s">
        <v>43</v>
      </c>
      <c r="F25" s="18">
        <v>2</v>
      </c>
      <c r="G25" s="24">
        <v>32640</v>
      </c>
      <c r="H25" s="24">
        <f t="shared" si="0"/>
        <v>65280</v>
      </c>
      <c r="I25" s="17"/>
      <c r="J25" s="23" t="s">
        <v>81</v>
      </c>
      <c r="K25" s="12"/>
      <c r="L25" s="21"/>
      <c r="M25" s="15">
        <v>45154</v>
      </c>
      <c r="N25" s="12"/>
      <c r="O25" s="20"/>
      <c r="P25" s="16">
        <v>45184</v>
      </c>
      <c r="Q25" s="16">
        <v>45184</v>
      </c>
    </row>
    <row r="26" spans="2:17" s="4" customFormat="1" ht="19.7" customHeight="1" x14ac:dyDescent="0.15">
      <c r="B26" s="12">
        <v>3</v>
      </c>
      <c r="C26" s="23" t="s">
        <v>31</v>
      </c>
      <c r="D26" s="23" t="s">
        <v>31</v>
      </c>
      <c r="E26" s="18" t="s">
        <v>44</v>
      </c>
      <c r="F26" s="18">
        <v>8</v>
      </c>
      <c r="G26" s="24">
        <v>480</v>
      </c>
      <c r="H26" s="24">
        <f t="shared" si="0"/>
        <v>3840</v>
      </c>
      <c r="I26" s="17"/>
      <c r="J26" s="23" t="s">
        <v>82</v>
      </c>
      <c r="K26" s="12"/>
      <c r="L26" s="21"/>
      <c r="M26" s="15">
        <v>45154</v>
      </c>
      <c r="N26" s="12"/>
      <c r="O26" s="20"/>
      <c r="P26" s="16">
        <v>45184</v>
      </c>
      <c r="Q26" s="16">
        <v>45184</v>
      </c>
    </row>
    <row r="27" spans="2:17" ht="19.7" customHeight="1" x14ac:dyDescent="0.15">
      <c r="B27" s="12">
        <v>3</v>
      </c>
      <c r="C27" s="23" t="s">
        <v>31</v>
      </c>
      <c r="D27" s="23" t="s">
        <v>31</v>
      </c>
      <c r="E27" s="18" t="s">
        <v>45</v>
      </c>
      <c r="F27" s="18">
        <v>2</v>
      </c>
      <c r="G27" s="24">
        <v>69660</v>
      </c>
      <c r="H27" s="24">
        <f t="shared" si="0"/>
        <v>139320</v>
      </c>
      <c r="I27" s="19"/>
      <c r="J27" s="23" t="s">
        <v>83</v>
      </c>
      <c r="K27" s="12"/>
      <c r="L27" s="21"/>
      <c r="M27" s="15">
        <v>45154</v>
      </c>
      <c r="N27" s="12"/>
      <c r="O27" s="20"/>
      <c r="P27" s="16">
        <v>45184</v>
      </c>
      <c r="Q27" s="16">
        <v>45184</v>
      </c>
    </row>
    <row r="28" spans="2:17" ht="19.7" customHeight="1" x14ac:dyDescent="0.15">
      <c r="B28" s="12">
        <v>3</v>
      </c>
      <c r="C28" s="23" t="s">
        <v>31</v>
      </c>
      <c r="D28" s="23" t="s">
        <v>31</v>
      </c>
      <c r="E28" t="s">
        <v>97</v>
      </c>
      <c r="F28" s="18">
        <v>8</v>
      </c>
      <c r="G28" s="24">
        <v>1260</v>
      </c>
      <c r="H28" s="24">
        <f t="shared" si="0"/>
        <v>10080</v>
      </c>
      <c r="I28" s="19"/>
      <c r="J28" s="23" t="s">
        <v>84</v>
      </c>
      <c r="K28" s="20"/>
      <c r="L28" s="21"/>
      <c r="M28" s="15">
        <v>45154</v>
      </c>
      <c r="N28" s="12"/>
      <c r="O28" s="20"/>
      <c r="P28" s="16">
        <v>45184</v>
      </c>
      <c r="Q28" s="16">
        <v>45184</v>
      </c>
    </row>
    <row r="29" spans="2:17" ht="19.7" customHeight="1" x14ac:dyDescent="0.15">
      <c r="B29" s="12">
        <v>3</v>
      </c>
      <c r="C29" s="23" t="s">
        <v>31</v>
      </c>
      <c r="D29" s="23" t="s">
        <v>31</v>
      </c>
      <c r="E29" s="37" t="s">
        <v>46</v>
      </c>
      <c r="F29" s="18">
        <v>2</v>
      </c>
      <c r="G29" s="24">
        <v>1000</v>
      </c>
      <c r="H29" s="24">
        <f t="shared" si="0"/>
        <v>2000</v>
      </c>
      <c r="I29" s="19"/>
      <c r="J29" s="23" t="s">
        <v>85</v>
      </c>
      <c r="K29" s="12"/>
      <c r="L29" s="21"/>
      <c r="M29" s="15">
        <v>45154</v>
      </c>
      <c r="N29" s="12"/>
      <c r="O29" s="20"/>
      <c r="P29" s="16">
        <v>45184</v>
      </c>
      <c r="Q29" s="16">
        <v>45184</v>
      </c>
    </row>
    <row r="30" spans="2:17" ht="19.7" customHeight="1" x14ac:dyDescent="0.15">
      <c r="B30" s="12">
        <v>3</v>
      </c>
      <c r="C30" s="23" t="s">
        <v>31</v>
      </c>
      <c r="D30" s="23" t="s">
        <v>31</v>
      </c>
      <c r="E30" s="18" t="s">
        <v>47</v>
      </c>
      <c r="F30" s="18">
        <v>2</v>
      </c>
      <c r="G30" s="24">
        <v>198</v>
      </c>
      <c r="H30" s="24">
        <f t="shared" si="0"/>
        <v>396</v>
      </c>
      <c r="I30" s="19"/>
      <c r="J30" s="23" t="s">
        <v>86</v>
      </c>
      <c r="K30" s="12"/>
      <c r="L30" s="21"/>
      <c r="M30" s="15">
        <v>45154</v>
      </c>
      <c r="N30" s="12"/>
      <c r="O30" s="20"/>
      <c r="P30" s="16">
        <v>45184</v>
      </c>
      <c r="Q30" s="16">
        <v>45184</v>
      </c>
    </row>
    <row r="31" spans="2:17" ht="19.7" customHeight="1" x14ac:dyDescent="0.15">
      <c r="B31" s="12">
        <v>3</v>
      </c>
      <c r="C31" s="23" t="s">
        <v>31</v>
      </c>
      <c r="D31" s="23" t="s">
        <v>31</v>
      </c>
      <c r="E31" s="18" t="s">
        <v>48</v>
      </c>
      <c r="F31" s="18">
        <v>2</v>
      </c>
      <c r="G31" s="24">
        <v>12320</v>
      </c>
      <c r="H31" s="24">
        <f t="shared" si="0"/>
        <v>24640</v>
      </c>
      <c r="I31" s="19"/>
      <c r="J31" s="23" t="s">
        <v>87</v>
      </c>
      <c r="K31" s="12"/>
      <c r="L31" s="21"/>
      <c r="M31" s="15">
        <v>45154</v>
      </c>
      <c r="N31" s="12"/>
      <c r="O31" s="20"/>
      <c r="P31" s="16">
        <v>45184</v>
      </c>
      <c r="Q31" s="16">
        <v>45184</v>
      </c>
    </row>
    <row r="32" spans="2:17" ht="19.7" customHeight="1" x14ac:dyDescent="0.15">
      <c r="B32" s="12">
        <v>3</v>
      </c>
      <c r="C32" s="23" t="s">
        <v>31</v>
      </c>
      <c r="D32" s="23" t="s">
        <v>31</v>
      </c>
      <c r="E32" s="18" t="s">
        <v>49</v>
      </c>
      <c r="F32" s="18">
        <v>4</v>
      </c>
      <c r="G32" s="24">
        <v>710</v>
      </c>
      <c r="H32" s="24">
        <f t="shared" si="0"/>
        <v>2840</v>
      </c>
      <c r="I32" s="19"/>
      <c r="J32" s="23" t="s">
        <v>88</v>
      </c>
      <c r="K32" s="12"/>
      <c r="L32" s="21"/>
      <c r="M32" s="15">
        <v>45154</v>
      </c>
      <c r="N32" s="12"/>
      <c r="O32" s="20"/>
      <c r="P32" s="16">
        <v>45184</v>
      </c>
      <c r="Q32" s="16">
        <v>45184</v>
      </c>
    </row>
    <row r="33" spans="2:17" ht="19.7" customHeight="1" x14ac:dyDescent="0.15">
      <c r="B33" s="12">
        <v>3</v>
      </c>
      <c r="C33" s="23" t="s">
        <v>31</v>
      </c>
      <c r="D33" s="23" t="s">
        <v>31</v>
      </c>
      <c r="E33" s="18" t="s">
        <v>50</v>
      </c>
      <c r="F33" s="18">
        <v>2</v>
      </c>
      <c r="G33" s="24">
        <v>1632</v>
      </c>
      <c r="H33" s="24">
        <f t="shared" si="0"/>
        <v>3264</v>
      </c>
      <c r="I33" s="19"/>
      <c r="J33" s="23" t="s">
        <v>89</v>
      </c>
      <c r="K33" s="12"/>
      <c r="L33" s="21"/>
      <c r="M33" s="15">
        <v>45154</v>
      </c>
      <c r="N33" s="12"/>
      <c r="O33" s="20"/>
      <c r="P33" s="16">
        <v>45184</v>
      </c>
      <c r="Q33" s="16">
        <v>45184</v>
      </c>
    </row>
    <row r="34" spans="2:17" ht="19.7" customHeight="1" x14ac:dyDescent="0.15">
      <c r="B34" s="12">
        <v>3</v>
      </c>
      <c r="C34" s="23" t="s">
        <v>31</v>
      </c>
      <c r="D34" s="23" t="s">
        <v>31</v>
      </c>
      <c r="E34" s="18" t="s">
        <v>51</v>
      </c>
      <c r="F34" s="18">
        <v>2</v>
      </c>
      <c r="G34" s="24">
        <v>2950</v>
      </c>
      <c r="H34" s="24">
        <f t="shared" si="0"/>
        <v>5900</v>
      </c>
      <c r="I34" s="19"/>
      <c r="J34" s="23" t="s">
        <v>90</v>
      </c>
      <c r="K34" s="12"/>
      <c r="L34" s="21"/>
      <c r="M34" s="15">
        <v>45154</v>
      </c>
      <c r="N34" s="12"/>
      <c r="O34" s="20"/>
      <c r="P34" s="16">
        <v>45184</v>
      </c>
      <c r="Q34" s="16">
        <v>45184</v>
      </c>
    </row>
    <row r="35" spans="2:17" ht="19.7" customHeight="1" x14ac:dyDescent="0.15">
      <c r="B35" s="12">
        <v>3</v>
      </c>
      <c r="C35" s="23" t="s">
        <v>31</v>
      </c>
      <c r="D35" s="23" t="s">
        <v>31</v>
      </c>
      <c r="E35" s="18" t="s">
        <v>52</v>
      </c>
      <c r="F35" s="18">
        <v>2</v>
      </c>
      <c r="G35" s="24">
        <v>450</v>
      </c>
      <c r="H35" s="24">
        <f t="shared" si="0"/>
        <v>900</v>
      </c>
      <c r="I35" s="19"/>
      <c r="J35" s="23" t="s">
        <v>91</v>
      </c>
      <c r="K35" s="12"/>
      <c r="L35" s="21"/>
      <c r="M35" s="15">
        <v>45154</v>
      </c>
      <c r="N35" s="12"/>
      <c r="O35" s="20"/>
      <c r="P35" s="16">
        <v>45184</v>
      </c>
      <c r="Q35" s="16">
        <v>45184</v>
      </c>
    </row>
    <row r="36" spans="2:17" ht="19.7" customHeight="1" x14ac:dyDescent="0.15">
      <c r="B36" s="12">
        <v>3</v>
      </c>
      <c r="C36" s="23" t="s">
        <v>31</v>
      </c>
      <c r="D36" s="23" t="s">
        <v>31</v>
      </c>
      <c r="E36" s="18" t="s">
        <v>53</v>
      </c>
      <c r="F36" s="18">
        <v>2</v>
      </c>
      <c r="G36" s="24">
        <v>1820</v>
      </c>
      <c r="H36" s="24">
        <f t="shared" si="0"/>
        <v>3640</v>
      </c>
      <c r="I36" s="19"/>
      <c r="J36" s="23" t="s">
        <v>92</v>
      </c>
      <c r="K36" s="12"/>
      <c r="L36" s="21"/>
      <c r="M36" s="15">
        <v>45154</v>
      </c>
      <c r="N36" s="12"/>
      <c r="O36" s="20"/>
      <c r="P36" s="16">
        <v>45184</v>
      </c>
      <c r="Q36" s="16">
        <v>45184</v>
      </c>
    </row>
    <row r="37" spans="2:17" ht="19.7" customHeight="1" x14ac:dyDescent="0.15">
      <c r="B37" s="12">
        <v>3</v>
      </c>
      <c r="C37" s="23" t="s">
        <v>31</v>
      </c>
      <c r="D37" s="23" t="s">
        <v>31</v>
      </c>
      <c r="E37" s="18" t="s">
        <v>54</v>
      </c>
      <c r="F37" s="18">
        <v>2</v>
      </c>
      <c r="G37" s="24">
        <v>151</v>
      </c>
      <c r="H37" s="24">
        <f t="shared" si="0"/>
        <v>302</v>
      </c>
      <c r="I37" s="19"/>
      <c r="J37" s="23" t="s">
        <v>93</v>
      </c>
      <c r="K37" s="12"/>
      <c r="L37" s="21"/>
      <c r="M37" s="15">
        <v>45154</v>
      </c>
      <c r="N37" s="12"/>
      <c r="O37" s="20"/>
      <c r="P37" s="16">
        <v>45184</v>
      </c>
      <c r="Q37" s="16">
        <v>45184</v>
      </c>
    </row>
    <row r="38" spans="2:17" ht="19.7" customHeight="1" x14ac:dyDescent="0.15">
      <c r="B38" s="12">
        <v>3</v>
      </c>
      <c r="C38" s="23" t="s">
        <v>31</v>
      </c>
      <c r="D38" s="23" t="s">
        <v>31</v>
      </c>
      <c r="E38" s="18" t="s">
        <v>55</v>
      </c>
      <c r="F38" s="18">
        <v>8</v>
      </c>
      <c r="G38" s="24">
        <v>198</v>
      </c>
      <c r="H38" s="24">
        <f t="shared" si="0"/>
        <v>1584</v>
      </c>
      <c r="I38" s="19"/>
      <c r="J38" s="23" t="s">
        <v>94</v>
      </c>
      <c r="K38" s="12"/>
      <c r="L38" s="21"/>
      <c r="M38" s="15">
        <v>45154</v>
      </c>
      <c r="N38" s="12"/>
      <c r="O38" s="20"/>
      <c r="P38" s="16">
        <v>45184</v>
      </c>
      <c r="Q38" s="16">
        <v>45184</v>
      </c>
    </row>
    <row r="39" spans="2:17" ht="19.7" customHeight="1" x14ac:dyDescent="0.15">
      <c r="B39" s="12">
        <v>3</v>
      </c>
      <c r="C39" s="23" t="s">
        <v>31</v>
      </c>
      <c r="D39" s="23" t="s">
        <v>31</v>
      </c>
      <c r="E39" s="18" t="s">
        <v>56</v>
      </c>
      <c r="F39" s="18">
        <v>6</v>
      </c>
      <c r="G39" s="24">
        <v>198</v>
      </c>
      <c r="H39" s="24">
        <f t="shared" si="0"/>
        <v>1188</v>
      </c>
      <c r="I39" s="19"/>
      <c r="J39" s="23" t="s">
        <v>94</v>
      </c>
      <c r="K39" s="20"/>
      <c r="L39" s="21"/>
      <c r="M39" s="15">
        <v>45154</v>
      </c>
      <c r="N39" s="12"/>
      <c r="O39" s="20"/>
      <c r="P39" s="16">
        <v>45184</v>
      </c>
      <c r="Q39" s="16">
        <v>45184</v>
      </c>
    </row>
    <row r="40" spans="2:17" ht="19.7" customHeight="1" x14ac:dyDescent="0.15">
      <c r="B40" s="12">
        <v>3</v>
      </c>
      <c r="C40" s="23" t="s">
        <v>31</v>
      </c>
      <c r="D40" s="23" t="s">
        <v>31</v>
      </c>
      <c r="E40" s="18" t="s">
        <v>102</v>
      </c>
      <c r="F40" s="18">
        <v>2</v>
      </c>
      <c r="G40" s="24">
        <v>212</v>
      </c>
      <c r="H40" s="24">
        <f t="shared" si="0"/>
        <v>424</v>
      </c>
      <c r="I40" s="31"/>
      <c r="J40" s="23" t="s">
        <v>94</v>
      </c>
      <c r="K40" s="20"/>
      <c r="L40" s="21"/>
      <c r="M40" s="15">
        <v>45154</v>
      </c>
      <c r="N40" s="12"/>
      <c r="O40" s="20"/>
      <c r="P40" s="16">
        <v>45184</v>
      </c>
      <c r="Q40" s="16">
        <v>45184</v>
      </c>
    </row>
    <row r="41" spans="2:17" ht="19.7" customHeight="1" x14ac:dyDescent="0.15">
      <c r="B41" s="12">
        <v>3</v>
      </c>
      <c r="C41" s="23" t="s">
        <v>31</v>
      </c>
      <c r="D41" s="23" t="s">
        <v>31</v>
      </c>
      <c r="E41" s="18" t="s">
        <v>57</v>
      </c>
      <c r="F41" s="18">
        <v>16</v>
      </c>
      <c r="G41" s="24">
        <v>212</v>
      </c>
      <c r="H41" s="24">
        <f t="shared" si="0"/>
        <v>3392</v>
      </c>
      <c r="I41" s="19"/>
      <c r="J41" s="23" t="s">
        <v>94</v>
      </c>
      <c r="K41" s="12"/>
      <c r="L41" s="21"/>
      <c r="M41" s="15">
        <v>45154</v>
      </c>
      <c r="N41" s="12"/>
      <c r="O41" s="20"/>
      <c r="P41" s="16">
        <v>45184</v>
      </c>
      <c r="Q41" s="16">
        <v>45184</v>
      </c>
    </row>
    <row r="42" spans="2:17" ht="19.7" customHeight="1" x14ac:dyDescent="0.15">
      <c r="B42" s="12">
        <v>3</v>
      </c>
      <c r="C42" s="23" t="s">
        <v>31</v>
      </c>
      <c r="D42" s="23" t="s">
        <v>31</v>
      </c>
      <c r="E42" s="18" t="s">
        <v>58</v>
      </c>
      <c r="F42" s="18">
        <v>4</v>
      </c>
      <c r="G42" s="24">
        <v>212</v>
      </c>
      <c r="H42" s="24">
        <f t="shared" si="0"/>
        <v>848</v>
      </c>
      <c r="I42" s="19"/>
      <c r="J42" s="23" t="s">
        <v>94</v>
      </c>
      <c r="K42" s="12"/>
      <c r="L42" s="21"/>
      <c r="M42" s="15">
        <v>45154</v>
      </c>
      <c r="N42" s="12"/>
      <c r="O42" s="20"/>
      <c r="P42" s="16">
        <v>45184</v>
      </c>
      <c r="Q42" s="16">
        <v>45184</v>
      </c>
    </row>
    <row r="43" spans="2:17" ht="19.7" customHeight="1" x14ac:dyDescent="0.15">
      <c r="B43" s="12">
        <v>3</v>
      </c>
      <c r="C43" s="23" t="s">
        <v>31</v>
      </c>
      <c r="D43" s="23" t="s">
        <v>31</v>
      </c>
      <c r="E43" s="18" t="s">
        <v>59</v>
      </c>
      <c r="F43" s="18">
        <v>8</v>
      </c>
      <c r="G43" s="24">
        <v>226</v>
      </c>
      <c r="H43" s="24">
        <f t="shared" si="0"/>
        <v>1808</v>
      </c>
      <c r="I43" s="19"/>
      <c r="J43" s="23" t="s">
        <v>94</v>
      </c>
      <c r="K43" s="12"/>
      <c r="L43" s="21"/>
      <c r="M43" s="15">
        <v>45154</v>
      </c>
      <c r="N43" s="12"/>
      <c r="O43" s="20"/>
      <c r="P43" s="16">
        <v>45184</v>
      </c>
      <c r="Q43" s="16">
        <v>45184</v>
      </c>
    </row>
    <row r="44" spans="2:17" ht="19.7" customHeight="1" x14ac:dyDescent="0.15">
      <c r="B44" s="12">
        <v>3</v>
      </c>
      <c r="C44" s="23" t="s">
        <v>31</v>
      </c>
      <c r="D44" s="23" t="s">
        <v>31</v>
      </c>
      <c r="E44" s="18" t="s">
        <v>60</v>
      </c>
      <c r="F44" s="18">
        <v>12</v>
      </c>
      <c r="G44" s="24">
        <v>212</v>
      </c>
      <c r="H44" s="24">
        <f t="shared" ref="H44:H61" si="1">G44*F44</f>
        <v>2544</v>
      </c>
      <c r="I44" s="19"/>
      <c r="J44" s="23" t="s">
        <v>94</v>
      </c>
      <c r="K44" s="12"/>
      <c r="L44" s="21"/>
      <c r="M44" s="15">
        <v>45154</v>
      </c>
      <c r="N44" s="12"/>
      <c r="O44" s="20"/>
      <c r="P44" s="16">
        <v>45184</v>
      </c>
      <c r="Q44" s="16">
        <v>45184</v>
      </c>
    </row>
    <row r="45" spans="2:17" ht="19.7" customHeight="1" x14ac:dyDescent="0.15">
      <c r="B45" s="12">
        <v>3</v>
      </c>
      <c r="C45" s="23" t="s">
        <v>31</v>
      </c>
      <c r="D45" s="23" t="s">
        <v>31</v>
      </c>
      <c r="E45" s="18" t="s">
        <v>98</v>
      </c>
      <c r="F45" s="18">
        <v>4</v>
      </c>
      <c r="G45" s="24">
        <v>244</v>
      </c>
      <c r="H45" s="24">
        <f t="shared" si="1"/>
        <v>976</v>
      </c>
      <c r="I45" s="36" t="s">
        <v>116</v>
      </c>
      <c r="J45" s="23" t="s">
        <v>99</v>
      </c>
      <c r="K45" s="12"/>
      <c r="L45" s="21"/>
      <c r="M45" s="15">
        <v>45154</v>
      </c>
      <c r="N45" s="12"/>
      <c r="O45" s="20"/>
      <c r="P45" s="16">
        <v>45184</v>
      </c>
      <c r="Q45" s="16">
        <v>45184</v>
      </c>
    </row>
    <row r="46" spans="2:17" ht="19.7" customHeight="1" x14ac:dyDescent="0.15">
      <c r="B46" s="12">
        <v>3</v>
      </c>
      <c r="C46" s="23" t="s">
        <v>31</v>
      </c>
      <c r="D46" s="23" t="s">
        <v>31</v>
      </c>
      <c r="E46" s="18" t="s">
        <v>100</v>
      </c>
      <c r="F46" s="18">
        <v>2</v>
      </c>
      <c r="G46" s="24">
        <v>704</v>
      </c>
      <c r="H46" s="24">
        <f t="shared" si="1"/>
        <v>1408</v>
      </c>
      <c r="I46" s="36" t="s">
        <v>117</v>
      </c>
      <c r="J46" s="23" t="s">
        <v>101</v>
      </c>
      <c r="K46" s="12"/>
      <c r="L46" s="21"/>
      <c r="M46" s="15">
        <v>45154</v>
      </c>
      <c r="N46" s="12"/>
      <c r="O46" s="20"/>
      <c r="P46" s="16">
        <v>45184</v>
      </c>
      <c r="Q46" s="16">
        <v>45184</v>
      </c>
    </row>
    <row r="47" spans="2:17" ht="19.7" customHeight="1" x14ac:dyDescent="0.15">
      <c r="B47" s="12">
        <v>3</v>
      </c>
      <c r="C47" s="23" t="s">
        <v>31</v>
      </c>
      <c r="D47" s="23" t="s">
        <v>31</v>
      </c>
      <c r="E47" s="18" t="s">
        <v>112</v>
      </c>
      <c r="F47" s="18">
        <v>1</v>
      </c>
      <c r="G47" s="24">
        <v>1470</v>
      </c>
      <c r="H47" s="24">
        <f t="shared" si="1"/>
        <v>1470</v>
      </c>
      <c r="I47" s="27"/>
      <c r="J47" s="23" t="s">
        <v>113</v>
      </c>
      <c r="K47" s="12"/>
      <c r="L47" s="21"/>
      <c r="M47" s="15">
        <v>45154</v>
      </c>
      <c r="N47" s="12"/>
      <c r="O47" s="20"/>
      <c r="P47" s="16">
        <v>45184</v>
      </c>
      <c r="Q47" s="16">
        <v>45184</v>
      </c>
    </row>
    <row r="48" spans="2:17" ht="19.7" customHeight="1" x14ac:dyDescent="0.15">
      <c r="B48" s="12">
        <v>3</v>
      </c>
      <c r="C48" s="23" t="s">
        <v>32</v>
      </c>
      <c r="D48" s="23" t="s">
        <v>32</v>
      </c>
      <c r="E48" s="18" t="s">
        <v>106</v>
      </c>
      <c r="F48" s="18">
        <v>2</v>
      </c>
      <c r="G48" s="24">
        <v>12500</v>
      </c>
      <c r="H48" s="24">
        <f t="shared" si="1"/>
        <v>25000</v>
      </c>
      <c r="I48" s="19"/>
      <c r="J48" s="23" t="s">
        <v>95</v>
      </c>
      <c r="K48" s="12"/>
      <c r="L48" s="21"/>
      <c r="M48" s="15">
        <v>45154</v>
      </c>
      <c r="N48" s="12"/>
      <c r="O48" s="20">
        <v>45210</v>
      </c>
      <c r="P48" s="16"/>
      <c r="Q48" s="16">
        <v>45205</v>
      </c>
    </row>
    <row r="49" spans="2:17" ht="19.7" customHeight="1" x14ac:dyDescent="0.15">
      <c r="B49" s="12">
        <v>3</v>
      </c>
      <c r="C49" s="23" t="s">
        <v>32</v>
      </c>
      <c r="D49" s="23" t="s">
        <v>32</v>
      </c>
      <c r="E49" s="18" t="s">
        <v>107</v>
      </c>
      <c r="F49" s="18">
        <v>2</v>
      </c>
      <c r="G49" s="24">
        <v>13500</v>
      </c>
      <c r="H49" s="24">
        <f t="shared" si="1"/>
        <v>27000</v>
      </c>
      <c r="I49" s="19"/>
      <c r="J49" s="23" t="s">
        <v>95</v>
      </c>
      <c r="K49" s="12"/>
      <c r="L49" s="21"/>
      <c r="M49" s="15">
        <v>45154</v>
      </c>
      <c r="N49" s="12"/>
      <c r="O49" s="20">
        <v>45210</v>
      </c>
      <c r="P49" s="16"/>
      <c r="Q49" s="16">
        <v>45205</v>
      </c>
    </row>
    <row r="50" spans="2:17" ht="19.7" customHeight="1" x14ac:dyDescent="0.15">
      <c r="B50" s="12">
        <v>3</v>
      </c>
      <c r="C50" s="23" t="s">
        <v>32</v>
      </c>
      <c r="D50" s="23" t="s">
        <v>32</v>
      </c>
      <c r="E50" s="18" t="s">
        <v>108</v>
      </c>
      <c r="F50" s="18">
        <v>2</v>
      </c>
      <c r="G50" s="24">
        <v>4700</v>
      </c>
      <c r="H50" s="24">
        <f t="shared" si="1"/>
        <v>9400</v>
      </c>
      <c r="I50" s="19"/>
      <c r="J50" s="23" t="s">
        <v>95</v>
      </c>
      <c r="K50" s="12"/>
      <c r="L50" s="21"/>
      <c r="M50" s="15">
        <v>45154</v>
      </c>
      <c r="N50" s="12"/>
      <c r="O50" s="20">
        <v>45210</v>
      </c>
      <c r="P50" s="16"/>
      <c r="Q50" s="16">
        <v>45205</v>
      </c>
    </row>
    <row r="51" spans="2:17" ht="19.7" customHeight="1" x14ac:dyDescent="0.15">
      <c r="B51" s="12">
        <v>3</v>
      </c>
      <c r="C51" s="23" t="s">
        <v>32</v>
      </c>
      <c r="D51" s="23" t="s">
        <v>32</v>
      </c>
      <c r="E51" s="18" t="s">
        <v>109</v>
      </c>
      <c r="F51" s="18">
        <v>2</v>
      </c>
      <c r="G51" s="24">
        <v>8100</v>
      </c>
      <c r="H51" s="24">
        <f t="shared" si="1"/>
        <v>16200</v>
      </c>
      <c r="I51" s="19"/>
      <c r="J51" s="23" t="s">
        <v>95</v>
      </c>
      <c r="K51" s="12"/>
      <c r="L51" s="21"/>
      <c r="M51" s="15">
        <v>45154</v>
      </c>
      <c r="N51" s="12"/>
      <c r="O51" s="20">
        <v>45210</v>
      </c>
      <c r="P51" s="16"/>
      <c r="Q51" s="16">
        <v>45205</v>
      </c>
    </row>
    <row r="52" spans="2:17" ht="19.7" customHeight="1" x14ac:dyDescent="0.15">
      <c r="B52" s="12">
        <v>3</v>
      </c>
      <c r="C52" s="23" t="s">
        <v>32</v>
      </c>
      <c r="D52" s="23" t="s">
        <v>32</v>
      </c>
      <c r="E52" s="18" t="s">
        <v>110</v>
      </c>
      <c r="F52" s="18">
        <v>2</v>
      </c>
      <c r="G52" s="24">
        <v>1700</v>
      </c>
      <c r="H52" s="24">
        <f t="shared" si="1"/>
        <v>3400</v>
      </c>
      <c r="I52" s="19"/>
      <c r="J52" s="23" t="s">
        <v>95</v>
      </c>
      <c r="K52" s="12"/>
      <c r="L52" s="21"/>
      <c r="M52" s="15">
        <v>45154</v>
      </c>
      <c r="N52" s="12"/>
      <c r="O52" s="20">
        <v>45210</v>
      </c>
      <c r="P52" s="16"/>
      <c r="Q52" s="16">
        <v>45205</v>
      </c>
    </row>
    <row r="53" spans="2:17" ht="19.7" customHeight="1" x14ac:dyDescent="0.15">
      <c r="B53" s="12">
        <v>3</v>
      </c>
      <c r="C53" s="23" t="s">
        <v>32</v>
      </c>
      <c r="D53" s="23" t="s">
        <v>32</v>
      </c>
      <c r="E53" s="18" t="s">
        <v>111</v>
      </c>
      <c r="F53" s="18">
        <v>1</v>
      </c>
      <c r="G53" s="24">
        <v>14000</v>
      </c>
      <c r="H53" s="24">
        <f t="shared" si="1"/>
        <v>14000</v>
      </c>
      <c r="I53" s="19"/>
      <c r="J53" s="23" t="s">
        <v>118</v>
      </c>
      <c r="K53" s="12"/>
      <c r="L53" s="21"/>
      <c r="M53" s="15">
        <v>45154</v>
      </c>
      <c r="N53" s="12"/>
      <c r="O53" s="20">
        <v>45210</v>
      </c>
      <c r="P53" s="16"/>
      <c r="Q53" s="16">
        <v>45205</v>
      </c>
    </row>
    <row r="54" spans="2:17" ht="19.7" customHeight="1" x14ac:dyDescent="0.15">
      <c r="B54" s="12">
        <v>3</v>
      </c>
      <c r="C54" s="23" t="s">
        <v>32</v>
      </c>
      <c r="D54" s="23" t="s">
        <v>32</v>
      </c>
      <c r="E54" s="18" t="s">
        <v>61</v>
      </c>
      <c r="F54" s="18">
        <v>2</v>
      </c>
      <c r="G54" s="24">
        <v>5800</v>
      </c>
      <c r="H54" s="24">
        <f t="shared" si="1"/>
        <v>11600</v>
      </c>
      <c r="I54" s="19"/>
      <c r="J54" s="23" t="s">
        <v>95</v>
      </c>
      <c r="K54" s="12"/>
      <c r="L54" s="21"/>
      <c r="M54" s="15">
        <v>45154</v>
      </c>
      <c r="N54" s="12"/>
      <c r="O54" s="20">
        <v>45210</v>
      </c>
      <c r="P54" s="16"/>
      <c r="Q54" s="16">
        <v>45205</v>
      </c>
    </row>
    <row r="55" spans="2:17" ht="19.7" customHeight="1" x14ac:dyDescent="0.15">
      <c r="B55" s="12">
        <v>3</v>
      </c>
      <c r="C55" s="23" t="s">
        <v>32</v>
      </c>
      <c r="D55" s="23" t="s">
        <v>32</v>
      </c>
      <c r="E55" s="18" t="s">
        <v>62</v>
      </c>
      <c r="F55" s="18">
        <v>2</v>
      </c>
      <c r="G55" s="24">
        <v>8800</v>
      </c>
      <c r="H55" s="24">
        <f t="shared" si="1"/>
        <v>17600</v>
      </c>
      <c r="I55" s="19"/>
      <c r="J55" s="23" t="s">
        <v>95</v>
      </c>
      <c r="K55" s="12"/>
      <c r="L55" s="21"/>
      <c r="M55" s="15">
        <v>45154</v>
      </c>
      <c r="N55" s="12"/>
      <c r="O55" s="20">
        <v>45210</v>
      </c>
      <c r="P55" s="16"/>
      <c r="Q55" s="16">
        <v>45205</v>
      </c>
    </row>
    <row r="56" spans="2:17" ht="19.7" customHeight="1" x14ac:dyDescent="0.15">
      <c r="B56" s="12">
        <v>3</v>
      </c>
      <c r="C56" s="23" t="s">
        <v>32</v>
      </c>
      <c r="D56" s="23" t="s">
        <v>32</v>
      </c>
      <c r="E56" s="18" t="s">
        <v>63</v>
      </c>
      <c r="F56" s="18">
        <v>2</v>
      </c>
      <c r="G56" s="24">
        <v>2000</v>
      </c>
      <c r="H56" s="24">
        <f t="shared" si="1"/>
        <v>4000</v>
      </c>
      <c r="I56" s="19"/>
      <c r="J56" s="23" t="s">
        <v>95</v>
      </c>
      <c r="K56" s="12"/>
      <c r="L56" s="21"/>
      <c r="M56" s="15">
        <v>45154</v>
      </c>
      <c r="N56" s="12"/>
      <c r="O56" s="20">
        <v>45210</v>
      </c>
      <c r="P56" s="16"/>
      <c r="Q56" s="16">
        <v>45205</v>
      </c>
    </row>
    <row r="57" spans="2:17" ht="19.7" customHeight="1" x14ac:dyDescent="0.15">
      <c r="B57" s="12">
        <v>3</v>
      </c>
      <c r="C57" s="23" t="s">
        <v>32</v>
      </c>
      <c r="D57" s="23" t="s">
        <v>32</v>
      </c>
      <c r="E57" s="18" t="s">
        <v>64</v>
      </c>
      <c r="F57" s="18">
        <v>2</v>
      </c>
      <c r="G57" s="24">
        <v>7000</v>
      </c>
      <c r="H57" s="24">
        <f t="shared" si="1"/>
        <v>14000</v>
      </c>
      <c r="I57" s="19"/>
      <c r="J57" s="23" t="s">
        <v>95</v>
      </c>
      <c r="K57" s="12"/>
      <c r="L57" s="21"/>
      <c r="M57" s="15">
        <v>45154</v>
      </c>
      <c r="N57" s="12"/>
      <c r="O57" s="20">
        <v>45210</v>
      </c>
      <c r="P57" s="16"/>
      <c r="Q57" s="16">
        <v>45205</v>
      </c>
    </row>
    <row r="58" spans="2:17" ht="19.7" customHeight="1" x14ac:dyDescent="0.15">
      <c r="B58" s="12">
        <v>3</v>
      </c>
      <c r="C58" s="23" t="s">
        <v>32</v>
      </c>
      <c r="D58" s="23" t="s">
        <v>32</v>
      </c>
      <c r="E58" t="s">
        <v>65</v>
      </c>
      <c r="F58" s="18">
        <v>2</v>
      </c>
      <c r="G58" s="24">
        <v>6300</v>
      </c>
      <c r="H58" s="24">
        <f t="shared" si="1"/>
        <v>12600</v>
      </c>
      <c r="I58" s="19"/>
      <c r="J58" s="23" t="s">
        <v>95</v>
      </c>
      <c r="K58" s="12"/>
      <c r="L58" s="21"/>
      <c r="M58" s="15">
        <v>45154</v>
      </c>
      <c r="N58" s="12"/>
      <c r="O58" s="20">
        <v>45210</v>
      </c>
      <c r="P58" s="16"/>
      <c r="Q58" s="16">
        <v>45205</v>
      </c>
    </row>
    <row r="59" spans="2:17" ht="19.7" customHeight="1" x14ac:dyDescent="0.15">
      <c r="B59" s="12">
        <v>3</v>
      </c>
      <c r="C59" s="23" t="s">
        <v>32</v>
      </c>
      <c r="D59" s="23" t="s">
        <v>32</v>
      </c>
      <c r="E59" s="18" t="s">
        <v>66</v>
      </c>
      <c r="F59" s="18">
        <v>2</v>
      </c>
      <c r="G59" s="24">
        <v>10000</v>
      </c>
      <c r="H59" s="24">
        <f t="shared" si="1"/>
        <v>20000</v>
      </c>
      <c r="I59" s="19"/>
      <c r="J59" s="23" t="s">
        <v>95</v>
      </c>
      <c r="K59" s="12"/>
      <c r="L59" s="21"/>
      <c r="M59" s="15">
        <v>45154</v>
      </c>
      <c r="N59" s="12"/>
      <c r="O59" s="20">
        <v>45210</v>
      </c>
      <c r="P59" s="16"/>
      <c r="Q59" s="16">
        <v>45205</v>
      </c>
    </row>
    <row r="60" spans="2:17" ht="19.7" customHeight="1" x14ac:dyDescent="0.15">
      <c r="B60" s="12">
        <v>3</v>
      </c>
      <c r="C60" s="23" t="s">
        <v>32</v>
      </c>
      <c r="D60" s="23" t="s">
        <v>32</v>
      </c>
      <c r="E60" s="18" t="s">
        <v>67</v>
      </c>
      <c r="F60" s="18">
        <v>2</v>
      </c>
      <c r="G60" s="24">
        <v>17500</v>
      </c>
      <c r="H60" s="24">
        <f t="shared" ref="H60" si="2">G60*F60</f>
        <v>35000</v>
      </c>
      <c r="I60" s="19"/>
      <c r="J60" s="23" t="s">
        <v>95</v>
      </c>
      <c r="K60" s="12"/>
      <c r="L60" s="21"/>
      <c r="M60" s="15">
        <v>45154</v>
      </c>
      <c r="N60" s="12"/>
      <c r="O60" s="20">
        <v>45210</v>
      </c>
      <c r="P60" s="16"/>
      <c r="Q60" s="16">
        <v>45205</v>
      </c>
    </row>
    <row r="61" spans="2:17" ht="19.7" customHeight="1" x14ac:dyDescent="0.15">
      <c r="B61" s="12">
        <v>3</v>
      </c>
      <c r="C61" s="23" t="s">
        <v>32</v>
      </c>
      <c r="D61" s="23" t="s">
        <v>32</v>
      </c>
      <c r="E61" s="18" t="s">
        <v>143</v>
      </c>
      <c r="F61" s="18">
        <v>2</v>
      </c>
      <c r="G61" s="24">
        <v>4800</v>
      </c>
      <c r="H61" s="24">
        <f t="shared" si="1"/>
        <v>9600</v>
      </c>
      <c r="I61" s="19"/>
      <c r="J61" s="23" t="s">
        <v>95</v>
      </c>
      <c r="K61" s="12"/>
      <c r="L61" s="21"/>
      <c r="M61" s="15">
        <v>45154</v>
      </c>
      <c r="N61" s="12"/>
      <c r="O61" s="20">
        <v>45210</v>
      </c>
      <c r="P61" s="16"/>
      <c r="Q61" s="16">
        <v>45205</v>
      </c>
    </row>
    <row r="62" spans="2:17" ht="19.7" customHeight="1" x14ac:dyDescent="0.15">
      <c r="B62" s="12">
        <v>3</v>
      </c>
      <c r="C62" s="41" t="s">
        <v>26</v>
      </c>
      <c r="D62" s="46" t="s">
        <v>25</v>
      </c>
      <c r="E62" s="41" t="s">
        <v>35</v>
      </c>
      <c r="F62" s="19">
        <v>16</v>
      </c>
      <c r="G62" s="19">
        <v>250</v>
      </c>
      <c r="H62" s="42">
        <f t="shared" ref="H62:H68" si="3">F62*G62</f>
        <v>4000</v>
      </c>
      <c r="I62" s="14"/>
      <c r="J62" s="41" t="s">
        <v>119</v>
      </c>
      <c r="K62" s="43" t="s">
        <v>132</v>
      </c>
      <c r="L62" s="21"/>
      <c r="M62" s="15">
        <v>45154</v>
      </c>
      <c r="N62" s="12"/>
      <c r="O62" s="20">
        <v>45210</v>
      </c>
      <c r="P62" s="16"/>
      <c r="Q62" s="16">
        <v>45183</v>
      </c>
    </row>
    <row r="63" spans="2:17" ht="19.7" customHeight="1" x14ac:dyDescent="0.15">
      <c r="B63" s="12">
        <v>3</v>
      </c>
      <c r="C63" s="41" t="s">
        <v>120</v>
      </c>
      <c r="D63" s="41" t="s">
        <v>120</v>
      </c>
      <c r="E63" s="18" t="s">
        <v>121</v>
      </c>
      <c r="F63" s="18">
        <v>16</v>
      </c>
      <c r="G63" s="18">
        <v>1708</v>
      </c>
      <c r="H63" s="42">
        <f>F63*G63</f>
        <v>27328</v>
      </c>
      <c r="I63" s="14"/>
      <c r="J63" s="41" t="s">
        <v>72</v>
      </c>
      <c r="K63" s="43" t="s">
        <v>133</v>
      </c>
      <c r="L63" s="21"/>
      <c r="M63" s="15">
        <v>45154</v>
      </c>
      <c r="N63" s="12"/>
      <c r="O63" s="20"/>
      <c r="P63" s="16">
        <v>45184</v>
      </c>
      <c r="Q63" s="16">
        <v>45184</v>
      </c>
    </row>
    <row r="64" spans="2:17" ht="19.7" customHeight="1" x14ac:dyDescent="0.15">
      <c r="B64" s="12">
        <v>3</v>
      </c>
      <c r="C64" s="41" t="s">
        <v>120</v>
      </c>
      <c r="D64" s="41" t="s">
        <v>120</v>
      </c>
      <c r="E64" s="18" t="s">
        <v>122</v>
      </c>
      <c r="F64" s="18">
        <v>2</v>
      </c>
      <c r="G64" s="18">
        <v>188</v>
      </c>
      <c r="H64" s="42">
        <f t="shared" si="3"/>
        <v>376</v>
      </c>
      <c r="I64" s="19"/>
      <c r="J64" s="41" t="s">
        <v>123</v>
      </c>
      <c r="K64" s="43" t="s">
        <v>134</v>
      </c>
      <c r="L64" s="21"/>
      <c r="M64" s="15">
        <v>45154</v>
      </c>
      <c r="N64" s="12"/>
      <c r="O64" s="20"/>
      <c r="P64" s="16">
        <v>45184</v>
      </c>
      <c r="Q64" s="16">
        <v>45184</v>
      </c>
    </row>
    <row r="65" spans="2:17" ht="19.7" customHeight="1" x14ac:dyDescent="0.15">
      <c r="B65" s="12">
        <v>3</v>
      </c>
      <c r="C65" s="41" t="s">
        <v>120</v>
      </c>
      <c r="D65" s="41" t="s">
        <v>120</v>
      </c>
      <c r="E65" s="18" t="s">
        <v>124</v>
      </c>
      <c r="F65" s="18">
        <v>2</v>
      </c>
      <c r="G65" s="18">
        <v>199</v>
      </c>
      <c r="H65" s="42">
        <f t="shared" si="3"/>
        <v>398</v>
      </c>
      <c r="I65" s="19"/>
      <c r="J65" s="41" t="s">
        <v>125</v>
      </c>
      <c r="K65" s="43" t="s">
        <v>135</v>
      </c>
      <c r="L65" s="21"/>
      <c r="M65" s="15">
        <v>45154</v>
      </c>
      <c r="N65" s="12"/>
      <c r="O65" s="20"/>
      <c r="P65" s="16">
        <v>45184</v>
      </c>
      <c r="Q65" s="16">
        <v>45184</v>
      </c>
    </row>
    <row r="66" spans="2:17" ht="19.7" customHeight="1" x14ac:dyDescent="0.15">
      <c r="B66" s="12">
        <v>3</v>
      </c>
      <c r="C66" s="41" t="s">
        <v>120</v>
      </c>
      <c r="D66" s="41" t="s">
        <v>120</v>
      </c>
      <c r="E66" s="18" t="s">
        <v>126</v>
      </c>
      <c r="F66" s="18">
        <v>4</v>
      </c>
      <c r="G66" s="18">
        <v>528</v>
      </c>
      <c r="H66" s="42">
        <f t="shared" si="3"/>
        <v>2112</v>
      </c>
      <c r="I66" s="14"/>
      <c r="J66" s="41" t="s">
        <v>127</v>
      </c>
      <c r="K66" s="43" t="s">
        <v>136</v>
      </c>
      <c r="L66" s="21"/>
      <c r="M66" s="15">
        <v>45154</v>
      </c>
      <c r="N66" s="12"/>
      <c r="O66" s="20"/>
      <c r="P66" s="16">
        <v>45184</v>
      </c>
      <c r="Q66" s="16">
        <v>45184</v>
      </c>
    </row>
    <row r="67" spans="2:17" ht="19.7" customHeight="1" x14ac:dyDescent="0.15">
      <c r="B67" s="12">
        <v>3</v>
      </c>
      <c r="C67" s="45" t="s">
        <v>120</v>
      </c>
      <c r="D67" s="45" t="s">
        <v>120</v>
      </c>
      <c r="E67" s="23" t="s">
        <v>128</v>
      </c>
      <c r="F67" s="23">
        <v>1</v>
      </c>
      <c r="G67" s="23">
        <v>5070</v>
      </c>
      <c r="H67" s="24">
        <f t="shared" si="3"/>
        <v>5070</v>
      </c>
      <c r="I67" s="44"/>
      <c r="J67" s="45" t="s">
        <v>129</v>
      </c>
      <c r="K67" s="43" t="s">
        <v>137</v>
      </c>
      <c r="L67" s="21"/>
      <c r="M67" s="15">
        <v>45154</v>
      </c>
      <c r="N67" s="12"/>
      <c r="O67" s="20"/>
      <c r="P67" s="16">
        <v>45184</v>
      </c>
      <c r="Q67" s="16">
        <v>45184</v>
      </c>
    </row>
    <row r="68" spans="2:17" ht="19.7" customHeight="1" x14ac:dyDescent="0.15">
      <c r="B68" s="12">
        <v>3</v>
      </c>
      <c r="C68" s="45" t="s">
        <v>120</v>
      </c>
      <c r="D68" s="45" t="s">
        <v>120</v>
      </c>
      <c r="E68" s="23" t="s">
        <v>130</v>
      </c>
      <c r="F68" s="23">
        <v>1</v>
      </c>
      <c r="G68" s="23">
        <v>251</v>
      </c>
      <c r="H68" s="24">
        <f t="shared" si="3"/>
        <v>251</v>
      </c>
      <c r="I68" s="44"/>
      <c r="J68" s="23" t="s">
        <v>131</v>
      </c>
      <c r="K68" s="43" t="s">
        <v>138</v>
      </c>
      <c r="L68" s="21"/>
      <c r="M68" s="15">
        <v>45154</v>
      </c>
      <c r="N68" s="12"/>
      <c r="O68" s="20"/>
      <c r="P68" s="16">
        <v>45184</v>
      </c>
      <c r="Q68" s="16">
        <v>45184</v>
      </c>
    </row>
  </sheetData>
  <autoFilter ref="B9:O24" xr:uid="{00000000-0009-0000-0000-000000000000}"/>
  <mergeCells count="5">
    <mergeCell ref="B6:D6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2023-11-17T02:16:00Z</dcterms:modified>
</cp:coreProperties>
</file>