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225"/>
  <workbookPr/>
  <mc:AlternateContent xmlns:mc="http://schemas.openxmlformats.org/markup-compatibility/2006">
    <mc:Choice Requires="x15">
      <x15ac:absPath xmlns:x15ac="http://schemas.microsoft.com/office/spreadsheetml/2010/11/ac" url="\\SV-AP\data\製品管理部(機材)出荷管理課・資材調達課\機材・資材調達課(ﾛﾎﾞｯﾄ部品手配)\"/>
    </mc:Choice>
  </mc:AlternateContent>
  <xr:revisionPtr revIDLastSave="0" documentId="13_ncr:1_{CEDB70EC-8473-4119-9BD3-F8C816BF9FBB}" xr6:coauthVersionLast="47" xr6:coauthVersionMax="47" xr10:uidLastSave="{00000000-0000-0000-0000-000000000000}"/>
  <bookViews>
    <workbookView xWindow="-110" yWindow="-110" windowWidth="38620" windowHeight="21220" xr2:uid="{00000000-000D-0000-FFFF-FFFF00000000}"/>
  </bookViews>
  <sheets>
    <sheet name="原価一覧 (20240605) ②" sheetId="17" r:id="rId1"/>
    <sheet name="Sheet2" sheetId="2" r:id="rId2"/>
    <sheet name="Sheet3" sheetId="3" r:id="rId3"/>
  </sheets>
  <definedNames>
    <definedName name="_xlnm._FilterDatabase" localSheetId="0" hidden="1">'原価一覧 (20240605) ②'!$C$8:$P$42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I24" i="17" l="1"/>
  <c r="I23" i="17"/>
  <c r="I38" i="17"/>
  <c r="I37" i="17"/>
  <c r="I36" i="17"/>
  <c r="I32" i="17"/>
  <c r="I31" i="17"/>
  <c r="I30" i="17"/>
  <c r="I29" i="17"/>
  <c r="I15" i="17"/>
  <c r="I14" i="17"/>
  <c r="I13" i="17"/>
  <c r="I12" i="17"/>
  <c r="I11" i="17"/>
  <c r="I10" i="17"/>
  <c r="C11" i="17"/>
  <c r="C12" i="17" l="1"/>
  <c r="C13" i="17" s="1"/>
  <c r="C14" i="17" s="1"/>
  <c r="C15" i="17" s="1"/>
  <c r="C23" i="17" s="1"/>
  <c r="C29" i="17" s="1"/>
  <c r="K2" i="17"/>
  <c r="F34" i="17"/>
  <c r="F17" i="17"/>
  <c r="C30" i="17" l="1"/>
  <c r="C31" i="17" s="1"/>
  <c r="C32" i="17" s="1"/>
</calcChain>
</file>

<file path=xl/sharedStrings.xml><?xml version="1.0" encoding="utf-8"?>
<sst xmlns="http://schemas.openxmlformats.org/spreadsheetml/2006/main" count="134" uniqueCount="77">
  <si>
    <t>お客先名</t>
  </si>
  <si>
    <t>合計金額</t>
  </si>
  <si>
    <t>担当営業</t>
  </si>
  <si>
    <t>受注番号</t>
  </si>
  <si>
    <t>希望納期</t>
  </si>
  <si>
    <t>最終納品</t>
  </si>
  <si>
    <t>見積り分類</t>
  </si>
  <si>
    <t>メーカー</t>
  </si>
  <si>
    <t>仕入先</t>
  </si>
  <si>
    <t>品名 / 型式</t>
  </si>
  <si>
    <t>数量</t>
  </si>
  <si>
    <t>単価</t>
  </si>
  <si>
    <t>金額</t>
  </si>
  <si>
    <t>分類合計</t>
  </si>
  <si>
    <t>詳細</t>
  </si>
  <si>
    <t>備考</t>
  </si>
  <si>
    <t>技術分類</t>
  </si>
  <si>
    <t>発注日</t>
  </si>
  <si>
    <t>発注</t>
  </si>
  <si>
    <t>納期</t>
  </si>
  <si>
    <t>入荷予定日</t>
  </si>
  <si>
    <t>入荷日</t>
  </si>
  <si>
    <t>ツ－ル治具部分</t>
  </si>
  <si>
    <t>運送費</t>
  </si>
  <si>
    <t>設計費</t>
  </si>
  <si>
    <t>組立調整費</t>
  </si>
  <si>
    <t>配電部分</t>
    <rPh sb="0" eb="2">
      <t>ハイデン</t>
    </rPh>
    <rPh sb="2" eb="4">
      <t>ブブン</t>
    </rPh>
    <phoneticPr fontId="10"/>
  </si>
  <si>
    <t>ＳＭＣ</t>
    <phoneticPr fontId="12"/>
  </si>
  <si>
    <t>制御機材</t>
    <rPh sb="0" eb="2">
      <t>セイギョ</t>
    </rPh>
    <rPh sb="2" eb="4">
      <t>キザイ</t>
    </rPh>
    <phoneticPr fontId="12"/>
  </si>
  <si>
    <t>ロータリシリンダ</t>
    <phoneticPr fontId="12"/>
  </si>
  <si>
    <t>AW10-M5BG-A</t>
    <phoneticPr fontId="12"/>
  </si>
  <si>
    <t>レギュレータ</t>
    <phoneticPr fontId="12"/>
  </si>
  <si>
    <t>電磁弁</t>
    <rPh sb="0" eb="3">
      <t>デンジベン</t>
    </rPh>
    <phoneticPr fontId="12"/>
  </si>
  <si>
    <t>リード線</t>
    <rPh sb="3" eb="4">
      <t>セン</t>
    </rPh>
    <phoneticPr fontId="12"/>
  </si>
  <si>
    <t>AS1201F-M5-04A</t>
    <phoneticPr fontId="12"/>
  </si>
  <si>
    <t>スピコン</t>
    <phoneticPr fontId="12"/>
  </si>
  <si>
    <t>モノタロウなら8日間</t>
    <rPh sb="8" eb="9">
      <t>ヒ</t>
    </rPh>
    <rPh sb="9" eb="10">
      <t>カン</t>
    </rPh>
    <phoneticPr fontId="10"/>
  </si>
  <si>
    <t>1日目</t>
    <rPh sb="1" eb="2">
      <t>ヒ</t>
    </rPh>
    <rPh sb="2" eb="3">
      <t>メ</t>
    </rPh>
    <phoneticPr fontId="12"/>
  </si>
  <si>
    <t xml:space="preserve">SYJ3240-5MOZE-M5  </t>
    <phoneticPr fontId="12"/>
  </si>
  <si>
    <t>SY100-30-4A</t>
    <phoneticPr fontId="12"/>
  </si>
  <si>
    <t>出荷依頼項目NO.</t>
    <rPh sb="0" eb="4">
      <t>シュッカイライ</t>
    </rPh>
    <rPh sb="4" eb="6">
      <t>コウモク</t>
    </rPh>
    <phoneticPr fontId="10"/>
  </si>
  <si>
    <t>福島</t>
    <rPh sb="0" eb="2">
      <t>フクシマ</t>
    </rPh>
    <phoneticPr fontId="10"/>
  </si>
  <si>
    <t>Ｎo.【202839】</t>
    <phoneticPr fontId="10"/>
  </si>
  <si>
    <t>PEW池田電機様　(阪本（株））</t>
    <rPh sb="10" eb="12">
      <t>サカモト</t>
    </rPh>
    <rPh sb="12" eb="15">
      <t>カブ</t>
    </rPh>
    <phoneticPr fontId="10"/>
  </si>
  <si>
    <t>SMC</t>
    <phoneticPr fontId="10"/>
  </si>
  <si>
    <t>10日目</t>
    <rPh sb="2" eb="3">
      <t>ヒ</t>
    </rPh>
    <rPh sb="3" eb="4">
      <t>メ</t>
    </rPh>
    <phoneticPr fontId="12"/>
  </si>
  <si>
    <t>オムロン</t>
    <phoneticPr fontId="12"/>
  </si>
  <si>
    <t>S8VS-12024</t>
    <phoneticPr fontId="12"/>
  </si>
  <si>
    <t>パワーサプライ   5A</t>
    <phoneticPr fontId="12"/>
  </si>
  <si>
    <t>富士電機</t>
    <rPh sb="0" eb="2">
      <t>フジ</t>
    </rPh>
    <rPh sb="2" eb="4">
      <t>デンキ</t>
    </rPh>
    <phoneticPr fontId="12"/>
  </si>
  <si>
    <t>制御機材</t>
    <rPh sb="0" eb="4">
      <t>セイギョキザイ</t>
    </rPh>
    <phoneticPr fontId="12"/>
  </si>
  <si>
    <t>CP30FM-2P005 5A</t>
    <phoneticPr fontId="12"/>
  </si>
  <si>
    <t>サーキットプロテクター</t>
    <phoneticPr fontId="12"/>
  </si>
  <si>
    <t xml:space="preserve">	LERH30K-R51N1D</t>
    <phoneticPr fontId="10"/>
  </si>
  <si>
    <t>モノタロウなら4日間</t>
    <rPh sb="8" eb="9">
      <t>ヒ</t>
    </rPh>
    <rPh sb="9" eb="10">
      <t>カン</t>
    </rPh>
    <phoneticPr fontId="10"/>
  </si>
  <si>
    <t>6日目</t>
    <rPh sb="1" eb="3">
      <t>ヒメ</t>
    </rPh>
    <phoneticPr fontId="12"/>
  </si>
  <si>
    <t>CP30FM-2P007 7A</t>
    <phoneticPr fontId="12"/>
  </si>
  <si>
    <t>5日目</t>
    <rPh sb="1" eb="3">
      <t>ヒメ</t>
    </rPh>
    <phoneticPr fontId="12"/>
  </si>
  <si>
    <t xml:space="preserve">DR30D0L-H9W </t>
    <phoneticPr fontId="12"/>
  </si>
  <si>
    <t>φ30 コマンドスイッチ DR30 表示灯</t>
    <phoneticPr fontId="12"/>
  </si>
  <si>
    <t>MSQXB10A-M9NM</t>
    <phoneticPr fontId="12"/>
  </si>
  <si>
    <t>永田</t>
    <rPh sb="0" eb="2">
      <t>ナガタ</t>
    </rPh>
    <phoneticPr fontId="10"/>
  </si>
  <si>
    <t>SETB0236-A01　AXAロボット400-HV+SV70ﾛｰﾀﾘｰｱｸﾁｭｴﾀｰSMCﾁﾙﾄﾓｰﾀｰ＋浸け置き+SVC720F　</t>
    <phoneticPr fontId="10"/>
  </si>
  <si>
    <t>図面NO.　SETB-0236-A01</t>
    <rPh sb="0" eb="2">
      <t>ズメン</t>
    </rPh>
    <phoneticPr fontId="10"/>
  </si>
  <si>
    <t>②</t>
    <phoneticPr fontId="10"/>
  </si>
  <si>
    <t>明治電機工業（株）【アイシン　様】</t>
    <rPh sb="0" eb="2">
      <t>メイジ</t>
    </rPh>
    <rPh sb="2" eb="4">
      <t>デンキ</t>
    </rPh>
    <rPh sb="4" eb="6">
      <t>コウギョウ</t>
    </rPh>
    <rPh sb="6" eb="9">
      <t>カブ</t>
    </rPh>
    <rPh sb="15" eb="16">
      <t>サマ</t>
    </rPh>
    <phoneticPr fontId="10"/>
  </si>
  <si>
    <t>Ｎo.218124</t>
    <phoneticPr fontId="10"/>
  </si>
  <si>
    <t>電動ロータリテーブル LERH3</t>
    <phoneticPr fontId="10"/>
  </si>
  <si>
    <t>見積もりNo. 22-24-00717A</t>
    <phoneticPr fontId="10"/>
  </si>
  <si>
    <t>アズワン</t>
    <phoneticPr fontId="12"/>
  </si>
  <si>
    <t>（株）石鍋</t>
    <rPh sb="0" eb="3">
      <t>カブ</t>
    </rPh>
    <rPh sb="3" eb="5">
      <t>イシナベ</t>
    </rPh>
    <phoneticPr fontId="12"/>
  </si>
  <si>
    <t xml:space="preserve">5-079-04　 </t>
    <phoneticPr fontId="12"/>
  </si>
  <si>
    <t>ﾐﾆｶｯﾌﾟ（30cc）　</t>
    <phoneticPr fontId="12"/>
  </si>
  <si>
    <t>浸け置きﾕﾆｯﾄ</t>
    <rPh sb="0" eb="1">
      <t>ツ</t>
    </rPh>
    <rPh sb="2" eb="3">
      <t>オ</t>
    </rPh>
    <phoneticPr fontId="12"/>
  </si>
  <si>
    <t>10/15・仙台営業所着</t>
  </si>
  <si>
    <t>送料</t>
    <rPh sb="0" eb="2">
      <t>ソウリョウ</t>
    </rPh>
    <phoneticPr fontId="10"/>
  </si>
  <si>
    <t>10/10-11仙台</t>
    <rPh sb="8" eb="10">
      <t>センダイ</t>
    </rPh>
    <phoneticPr fontId="10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</si>
</sst>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176" formatCode="#,##0_);[Red]\(#,##0\)"/>
    <numFmt numFmtId="177" formatCode="yyyy&quot;年&quot;m&quot;月&quot;d&quot;日&quot;;@"/>
    <numFmt numFmtId="178" formatCode="m/d;@"/>
    <numFmt numFmtId="179" formatCode="m&quot;月&quot;d&quot;日&quot;;@"/>
    <numFmt numFmtId="180" formatCode="0_ "/>
    <numFmt numFmtId="181" formatCode="0_ ;[Red]\-0\ "/>
  </numFmts>
  <fonts count="25" x14ac:knownFonts="1">
    <font>
      <sz val="11"/>
      <color theme="1"/>
      <name val="ＭＳ Ｐゴシック"/>
      <scheme val="minor"/>
    </font>
    <font>
      <u/>
      <sz val="11"/>
      <name val="ＭＳ Ｐゴシック"/>
      <family val="3"/>
      <charset val="128"/>
      <scheme val="minor"/>
    </font>
    <font>
      <b/>
      <sz val="11"/>
      <color theme="1"/>
      <name val="ＭＳ Ｐゴシック"/>
      <family val="3"/>
      <charset val="128"/>
      <scheme val="minor"/>
    </font>
    <font>
      <b/>
      <sz val="13.95"/>
      <color rgb="FF000000"/>
      <name val="ＭＳ Ｐゴシック"/>
      <family val="3"/>
      <charset val="128"/>
    </font>
    <font>
      <b/>
      <sz val="11"/>
      <color rgb="FF000000"/>
      <name val="ＭＳ Ｐゴシック"/>
      <family val="3"/>
      <charset val="128"/>
    </font>
    <font>
      <sz val="11"/>
      <color rgb="FF000000"/>
      <name val="ＭＳ Ｐゴシック"/>
      <family val="3"/>
      <charset val="128"/>
    </font>
    <font>
      <sz val="9.9499999999999993"/>
      <color rgb="FF000000"/>
      <name val="ＭＳ Ｐゴシック"/>
      <family val="3"/>
      <charset val="128"/>
    </font>
    <font>
      <b/>
      <sz val="13.95"/>
      <color theme="1"/>
      <name val="ＭＳ Ｐゴシック"/>
      <family val="3"/>
      <charset val="128"/>
      <scheme val="minor"/>
    </font>
    <font>
      <b/>
      <sz val="12"/>
      <color rgb="FF000000"/>
      <name val="ＭＳ Ｐゴシック"/>
      <family val="3"/>
      <charset val="128"/>
    </font>
    <font>
      <sz val="11"/>
      <color theme="1"/>
      <name val="ＭＳ Ｐゴシック"/>
      <family val="3"/>
      <charset val="128"/>
      <scheme val="minor"/>
    </font>
    <font>
      <sz val="6"/>
      <name val="ＭＳ Ｐゴシック"/>
      <family val="3"/>
      <charset val="128"/>
      <scheme val="minor"/>
    </font>
    <font>
      <sz val="11"/>
      <color indexed="8"/>
      <name val="ＭＳ Ｐゴシック"/>
      <family val="3"/>
      <charset val="128"/>
    </font>
    <font>
      <sz val="6"/>
      <name val="ＭＳ Ｐゴシック"/>
      <family val="3"/>
      <charset val="128"/>
    </font>
    <font>
      <sz val="11"/>
      <color theme="1"/>
      <name val="ＭＳ Ｐゴシック"/>
      <family val="3"/>
      <charset val="128"/>
    </font>
    <font>
      <sz val="11"/>
      <name val="ＭＳ Ｐゴシック"/>
      <family val="3"/>
      <charset val="128"/>
    </font>
    <font>
      <sz val="11"/>
      <name val="ＭＳ Ｐゴシック"/>
      <family val="3"/>
      <charset val="128"/>
      <scheme val="minor"/>
    </font>
    <font>
      <b/>
      <sz val="11"/>
      <color theme="1"/>
      <name val="ＭＳ Ｐゴシック"/>
      <family val="3"/>
      <charset val="128"/>
      <scheme val="minor"/>
    </font>
    <font>
      <b/>
      <sz val="16"/>
      <color theme="1"/>
      <name val="ＭＳ Ｐゴシック"/>
      <family val="3"/>
      <charset val="128"/>
      <scheme val="minor"/>
    </font>
    <font>
      <b/>
      <sz val="14"/>
      <color theme="1"/>
      <name val="ＭＳ Ｐゴシック"/>
      <family val="3"/>
      <charset val="128"/>
      <scheme val="minor"/>
    </font>
    <font>
      <sz val="11"/>
      <color rgb="FF333333"/>
      <name val="ＭＳ Ｐゴシック"/>
      <family val="3"/>
      <charset val="128"/>
      <scheme val="minor"/>
    </font>
    <font>
      <sz val="11"/>
      <name val="ＭＳ Ｐ明朝"/>
      <family val="1"/>
      <charset val="128"/>
    </font>
    <font>
      <b/>
      <sz val="12"/>
      <color rgb="FFFF0000"/>
      <name val="ＭＳ Ｐゴシック"/>
      <family val="3"/>
      <charset val="128"/>
      <scheme val="minor"/>
    </font>
    <font>
      <b/>
      <sz val="11"/>
      <color rgb="FF00B0F0"/>
      <name val="ＭＳ Ｐゴシック"/>
      <family val="3"/>
      <charset val="128"/>
      <scheme val="minor"/>
    </font>
    <font>
      <sz val="18"/>
      <color theme="1"/>
      <name val="ＭＳ Ｐゴシック"/>
      <family val="3"/>
      <charset val="128"/>
      <scheme val="minor"/>
    </font>
    <font>
      <b/>
      <sz val="11"/>
      <color rgb="FF0070C0"/>
      <name val="ＭＳ Ｐゴシック"/>
      <family val="3"/>
      <charset val="128"/>
      <scheme val="minor"/>
    </font>
  </fonts>
  <fills count="12">
    <fill>
      <patternFill patternType="none"/>
    </fill>
    <fill>
      <patternFill patternType="gray125"/>
    </fill>
    <fill>
      <patternFill patternType="solid">
        <fgColor theme="8" tint="0.58998382518997772"/>
        <bgColor indexed="64"/>
      </patternFill>
    </fill>
    <fill>
      <patternFill patternType="solid">
        <fgColor rgb="FFFFFF99"/>
      </patternFill>
    </fill>
    <fill>
      <patternFill patternType="solid">
        <fgColor rgb="FF92D05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0"/>
        <bgColor indexed="64"/>
      </patternFill>
    </fill>
  </fills>
  <borders count="19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 style="thin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5">
    <xf numFmtId="0" fontId="0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9" fillId="0" borderId="0">
      <alignment vertical="center"/>
    </xf>
    <xf numFmtId="0" fontId="14" fillId="0" borderId="0">
      <alignment vertical="center"/>
    </xf>
  </cellStyleXfs>
  <cellXfs count="132">
    <xf numFmtId="0" fontId="0" fillId="0" borderId="0" xfId="0">
      <alignment vertical="center"/>
    </xf>
    <xf numFmtId="0" fontId="0" fillId="0" borderId="2" xfId="0" applyBorder="1" applyAlignment="1">
      <alignment horizontal="center" vertical="center"/>
    </xf>
    <xf numFmtId="3" fontId="0" fillId="0" borderId="1" xfId="0" applyNumberFormat="1" applyBorder="1" applyAlignment="1">
      <alignment horizontal="center" vertical="center"/>
    </xf>
    <xf numFmtId="0" fontId="0" fillId="0" borderId="1" xfId="0" applyBorder="1" applyAlignment="1">
      <alignment horizontal="center" vertical="center" shrinkToFit="1"/>
    </xf>
    <xf numFmtId="176" fontId="0" fillId="0" borderId="1" xfId="0" applyNumberFormat="1" applyBorder="1">
      <alignment vertical="center"/>
    </xf>
    <xf numFmtId="0" fontId="0" fillId="0" borderId="0" xfId="0" applyAlignment="1">
      <alignment horizontal="center" vertical="center"/>
    </xf>
    <xf numFmtId="177" fontId="0" fillId="0" borderId="1" xfId="0" applyNumberFormat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177" fontId="3" fillId="0" borderId="1" xfId="0" applyNumberFormat="1" applyFont="1" applyBorder="1" applyAlignment="1">
      <alignment horizontal="center" vertical="center"/>
    </xf>
    <xf numFmtId="176" fontId="4" fillId="0" borderId="1" xfId="0" applyNumberFormat="1" applyFont="1" applyBorder="1">
      <alignment vertical="center"/>
    </xf>
    <xf numFmtId="0" fontId="0" fillId="0" borderId="0" xfId="0" applyAlignment="1">
      <alignment horizontal="right" vertical="center"/>
    </xf>
    <xf numFmtId="176" fontId="0" fillId="0" borderId="1" xfId="0" applyNumberFormat="1" applyBorder="1" applyAlignment="1"/>
    <xf numFmtId="178" fontId="0" fillId="0" borderId="1" xfId="0" applyNumberFormat="1" applyBorder="1" applyAlignment="1">
      <alignment horizontal="center" vertical="center"/>
    </xf>
    <xf numFmtId="0" fontId="5" fillId="0" borderId="1" xfId="0" applyFont="1" applyBorder="1" applyAlignment="1">
      <alignment horizontal="left" vertical="center"/>
    </xf>
    <xf numFmtId="176" fontId="0" fillId="0" borderId="3" xfId="0" applyNumberFormat="1" applyBorder="1">
      <alignment vertical="center"/>
    </xf>
    <xf numFmtId="0" fontId="6" fillId="0" borderId="1" xfId="0" applyFont="1" applyBorder="1" applyAlignment="1">
      <alignment horizontal="center" vertical="center"/>
    </xf>
    <xf numFmtId="0" fontId="0" fillId="0" borderId="1" xfId="0" applyBorder="1" applyAlignment="1">
      <alignment horizontal="left" vertical="center"/>
    </xf>
    <xf numFmtId="176" fontId="0" fillId="0" borderId="1" xfId="0" applyNumberFormat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vertical="center" shrinkToFit="1"/>
    </xf>
    <xf numFmtId="179" fontId="0" fillId="0" borderId="1" xfId="0" applyNumberFormat="1" applyBorder="1" applyAlignment="1">
      <alignment horizontal="center" vertical="center"/>
    </xf>
    <xf numFmtId="0" fontId="0" fillId="0" borderId="1" xfId="0" applyBorder="1">
      <alignment vertical="center"/>
    </xf>
    <xf numFmtId="0" fontId="0" fillId="0" borderId="3" xfId="0" applyBorder="1" applyAlignment="1">
      <alignment horizontal="left" vertical="center"/>
    </xf>
    <xf numFmtId="0" fontId="8" fillId="0" borderId="1" xfId="0" applyFont="1" applyBorder="1" applyAlignment="1">
      <alignment horizontal="center" vertical="center"/>
    </xf>
    <xf numFmtId="0" fontId="5" fillId="0" borderId="1" xfId="0" applyFont="1" applyBorder="1" applyAlignment="1">
      <alignment horizontal="center" vertical="center"/>
    </xf>
    <xf numFmtId="0" fontId="0" fillId="0" borderId="9" xfId="0" applyBorder="1">
      <alignment vertical="center"/>
    </xf>
    <xf numFmtId="0" fontId="0" fillId="0" borderId="9" xfId="0" applyBorder="1" applyAlignment="1">
      <alignment horizontal="center" vertical="center"/>
    </xf>
    <xf numFmtId="0" fontId="0" fillId="0" borderId="11" xfId="0" applyBorder="1" applyAlignment="1">
      <alignment horizontal="center" vertical="center"/>
    </xf>
    <xf numFmtId="3" fontId="0" fillId="0" borderId="9" xfId="0" applyNumberFormat="1" applyBorder="1" applyAlignment="1">
      <alignment horizontal="center" vertical="center"/>
    </xf>
    <xf numFmtId="178" fontId="0" fillId="0" borderId="9" xfId="0" applyNumberFormat="1" applyBorder="1" applyAlignment="1">
      <alignment horizontal="center" vertical="center"/>
    </xf>
    <xf numFmtId="0" fontId="5" fillId="0" borderId="9" xfId="0" applyFont="1" applyBorder="1" applyAlignment="1">
      <alignment horizontal="center" vertical="center"/>
    </xf>
    <xf numFmtId="56" fontId="0" fillId="0" borderId="9" xfId="0" applyNumberFormat="1" applyBorder="1" applyAlignment="1">
      <alignment horizontal="center" vertical="center"/>
    </xf>
    <xf numFmtId="177" fontId="0" fillId="0" borderId="0" xfId="0" applyNumberFormat="1" applyAlignment="1">
      <alignment horizontal="center" vertical="center"/>
    </xf>
    <xf numFmtId="0" fontId="15" fillId="0" borderId="9" xfId="0" applyFont="1" applyBorder="1">
      <alignment vertical="center"/>
    </xf>
    <xf numFmtId="176" fontId="0" fillId="0" borderId="9" xfId="0" applyNumberFormat="1" applyBorder="1" applyAlignment="1">
      <alignment horizontal="center" vertical="center"/>
    </xf>
    <xf numFmtId="176" fontId="0" fillId="0" borderId="9" xfId="0" applyNumberFormat="1" applyBorder="1" applyAlignment="1"/>
    <xf numFmtId="0" fontId="0" fillId="0" borderId="9" xfId="0" applyBorder="1" applyAlignment="1">
      <alignment horizontal="left" vertical="center" shrinkToFit="1"/>
    </xf>
    <xf numFmtId="0" fontId="15" fillId="0" borderId="9" xfId="0" applyFont="1" applyBorder="1" applyAlignment="1">
      <alignment horizontal="center" vertical="center"/>
    </xf>
    <xf numFmtId="0" fontId="5" fillId="0" borderId="5" xfId="0" applyFont="1" applyBorder="1" applyAlignment="1">
      <alignment horizontal="center" vertical="center"/>
    </xf>
    <xf numFmtId="49" fontId="5" fillId="0" borderId="9" xfId="0" applyNumberFormat="1" applyFont="1" applyBorder="1" applyAlignment="1">
      <alignment vertical="center" shrinkToFit="1"/>
    </xf>
    <xf numFmtId="0" fontId="9" fillId="0" borderId="9" xfId="0" applyFont="1" applyBorder="1" applyAlignment="1">
      <alignment horizontal="left" vertical="center" shrinkToFit="1"/>
    </xf>
    <xf numFmtId="49" fontId="9" fillId="0" borderId="9" xfId="0" applyNumberFormat="1" applyFont="1" applyBorder="1" applyAlignment="1">
      <alignment horizontal="left" vertical="center"/>
    </xf>
    <xf numFmtId="0" fontId="9" fillId="0" borderId="0" xfId="0" applyFont="1">
      <alignment vertical="center"/>
    </xf>
    <xf numFmtId="38" fontId="0" fillId="0" borderId="9" xfId="0" applyNumberFormat="1" applyBorder="1" applyAlignment="1">
      <alignment horizontal="center" vertical="center"/>
    </xf>
    <xf numFmtId="176" fontId="0" fillId="0" borderId="3" xfId="0" applyNumberFormat="1" applyBorder="1" applyAlignment="1">
      <alignment horizontal="center" vertical="center"/>
    </xf>
    <xf numFmtId="38" fontId="15" fillId="0" borderId="9" xfId="0" applyNumberFormat="1" applyFont="1" applyBorder="1" applyAlignment="1">
      <alignment horizontal="center" vertical="center"/>
    </xf>
    <xf numFmtId="3" fontId="0" fillId="0" borderId="10" xfId="0" applyNumberFormat="1" applyBorder="1" applyAlignment="1">
      <alignment horizontal="center" vertical="center"/>
    </xf>
    <xf numFmtId="176" fontId="0" fillId="0" borderId="8" xfId="0" applyNumberFormat="1" applyBorder="1">
      <alignment vertical="center"/>
    </xf>
    <xf numFmtId="3" fontId="0" fillId="0" borderId="14" xfId="0" applyNumberFormat="1" applyBorder="1" applyAlignment="1">
      <alignment horizontal="center" vertical="center"/>
    </xf>
    <xf numFmtId="176" fontId="17" fillId="0" borderId="14" xfId="0" applyNumberFormat="1" applyFont="1" applyBorder="1" applyAlignment="1">
      <alignment horizontal="center" vertical="center"/>
    </xf>
    <xf numFmtId="180" fontId="15" fillId="0" borderId="14" xfId="0" applyNumberFormat="1" applyFont="1" applyBorder="1" applyAlignment="1">
      <alignment horizontal="center" vertical="center"/>
    </xf>
    <xf numFmtId="0" fontId="0" fillId="0" borderId="14" xfId="0" applyBorder="1" applyAlignment="1">
      <alignment horizontal="center" vertical="center"/>
    </xf>
    <xf numFmtId="0" fontId="6" fillId="0" borderId="9" xfId="0" applyFont="1" applyBorder="1" applyAlignment="1">
      <alignment horizontal="center" vertical="center"/>
    </xf>
    <xf numFmtId="56" fontId="9" fillId="0" borderId="9" xfId="0" applyNumberFormat="1" applyFont="1" applyBorder="1" applyAlignment="1">
      <alignment horizontal="center" vertical="center"/>
    </xf>
    <xf numFmtId="0" fontId="0" fillId="0" borderId="3" xfId="0" applyBorder="1" applyAlignment="1">
      <alignment horizontal="center" vertical="center" shrinkToFit="1"/>
    </xf>
    <xf numFmtId="0" fontId="0" fillId="0" borderId="9" xfId="0" applyBorder="1" applyAlignment="1">
      <alignment vertical="center" shrinkToFit="1"/>
    </xf>
    <xf numFmtId="0" fontId="0" fillId="0" borderId="7" xfId="0" applyBorder="1" applyAlignment="1">
      <alignment vertical="center" shrinkToFit="1"/>
    </xf>
    <xf numFmtId="176" fontId="7" fillId="0" borderId="14" xfId="0" applyNumberFormat="1" applyFont="1" applyBorder="1" applyAlignment="1">
      <alignment horizontal="center" vertical="center"/>
    </xf>
    <xf numFmtId="176" fontId="0" fillId="0" borderId="15" xfId="0" applyNumberFormat="1" applyBorder="1" applyAlignment="1"/>
    <xf numFmtId="0" fontId="0" fillId="0" borderId="10" xfId="0" applyBorder="1" applyAlignment="1">
      <alignment horizontal="left" vertical="center"/>
    </xf>
    <xf numFmtId="3" fontId="0" fillId="9" borderId="9" xfId="0" applyNumberFormat="1" applyFill="1" applyBorder="1" applyAlignment="1">
      <alignment horizontal="center" vertical="center"/>
    </xf>
    <xf numFmtId="0" fontId="9" fillId="0" borderId="9" xfId="0" applyFont="1" applyBorder="1" applyAlignment="1">
      <alignment horizontal="center" vertical="center"/>
    </xf>
    <xf numFmtId="0" fontId="0" fillId="0" borderId="9" xfId="0" applyBorder="1" applyAlignment="1">
      <alignment horizontal="right" vertical="center"/>
    </xf>
    <xf numFmtId="177" fontId="0" fillId="0" borderId="4" xfId="0" applyNumberFormat="1" applyBorder="1" applyAlignment="1">
      <alignment horizontal="center" vertical="center"/>
    </xf>
    <xf numFmtId="3" fontId="0" fillId="0" borderId="7" xfId="0" applyNumberFormat="1" applyBorder="1" applyAlignment="1">
      <alignment horizontal="center" vertical="center"/>
    </xf>
    <xf numFmtId="0" fontId="2" fillId="0" borderId="9" xfId="0" applyFont="1" applyBorder="1" applyAlignment="1">
      <alignment horizontal="center" vertical="center"/>
    </xf>
    <xf numFmtId="0" fontId="2" fillId="7" borderId="9" xfId="0" applyFont="1" applyFill="1" applyBorder="1" applyAlignment="1">
      <alignment horizontal="center" vertical="center"/>
    </xf>
    <xf numFmtId="0" fontId="5" fillId="6" borderId="2" xfId="0" applyFont="1" applyFill="1" applyBorder="1" applyAlignment="1">
      <alignment horizontal="center" vertical="center"/>
    </xf>
    <xf numFmtId="0" fontId="2" fillId="8" borderId="9" xfId="0" applyFont="1" applyFill="1" applyBorder="1" applyAlignment="1">
      <alignment horizontal="center" vertical="center"/>
    </xf>
    <xf numFmtId="176" fontId="0" fillId="0" borderId="13" xfId="0" applyNumberFormat="1" applyBorder="1" applyAlignment="1"/>
    <xf numFmtId="0" fontId="0" fillId="0" borderId="7" xfId="0" applyBorder="1" applyAlignment="1">
      <alignment horizontal="center" vertical="center"/>
    </xf>
    <xf numFmtId="0" fontId="3" fillId="3" borderId="1" xfId="0" applyFont="1" applyFill="1" applyBorder="1" applyAlignment="1">
      <alignment horizontal="center" vertical="center"/>
    </xf>
    <xf numFmtId="0" fontId="9" fillId="8" borderId="9" xfId="0" applyFont="1" applyFill="1" applyBorder="1" applyAlignment="1">
      <alignment horizontal="center" vertical="center"/>
    </xf>
    <xf numFmtId="0" fontId="21" fillId="0" borderId="0" xfId="0" applyFont="1">
      <alignment vertical="center"/>
    </xf>
    <xf numFmtId="0" fontId="0" fillId="8" borderId="9" xfId="0" applyFill="1" applyBorder="1" applyAlignment="1">
      <alignment horizontal="center" vertical="center"/>
    </xf>
    <xf numFmtId="176" fontId="0" fillId="0" borderId="7" xfId="0" applyNumberFormat="1" applyBorder="1">
      <alignment vertical="center"/>
    </xf>
    <xf numFmtId="0" fontId="5" fillId="0" borderId="3" xfId="0" applyFont="1" applyBorder="1" applyAlignment="1">
      <alignment horizontal="center" vertical="center"/>
    </xf>
    <xf numFmtId="176" fontId="7" fillId="0" borderId="9" xfId="0" applyNumberFormat="1" applyFont="1" applyBorder="1">
      <alignment vertical="center"/>
    </xf>
    <xf numFmtId="176" fontId="17" fillId="5" borderId="2" xfId="0" applyNumberFormat="1" applyFont="1" applyFill="1" applyBorder="1" applyAlignment="1">
      <alignment horizontal="center" vertical="center"/>
    </xf>
    <xf numFmtId="176" fontId="0" fillId="0" borderId="6" xfId="0" applyNumberFormat="1" applyBorder="1" applyAlignment="1"/>
    <xf numFmtId="176" fontId="17" fillId="5" borderId="8" xfId="0" applyNumberFormat="1" applyFont="1" applyFill="1" applyBorder="1" applyAlignment="1">
      <alignment horizontal="center" vertical="center"/>
    </xf>
    <xf numFmtId="0" fontId="5" fillId="0" borderId="6" xfId="0" applyFont="1" applyBorder="1" applyAlignment="1">
      <alignment horizontal="center" vertical="center"/>
    </xf>
    <xf numFmtId="0" fontId="9" fillId="8" borderId="9" xfId="0" applyFont="1" applyFill="1" applyBorder="1">
      <alignment vertical="center"/>
    </xf>
    <xf numFmtId="177" fontId="0" fillId="0" borderId="2" xfId="0" applyNumberFormat="1" applyBorder="1" applyAlignment="1">
      <alignment horizontal="center" vertical="center"/>
    </xf>
    <xf numFmtId="179" fontId="0" fillId="0" borderId="3" xfId="0" applyNumberFormat="1" applyBorder="1" applyAlignment="1">
      <alignment horizontal="center" vertical="center"/>
    </xf>
    <xf numFmtId="178" fontId="0" fillId="0" borderId="12" xfId="0" applyNumberFormat="1" applyBorder="1" applyAlignment="1">
      <alignment horizontal="center" vertical="center"/>
    </xf>
    <xf numFmtId="179" fontId="0" fillId="0" borderId="9" xfId="0" applyNumberFormat="1" applyBorder="1" applyAlignment="1">
      <alignment horizontal="center" vertical="center"/>
    </xf>
    <xf numFmtId="0" fontId="24" fillId="0" borderId="9" xfId="0" applyFont="1" applyBorder="1" applyAlignment="1">
      <alignment vertical="center" shrinkToFit="1"/>
    </xf>
    <xf numFmtId="0" fontId="15" fillId="0" borderId="11" xfId="0" applyFont="1" applyBorder="1" applyAlignment="1">
      <alignment horizontal="left" vertical="center"/>
    </xf>
    <xf numFmtId="49" fontId="0" fillId="8" borderId="9" xfId="0" applyNumberFormat="1" applyFill="1" applyBorder="1" applyAlignment="1">
      <alignment horizontal="left" vertical="center"/>
    </xf>
    <xf numFmtId="0" fontId="6" fillId="0" borderId="0" xfId="0" applyFont="1" applyAlignment="1">
      <alignment horizontal="center" vertical="center"/>
    </xf>
    <xf numFmtId="3" fontId="0" fillId="0" borderId="0" xfId="0" applyNumberFormat="1" applyAlignment="1">
      <alignment horizontal="center" vertical="center"/>
    </xf>
    <xf numFmtId="176" fontId="0" fillId="0" borderId="0" xfId="0" applyNumberFormat="1">
      <alignment vertical="center"/>
    </xf>
    <xf numFmtId="176" fontId="0" fillId="0" borderId="0" xfId="0" applyNumberFormat="1" applyAlignment="1"/>
    <xf numFmtId="0" fontId="0" fillId="0" borderId="0" xfId="0" applyAlignment="1">
      <alignment horizontal="left" vertical="center"/>
    </xf>
    <xf numFmtId="3" fontId="0" fillId="11" borderId="9" xfId="0" applyNumberFormat="1" applyFill="1" applyBorder="1" applyAlignment="1">
      <alignment horizontal="center" vertical="center"/>
    </xf>
    <xf numFmtId="49" fontId="22" fillId="11" borderId="9" xfId="0" applyNumberFormat="1" applyFont="1" applyFill="1" applyBorder="1" applyAlignment="1">
      <alignment horizontal="left" vertical="center"/>
    </xf>
    <xf numFmtId="176" fontId="0" fillId="11" borderId="9" xfId="0" applyNumberFormat="1" applyFill="1" applyBorder="1" applyAlignment="1">
      <alignment horizontal="center" vertical="center"/>
    </xf>
    <xf numFmtId="49" fontId="9" fillId="11" borderId="9" xfId="0" applyNumberFormat="1" applyFont="1" applyFill="1" applyBorder="1" applyAlignment="1">
      <alignment horizontal="left" vertical="center"/>
    </xf>
    <xf numFmtId="0" fontId="0" fillId="11" borderId="9" xfId="0" applyFill="1" applyBorder="1" applyAlignment="1">
      <alignment horizontal="center" vertical="center"/>
    </xf>
    <xf numFmtId="38" fontId="0" fillId="11" borderId="9" xfId="0" applyNumberFormat="1" applyFill="1" applyBorder="1" applyAlignment="1">
      <alignment horizontal="center" vertical="center"/>
    </xf>
    <xf numFmtId="0" fontId="9" fillId="11" borderId="9" xfId="0" applyFont="1" applyFill="1" applyBorder="1" applyAlignment="1">
      <alignment horizontal="center" vertical="center"/>
    </xf>
    <xf numFmtId="0" fontId="20" fillId="11" borderId="9" xfId="0" applyFont="1" applyFill="1" applyBorder="1" applyAlignment="1"/>
    <xf numFmtId="0" fontId="20" fillId="11" borderId="12" xfId="0" applyFont="1" applyFill="1" applyBorder="1" applyAlignment="1">
      <alignment horizontal="center"/>
    </xf>
    <xf numFmtId="3" fontId="19" fillId="11" borderId="9" xfId="0" applyNumberFormat="1" applyFont="1" applyFill="1" applyBorder="1" applyAlignment="1">
      <alignment horizontal="center" vertical="center"/>
    </xf>
    <xf numFmtId="49" fontId="13" fillId="11" borderId="9" xfId="0" applyNumberFormat="1" applyFont="1" applyFill="1" applyBorder="1" applyAlignment="1">
      <alignment horizontal="left" vertical="center"/>
    </xf>
    <xf numFmtId="49" fontId="0" fillId="11" borderId="9" xfId="0" applyNumberFormat="1" applyFill="1" applyBorder="1" applyAlignment="1">
      <alignment horizontal="left" vertical="center"/>
    </xf>
    <xf numFmtId="0" fontId="15" fillId="11" borderId="9" xfId="0" applyFont="1" applyFill="1" applyBorder="1">
      <alignment vertical="center"/>
    </xf>
    <xf numFmtId="181" fontId="15" fillId="11" borderId="9" xfId="0" applyNumberFormat="1" applyFont="1" applyFill="1" applyBorder="1" applyAlignment="1">
      <alignment horizontal="center" vertical="center"/>
    </xf>
    <xf numFmtId="38" fontId="15" fillId="11" borderId="9" xfId="0" applyNumberFormat="1" applyFont="1" applyFill="1" applyBorder="1" applyAlignment="1">
      <alignment horizontal="center" vertical="center"/>
    </xf>
    <xf numFmtId="0" fontId="11" fillId="11" borderId="9" xfId="0" applyFont="1" applyFill="1" applyBorder="1" applyAlignment="1">
      <alignment horizontal="center" vertical="center"/>
    </xf>
    <xf numFmtId="0" fontId="0" fillId="11" borderId="9" xfId="0" applyFill="1" applyBorder="1">
      <alignment vertical="center"/>
    </xf>
    <xf numFmtId="176" fontId="0" fillId="11" borderId="1" xfId="0" applyNumberFormat="1" applyFill="1" applyBorder="1" applyAlignment="1">
      <alignment horizontal="center" vertical="center"/>
    </xf>
    <xf numFmtId="176" fontId="17" fillId="0" borderId="14" xfId="0" applyNumberFormat="1" applyFont="1" applyBorder="1" applyAlignment="1">
      <alignment horizontal="left" vertical="center"/>
    </xf>
    <xf numFmtId="0" fontId="3" fillId="3" borderId="1" xfId="0" applyFont="1" applyFill="1" applyBorder="1" applyAlignment="1">
      <alignment horizontal="center" vertical="center"/>
    </xf>
    <xf numFmtId="0" fontId="4" fillId="3" borderId="2" xfId="0" applyFont="1" applyFill="1" applyBorder="1" applyAlignment="1">
      <alignment horizontal="center" vertical="center"/>
    </xf>
    <xf numFmtId="0" fontId="4" fillId="3" borderId="6" xfId="0" applyFont="1" applyFill="1" applyBorder="1" applyAlignment="1">
      <alignment horizontal="center" vertical="center"/>
    </xf>
    <xf numFmtId="0" fontId="4" fillId="3" borderId="7" xfId="0" applyFont="1" applyFill="1" applyBorder="1" applyAlignment="1">
      <alignment horizontal="center" vertical="center"/>
    </xf>
    <xf numFmtId="0" fontId="9" fillId="0" borderId="0" xfId="0" applyFont="1" applyAlignment="1">
      <alignment horizontal="left" vertical="center" wrapText="1"/>
    </xf>
    <xf numFmtId="3" fontId="16" fillId="2" borderId="12" xfId="0" applyNumberFormat="1" applyFont="1" applyFill="1" applyBorder="1" applyAlignment="1">
      <alignment horizontal="center" vertical="center"/>
    </xf>
    <xf numFmtId="3" fontId="2" fillId="2" borderId="12" xfId="0" applyNumberFormat="1" applyFont="1" applyFill="1" applyBorder="1" applyAlignment="1">
      <alignment horizontal="center" vertical="center"/>
    </xf>
    <xf numFmtId="176" fontId="7" fillId="0" borderId="2" xfId="0" applyNumberFormat="1" applyFont="1" applyBorder="1" applyAlignment="1">
      <alignment horizontal="center" vertical="center"/>
    </xf>
    <xf numFmtId="176" fontId="7" fillId="0" borderId="6" xfId="0" applyNumberFormat="1" applyFont="1" applyBorder="1" applyAlignment="1">
      <alignment horizontal="center" vertical="center"/>
    </xf>
    <xf numFmtId="176" fontId="7" fillId="0" borderId="7" xfId="0" applyNumberFormat="1" applyFont="1" applyBorder="1" applyAlignment="1">
      <alignment horizontal="center" vertical="center"/>
    </xf>
    <xf numFmtId="0" fontId="23" fillId="10" borderId="16" xfId="0" applyFont="1" applyFill="1" applyBorder="1" applyAlignment="1">
      <alignment horizontal="center" vertical="center"/>
    </xf>
    <xf numFmtId="0" fontId="18" fillId="0" borderId="0" xfId="0" applyFont="1" applyAlignment="1">
      <alignment horizontal="center" vertical="center"/>
    </xf>
    <xf numFmtId="0" fontId="3" fillId="4" borderId="2" xfId="0" applyFont="1" applyFill="1" applyBorder="1" applyAlignment="1">
      <alignment horizontal="center" vertical="center"/>
    </xf>
    <xf numFmtId="0" fontId="3" fillId="4" borderId="6" xfId="0" applyFont="1" applyFill="1" applyBorder="1" applyAlignment="1">
      <alignment horizontal="center" vertical="center"/>
    </xf>
    <xf numFmtId="0" fontId="3" fillId="4" borderId="7" xfId="0" applyFont="1" applyFill="1" applyBorder="1" applyAlignment="1">
      <alignment horizontal="center" vertical="center"/>
    </xf>
    <xf numFmtId="3" fontId="18" fillId="4" borderId="11" xfId="0" applyNumberFormat="1" applyFont="1" applyFill="1" applyBorder="1" applyAlignment="1">
      <alignment horizontal="center" vertical="center"/>
    </xf>
    <xf numFmtId="3" fontId="18" fillId="4" borderId="17" xfId="0" applyNumberFormat="1" applyFont="1" applyFill="1" applyBorder="1" applyAlignment="1">
      <alignment horizontal="center" vertical="center"/>
    </xf>
    <xf numFmtId="3" fontId="18" fillId="4" borderId="18" xfId="0" applyNumberFormat="1" applyFont="1" applyFill="1" applyBorder="1" applyAlignment="1">
      <alignment horizontal="center" vertical="center"/>
    </xf>
  </cellXfs>
  <cellStyles count="5">
    <cellStyle name="ハイパーリンク" xfId="2" xr:uid="{00000000-0005-0000-0000-000000000000}"/>
    <cellStyle name="標準" xfId="0" builtinId="0"/>
    <cellStyle name="標準 2" xfId="4" xr:uid="{C2CBC382-4BC1-4D3B-B64A-4DC2C10C5618}"/>
    <cellStyle name="標準 3" xfId="3" xr:uid="{1B9717F3-D5E1-4047-8E84-2BA2544C8F2B}"/>
    <cellStyle name="表示済みのハイパーリンク" xfId="1" xr:uid="{00000000-0005-0000-0000-000003000000}"/>
  </cellStyles>
  <dxfs count="0"/>
  <tableStyles count="0" defaultTableStyle="TableStyleMedium9" defaultPivotStyle="PivotStyleMedium9"/>
  <colors>
    <mruColors>
      <color rgb="FFFFFFC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83D1F8C-DC55-43D2-9E48-B7FEE7669324}">
  <sheetPr>
    <tabColor theme="5" tint="0.79998168889431442"/>
  </sheetPr>
  <dimension ref="A2:R42"/>
  <sheetViews>
    <sheetView tabSelected="1" topLeftCell="C1" zoomScale="85" zoomScaleNormal="85" workbookViewId="0">
      <pane ySplit="8" topLeftCell="A9" activePane="bottomLeft" state="frozen"/>
      <selection activeCell="B1" sqref="B1"/>
      <selection pane="bottomLeft" activeCell="Q29" sqref="Q29:Q32"/>
    </sheetView>
  </sheetViews>
  <sheetFormatPr defaultColWidth="11.7265625" defaultRowHeight="13.5" customHeight="1" x14ac:dyDescent="0.2"/>
  <cols>
    <col min="1" max="1" width="18.6328125" customWidth="1"/>
    <col min="2" max="2" width="17" customWidth="1"/>
    <col min="3" max="3" width="6.26953125" style="5" customWidth="1"/>
    <col min="4" max="4" width="15.26953125" customWidth="1"/>
    <col min="5" max="5" width="15.453125" customWidth="1"/>
    <col min="6" max="6" width="71.453125" customWidth="1"/>
    <col min="7" max="7" width="10.7265625" style="5" customWidth="1"/>
    <col min="8" max="9" width="12.08984375" style="5" customWidth="1"/>
    <col min="10" max="10" width="7.08984375" style="10" customWidth="1"/>
    <col min="11" max="11" width="36.453125" customWidth="1"/>
    <col min="12" max="12" width="27.453125" customWidth="1"/>
    <col min="13" max="13" width="9.90625" style="5" customWidth="1"/>
    <col min="14" max="14" width="10.90625" style="5" customWidth="1"/>
    <col min="15" max="15" width="10.08984375" customWidth="1"/>
    <col min="16" max="16" width="20.6328125" style="5" customWidth="1"/>
    <col min="17" max="17" width="13.26953125" style="32" customWidth="1"/>
    <col min="18" max="18" width="11.08984375" style="32" customWidth="1"/>
  </cols>
  <sheetData>
    <row r="2" spans="1:18" ht="20.149999999999999" customHeight="1" x14ac:dyDescent="0.2">
      <c r="C2" s="114" t="s">
        <v>0</v>
      </c>
      <c r="D2" s="114"/>
      <c r="E2" s="114"/>
      <c r="F2" s="23" t="s">
        <v>65</v>
      </c>
      <c r="H2" s="115" t="s">
        <v>1</v>
      </c>
      <c r="I2" s="116"/>
      <c r="J2" s="117"/>
      <c r="K2" s="9">
        <f>SUM(I:I)</f>
        <v>145290</v>
      </c>
    </row>
    <row r="3" spans="1:18" ht="20.149999999999999" customHeight="1" x14ac:dyDescent="0.2">
      <c r="C3" s="114" t="s">
        <v>2</v>
      </c>
      <c r="D3" s="114"/>
      <c r="E3" s="114"/>
      <c r="F3" s="7" t="s">
        <v>61</v>
      </c>
    </row>
    <row r="4" spans="1:18" ht="20.149999999999999" customHeight="1" x14ac:dyDescent="0.2">
      <c r="C4" s="114" t="s">
        <v>3</v>
      </c>
      <c r="D4" s="114"/>
      <c r="E4" s="114"/>
      <c r="F4" s="7" t="s">
        <v>66</v>
      </c>
      <c r="G4" s="124" t="s">
        <v>64</v>
      </c>
      <c r="H4" s="118" t="s">
        <v>62</v>
      </c>
      <c r="I4" s="118"/>
      <c r="J4" s="118"/>
      <c r="K4" s="118"/>
      <c r="L4" s="42"/>
    </row>
    <row r="5" spans="1:18" ht="20.149999999999999" customHeight="1" x14ac:dyDescent="0.2">
      <c r="C5" s="114" t="s">
        <v>4</v>
      </c>
      <c r="D5" s="114"/>
      <c r="E5" s="114"/>
      <c r="F5" s="8">
        <v>45581</v>
      </c>
      <c r="G5" s="124"/>
      <c r="H5" s="118"/>
      <c r="I5" s="118"/>
      <c r="J5" s="118"/>
      <c r="K5" s="118"/>
    </row>
    <row r="6" spans="1:18" ht="20.149999999999999" customHeight="1" x14ac:dyDescent="0.2">
      <c r="C6" s="114" t="s">
        <v>5</v>
      </c>
      <c r="D6" s="114"/>
      <c r="E6" s="114"/>
      <c r="F6" s="8">
        <v>45582</v>
      </c>
      <c r="H6" s="125" t="s">
        <v>63</v>
      </c>
      <c r="I6" s="125"/>
      <c r="J6" s="125"/>
      <c r="K6" s="125"/>
    </row>
    <row r="8" spans="1:18" s="5" customFormat="1" ht="19.5" customHeight="1" x14ac:dyDescent="0.2">
      <c r="B8" s="65" t="s">
        <v>40</v>
      </c>
      <c r="C8" s="64" t="s">
        <v>6</v>
      </c>
      <c r="D8" s="2" t="s">
        <v>7</v>
      </c>
      <c r="E8" s="2" t="s">
        <v>8</v>
      </c>
      <c r="F8" s="18" t="s">
        <v>9</v>
      </c>
      <c r="G8" s="18" t="s">
        <v>10</v>
      </c>
      <c r="H8" s="18" t="s">
        <v>11</v>
      </c>
      <c r="I8" s="1" t="s">
        <v>12</v>
      </c>
      <c r="J8" s="1" t="s">
        <v>13</v>
      </c>
      <c r="K8" s="18" t="s">
        <v>14</v>
      </c>
      <c r="L8" s="18" t="s">
        <v>15</v>
      </c>
      <c r="M8" s="18" t="s">
        <v>16</v>
      </c>
      <c r="N8" s="20" t="s">
        <v>17</v>
      </c>
      <c r="O8" s="2" t="s">
        <v>18</v>
      </c>
      <c r="P8" s="18" t="s">
        <v>19</v>
      </c>
      <c r="Q8" s="20" t="s">
        <v>20</v>
      </c>
      <c r="R8" s="6" t="s">
        <v>21</v>
      </c>
    </row>
    <row r="9" spans="1:18" ht="18" customHeight="1" x14ac:dyDescent="0.2">
      <c r="C9" s="126" t="s">
        <v>22</v>
      </c>
      <c r="D9" s="127"/>
      <c r="E9" s="127"/>
      <c r="F9" s="128"/>
      <c r="G9" s="24"/>
      <c r="H9" s="24"/>
      <c r="I9" s="17"/>
      <c r="J9" s="11"/>
      <c r="K9" s="13"/>
      <c r="L9" s="19"/>
      <c r="M9" s="3"/>
      <c r="N9" s="20"/>
      <c r="O9" s="6"/>
      <c r="P9" s="6"/>
      <c r="Q9" s="20"/>
      <c r="R9" s="12"/>
    </row>
    <row r="10" spans="1:18" ht="18" customHeight="1" x14ac:dyDescent="0.2">
      <c r="A10" s="82" t="s">
        <v>54</v>
      </c>
      <c r="B10" s="68">
        <v>3</v>
      </c>
      <c r="C10" s="67">
        <v>1</v>
      </c>
      <c r="D10" s="95" t="s">
        <v>27</v>
      </c>
      <c r="E10" s="95" t="s">
        <v>28</v>
      </c>
      <c r="F10" s="96" t="s">
        <v>60</v>
      </c>
      <c r="G10" s="97">
        <v>1</v>
      </c>
      <c r="H10" s="97">
        <v>28190</v>
      </c>
      <c r="I10" s="34">
        <f t="shared" ref="I10:I12" si="0">G10*H10</f>
        <v>28190</v>
      </c>
      <c r="J10" s="35"/>
      <c r="K10" s="36" t="s">
        <v>29</v>
      </c>
      <c r="L10" s="87" t="s">
        <v>68</v>
      </c>
      <c r="M10" s="26"/>
      <c r="N10" s="31">
        <v>45569</v>
      </c>
      <c r="O10" s="25"/>
      <c r="P10" s="53" t="s">
        <v>74</v>
      </c>
      <c r="Q10" s="53" t="s">
        <v>76</v>
      </c>
      <c r="R10" s="29"/>
    </row>
    <row r="11" spans="1:18" ht="18" customHeight="1" x14ac:dyDescent="0.2">
      <c r="A11" s="74" t="s">
        <v>37</v>
      </c>
      <c r="B11" s="68">
        <v>3</v>
      </c>
      <c r="C11" s="67">
        <f>C10+1</f>
        <v>2</v>
      </c>
      <c r="D11" s="95" t="s">
        <v>27</v>
      </c>
      <c r="E11" s="95" t="s">
        <v>28</v>
      </c>
      <c r="F11" s="98" t="s">
        <v>34</v>
      </c>
      <c r="G11" s="99">
        <v>2</v>
      </c>
      <c r="H11" s="100">
        <v>600</v>
      </c>
      <c r="I11" s="43">
        <f t="shared" si="0"/>
        <v>1200</v>
      </c>
      <c r="J11" s="27"/>
      <c r="K11" s="36" t="s">
        <v>35</v>
      </c>
      <c r="L11" s="87" t="s">
        <v>68</v>
      </c>
      <c r="M11" s="54"/>
      <c r="N11" s="31">
        <v>45569</v>
      </c>
      <c r="O11" s="63"/>
      <c r="P11" s="53" t="s">
        <v>74</v>
      </c>
      <c r="Q11" s="53" t="s">
        <v>76</v>
      </c>
      <c r="R11" s="29"/>
    </row>
    <row r="12" spans="1:18" ht="18" customHeight="1" x14ac:dyDescent="0.2">
      <c r="A12" s="72" t="s">
        <v>45</v>
      </c>
      <c r="B12" s="68">
        <v>3</v>
      </c>
      <c r="C12" s="67">
        <f>C11+1</f>
        <v>3</v>
      </c>
      <c r="D12" s="101" t="s">
        <v>44</v>
      </c>
      <c r="E12" s="95" t="s">
        <v>28</v>
      </c>
      <c r="F12" s="102" t="s">
        <v>53</v>
      </c>
      <c r="G12" s="103">
        <v>1</v>
      </c>
      <c r="H12" s="104">
        <v>88800</v>
      </c>
      <c r="I12" s="34">
        <f t="shared" si="0"/>
        <v>88800</v>
      </c>
      <c r="J12" s="69"/>
      <c r="K12" s="40" t="s">
        <v>67</v>
      </c>
      <c r="L12" s="87" t="s">
        <v>68</v>
      </c>
      <c r="M12" s="54"/>
      <c r="N12" s="31">
        <v>45569</v>
      </c>
      <c r="O12" s="63"/>
      <c r="P12" s="31" t="s">
        <v>74</v>
      </c>
      <c r="Q12" s="53" t="s">
        <v>76</v>
      </c>
      <c r="R12" s="29"/>
    </row>
    <row r="13" spans="1:18" ht="17.5" customHeight="1" x14ac:dyDescent="0.2">
      <c r="A13" s="74" t="s">
        <v>37</v>
      </c>
      <c r="B13" s="68">
        <v>3</v>
      </c>
      <c r="C13" s="67">
        <f>C12+1</f>
        <v>4</v>
      </c>
      <c r="D13" s="95" t="s">
        <v>27</v>
      </c>
      <c r="E13" s="95" t="s">
        <v>28</v>
      </c>
      <c r="F13" s="105" t="s">
        <v>30</v>
      </c>
      <c r="G13" s="97">
        <v>1</v>
      </c>
      <c r="H13" s="97">
        <v>3040</v>
      </c>
      <c r="I13" s="34">
        <f t="shared" ref="I13:I15" si="1">G13*H13</f>
        <v>3040</v>
      </c>
      <c r="J13" s="35"/>
      <c r="K13" s="36" t="s">
        <v>31</v>
      </c>
      <c r="L13" s="87" t="s">
        <v>68</v>
      </c>
      <c r="M13" s="54"/>
      <c r="N13" s="31">
        <v>45569</v>
      </c>
      <c r="O13" s="63"/>
      <c r="P13" s="31" t="s">
        <v>74</v>
      </c>
      <c r="Q13" s="53" t="s">
        <v>76</v>
      </c>
      <c r="R13" s="29"/>
    </row>
    <row r="14" spans="1:18" ht="17.5" customHeight="1" x14ac:dyDescent="0.2">
      <c r="A14" s="82" t="s">
        <v>36</v>
      </c>
      <c r="B14" s="68">
        <v>3</v>
      </c>
      <c r="C14" s="67">
        <f>C13+1</f>
        <v>5</v>
      </c>
      <c r="D14" s="95" t="s">
        <v>27</v>
      </c>
      <c r="E14" s="95" t="s">
        <v>28</v>
      </c>
      <c r="F14" s="98" t="s">
        <v>38</v>
      </c>
      <c r="G14" s="97">
        <v>1</v>
      </c>
      <c r="H14" s="97">
        <v>6100</v>
      </c>
      <c r="I14" s="34">
        <f t="shared" si="1"/>
        <v>6100</v>
      </c>
      <c r="J14" s="35"/>
      <c r="K14" s="36" t="s">
        <v>32</v>
      </c>
      <c r="L14" s="87" t="s">
        <v>68</v>
      </c>
      <c r="M14" s="54"/>
      <c r="N14" s="31">
        <v>45569</v>
      </c>
      <c r="O14" s="63"/>
      <c r="P14" s="31" t="s">
        <v>74</v>
      </c>
      <c r="Q14" s="53" t="s">
        <v>76</v>
      </c>
      <c r="R14" s="29"/>
    </row>
    <row r="15" spans="1:18" ht="17.5" customHeight="1" x14ac:dyDescent="0.2">
      <c r="A15" s="74" t="s">
        <v>37</v>
      </c>
      <c r="B15" s="68">
        <v>3</v>
      </c>
      <c r="C15" s="67">
        <f t="shared" ref="C15" si="2">C14+1</f>
        <v>6</v>
      </c>
      <c r="D15" s="95" t="s">
        <v>27</v>
      </c>
      <c r="E15" s="95" t="s">
        <v>28</v>
      </c>
      <c r="F15" s="98" t="s">
        <v>39</v>
      </c>
      <c r="G15" s="97">
        <v>2</v>
      </c>
      <c r="H15" s="97">
        <v>60</v>
      </c>
      <c r="I15" s="34">
        <f t="shared" si="1"/>
        <v>120</v>
      </c>
      <c r="J15" s="35"/>
      <c r="K15" s="36" t="s">
        <v>33</v>
      </c>
      <c r="L15" s="87" t="s">
        <v>68</v>
      </c>
      <c r="M15" s="54"/>
      <c r="N15" s="31">
        <v>45569</v>
      </c>
      <c r="O15" s="63"/>
      <c r="P15" s="31" t="s">
        <v>74</v>
      </c>
      <c r="Q15" s="53" t="s">
        <v>76</v>
      </c>
      <c r="R15" s="29"/>
    </row>
    <row r="16" spans="1:18" ht="17.5" customHeight="1" x14ac:dyDescent="0.2">
      <c r="A16" s="61"/>
      <c r="B16" s="65"/>
      <c r="C16" s="81"/>
      <c r="D16" s="61"/>
      <c r="E16" s="61"/>
      <c r="F16" s="41"/>
      <c r="G16" s="26"/>
      <c r="H16" s="43"/>
      <c r="I16" s="34"/>
      <c r="J16" s="69"/>
      <c r="K16" s="40"/>
      <c r="L16" s="55"/>
      <c r="M16" s="54"/>
      <c r="N16" s="31"/>
      <c r="O16" s="63"/>
      <c r="P16" s="31"/>
      <c r="Q16" s="31"/>
      <c r="R16" s="29"/>
    </row>
    <row r="17" spans="1:18" ht="18" customHeight="1" x14ac:dyDescent="0.2">
      <c r="C17" s="15"/>
      <c r="D17" s="2"/>
      <c r="E17" s="4"/>
      <c r="F17" s="80">
        <f>SUM(I10:I16)</f>
        <v>127450</v>
      </c>
      <c r="G17" s="77"/>
      <c r="H17" s="77"/>
      <c r="I17" s="77"/>
      <c r="J17" s="79"/>
      <c r="K17" s="16"/>
      <c r="L17" s="19"/>
      <c r="M17" s="3"/>
      <c r="N17" s="20"/>
      <c r="O17" s="6"/>
      <c r="P17" s="6"/>
      <c r="Q17" s="20"/>
      <c r="R17" s="12"/>
    </row>
    <row r="18" spans="1:18" ht="18" customHeight="1" x14ac:dyDescent="0.2">
      <c r="C18" s="15"/>
      <c r="D18" s="46"/>
      <c r="E18" s="47"/>
      <c r="F18" s="57"/>
      <c r="G18" s="57"/>
      <c r="H18" s="57"/>
      <c r="I18" s="57"/>
      <c r="J18" s="58"/>
      <c r="K18" s="59"/>
      <c r="L18" s="19"/>
      <c r="M18" s="3"/>
      <c r="N18" s="20"/>
      <c r="O18" s="6"/>
      <c r="P18" s="6"/>
      <c r="Q18" s="20"/>
      <c r="R18" s="12"/>
    </row>
    <row r="19" spans="1:18" ht="18" customHeight="1" x14ac:dyDescent="0.2">
      <c r="C19" s="90"/>
      <c r="D19" s="91"/>
      <c r="E19" s="92"/>
      <c r="F19" s="57"/>
      <c r="G19" s="57"/>
      <c r="H19" s="57"/>
      <c r="I19" s="57"/>
      <c r="J19" s="93"/>
      <c r="K19" s="94"/>
      <c r="L19" s="56"/>
      <c r="M19" s="3"/>
      <c r="N19" s="20"/>
      <c r="O19" s="6"/>
      <c r="P19" s="6"/>
      <c r="Q19" s="20"/>
      <c r="R19" s="12"/>
    </row>
    <row r="20" spans="1:18" ht="18" customHeight="1" x14ac:dyDescent="0.2">
      <c r="C20" s="90"/>
      <c r="D20" s="91"/>
      <c r="E20" s="92"/>
      <c r="F20" s="57"/>
      <c r="G20" s="57"/>
      <c r="H20" s="57"/>
      <c r="I20" s="57"/>
      <c r="J20" s="93"/>
      <c r="K20" s="94"/>
      <c r="L20" s="56"/>
      <c r="M20" s="3"/>
      <c r="N20" s="20"/>
      <c r="O20" s="6"/>
      <c r="P20" s="6"/>
      <c r="Q20" s="20"/>
      <c r="R20" s="12"/>
    </row>
    <row r="21" spans="1:18" ht="18" customHeight="1" x14ac:dyDescent="0.2">
      <c r="C21" s="26"/>
      <c r="D21" s="48"/>
      <c r="E21" s="48"/>
      <c r="F21" s="49"/>
      <c r="G21" s="50"/>
      <c r="H21" s="51"/>
      <c r="I21" s="34"/>
      <c r="J21" s="26"/>
      <c r="K21" s="33"/>
      <c r="L21" s="56"/>
      <c r="M21" s="3"/>
      <c r="N21" s="20"/>
      <c r="O21" s="6"/>
      <c r="P21" s="6"/>
      <c r="Q21" s="20"/>
      <c r="R21" s="12"/>
    </row>
    <row r="22" spans="1:18" ht="18" customHeight="1" x14ac:dyDescent="0.2">
      <c r="C22" s="129" t="s">
        <v>73</v>
      </c>
      <c r="D22" s="130"/>
      <c r="E22" s="130"/>
      <c r="F22" s="131"/>
      <c r="G22" s="50"/>
      <c r="H22" s="51"/>
      <c r="I22" s="34"/>
      <c r="J22" s="26"/>
      <c r="K22" s="33"/>
      <c r="L22" s="56"/>
      <c r="M22" s="3"/>
      <c r="N22" s="20"/>
      <c r="O22" s="6"/>
      <c r="P22" s="6"/>
      <c r="Q22" s="20"/>
      <c r="R22" s="12"/>
    </row>
    <row r="23" spans="1:18" ht="18" customHeight="1" x14ac:dyDescent="0.2">
      <c r="A23" s="74" t="s">
        <v>37</v>
      </c>
      <c r="B23" s="68">
        <v>3</v>
      </c>
      <c r="C23" s="60">
        <f>+C15+1</f>
        <v>7</v>
      </c>
      <c r="D23" s="95" t="s">
        <v>69</v>
      </c>
      <c r="E23" s="95" t="s">
        <v>70</v>
      </c>
      <c r="F23" s="106" t="s">
        <v>71</v>
      </c>
      <c r="G23" s="107">
        <v>1</v>
      </c>
      <c r="H23" s="108">
        <v>2080</v>
      </c>
      <c r="I23" s="109">
        <f>G23*H23</f>
        <v>2080</v>
      </c>
      <c r="J23" s="88"/>
      <c r="K23" s="89" t="s">
        <v>72</v>
      </c>
      <c r="L23" s="56"/>
      <c r="M23" s="3"/>
      <c r="N23" s="20">
        <v>45569</v>
      </c>
      <c r="O23" s="6"/>
      <c r="P23" s="31" t="s">
        <v>74</v>
      </c>
      <c r="Q23" s="86"/>
      <c r="R23" s="29"/>
    </row>
    <row r="24" spans="1:18" ht="18" customHeight="1" x14ac:dyDescent="0.2">
      <c r="C24" s="26"/>
      <c r="D24" s="95" t="s">
        <v>69</v>
      </c>
      <c r="E24" s="95" t="s">
        <v>70</v>
      </c>
      <c r="F24" s="113" t="s">
        <v>75</v>
      </c>
      <c r="G24" s="50">
        <v>1</v>
      </c>
      <c r="H24" s="51">
        <v>1000</v>
      </c>
      <c r="I24" s="109">
        <f>G24*H24</f>
        <v>1000</v>
      </c>
      <c r="J24" s="26"/>
      <c r="K24" s="33"/>
      <c r="L24" s="56"/>
      <c r="M24" s="3"/>
      <c r="N24" s="20">
        <v>45569</v>
      </c>
      <c r="O24" s="6"/>
      <c r="P24" s="83"/>
      <c r="Q24" s="86"/>
      <c r="R24" s="29"/>
    </row>
    <row r="25" spans="1:18" ht="18" customHeight="1" x14ac:dyDescent="0.2">
      <c r="C25" s="26"/>
      <c r="D25" s="48"/>
      <c r="E25" s="48"/>
      <c r="F25" s="49"/>
      <c r="G25" s="50"/>
      <c r="H25" s="51"/>
      <c r="I25" s="109"/>
      <c r="J25" s="26"/>
      <c r="K25" s="33"/>
      <c r="L25" s="56"/>
      <c r="M25" s="3"/>
      <c r="N25" s="20"/>
      <c r="O25" s="6"/>
      <c r="P25" s="83"/>
      <c r="Q25" s="86"/>
      <c r="R25" s="29"/>
    </row>
    <row r="26" spans="1:18" ht="18" customHeight="1" x14ac:dyDescent="0.2">
      <c r="C26" s="26"/>
      <c r="D26" s="48"/>
      <c r="E26" s="48"/>
      <c r="F26" s="49"/>
      <c r="G26" s="50"/>
      <c r="H26" s="51"/>
      <c r="I26" s="34"/>
      <c r="J26" s="26"/>
      <c r="K26" s="33"/>
      <c r="L26" s="56"/>
      <c r="M26" s="3"/>
      <c r="N26" s="20"/>
      <c r="O26" s="6"/>
      <c r="P26" s="83"/>
      <c r="Q26" s="86"/>
      <c r="R26" s="29"/>
    </row>
    <row r="27" spans="1:18" ht="18" customHeight="1" x14ac:dyDescent="0.2">
      <c r="C27" s="26"/>
      <c r="D27" s="28"/>
      <c r="E27" s="28"/>
      <c r="F27" s="39"/>
      <c r="G27" s="34"/>
      <c r="H27" s="34"/>
      <c r="I27" s="34"/>
      <c r="J27" s="35"/>
      <c r="K27" s="36"/>
      <c r="L27" s="56"/>
      <c r="M27" s="3"/>
      <c r="N27" s="20"/>
      <c r="O27" s="6"/>
      <c r="P27" s="83"/>
      <c r="Q27" s="86"/>
      <c r="R27" s="29"/>
    </row>
    <row r="28" spans="1:18" ht="18" customHeight="1" x14ac:dyDescent="0.2">
      <c r="B28" s="73"/>
      <c r="C28" s="52"/>
      <c r="D28" s="119" t="s">
        <v>26</v>
      </c>
      <c r="E28" s="120"/>
      <c r="F28" s="120"/>
      <c r="G28" s="38"/>
      <c r="H28" s="44"/>
      <c r="I28" s="44"/>
      <c r="J28" s="14"/>
      <c r="K28" s="22"/>
      <c r="L28" s="19"/>
      <c r="M28" s="3"/>
      <c r="N28" s="20"/>
      <c r="O28" s="6"/>
      <c r="P28" s="83"/>
      <c r="Q28" s="86"/>
      <c r="R28" s="29"/>
    </row>
    <row r="29" spans="1:18" ht="18" customHeight="1" x14ac:dyDescent="0.2">
      <c r="A29" s="74" t="s">
        <v>55</v>
      </c>
      <c r="B29" s="68">
        <v>3</v>
      </c>
      <c r="C29" s="60">
        <f>+C23+1</f>
        <v>8</v>
      </c>
      <c r="D29" s="95" t="s">
        <v>49</v>
      </c>
      <c r="E29" s="95" t="s">
        <v>50</v>
      </c>
      <c r="F29" s="106" t="s">
        <v>51</v>
      </c>
      <c r="G29" s="99">
        <v>1</v>
      </c>
      <c r="H29" s="100">
        <v>2100</v>
      </c>
      <c r="I29" s="100">
        <f t="shared" ref="I29:I32" si="3">G29*H29</f>
        <v>2100</v>
      </c>
      <c r="J29" s="27"/>
      <c r="K29" s="25" t="s">
        <v>52</v>
      </c>
      <c r="L29" s="87" t="s">
        <v>68</v>
      </c>
      <c r="M29" s="3"/>
      <c r="N29" s="20">
        <v>45569</v>
      </c>
      <c r="O29" s="6"/>
      <c r="P29" s="83" t="s">
        <v>74</v>
      </c>
      <c r="Q29" s="31" t="s">
        <v>76</v>
      </c>
      <c r="R29" s="29"/>
    </row>
    <row r="30" spans="1:18" ht="18" customHeight="1" x14ac:dyDescent="0.2">
      <c r="A30" s="74" t="s">
        <v>55</v>
      </c>
      <c r="B30" s="68">
        <v>3</v>
      </c>
      <c r="C30" s="60">
        <f t="shared" ref="C30:C31" si="4">+C29+1</f>
        <v>9</v>
      </c>
      <c r="D30" s="95" t="s">
        <v>49</v>
      </c>
      <c r="E30" s="95" t="s">
        <v>50</v>
      </c>
      <c r="F30" s="106" t="s">
        <v>56</v>
      </c>
      <c r="G30" s="99">
        <v>1</v>
      </c>
      <c r="H30" s="100">
        <v>2100</v>
      </c>
      <c r="I30" s="100">
        <f t="shared" si="3"/>
        <v>2100</v>
      </c>
      <c r="J30" s="27"/>
      <c r="K30" s="25" t="s">
        <v>52</v>
      </c>
      <c r="L30" s="87" t="s">
        <v>68</v>
      </c>
      <c r="M30" s="3"/>
      <c r="N30" s="20">
        <v>45569</v>
      </c>
      <c r="O30" s="6"/>
      <c r="P30" s="83" t="s">
        <v>74</v>
      </c>
      <c r="Q30" s="31" t="s">
        <v>76</v>
      </c>
      <c r="R30" s="29"/>
    </row>
    <row r="31" spans="1:18" ht="18" customHeight="1" x14ac:dyDescent="0.2">
      <c r="A31" s="74" t="s">
        <v>57</v>
      </c>
      <c r="B31" s="68">
        <v>3</v>
      </c>
      <c r="C31" s="60">
        <f t="shared" si="4"/>
        <v>10</v>
      </c>
      <c r="D31" s="110" t="s">
        <v>49</v>
      </c>
      <c r="E31" s="95" t="s">
        <v>50</v>
      </c>
      <c r="F31" s="111" t="s">
        <v>58</v>
      </c>
      <c r="G31" s="99">
        <v>1</v>
      </c>
      <c r="H31" s="99">
        <v>980</v>
      </c>
      <c r="I31" s="112">
        <f t="shared" si="3"/>
        <v>980</v>
      </c>
      <c r="J31" s="62"/>
      <c r="K31" s="25" t="s">
        <v>59</v>
      </c>
      <c r="L31" s="87" t="s">
        <v>68</v>
      </c>
      <c r="M31" s="3"/>
      <c r="N31" s="20">
        <v>45569</v>
      </c>
      <c r="O31" s="6"/>
      <c r="P31" s="83" t="s">
        <v>74</v>
      </c>
      <c r="Q31" s="31" t="s">
        <v>76</v>
      </c>
      <c r="R31" s="29"/>
    </row>
    <row r="32" spans="1:18" ht="18" customHeight="1" x14ac:dyDescent="0.2">
      <c r="A32" s="74" t="s">
        <v>55</v>
      </c>
      <c r="B32" s="68">
        <v>3</v>
      </c>
      <c r="C32" s="60">
        <f>+C31+1</f>
        <v>11</v>
      </c>
      <c r="D32" s="95" t="s">
        <v>46</v>
      </c>
      <c r="E32" s="95" t="s">
        <v>28</v>
      </c>
      <c r="F32" s="106" t="s">
        <v>47</v>
      </c>
      <c r="G32" s="99">
        <v>1</v>
      </c>
      <c r="H32" s="100">
        <v>9580</v>
      </c>
      <c r="I32" s="100">
        <f t="shared" si="3"/>
        <v>9580</v>
      </c>
      <c r="J32" s="27"/>
      <c r="K32" s="25" t="s">
        <v>48</v>
      </c>
      <c r="L32" s="87" t="s">
        <v>68</v>
      </c>
      <c r="M32" s="3"/>
      <c r="N32" s="20">
        <v>45569</v>
      </c>
      <c r="O32" s="6"/>
      <c r="P32" s="83" t="s">
        <v>74</v>
      </c>
      <c r="Q32" s="31" t="s">
        <v>76</v>
      </c>
      <c r="R32" s="29"/>
    </row>
    <row r="33" spans="1:18" ht="18" customHeight="1" x14ac:dyDescent="0.2">
      <c r="A33" s="61"/>
      <c r="B33" s="65"/>
      <c r="C33" s="30"/>
      <c r="D33" s="28"/>
      <c r="E33" s="28"/>
      <c r="F33" s="33"/>
      <c r="G33" s="37"/>
      <c r="H33" s="45"/>
      <c r="I33" s="43"/>
      <c r="J33" s="27"/>
      <c r="K33" s="25"/>
      <c r="L33" s="19"/>
      <c r="M33" s="3"/>
      <c r="N33" s="31"/>
      <c r="O33" s="6"/>
      <c r="P33" s="31"/>
      <c r="Q33" s="84"/>
      <c r="R33" s="85"/>
    </row>
    <row r="34" spans="1:18" ht="18" customHeight="1" x14ac:dyDescent="0.2">
      <c r="C34" s="18"/>
      <c r="D34" s="2"/>
      <c r="E34" s="2"/>
      <c r="F34" s="78">
        <f>SUM(I29:I33)</f>
        <v>14760</v>
      </c>
      <c r="G34" s="77"/>
      <c r="H34" s="77"/>
      <c r="I34" s="77"/>
      <c r="J34" s="75"/>
      <c r="K34" s="16"/>
      <c r="L34" s="19"/>
      <c r="M34" s="3"/>
      <c r="N34" s="20"/>
      <c r="O34" s="6"/>
      <c r="P34" s="6"/>
      <c r="Q34" s="20"/>
      <c r="R34" s="12"/>
    </row>
    <row r="35" spans="1:18" ht="18" customHeight="1" x14ac:dyDescent="0.2">
      <c r="C35" s="18"/>
      <c r="D35" s="2"/>
      <c r="E35" s="2"/>
      <c r="F35" s="13"/>
      <c r="G35" s="76"/>
      <c r="H35" s="76"/>
      <c r="I35" s="44"/>
      <c r="J35" s="1"/>
      <c r="K35" s="13"/>
      <c r="L35" s="19"/>
      <c r="M35" s="3"/>
      <c r="N35" s="20"/>
      <c r="O35" s="6"/>
      <c r="P35" s="6"/>
      <c r="Q35" s="20"/>
      <c r="R35" s="12"/>
    </row>
    <row r="36" spans="1:18" ht="18" customHeight="1" x14ac:dyDescent="0.2">
      <c r="C36" s="18"/>
      <c r="D36" s="18"/>
      <c r="E36" s="18"/>
      <c r="F36" s="19" t="s">
        <v>23</v>
      </c>
      <c r="G36" s="17"/>
      <c r="H36" s="17"/>
      <c r="I36" s="17">
        <f>G36*H36</f>
        <v>0</v>
      </c>
      <c r="J36" s="11"/>
      <c r="K36" s="13" t="s">
        <v>24</v>
      </c>
      <c r="L36" s="21"/>
      <c r="M36" s="18"/>
      <c r="N36" s="20"/>
      <c r="O36" s="21"/>
      <c r="P36" s="18"/>
      <c r="Q36" s="20"/>
      <c r="R36" s="12"/>
    </row>
    <row r="37" spans="1:18" ht="18" customHeight="1" x14ac:dyDescent="0.2">
      <c r="B37" s="66">
        <v>4</v>
      </c>
      <c r="C37" s="70"/>
      <c r="D37" s="2"/>
      <c r="E37" s="2"/>
      <c r="F37" s="19" t="s">
        <v>24</v>
      </c>
      <c r="G37" s="17"/>
      <c r="H37" s="17">
        <v>5000</v>
      </c>
      <c r="I37" s="17">
        <f>G37*H37</f>
        <v>0</v>
      </c>
      <c r="J37" s="11"/>
      <c r="K37" s="13" t="s">
        <v>25</v>
      </c>
      <c r="L37" s="21"/>
      <c r="M37" s="18"/>
      <c r="N37" s="20"/>
      <c r="O37" s="21"/>
      <c r="P37" s="18"/>
      <c r="Q37" s="20"/>
      <c r="R37" s="6"/>
    </row>
    <row r="38" spans="1:18" ht="18" customHeight="1" x14ac:dyDescent="0.2">
      <c r="C38" s="18"/>
      <c r="D38" s="2"/>
      <c r="E38" s="2"/>
      <c r="F38" s="19" t="s">
        <v>25</v>
      </c>
      <c r="G38" s="17"/>
      <c r="H38" s="17"/>
      <c r="I38" s="17">
        <f>G38*H38</f>
        <v>0</v>
      </c>
      <c r="J38" s="11"/>
      <c r="K38" s="3"/>
      <c r="L38" s="21"/>
      <c r="M38" s="18"/>
      <c r="N38" s="18"/>
      <c r="O38" s="21"/>
      <c r="P38" s="18"/>
      <c r="Q38" s="6"/>
      <c r="R38" s="6"/>
    </row>
    <row r="39" spans="1:18" ht="18" customHeight="1" x14ac:dyDescent="0.2">
      <c r="C39" s="18"/>
      <c r="D39" s="2"/>
      <c r="E39" s="2"/>
      <c r="F39" s="121"/>
      <c r="G39" s="122"/>
      <c r="H39" s="122"/>
      <c r="I39" s="123"/>
      <c r="J39" s="4"/>
      <c r="K39" s="16"/>
    </row>
    <row r="40" spans="1:18" ht="18" customHeight="1" x14ac:dyDescent="0.2"/>
    <row r="41" spans="1:18" ht="18" customHeight="1" x14ac:dyDescent="0.2"/>
    <row r="42" spans="1:18" ht="18" customHeight="1" x14ac:dyDescent="0.2"/>
  </sheetData>
  <autoFilter ref="C8:P42" xr:uid="{00000000-0009-0000-0000-000003000000}"/>
  <mergeCells count="13">
    <mergeCell ref="D28:F28"/>
    <mergeCell ref="F39:I39"/>
    <mergeCell ref="G4:G5"/>
    <mergeCell ref="C6:E6"/>
    <mergeCell ref="H6:K6"/>
    <mergeCell ref="C9:F9"/>
    <mergeCell ref="C22:F22"/>
    <mergeCell ref="C2:E2"/>
    <mergeCell ref="H2:J2"/>
    <mergeCell ref="C3:E3"/>
    <mergeCell ref="C4:E4"/>
    <mergeCell ref="H4:K5"/>
    <mergeCell ref="C5:E5"/>
  </mergeCells>
  <phoneticPr fontId="10"/>
  <dataValidations count="1">
    <dataValidation allowBlank="1" showInputMessage="1" showErrorMessage="1" sqref="K17:K20" xr:uid="{08811D87-A1C8-407B-BCEA-E0BB0F11380C}"/>
  </dataValidations>
  <printOptions gridLines="1"/>
  <pageMargins left="0.2" right="0.2" top="0.75" bottom="0.75" header="0.3" footer="0.3"/>
  <pageSetup orientation="landscape" r:id="rId1"/>
  <headerFooter>
    <oddHeader>&amp;L&amp;C&amp;R</oddHeader>
    <oddFooter>&amp;L&amp;C&amp;R</oddFooter>
    <evenHeader>&amp;L&amp;C&amp;R</evenHeader>
    <evenFooter>&amp;L&amp;C&amp;R</even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5"/>
  <sheetViews>
    <sheetView view="pageBreakPreview" zoomScale="140" zoomScaleNormal="100" zoomScaleSheetLayoutView="140" workbookViewId="0">
      <selection activeCell="A3" sqref="A1:XFD1048576"/>
    </sheetView>
  </sheetViews>
  <sheetFormatPr defaultColWidth="11.6328125" defaultRowHeight="13.5" customHeight="1" x14ac:dyDescent="0.2"/>
  <cols>
    <col min="1" max="1" width="12.08984375" bestFit="1" customWidth="1"/>
    <col min="2" max="2" width="31.453125" bestFit="1" customWidth="1"/>
  </cols>
  <sheetData>
    <row r="1" spans="1:2" ht="13.5" customHeight="1" x14ac:dyDescent="0.2">
      <c r="A1" s="71" t="s">
        <v>0</v>
      </c>
      <c r="B1" s="23" t="s">
        <v>43</v>
      </c>
    </row>
    <row r="2" spans="1:2" ht="13.5" customHeight="1" x14ac:dyDescent="0.2">
      <c r="A2" s="71" t="s">
        <v>2</v>
      </c>
      <c r="B2" s="7" t="s">
        <v>41</v>
      </c>
    </row>
    <row r="3" spans="1:2" ht="13.5" customHeight="1" x14ac:dyDescent="0.2">
      <c r="A3" s="71" t="s">
        <v>3</v>
      </c>
      <c r="B3" s="7" t="s">
        <v>42</v>
      </c>
    </row>
    <row r="4" spans="1:2" ht="13.5" customHeight="1" x14ac:dyDescent="0.2">
      <c r="A4" s="71" t="s">
        <v>4</v>
      </c>
      <c r="B4" s="8">
        <v>44972</v>
      </c>
    </row>
    <row r="5" spans="1:2" ht="13.5" customHeight="1" x14ac:dyDescent="0.2">
      <c r="A5" s="71" t="s">
        <v>5</v>
      </c>
      <c r="B5" s="8">
        <v>44975</v>
      </c>
    </row>
  </sheetData>
  <phoneticPr fontId="10"/>
  <printOptions horizontalCentered="1" verticalCentered="1" gridLines="1"/>
  <pageMargins left="0.70866141732283472" right="0.70866141732283472" top="0.74803149606299213" bottom="0.74803149606299213" header="0.31496062992125984" footer="0.31496062992125984"/>
  <pageSetup paperSize="9" scale="287" orientation="landscape" r:id="rId1"/>
  <headerFooter>
    <oddHeader>&amp;L&amp;C&amp;R</oddHeader>
    <oddFooter>&amp;L&amp;C&amp;R</oddFooter>
    <evenHeader>&amp;L&amp;C&amp;R</evenHeader>
    <evenFooter>&amp;L&amp;C&amp;R</even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ColWidth="11.7265625" defaultRowHeight="13.5" customHeight="1" x14ac:dyDescent="0.2"/>
  <sheetData/>
  <phoneticPr fontId="10"/>
  <printOptions gridLines="1"/>
  <pageMargins left="0.7" right="0.7" top="0.75" bottom="0.75" header="0.3" footer="0.3"/>
  <pageSetup orientation="landscape" r:id="rId1"/>
  <headerFooter>
    <oddHeader>&amp;L&amp;C&amp;R</oddHeader>
    <oddFooter>&amp;L&amp;C&amp;R</oddFooter>
    <evenHeader>&amp;L&amp;C&amp;R</evenHeader>
    <evenFooter>&amp;L&amp;C&amp;R</even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3</vt:i4>
      </vt:variant>
    </vt:vector>
  </HeadingPairs>
  <TitlesOfParts>
    <vt:vector size="3" baseType="lpstr">
      <vt:lpstr>原価一覧 (20240605) ②</vt:lpstr>
      <vt:lpstr>Sheet2</vt:lpstr>
      <vt:lpstr>Sheet3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h-saito</dc:creator>
  <cp:lastModifiedBy>松丸Ｍ</cp:lastModifiedBy>
  <cp:lastPrinted>2023-01-13T04:52:35Z</cp:lastPrinted>
  <dcterms:created xsi:type="dcterms:W3CDTF">2016-05-16T08:05:24Z</dcterms:created>
  <dcterms:modified xsi:type="dcterms:W3CDTF">2024-10-08T07:02:51Z</dcterms:modified>
</cp:coreProperties>
</file>