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D6E94AA8-EA1C-4982-B8C1-D7325A8C3F17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原価一覧 (20240605) ③ " sheetId="14" r:id="rId1"/>
    <sheet name="Sheet2" sheetId="2" r:id="rId2"/>
    <sheet name="Sheet3" sheetId="3" r:id="rId3"/>
  </sheets>
  <definedNames>
    <definedName name="_xlnm._FilterDatabase" localSheetId="0" hidden="1">'原価一覧 (20240605) ③ '!$C$8:$P$175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2" i="14" l="1"/>
  <c r="I101" i="14"/>
  <c r="I100" i="14"/>
  <c r="I99" i="14"/>
  <c r="C100" i="14"/>
  <c r="C101" i="14"/>
  <c r="C102" i="14" s="1"/>
  <c r="C103" i="14" s="1"/>
  <c r="I144" i="14"/>
  <c r="I138" i="14"/>
  <c r="I136" i="14"/>
  <c r="I69" i="14"/>
  <c r="I68" i="14"/>
  <c r="I171" i="14"/>
  <c r="I170" i="14"/>
  <c r="I169" i="14"/>
  <c r="I165" i="14"/>
  <c r="I164" i="14"/>
  <c r="I163" i="14"/>
  <c r="I161" i="14"/>
  <c r="I160" i="14"/>
  <c r="I159" i="14"/>
  <c r="I158" i="14"/>
  <c r="I157" i="14"/>
  <c r="I156" i="14"/>
  <c r="I155" i="14"/>
  <c r="I154" i="14"/>
  <c r="I153" i="14"/>
  <c r="I152" i="14"/>
  <c r="I151" i="14"/>
  <c r="I150" i="14"/>
  <c r="I149" i="14"/>
  <c r="I148" i="14"/>
  <c r="I147" i="14"/>
  <c r="I146" i="14"/>
  <c r="I145" i="14"/>
  <c r="I143" i="14"/>
  <c r="I142" i="14"/>
  <c r="I141" i="14"/>
  <c r="I140" i="14"/>
  <c r="I139" i="14"/>
  <c r="I137" i="14"/>
  <c r="I134" i="14"/>
  <c r="I133" i="14"/>
  <c r="I132" i="14"/>
  <c r="I131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06" i="14"/>
  <c r="I105" i="14"/>
  <c r="I103" i="14"/>
  <c r="I98" i="14"/>
  <c r="I97" i="14"/>
  <c r="I96" i="14"/>
  <c r="I95" i="14"/>
  <c r="I94" i="14"/>
  <c r="I93" i="14"/>
  <c r="I92" i="14"/>
  <c r="I85" i="14"/>
  <c r="I84" i="14"/>
  <c r="I83" i="14"/>
  <c r="I82" i="14"/>
  <c r="I81" i="14"/>
  <c r="I80" i="14"/>
  <c r="I79" i="14"/>
  <c r="I78" i="14"/>
  <c r="I77" i="14"/>
  <c r="I67" i="14"/>
  <c r="I66" i="14"/>
  <c r="I65" i="14"/>
  <c r="I64" i="14"/>
  <c r="I63" i="14"/>
  <c r="I62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6" i="14"/>
  <c r="I45" i="14"/>
  <c r="I44" i="14"/>
  <c r="I43" i="14"/>
  <c r="I42" i="14"/>
  <c r="I41" i="14"/>
  <c r="I40" i="14"/>
  <c r="I38" i="14"/>
  <c r="I37" i="14"/>
  <c r="I36" i="14"/>
  <c r="I35" i="14"/>
  <c r="I34" i="14"/>
  <c r="I32" i="14"/>
  <c r="I31" i="14"/>
  <c r="I29" i="14"/>
  <c r="I28" i="14"/>
  <c r="I27" i="14"/>
  <c r="I25" i="14"/>
  <c r="I24" i="14"/>
  <c r="I23" i="14"/>
  <c r="I22" i="14"/>
  <c r="I21" i="14"/>
  <c r="I19" i="14"/>
  <c r="I18" i="14"/>
  <c r="I17" i="14"/>
  <c r="I15" i="14"/>
  <c r="I14" i="14"/>
  <c r="I12" i="14"/>
  <c r="I11" i="14"/>
  <c r="I10" i="14"/>
  <c r="C11" i="14"/>
  <c r="C12" i="14" s="1"/>
  <c r="C14" i="14" s="1"/>
  <c r="F72" i="14" l="1"/>
  <c r="C15" i="14"/>
  <c r="C17" i="14" s="1"/>
  <c r="C18" i="14" s="1"/>
  <c r="C19" i="14" s="1"/>
  <c r="C21" i="14" s="1"/>
  <c r="C22" i="14" s="1"/>
  <c r="C23" i="14" s="1"/>
  <c r="K2" i="14"/>
  <c r="F108" i="14"/>
  <c r="F126" i="14"/>
  <c r="F87" i="14"/>
  <c r="F167" i="14"/>
  <c r="C24" i="14" l="1"/>
  <c r="C25" i="14" s="1"/>
  <c r="C27" i="14" s="1"/>
  <c r="C28" i="14" s="1"/>
  <c r="C29" i="14" s="1"/>
  <c r="C31" i="14" s="1"/>
  <c r="C32" i="14" s="1"/>
  <c r="C34" i="14" l="1"/>
  <c r="C35" i="14" s="1"/>
  <c r="C36" i="14" s="1"/>
  <c r="C37" i="14" s="1"/>
  <c r="C38" i="14" s="1"/>
  <c r="C40" i="14" l="1"/>
  <c r="C41" i="14" s="1"/>
  <c r="C42" i="14" s="1"/>
  <c r="C43" i="14" s="1"/>
  <c r="C44" i="14" s="1"/>
  <c r="C45" i="14" s="1"/>
  <c r="C46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l="1"/>
  <c r="C58" i="14" s="1"/>
  <c r="C59" i="14" s="1"/>
  <c r="C60" i="14" s="1"/>
  <c r="C62" i="14" s="1"/>
  <c r="C63" i="14" s="1"/>
  <c r="C64" i="14" s="1"/>
  <c r="C65" i="14" s="1"/>
  <c r="C66" i="14" s="1"/>
  <c r="C67" i="14" s="1"/>
  <c r="C68" i="14" s="1"/>
  <c r="C69" i="14" l="1"/>
  <c r="C77" i="14" s="1"/>
  <c r="C78" i="14"/>
  <c r="C79" i="14" s="1"/>
  <c r="C80" i="14" s="1"/>
  <c r="C81" i="14" s="1"/>
  <c r="C82" i="14" s="1"/>
  <c r="C83" i="14" s="1"/>
  <c r="C84" i="14" s="1"/>
  <c r="C85" i="14" s="1"/>
  <c r="C92" i="14" s="1"/>
  <c r="C93" i="14" l="1"/>
  <c r="C94" i="14" s="1"/>
  <c r="C95" i="14" s="1"/>
  <c r="C96" i="14" s="1"/>
  <c r="C97" i="14" s="1"/>
  <c r="C98" i="14" s="1"/>
  <c r="C99" i="14" s="1"/>
  <c r="C105" i="14" s="1"/>
  <c r="C106" i="14" s="1"/>
  <c r="C113" i="14" s="1"/>
  <c r="C114" i="14" l="1"/>
  <c r="C115" i="14" s="1"/>
  <c r="C116" i="14" s="1"/>
  <c r="C117" i="14" s="1"/>
  <c r="C118" i="14" s="1"/>
  <c r="C119" i="14" l="1"/>
  <c r="C120" i="14" s="1"/>
  <c r="C121" i="14" l="1"/>
  <c r="C122" i="14" s="1"/>
  <c r="C123" i="14" s="1"/>
  <c r="C124" i="14" s="1"/>
  <c r="C131" i="14" s="1"/>
  <c r="C132" i="14" s="1"/>
  <c r="C133" i="14" s="1"/>
  <c r="C134" i="14" s="1"/>
  <c r="C136" i="14" l="1"/>
  <c r="C137" i="14" s="1"/>
  <c r="C138" i="14" l="1"/>
  <c r="C139" i="14" s="1"/>
  <c r="C140" i="14" s="1"/>
  <c r="C141" i="14" s="1"/>
  <c r="C142" i="14" s="1"/>
  <c r="C143" i="14" s="1"/>
  <c r="C144" i="14" s="1"/>
  <c r="C145" i="14" s="1"/>
  <c r="C146" i="14" s="1"/>
  <c r="C147" i="14" s="1"/>
  <c r="C148" i="14" s="1"/>
  <c r="C149" i="14" s="1"/>
  <c r="C150" i="14" s="1"/>
  <c r="C151" i="14" s="1"/>
  <c r="C152" i="14" s="1"/>
  <c r="C153" i="14" s="1"/>
  <c r="C154" i="14" s="1"/>
  <c r="C155" i="14" s="1"/>
  <c r="C156" i="14" s="1"/>
  <c r="C157" i="14" s="1"/>
  <c r="C158" i="14" s="1"/>
  <c r="C159" i="14" s="1"/>
  <c r="C160" i="14" s="1"/>
  <c r="C161" i="14" s="1"/>
  <c r="C163" i="14" s="1"/>
  <c r="C164" i="14" s="1"/>
  <c r="C165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齋藤 秀昭</author>
  </authors>
  <commentList>
    <comment ref="F163" authorId="0" shapeId="0" xr:uid="{B7C9D4F8-B08A-4DF2-88FA-C52D6C5A4734}">
      <text>
        <r>
          <rPr>
            <b/>
            <sz val="9"/>
            <color indexed="81"/>
            <rFont val="MS P ゴシック"/>
            <family val="3"/>
            <charset val="128"/>
          </rPr>
          <t>齋藤 秀昭:</t>
        </r>
        <r>
          <rPr>
            <sz val="9"/>
            <color indexed="81"/>
            <rFont val="MS P ゴシック"/>
            <family val="3"/>
            <charset val="128"/>
          </rPr>
          <t xml:space="preserve">
SMC電動ﾓｰﾀｰ動作AXA400との動作問題ＩＯ接続の為追加で使用</t>
        </r>
      </text>
    </comment>
  </commentList>
</comments>
</file>

<file path=xl/sharedStrings.xml><?xml version="1.0" encoding="utf-8"?>
<sst xmlns="http://schemas.openxmlformats.org/spreadsheetml/2006/main" count="759" uniqueCount="291">
  <si>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</si>
  <si>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</si>
  <si>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</si>
  <si>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</si>
  <si>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</si>
  <si>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</si>
  <si>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</si>
  <si>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</si>
  <si>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</si>
  <si>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</si>
  <si>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</si>
  <si>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</si>
  <si>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</si>
  <si>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</si>
  <si>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</si>
  <si>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</si>
  <si>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</si>
  <si>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</si>
  <si>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</si>
  <si>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</si>
  <si>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</si>
  <si>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</si>
  <si>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</si>
  <si>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ミスミ</t>
  </si>
  <si>
    <t>運送費</t>
  </si>
  <si>
    <t>設計費</t>
  </si>
  <si>
    <t>組立調整費</t>
  </si>
  <si>
    <t>ミスミ</t>
    <phoneticPr fontId="12"/>
  </si>
  <si>
    <t>PUT6-10-B</t>
    <phoneticPr fontId="12"/>
  </si>
  <si>
    <t>配電部分</t>
    <rPh sb="0" eb="2">
      <t>ハイデン</t>
    </rPh>
    <rPh sb="2" eb="4">
      <t>ブブン</t>
    </rPh>
    <phoneticPr fontId="10"/>
  </si>
  <si>
    <t>SCB4-20</t>
    <phoneticPr fontId="10"/>
  </si>
  <si>
    <t>MNCNL6-M5</t>
    <phoneticPr fontId="12"/>
  </si>
  <si>
    <t>MNCNL4-M5</t>
    <phoneticPr fontId="12"/>
  </si>
  <si>
    <t>MWS-DS37A-HT37</t>
    <phoneticPr fontId="12"/>
  </si>
  <si>
    <t>DINレール</t>
    <phoneticPr fontId="12"/>
  </si>
  <si>
    <t>漏電ブレーカ</t>
    <rPh sb="0" eb="2">
      <t>ロウデン</t>
    </rPh>
    <phoneticPr fontId="12"/>
  </si>
  <si>
    <t>TBS-22</t>
    <phoneticPr fontId="12"/>
  </si>
  <si>
    <t>CRKB4-8</t>
    <phoneticPr fontId="12"/>
  </si>
  <si>
    <t>樹脂付ローレットボルト</t>
    <rPh sb="0" eb="2">
      <t>ジュシ</t>
    </rPh>
    <rPh sb="2" eb="3">
      <t>ツキ</t>
    </rPh>
    <phoneticPr fontId="12"/>
  </si>
  <si>
    <t>CHNS4</t>
    <phoneticPr fontId="12"/>
  </si>
  <si>
    <t>RSCB4-15</t>
    <phoneticPr fontId="12"/>
  </si>
  <si>
    <t>PUT4-10-B</t>
    <phoneticPr fontId="12"/>
  </si>
  <si>
    <t>ミニチュアワンタッチ継手　エルボ</t>
    <phoneticPr fontId="10"/>
  </si>
  <si>
    <t>押え板</t>
    <phoneticPr fontId="12"/>
  </si>
  <si>
    <t>ASFCS-A27-B14-T0.3-D4.5-E6-C6-P15</t>
    <phoneticPr fontId="12"/>
  </si>
  <si>
    <t>SCB4-5</t>
    <phoneticPr fontId="12"/>
  </si>
  <si>
    <t>3日間</t>
    <rPh sb="1" eb="2">
      <t>ヒ</t>
    </rPh>
    <rPh sb="2" eb="3">
      <t>カン</t>
    </rPh>
    <phoneticPr fontId="10"/>
  </si>
  <si>
    <t>リブ</t>
    <phoneticPr fontId="12"/>
  </si>
  <si>
    <t xml:space="preserve">SCB4-8  </t>
    <phoneticPr fontId="12"/>
  </si>
  <si>
    <t>meviy</t>
    <phoneticPr fontId="12"/>
  </si>
  <si>
    <t>JTDA-SUD-A27-B12-T2-X6-Y6-M4-L15-MA4</t>
    <phoneticPr fontId="12"/>
  </si>
  <si>
    <t>シム</t>
    <phoneticPr fontId="12"/>
  </si>
  <si>
    <t>六角穴付きﾎﾞﾙﾄ　M4×5mm　　　　6本</t>
    <rPh sb="21" eb="22">
      <t>ホン</t>
    </rPh>
    <phoneticPr fontId="12"/>
  </si>
  <si>
    <t xml:space="preserve">SPWF4 </t>
    <phoneticPr fontId="12"/>
  </si>
  <si>
    <t>ワッシャ　　平座金　　M4×8mm　　　4個</t>
    <rPh sb="21" eb="22">
      <t>コ</t>
    </rPh>
    <phoneticPr fontId="12"/>
  </si>
  <si>
    <t>3日目</t>
    <rPh sb="1" eb="2">
      <t>ヒ</t>
    </rPh>
    <rPh sb="2" eb="3">
      <t>メ</t>
    </rPh>
    <phoneticPr fontId="12"/>
  </si>
  <si>
    <t>1日目</t>
    <rPh sb="1" eb="2">
      <t>ヒ</t>
    </rPh>
    <rPh sb="2" eb="3">
      <t>メ</t>
    </rPh>
    <phoneticPr fontId="12"/>
  </si>
  <si>
    <t>2日目</t>
    <rPh sb="1" eb="2">
      <t>ヒ</t>
    </rPh>
    <rPh sb="2" eb="3">
      <t>メ</t>
    </rPh>
    <phoneticPr fontId="12"/>
  </si>
  <si>
    <t>JPLRS4-P5.0-B7.0</t>
    <phoneticPr fontId="10"/>
  </si>
  <si>
    <t>SCB5-12</t>
    <phoneticPr fontId="10"/>
  </si>
  <si>
    <t>MS3-6</t>
    <phoneticPr fontId="10"/>
  </si>
  <si>
    <t>CBSST5-16</t>
    <phoneticPr fontId="10"/>
  </si>
  <si>
    <t xml:space="preserve">MS3-10 </t>
    <phoneticPr fontId="10"/>
  </si>
  <si>
    <t xml:space="preserve">SCB4-10 </t>
    <phoneticPr fontId="10"/>
  </si>
  <si>
    <t>SETB0075-Y07 ｶﾑﾌｧﾛｱ固定ﾌﾞﾛｯｸ</t>
    <phoneticPr fontId="10"/>
  </si>
  <si>
    <t>C-CFA5-13</t>
    <phoneticPr fontId="10"/>
  </si>
  <si>
    <t>CFBRA5-40</t>
    <phoneticPr fontId="10"/>
  </si>
  <si>
    <t>SBCB5-10</t>
    <phoneticPr fontId="10"/>
  </si>
  <si>
    <t>CSHCS-SUS-M3-4</t>
    <phoneticPr fontId="10"/>
  </si>
  <si>
    <t>SFB3-8</t>
    <phoneticPr fontId="10"/>
  </si>
  <si>
    <t>AETTS10-93-SC46.5-M3-N3</t>
    <phoneticPr fontId="10"/>
  </si>
  <si>
    <t>8日目</t>
    <rPh sb="1" eb="2">
      <t>ヒ</t>
    </rPh>
    <rPh sb="2" eb="3">
      <t>メ</t>
    </rPh>
    <phoneticPr fontId="12"/>
  </si>
  <si>
    <t>MVBLK-AMW-2UH-KM5D8</t>
    <phoneticPr fontId="10"/>
  </si>
  <si>
    <t>SUNCO</t>
    <phoneticPr fontId="10"/>
  </si>
  <si>
    <t>円形支柱－両端めねじ</t>
    <phoneticPr fontId="10"/>
  </si>
  <si>
    <t>5日目</t>
    <rPh sb="1" eb="2">
      <t>ヒ</t>
    </rPh>
    <rPh sb="2" eb="3">
      <t>メ</t>
    </rPh>
    <phoneticPr fontId="12"/>
  </si>
  <si>
    <t>カムフォロア　頭部六角穴付　フラットタイプ</t>
    <phoneticPr fontId="10"/>
  </si>
  <si>
    <t>カムフォロア用ブラケット</t>
    <phoneticPr fontId="10"/>
  </si>
  <si>
    <t>六角穴付ボタンボルト　－ステンレス</t>
    <phoneticPr fontId="10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</si>
  <si>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>　2本  社内在庫使用</t>
    </r>
    <rPh sb="13" eb="14">
      <t>ホン</t>
    </rPh>
    <rPh sb="16" eb="18">
      <t>シャナイ</t>
    </rPh>
    <rPh sb="18" eb="20">
      <t>ザイコ</t>
    </rPh>
    <rPh sb="20" eb="22">
      <t>シヨウ</t>
    </rPh>
    <phoneticPr fontId="10"/>
  </si>
  <si>
    <r>
      <t xml:space="preserve">六角穴付ボル </t>
    </r>
    <r>
      <rPr>
        <sz val="11"/>
        <color rgb="FFFF0000"/>
        <rFont val="ＭＳ Ｐゴシック"/>
        <family val="3"/>
        <charset val="128"/>
        <scheme val="minor"/>
      </rPr>
      <t xml:space="preserve">  4本　  社内在庫使用</t>
    </r>
    <rPh sb="10" eb="11">
      <t>ホン</t>
    </rPh>
    <phoneticPr fontId="10"/>
  </si>
  <si>
    <t>SETB0075-Z01 電磁弁+レギュラーﾕﾆｯﾄ取付板金</t>
    <phoneticPr fontId="10"/>
  </si>
  <si>
    <t>MVSHM-3N03002011027-2UK-1UMGD</t>
    <phoneticPr fontId="12"/>
  </si>
  <si>
    <t>SCB4-5</t>
    <phoneticPr fontId="10"/>
  </si>
  <si>
    <t>SBCB5-8</t>
    <phoneticPr fontId="10"/>
  </si>
  <si>
    <t>ねじ変換継手</t>
    <phoneticPr fontId="12"/>
  </si>
  <si>
    <t>出荷依頼項目NO.</t>
    <rPh sb="0" eb="4">
      <t>シュッカイライ</t>
    </rPh>
    <rPh sb="4" eb="6">
      <t>コウモク</t>
    </rPh>
    <phoneticPr fontId="10"/>
  </si>
  <si>
    <t>福島</t>
    <rPh sb="0" eb="2">
      <t>フクシマ</t>
    </rPh>
    <phoneticPr fontId="10"/>
  </si>
  <si>
    <t>六角穴付皿ボルト　  2本　×2SET　</t>
    <phoneticPr fontId="10"/>
  </si>
  <si>
    <t>六角穴付皿ボルト　  9本　×2SET　</t>
    <phoneticPr fontId="10"/>
  </si>
  <si>
    <t>ﾐｽﾐ</t>
    <phoneticPr fontId="12"/>
  </si>
  <si>
    <t>SUNCO</t>
    <phoneticPr fontId="12"/>
  </si>
  <si>
    <t>捨て打ちBOX</t>
    <rPh sb="0" eb="1">
      <t>ス</t>
    </rPh>
    <rPh sb="2" eb="3">
      <t>ウ</t>
    </rPh>
    <phoneticPr fontId="12"/>
  </si>
  <si>
    <t>KBXS100-100</t>
    <phoneticPr fontId="12"/>
  </si>
  <si>
    <t>金属BOX</t>
    <phoneticPr fontId="12"/>
  </si>
  <si>
    <t>MVSHM-3N02050-34E-FLG51</t>
    <phoneticPr fontId="10"/>
  </si>
  <si>
    <t>SETB0106-Z01　カップ受け板金1</t>
    <phoneticPr fontId="10"/>
  </si>
  <si>
    <t>MVSHM-3N03054-33U-TS97K</t>
    <phoneticPr fontId="12"/>
  </si>
  <si>
    <t>SSTT0329金属BOX受皿</t>
    <phoneticPr fontId="12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</si>
  <si>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-Z03　カップ受け板金2</t>
    </r>
    <phoneticPr fontId="10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</si>
  <si>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-Z04　金属BOX受け板金3</t>
    </r>
    <rPh sb="13" eb="15">
      <t>キンゾク</t>
    </rPh>
    <phoneticPr fontId="10"/>
  </si>
  <si>
    <t>CSHCS-SUS-M4-5</t>
    <phoneticPr fontId="12"/>
  </si>
  <si>
    <t>6日目</t>
    <rPh sb="1" eb="2">
      <t>ヒ</t>
    </rPh>
    <rPh sb="2" eb="3">
      <t>メ</t>
    </rPh>
    <phoneticPr fontId="12"/>
  </si>
  <si>
    <t>Ｎo.【202839】</t>
    <phoneticPr fontId="10"/>
  </si>
  <si>
    <t>PEW池田電機様　(阪本（株））</t>
    <rPh sb="10" eb="12">
      <t>サカモト</t>
    </rPh>
    <rPh sb="12" eb="15">
      <t>カブ</t>
    </rPh>
    <phoneticPr fontId="10"/>
  </si>
  <si>
    <t>エアチューブ  在庫使用</t>
    <phoneticPr fontId="12"/>
  </si>
  <si>
    <t>Dsub9　オス　コネクタハーネス　#4-40ショートねじ</t>
    <phoneticPr fontId="12"/>
  </si>
  <si>
    <t>Dsubコネクタハーネス　M2.6ショートネジ</t>
    <phoneticPr fontId="12"/>
  </si>
  <si>
    <t>1日目</t>
    <rPh sb="1" eb="3">
      <t>ヒメ</t>
    </rPh>
    <phoneticPr fontId="12"/>
  </si>
  <si>
    <t>配線ダクト（側片折り取り可能）　1本　　カッチンダクト</t>
    <rPh sb="17" eb="18">
      <t>ホン</t>
    </rPh>
    <phoneticPr fontId="12"/>
  </si>
  <si>
    <t>AFPSA4-P3.2-L3-B5</t>
    <phoneticPr fontId="10"/>
  </si>
  <si>
    <t>位置決めピン　高硬度ステンレス　小頭テーパ　－圧入－</t>
    <phoneticPr fontId="10"/>
  </si>
  <si>
    <t>AETTS6-93-SC46.5-M3-N3</t>
    <phoneticPr fontId="10"/>
  </si>
  <si>
    <t>SCB6-35</t>
    <phoneticPr fontId="10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</si>
  <si>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 xml:space="preserve">　2本  </t>
    </r>
    <rPh sb="13" eb="14">
      <t>ホン</t>
    </rPh>
    <phoneticPr fontId="10"/>
  </si>
  <si>
    <t>RACW40-60-10</t>
    <phoneticPr fontId="10"/>
  </si>
  <si>
    <t>SETB0204-Y08　ﾓｰﾀｰ用ﾌﾞﾗｹｯﾄ</t>
    <phoneticPr fontId="10"/>
  </si>
  <si>
    <t>MVBLK-AMW-3TF-R1RGP</t>
    <phoneticPr fontId="10"/>
  </si>
  <si>
    <t>CBSST5-10</t>
    <phoneticPr fontId="10"/>
  </si>
  <si>
    <t xml:space="preserve">MS4-10 </t>
    <phoneticPr fontId="10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</si>
  <si>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3本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0"/>
  </si>
  <si>
    <t>低頭六角穴付ボルト  6本　</t>
    <phoneticPr fontId="10"/>
  </si>
  <si>
    <t>SETB0204-Y09　ﾊﾞﾙﾌﾞﾎﾙﾀﾞｰﾌﾞﾗｹｯﾄﾓｰﾀｰ用</t>
    <phoneticPr fontId="10"/>
  </si>
  <si>
    <t>MVBLK-AMW-3TF-4FSNP</t>
    <phoneticPr fontId="10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</si>
  <si>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4本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0"/>
  </si>
  <si>
    <t>MS3-15</t>
    <phoneticPr fontId="10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</si>
  <si>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2本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0"/>
  </si>
  <si>
    <t>SCB4-10</t>
    <phoneticPr fontId="10"/>
  </si>
  <si>
    <t>SCB6-40</t>
    <phoneticPr fontId="10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</si>
  <si>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 xml:space="preserve">　5本  </t>
    </r>
    <rPh sb="13" eb="14">
      <t>ホン</t>
    </rPh>
    <phoneticPr fontId="10"/>
  </si>
  <si>
    <t>SETB0204-Y10 セットカラー固定ﾌﾞﾗｹｯﾄ smc用:</t>
    <phoneticPr fontId="10"/>
  </si>
  <si>
    <t>MVBLK-AMW-3TG-92TW4</t>
    <phoneticPr fontId="10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</si>
  <si>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 xml:space="preserve">　4本  </t>
    </r>
    <rPh sb="13" eb="14">
      <t>ホン</t>
    </rPh>
    <phoneticPr fontId="10"/>
  </si>
  <si>
    <t>SETB0204-Y12　RA取付板SMC用</t>
    <phoneticPr fontId="10"/>
  </si>
  <si>
    <t>低頭六角穴付ボルト  4本　</t>
    <phoneticPr fontId="10"/>
  </si>
  <si>
    <t>MVBLK-AMW-3TF-BBLGE</t>
    <phoneticPr fontId="10"/>
  </si>
  <si>
    <t>SETB0204-Y13　ﾂｰﾙ取付板モーターとSMC用</t>
    <phoneticPr fontId="10"/>
  </si>
  <si>
    <t>MVBLK-AMW-3TG-TR2XE</t>
  </si>
  <si>
    <t>AETGS8-28.5-SC10-M4-N4</t>
    <phoneticPr fontId="10"/>
  </si>
  <si>
    <t>低頭六角穴付ボルト  2本　</t>
    <phoneticPr fontId="10"/>
  </si>
  <si>
    <t>SETB0204-Y16　ｶﾒﾗﾌﾞﾗｹｯﾄ</t>
    <phoneticPr fontId="10"/>
  </si>
  <si>
    <t>MVSHM-3N03006-3TG-YEHTR</t>
    <phoneticPr fontId="10"/>
  </si>
  <si>
    <t>MS2-6</t>
    <phoneticPr fontId="10"/>
  </si>
  <si>
    <t>SFB4-10</t>
    <phoneticPr fontId="10"/>
  </si>
  <si>
    <t>六角穴付皿ボルト　  3本</t>
    <phoneticPr fontId="10"/>
  </si>
  <si>
    <t>APMTSL-N1-N1-L30</t>
    <phoneticPr fontId="12"/>
  </si>
  <si>
    <t>SETB0204-Y15　SV59161　SV01ﾊﾞﾙﾌﾞﾎﾙﾀﾞ</t>
    <phoneticPr fontId="10"/>
  </si>
  <si>
    <t>MVBLK-AMW-3TF-Z1GFR</t>
    <phoneticPr fontId="10"/>
  </si>
  <si>
    <t>AFPBA3-P3.96-L4-B2.3-E0.7</t>
    <phoneticPr fontId="10"/>
  </si>
  <si>
    <t>SCB6-10</t>
    <phoneticPr fontId="10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</si>
  <si>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 xml:space="preserve">　1本  </t>
    </r>
    <rPh sb="13" eb="14">
      <t>ホン</t>
    </rPh>
    <phoneticPr fontId="10"/>
  </si>
  <si>
    <t>SETB0204-Y14 ｶﾑﾌｧﾛｱｶﾞｲﾄﾞ</t>
    <phoneticPr fontId="10"/>
  </si>
  <si>
    <t>SETB0204-Y17 右側ｶﾞｲﾄﾞｶﾊﾞｰ</t>
    <phoneticPr fontId="10"/>
  </si>
  <si>
    <t>SETB0204-Y18 左側ｶﾞｲﾄﾞｶﾊﾞｰ</t>
    <phoneticPr fontId="10"/>
  </si>
  <si>
    <t>SETB0204-Y19 上部ｶﾞｲﾄﾞｶﾊﾞｰ</t>
    <rPh sb="13" eb="14">
      <t>ウエ</t>
    </rPh>
    <rPh sb="14" eb="15">
      <t>ブ</t>
    </rPh>
    <phoneticPr fontId="10"/>
  </si>
  <si>
    <t>MVSHM-3N02054-3TF-WRH5Y</t>
    <phoneticPr fontId="10"/>
  </si>
  <si>
    <t>MVBLK-AMW-3TF-CJZAX</t>
    <phoneticPr fontId="10"/>
  </si>
  <si>
    <t>MVSHM-3N02006-3TF-BH2CZ</t>
    <phoneticPr fontId="10"/>
  </si>
  <si>
    <t>MVSHM-3N02006-3TF-CFZR4</t>
    <phoneticPr fontId="10"/>
  </si>
  <si>
    <t>PLGJ4-6M</t>
    <phoneticPr fontId="10"/>
  </si>
  <si>
    <t xml:space="preserve">六角穴付ボタンボルト　6本  </t>
    <phoneticPr fontId="10"/>
  </si>
  <si>
    <t xml:space="preserve">六角穴付きボルト ステンレス　2本  </t>
    <phoneticPr fontId="10"/>
  </si>
  <si>
    <t>AXA400用　ﾍｯﾄﾞ重量対応ﾕﾆｯﾄ</t>
    <rPh sb="6" eb="7">
      <t>ヨウ</t>
    </rPh>
    <rPh sb="12" eb="14">
      <t>ジュウリョウ</t>
    </rPh>
    <rPh sb="14" eb="16">
      <t>タイオウ</t>
    </rPh>
    <phoneticPr fontId="12"/>
  </si>
  <si>
    <t>SETB0204-Z01　左右ﾍｯﾄﾞ補強用ﾌﾞﾗｹｯﾄ</t>
    <phoneticPr fontId="10"/>
  </si>
  <si>
    <t>PACK10-CIMRS4-8-0.1</t>
    <phoneticPr fontId="10"/>
  </si>
  <si>
    <t xml:space="preserve">SCB4-12 </t>
    <phoneticPr fontId="12"/>
  </si>
  <si>
    <t>六角穴付ボルト　　4本</t>
    <rPh sb="10" eb="11">
      <t>ホン</t>
    </rPh>
    <phoneticPr fontId="12"/>
  </si>
  <si>
    <t>SCB5-8</t>
    <phoneticPr fontId="12"/>
  </si>
  <si>
    <t>SETB0204-Z02　左右ﾍｯﾄﾞ補強用ｻｲﾄﾞﾌﾟﾚｰﾄ</t>
  </si>
  <si>
    <t>FWSAA-D7.5-V4-T4.4</t>
    <phoneticPr fontId="10"/>
  </si>
  <si>
    <t>SCB4-25</t>
    <phoneticPr fontId="12"/>
  </si>
  <si>
    <t>SETB0204-Z03　左右ﾍｯﾄﾞ補強用ﾍﾞｰｽﾌﾟﾚｰﾄ</t>
    <phoneticPr fontId="10"/>
  </si>
  <si>
    <t>SCB3-8</t>
    <phoneticPr fontId="12"/>
  </si>
  <si>
    <t>WSP2-SUS-M3</t>
    <phoneticPr fontId="10"/>
  </si>
  <si>
    <t>MVBLK-AMW-3TN-FGTWT</t>
    <phoneticPr fontId="10"/>
  </si>
  <si>
    <t>MVBLK-AMW-3TN-9KGHF</t>
    <phoneticPr fontId="10"/>
  </si>
  <si>
    <t>MVSHM-3N03002-3TN-12PTR</t>
    <phoneticPr fontId="10"/>
  </si>
  <si>
    <t>JKSG16A-510</t>
    <phoneticPr fontId="10"/>
  </si>
  <si>
    <t>ばね座金 スプリングワッシャー 2号</t>
    <phoneticPr fontId="10"/>
  </si>
  <si>
    <t>リニアレール　アルミ製・ベアリングタイプ</t>
    <phoneticPr fontId="10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</si>
  <si>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3本　+1本　　　</t>
    </r>
    <r>
      <rPr>
        <sz val="11"/>
        <color theme="1"/>
        <rFont val="ＭＳ Ｐゴシック"/>
        <family val="3"/>
        <charset val="128"/>
        <scheme val="minor"/>
      </rPr>
      <t>　　　</t>
    </r>
    <rPh sb="15" eb="16">
      <t>ホン</t>
    </rPh>
    <phoneticPr fontId="10"/>
  </si>
  <si>
    <t>マーカーピン　六角穴付タイプ</t>
    <phoneticPr fontId="10"/>
  </si>
  <si>
    <t>日本ﾋﾟｽｺ</t>
    <rPh sb="0" eb="2">
      <t>ニホン</t>
    </rPh>
    <phoneticPr fontId="10"/>
  </si>
  <si>
    <t>一般配管用 チューブフィッティングミニタイプ 違径ソケットエルボ</t>
    <phoneticPr fontId="10"/>
  </si>
  <si>
    <t>SCB3-12</t>
    <phoneticPr fontId="10"/>
  </si>
  <si>
    <t>ｵﾑﾛﾝ</t>
    <phoneticPr fontId="10"/>
  </si>
  <si>
    <t>EE-SPX613 1M</t>
    <phoneticPr fontId="10"/>
  </si>
  <si>
    <t>液面レベルセンサ（アンプ内蔵パイプ取りつけタイプ） EE-SPX613</t>
    <phoneticPr fontId="10"/>
  </si>
  <si>
    <t>PDDJ-PS-JS-37-3</t>
    <phoneticPr fontId="12"/>
  </si>
  <si>
    <t>PDDU-PT-MS-9-3</t>
    <phoneticPr fontId="12"/>
  </si>
  <si>
    <t>FSC10-C-3</t>
    <phoneticPr fontId="12"/>
  </si>
  <si>
    <t>M8丸型防水コネクタハーネス  ＳＶＥＭﾛﾝｸﾞ3m　TYPE</t>
    <phoneticPr fontId="12"/>
  </si>
  <si>
    <t>ＪＡＰＰＹ</t>
    <phoneticPr fontId="12"/>
  </si>
  <si>
    <t>ADR-341-JP</t>
    <phoneticPr fontId="12"/>
  </si>
  <si>
    <t>EBS-32FB-15A</t>
    <phoneticPr fontId="12"/>
  </si>
  <si>
    <r>
      <t>端子カバー　</t>
    </r>
    <r>
      <rPr>
        <b/>
        <sz val="11"/>
        <rFont val="ＭＳ Ｐゴシック"/>
        <family val="3"/>
        <charset val="128"/>
      </rPr>
      <t>　</t>
    </r>
    <phoneticPr fontId="12"/>
  </si>
  <si>
    <t>MKS9L-10P</t>
    <phoneticPr fontId="12"/>
  </si>
  <si>
    <t>MKBシリーズ　止め金具【10個入り】</t>
    <phoneticPr fontId="12"/>
  </si>
  <si>
    <t>MWSシリーズ（バネアップ）,DINレール取付、ネジ取付両対応</t>
    <phoneticPr fontId="12"/>
  </si>
  <si>
    <t>MRB-440</t>
    <phoneticPr fontId="12"/>
  </si>
  <si>
    <t>三沢電線</t>
    <rPh sb="0" eb="2">
      <t>ミサワ</t>
    </rPh>
    <rPh sb="2" eb="4">
      <t>デンセン</t>
    </rPh>
    <phoneticPr fontId="12"/>
  </si>
  <si>
    <t>UL1007-20AWG-BE-10</t>
    <phoneticPr fontId="12"/>
  </si>
  <si>
    <t>単芯電線　　0.5　AGW20　青色</t>
    <rPh sb="0" eb="1">
      <t>タン</t>
    </rPh>
    <rPh sb="1" eb="2">
      <t>シン</t>
    </rPh>
    <rPh sb="2" eb="4">
      <t>デンセン</t>
    </rPh>
    <rPh sb="16" eb="17">
      <t>アオ</t>
    </rPh>
    <rPh sb="17" eb="18">
      <t>イロ</t>
    </rPh>
    <phoneticPr fontId="12"/>
  </si>
  <si>
    <t>UL1007-18AWG-R-10</t>
    <phoneticPr fontId="12"/>
  </si>
  <si>
    <t>単芯電線　　0.75　AGW18　赤色</t>
    <rPh sb="0" eb="1">
      <t>タン</t>
    </rPh>
    <rPh sb="1" eb="2">
      <t>シン</t>
    </rPh>
    <rPh sb="2" eb="4">
      <t>デンセン</t>
    </rPh>
    <rPh sb="17" eb="19">
      <t>アカイロ</t>
    </rPh>
    <phoneticPr fontId="12"/>
  </si>
  <si>
    <t>UL1007-18AWG-BK-10</t>
    <phoneticPr fontId="12"/>
  </si>
  <si>
    <t>単芯電線　　0.75　AGW18　黒色</t>
    <rPh sb="0" eb="1">
      <t>タン</t>
    </rPh>
    <rPh sb="1" eb="2">
      <t>シン</t>
    </rPh>
    <rPh sb="2" eb="4">
      <t>デンセン</t>
    </rPh>
    <rPh sb="17" eb="19">
      <t>コクショク</t>
    </rPh>
    <phoneticPr fontId="12"/>
  </si>
  <si>
    <t>UL1007-18AWG-Y-10</t>
    <phoneticPr fontId="12"/>
  </si>
  <si>
    <t>単芯電線　　0.75　AGW18　黄色</t>
    <rPh sb="0" eb="1">
      <t>タン</t>
    </rPh>
    <rPh sb="1" eb="2">
      <t>シン</t>
    </rPh>
    <rPh sb="2" eb="4">
      <t>デンセン</t>
    </rPh>
    <rPh sb="17" eb="19">
      <t>キイロ</t>
    </rPh>
    <phoneticPr fontId="12"/>
  </si>
  <si>
    <t>UL1007-18AWG-GN-10</t>
    <phoneticPr fontId="12"/>
  </si>
  <si>
    <t>単芯電線　　0.75　AGW18　緑色</t>
    <rPh sb="0" eb="1">
      <t>タン</t>
    </rPh>
    <rPh sb="1" eb="2">
      <t>シン</t>
    </rPh>
    <rPh sb="2" eb="4">
      <t>デンセン</t>
    </rPh>
    <rPh sb="17" eb="19">
      <t>ミドリイロ</t>
    </rPh>
    <phoneticPr fontId="12"/>
  </si>
  <si>
    <t>UL1007-16AWG-Y-10</t>
    <phoneticPr fontId="12"/>
  </si>
  <si>
    <t>単芯電線　　1.25　AGW16　黄色</t>
    <rPh sb="0" eb="1">
      <t>タン</t>
    </rPh>
    <rPh sb="1" eb="2">
      <t>シン</t>
    </rPh>
    <rPh sb="2" eb="4">
      <t>デンセン</t>
    </rPh>
    <rPh sb="17" eb="19">
      <t>キイロ</t>
    </rPh>
    <phoneticPr fontId="12"/>
  </si>
  <si>
    <t>UL1007-16AWG-GN-10</t>
    <phoneticPr fontId="12"/>
  </si>
  <si>
    <t>単芯電線　　1.25　AGW16　緑色</t>
    <rPh sb="0" eb="1">
      <t>タン</t>
    </rPh>
    <rPh sb="1" eb="2">
      <t>シン</t>
    </rPh>
    <rPh sb="2" eb="4">
      <t>デンセン</t>
    </rPh>
    <rPh sb="17" eb="19">
      <t>ミドリイロ</t>
    </rPh>
    <phoneticPr fontId="12"/>
  </si>
  <si>
    <t>SS300UCRSB-23-3-20</t>
    <phoneticPr fontId="12"/>
  </si>
  <si>
    <t>SS300UCR UL/CE対応（シールド有(３芯）</t>
    <rPh sb="24" eb="25">
      <t>シン</t>
    </rPh>
    <phoneticPr fontId="12"/>
  </si>
  <si>
    <t>10日間</t>
    <rPh sb="2" eb="3">
      <t>ヒ</t>
    </rPh>
    <rPh sb="3" eb="4">
      <t>カン</t>
    </rPh>
    <phoneticPr fontId="12"/>
  </si>
  <si>
    <t>RSAU-PS-500-330-200-K-WB2204120331</t>
    <phoneticPr fontId="12"/>
  </si>
  <si>
    <t>Web設計ボックス</t>
    <rPh sb="3" eb="5">
      <t>セッケイ</t>
    </rPh>
    <phoneticPr fontId="12"/>
  </si>
  <si>
    <t>タキゲン製造</t>
    <rPh sb="4" eb="6">
      <t>セイゾウ</t>
    </rPh>
    <phoneticPr fontId="12"/>
  </si>
  <si>
    <t>C-30-SG-30X90A-EP-UL</t>
    <phoneticPr fontId="12"/>
  </si>
  <si>
    <t>グロメット　　2個</t>
    <rPh sb="8" eb="9">
      <t>コ</t>
    </rPh>
    <phoneticPr fontId="12"/>
  </si>
  <si>
    <t>AYSK15-10</t>
    <phoneticPr fontId="12"/>
  </si>
  <si>
    <t>ゴム足</t>
    <rPh sb="2" eb="3">
      <t>アシ</t>
    </rPh>
    <phoneticPr fontId="12"/>
  </si>
  <si>
    <t>六角穴付ボルト　　4本 在庫使用</t>
    <rPh sb="10" eb="11">
      <t>ホン</t>
    </rPh>
    <phoneticPr fontId="12"/>
  </si>
  <si>
    <t>ﾜｺﾞ</t>
    <phoneticPr fontId="12"/>
  </si>
  <si>
    <t>2002-1301</t>
    <phoneticPr fontId="12"/>
  </si>
  <si>
    <t>DINレール用中継端子台 2002シリーズ　ｸﾞﾚｰ色　　6個</t>
    <rPh sb="26" eb="27">
      <t>ショク</t>
    </rPh>
    <rPh sb="30" eb="31">
      <t>コ</t>
    </rPh>
    <phoneticPr fontId="12"/>
  </si>
  <si>
    <t>2002-1307</t>
    <phoneticPr fontId="12"/>
  </si>
  <si>
    <t>DINレール用中継端子台 2002シリーズ　ｱｰｽ用ｸﾞﾘｰﾝ色　3個</t>
    <rPh sb="25" eb="26">
      <t>ヨウ</t>
    </rPh>
    <rPh sb="31" eb="32">
      <t>イロ</t>
    </rPh>
    <rPh sb="34" eb="35">
      <t>コ</t>
    </rPh>
    <phoneticPr fontId="12"/>
  </si>
  <si>
    <t>2002-403</t>
    <phoneticPr fontId="12"/>
  </si>
  <si>
    <t>中継用端子台 差込型ジャンパ（絶縁） 2002シリーズ用　3個</t>
    <rPh sb="30" eb="31">
      <t>コ</t>
    </rPh>
    <phoneticPr fontId="12"/>
  </si>
  <si>
    <t>2002-1391</t>
    <phoneticPr fontId="12"/>
  </si>
  <si>
    <t>中継用端子台用エンドプレート　　4個</t>
    <rPh sb="17" eb="18">
      <t>コ</t>
    </rPh>
    <phoneticPr fontId="12"/>
  </si>
  <si>
    <t>APMTSL-N1-N1-L30</t>
    <phoneticPr fontId="10"/>
  </si>
  <si>
    <t>ねじ変換継手</t>
    <phoneticPr fontId="10"/>
  </si>
  <si>
    <t>MWI-COM-P10N10</t>
    <phoneticPr fontId="12"/>
  </si>
  <si>
    <t>コモン端子台　Pコモン、Nコモン分割　1対10ｘ2極</t>
    <phoneticPr fontId="10"/>
  </si>
  <si>
    <t>MY2N-D2 DC24</t>
    <phoneticPr fontId="10"/>
  </si>
  <si>
    <t>MY ミニパワーリレー</t>
    <phoneticPr fontId="10"/>
  </si>
  <si>
    <t>表面接続角型ソケット</t>
    <phoneticPr fontId="10"/>
  </si>
  <si>
    <t>PYFZ-08</t>
    <phoneticPr fontId="10"/>
  </si>
  <si>
    <t>PYC-E1</t>
    <phoneticPr fontId="10"/>
  </si>
  <si>
    <t xml:space="preserve">リレー用共用オプション品 </t>
    <phoneticPr fontId="10"/>
  </si>
  <si>
    <t>永田</t>
    <rPh sb="0" eb="2">
      <t>ナガタ</t>
    </rPh>
    <phoneticPr fontId="10"/>
  </si>
  <si>
    <t>SETB0236-A01　AXAロボット400-HV+SV70ﾛｰﾀﾘｰｱｸﾁｭｴﾀｰSMCﾁﾙﾄﾓｰﾀｰ＋浸け置き+SVC720F　</t>
    <phoneticPr fontId="10"/>
  </si>
  <si>
    <t>MVSHM-3N02050-3T2-J8B5C</t>
    <phoneticPr fontId="12"/>
  </si>
  <si>
    <r>
      <t>SETA0010-Z04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位置決めベース</t>
    </r>
    <phoneticPr fontId="12"/>
  </si>
  <si>
    <t>MVSHM-3N03002-3T2-EXPLE</t>
    <phoneticPr fontId="12"/>
  </si>
  <si>
    <r>
      <t>SETA0010-Z02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角度切替ベース</t>
    </r>
    <phoneticPr fontId="12"/>
  </si>
  <si>
    <t>MVSHM-ZZ99000-3SZ-7ELAD</t>
    <phoneticPr fontId="12"/>
  </si>
  <si>
    <r>
      <t>SETA0010-Z03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角度切替ブラケット</t>
    </r>
    <phoneticPr fontId="12"/>
  </si>
  <si>
    <t>AWSS-D-D6-V4-T1.9</t>
    <phoneticPr fontId="12"/>
  </si>
  <si>
    <t>金属ワッシャ　－Ｔ寸公差選択タイプ－</t>
    <phoneticPr fontId="12"/>
  </si>
  <si>
    <t>MS2-6</t>
    <phoneticPr fontId="12"/>
  </si>
  <si>
    <t>ノックピン　ストレート</t>
    <phoneticPr fontId="12"/>
  </si>
  <si>
    <t>SV70ﾊﾞﾙﾌﾞﾉｽﾞﾙ位置合わせ治具</t>
    <rPh sb="13" eb="15">
      <t>イチ</t>
    </rPh>
    <rPh sb="15" eb="16">
      <t>ア</t>
    </rPh>
    <rPh sb="18" eb="20">
      <t>ジグ</t>
    </rPh>
    <phoneticPr fontId="12"/>
  </si>
  <si>
    <t>浸け置きﾕﾆｯﾄ</t>
    <rPh sb="0" eb="1">
      <t>ツ</t>
    </rPh>
    <rPh sb="2" eb="3">
      <t>オ</t>
    </rPh>
    <phoneticPr fontId="12"/>
  </si>
  <si>
    <t>蝶ﾅｯﾄ　　2本</t>
    <rPh sb="7" eb="8">
      <t>ホン</t>
    </rPh>
    <phoneticPr fontId="12"/>
  </si>
  <si>
    <t>皿ﾈｼﾞ　　2個</t>
    <rPh sb="7" eb="8">
      <t>コ</t>
    </rPh>
    <phoneticPr fontId="12"/>
  </si>
  <si>
    <t>六角ﾎﾞﾙﾄ　2本</t>
    <rPh sb="8" eb="9">
      <t>ホン</t>
    </rPh>
    <phoneticPr fontId="12"/>
  </si>
  <si>
    <t>WP43AB6B4500</t>
    <phoneticPr fontId="10"/>
  </si>
  <si>
    <t>図面NO.　SETB-0236-A01</t>
    <rPh sb="0" eb="2">
      <t>ズメン</t>
    </rPh>
    <phoneticPr fontId="10"/>
  </si>
  <si>
    <t>③</t>
    <phoneticPr fontId="10"/>
  </si>
  <si>
    <t>ねじゆるみ止め剤(中強度･中粘度)</t>
    <phoneticPr fontId="10"/>
  </si>
  <si>
    <t>エスコ</t>
    <phoneticPr fontId="10"/>
  </si>
  <si>
    <t>EA933AS-5</t>
    <phoneticPr fontId="10"/>
  </si>
  <si>
    <t>ノルトロック</t>
    <phoneticPr fontId="10"/>
  </si>
  <si>
    <t>ワッシャー デルタプロテクト</t>
    <phoneticPr fontId="10"/>
  </si>
  <si>
    <t>NL4SP</t>
    <phoneticPr fontId="10"/>
  </si>
  <si>
    <t>明治電機工業（株）【アイシン　様】</t>
    <rPh sb="0" eb="2">
      <t>メイジ</t>
    </rPh>
    <rPh sb="2" eb="4">
      <t>デンキ</t>
    </rPh>
    <rPh sb="4" eb="6">
      <t>コウギョウ</t>
    </rPh>
    <rPh sb="6" eb="9">
      <t>カブ</t>
    </rPh>
    <rPh sb="15" eb="16">
      <t>サマ</t>
    </rPh>
    <phoneticPr fontId="10"/>
  </si>
  <si>
    <t>Ｎo.218124</t>
    <phoneticPr fontId="10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</si>
  <si>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1本　＋2本+3本　　　</t>
    </r>
    <r>
      <rPr>
        <sz val="11"/>
        <color theme="1"/>
        <rFont val="ＭＳ Ｐゴシック"/>
        <family val="3"/>
        <charset val="128"/>
        <scheme val="minor"/>
      </rPr>
      <t>　　　</t>
    </r>
    <rPh sb="15" eb="16">
      <t>ホン</t>
    </rPh>
    <rPh sb="18" eb="19">
      <t>ホン</t>
    </rPh>
    <phoneticPr fontId="10"/>
  </si>
  <si>
    <t>A8001</t>
    <phoneticPr fontId="12"/>
  </si>
  <si>
    <t>汎用3芯OAタップ 6ヶ口</t>
    <phoneticPr fontId="12"/>
  </si>
  <si>
    <t>ＪＡＰＰY</t>
    <phoneticPr fontId="12"/>
  </si>
  <si>
    <t>ADR-361-JP</t>
    <phoneticPr fontId="12"/>
  </si>
  <si>
    <t>カッチンダクト</t>
    <phoneticPr fontId="12"/>
  </si>
  <si>
    <t>ULJP-C-ULJPSS-3</t>
    <phoneticPr fontId="12"/>
  </si>
  <si>
    <t>電源コード　ACコード 固定長（PSE、UL、CSA）両端付き</t>
    <rPh sb="0" eb="2">
      <t>デンゲン</t>
    </rPh>
    <phoneticPr fontId="12"/>
  </si>
  <si>
    <t>品川電線</t>
    <rPh sb="0" eb="2">
      <t>シナガワ</t>
    </rPh>
    <rPh sb="2" eb="4">
      <t>デンセン</t>
    </rPh>
    <phoneticPr fontId="12"/>
  </si>
  <si>
    <t xml:space="preserve">
AB23BB91ED</t>
    <phoneticPr fontId="10"/>
  </si>
  <si>
    <r>
      <t xml:space="preserve">MVSHM-3N02052-37F-UF7PA </t>
    </r>
    <r>
      <rPr>
        <b/>
        <sz val="11"/>
        <color rgb="FFFF0000"/>
        <rFont val="ＭＳ Ｐゴシック"/>
        <family val="3"/>
        <charset val="128"/>
        <scheme val="minor"/>
      </rPr>
      <t>⇒次回発注しない　　間違い</t>
    </r>
    <phoneticPr fontId="10"/>
  </si>
  <si>
    <t>meviy</t>
  </si>
  <si>
    <t>MVSHM-3N02052-3Z9-7A4B1</t>
    <phoneticPr fontId="10"/>
  </si>
  <si>
    <t>SETB0236-Z03　カップ受け板金2</t>
    <phoneticPr fontId="10"/>
  </si>
  <si>
    <t>AB23CD2GB1</t>
    <phoneticPr fontId="10"/>
  </si>
  <si>
    <r>
      <t xml:space="preserve">MVSHM-3N02052-37F-TF1BL </t>
    </r>
    <r>
      <rPr>
        <b/>
        <sz val="11"/>
        <color rgb="FFFF0000"/>
        <rFont val="ＭＳ Ｐゴシック"/>
        <family val="3"/>
        <charset val="128"/>
        <scheme val="minor"/>
      </rPr>
      <t>⇒次回発注しない　　間違い</t>
    </r>
    <phoneticPr fontId="10"/>
  </si>
  <si>
    <t>MVSHM-3N02052-3Z9-W346M</t>
    <phoneticPr fontId="10"/>
  </si>
  <si>
    <t>SETB0236-Z04　金属BOX受け板金3</t>
    <rPh sb="13" eb="15">
      <t>キンゾク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</si>
</sst>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  <numFmt numFmtId="182" formatCode="0_ ;[Red]\-0\ "/>
  </numFmts>
  <fonts count="32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2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20"/>
      <color theme="1"/>
      <name val="ＭＳ Ｐゴシック"/>
      <family val="3"/>
      <charset val="128"/>
      <scheme val="minor"/>
    </font>
    <font>
      <b/>
      <sz val="14"/>
      <color theme="9" tint="-0.499984740745262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b/>
      <sz val="14"/>
      <color rgb="FF00B050"/>
      <name val="ＭＳ Ｐゴシック"/>
      <family val="3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9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9" fillId="0" borderId="0">
      <alignment vertical="center"/>
    </xf>
    <xf numFmtId="0" fontId="13" fillId="0" borderId="0">
      <alignment vertical="center"/>
    </xf>
  </cellStyleXfs>
  <cellXfs count="290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6" fontId="0" fillId="0" borderId="3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9" fillId="0" borderId="9" xfId="0" applyFont="1" applyBorder="1">
      <alignment vertical="center"/>
    </xf>
    <xf numFmtId="178" fontId="0" fillId="0" borderId="9" xfId="0" applyNumberForma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56" fontId="0" fillId="0" borderId="9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4" fillId="0" borderId="9" xfId="0" applyFont="1" applyBorder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4" borderId="11" xfId="0" applyFill="1" applyBorder="1" applyAlignment="1">
      <alignment horizontal="center" vertical="center"/>
    </xf>
    <xf numFmtId="0" fontId="14" fillId="4" borderId="9" xfId="0" applyFont="1" applyFill="1" applyBorder="1">
      <alignment vertical="center"/>
    </xf>
    <xf numFmtId="176" fontId="0" fillId="0" borderId="9" xfId="0" applyNumberFormat="1" applyBorder="1" applyAlignment="1"/>
    <xf numFmtId="0" fontId="0" fillId="0" borderId="9" xfId="0" applyBorder="1" applyAlignment="1">
      <alignment horizontal="left" vertical="center" shrinkToFit="1"/>
    </xf>
    <xf numFmtId="3" fontId="13" fillId="0" borderId="9" xfId="0" applyNumberFormat="1" applyFont="1" applyBorder="1" applyAlignment="1">
      <alignment horizontal="center" vertical="center"/>
    </xf>
    <xf numFmtId="0" fontId="13" fillId="0" borderId="9" xfId="3" applyBorder="1" applyAlignment="1">
      <alignment vertical="center"/>
    </xf>
    <xf numFmtId="0" fontId="13" fillId="0" borderId="9" xfId="3" applyBorder="1" applyAlignment="1">
      <alignment horizontal="left" vertical="center"/>
    </xf>
    <xf numFmtId="176" fontId="0" fillId="0" borderId="11" xfId="0" applyNumberFormat="1" applyBorder="1" applyAlignment="1"/>
    <xf numFmtId="0" fontId="14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3" fontId="0" fillId="4" borderId="16" xfId="0" applyNumberForma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5" fillId="0" borderId="9" xfId="0" applyNumberFormat="1" applyFont="1" applyBorder="1" applyAlignment="1">
      <alignment vertical="center" shrinkToFit="1"/>
    </xf>
    <xf numFmtId="0" fontId="9" fillId="0" borderId="9" xfId="0" applyFont="1" applyBorder="1" applyAlignment="1">
      <alignment horizontal="left" vertical="center" shrinkToFit="1"/>
    </xf>
    <xf numFmtId="0" fontId="16" fillId="8" borderId="1" xfId="0" applyFont="1" applyFill="1" applyBorder="1" applyAlignment="1">
      <alignment vertical="center" shrinkToFit="1"/>
    </xf>
    <xf numFmtId="49" fontId="9" fillId="0" borderId="9" xfId="0" applyNumberFormat="1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176" fontId="14" fillId="0" borderId="9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38" fontId="0" fillId="0" borderId="9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38" fontId="14" fillId="0" borderId="9" xfId="0" applyNumberFormat="1" applyFont="1" applyBorder="1" applyAlignment="1">
      <alignment horizontal="center" vertical="center"/>
    </xf>
    <xf numFmtId="0" fontId="13" fillId="0" borderId="12" xfId="3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176" fontId="0" fillId="0" borderId="8" xfId="0" applyNumberFormat="1" applyBorder="1">
      <alignment vertical="center"/>
    </xf>
    <xf numFmtId="176" fontId="7" fillId="0" borderId="9" xfId="0" applyNumberFormat="1" applyFon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176" fontId="22" fillId="0" borderId="16" xfId="0" applyNumberFormat="1" applyFont="1" applyBorder="1" applyAlignment="1">
      <alignment horizontal="center" vertical="center"/>
    </xf>
    <xf numFmtId="181" fontId="14" fillId="0" borderId="16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56" fontId="9" fillId="0" borderId="9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vertical="center" shrinkToFit="1"/>
    </xf>
    <xf numFmtId="0" fontId="0" fillId="0" borderId="3" xfId="0" applyBorder="1" applyAlignment="1">
      <alignment horizontal="center" vertical="center" shrinkToFit="1"/>
    </xf>
    <xf numFmtId="49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vertical="center" shrinkToFit="1"/>
    </xf>
    <xf numFmtId="3" fontId="0" fillId="0" borderId="19" xfId="0" applyNumberFormat="1" applyBorder="1" applyAlignment="1">
      <alignment horizontal="center" vertical="center"/>
    </xf>
    <xf numFmtId="0" fontId="0" fillId="0" borderId="7" xfId="0" applyBorder="1" applyAlignment="1">
      <alignment vertical="center" shrinkToFit="1"/>
    </xf>
    <xf numFmtId="176" fontId="7" fillId="0" borderId="16" xfId="0" applyNumberFormat="1" applyFont="1" applyBorder="1" applyAlignment="1">
      <alignment horizontal="center" vertical="center"/>
    </xf>
    <xf numFmtId="176" fontId="0" fillId="0" borderId="17" xfId="0" applyNumberFormat="1" applyBorder="1" applyAlignment="1"/>
    <xf numFmtId="0" fontId="0" fillId="0" borderId="10" xfId="0" applyBorder="1" applyAlignment="1">
      <alignment horizontal="left" vertical="center"/>
    </xf>
    <xf numFmtId="0" fontId="14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3" fontId="0" fillId="11" borderId="9" xfId="0" applyNumberFormat="1" applyFill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 shrinkToFit="1"/>
    </xf>
    <xf numFmtId="0" fontId="9" fillId="0" borderId="9" xfId="0" applyFont="1" applyBorder="1" applyAlignment="1">
      <alignment horizontal="center" vertical="center"/>
    </xf>
    <xf numFmtId="3" fontId="9" fillId="0" borderId="9" xfId="0" applyNumberFormat="1" applyFon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left" vertical="center" shrinkToFit="1"/>
    </xf>
    <xf numFmtId="0" fontId="2" fillId="10" borderId="9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3" fontId="11" fillId="0" borderId="9" xfId="0" applyNumberFormat="1" applyFont="1" applyBorder="1" applyAlignment="1">
      <alignment horizontal="left" vertical="center"/>
    </xf>
    <xf numFmtId="0" fontId="0" fillId="0" borderId="0" xfId="0" applyAlignment="1">
      <alignment vertical="center" shrinkToFit="1"/>
    </xf>
    <xf numFmtId="0" fontId="0" fillId="0" borderId="11" xfId="0" applyBorder="1" applyAlignment="1">
      <alignment horizontal="left" vertical="center"/>
    </xf>
    <xf numFmtId="176" fontId="22" fillId="6" borderId="9" xfId="0" applyNumberFormat="1" applyFont="1" applyFill="1" applyBorder="1" applyAlignment="1">
      <alignment horizontal="center" vertical="center"/>
    </xf>
    <xf numFmtId="3" fontId="13" fillId="0" borderId="12" xfId="0" applyNumberFormat="1" applyFont="1" applyBorder="1" applyAlignment="1">
      <alignment horizontal="center" vertical="center"/>
    </xf>
    <xf numFmtId="176" fontId="0" fillId="0" borderId="13" xfId="0" applyNumberFormat="1" applyBorder="1" applyAlignment="1"/>
    <xf numFmtId="176" fontId="13" fillId="0" borderId="9" xfId="0" applyNumberFormat="1" applyFont="1" applyBorder="1" applyAlignment="1"/>
    <xf numFmtId="0" fontId="14" fillId="0" borderId="1" xfId="0" applyFont="1" applyBorder="1" applyAlignment="1">
      <alignment vertical="center" shrinkToFit="1"/>
    </xf>
    <xf numFmtId="0" fontId="9" fillId="0" borderId="11" xfId="4" applyBorder="1" applyAlignment="1">
      <alignment horizontal="center" vertical="center"/>
    </xf>
    <xf numFmtId="0" fontId="9" fillId="0" borderId="9" xfId="4" applyBorder="1">
      <alignment vertical="center"/>
    </xf>
    <xf numFmtId="0" fontId="0" fillId="0" borderId="7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179" fontId="0" fillId="0" borderId="10" xfId="0" applyNumberFormat="1" applyBorder="1" applyAlignment="1">
      <alignment horizontal="center" vertical="center"/>
    </xf>
    <xf numFmtId="0" fontId="13" fillId="0" borderId="12" xfId="3" applyBorder="1"/>
    <xf numFmtId="176" fontId="13" fillId="0" borderId="12" xfId="0" applyNumberFormat="1" applyFont="1" applyBorder="1" applyAlignment="1">
      <alignment horizontal="center" vertical="center"/>
    </xf>
    <xf numFmtId="176" fontId="13" fillId="0" borderId="13" xfId="0" applyNumberFormat="1" applyFont="1" applyBorder="1" applyAlignment="1"/>
    <xf numFmtId="0" fontId="13" fillId="0" borderId="12" xfId="3" applyBorder="1" applyAlignment="1">
      <alignment vertical="center"/>
    </xf>
    <xf numFmtId="177" fontId="0" fillId="0" borderId="7" xfId="0" applyNumberFormat="1" applyBorder="1" applyAlignment="1">
      <alignment horizontal="center" vertical="center"/>
    </xf>
    <xf numFmtId="3" fontId="5" fillId="7" borderId="2" xfId="0" applyNumberFormat="1" applyFont="1" applyFill="1" applyBorder="1" applyAlignment="1">
      <alignment horizontal="center" vertical="center"/>
    </xf>
    <xf numFmtId="0" fontId="26" fillId="0" borderId="0" xfId="0" applyFont="1">
      <alignment vertical="center"/>
    </xf>
    <xf numFmtId="3" fontId="13" fillId="0" borderId="16" xfId="0" applyNumberFormat="1" applyFont="1" applyBorder="1" applyAlignment="1">
      <alignment horizontal="center" vertical="center"/>
    </xf>
    <xf numFmtId="0" fontId="14" fillId="10" borderId="12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 vertical="center"/>
    </xf>
    <xf numFmtId="0" fontId="13" fillId="10" borderId="9" xfId="3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horizontal="left" vertical="center"/>
    </xf>
    <xf numFmtId="176" fontId="0" fillId="0" borderId="7" xfId="0" applyNumberFormat="1" applyBorder="1">
      <alignment vertical="center"/>
    </xf>
    <xf numFmtId="0" fontId="5" fillId="0" borderId="3" xfId="0" applyFont="1" applyBorder="1" applyAlignment="1">
      <alignment horizontal="center" vertical="center"/>
    </xf>
    <xf numFmtId="176" fontId="7" fillId="0" borderId="9" xfId="0" applyNumberFormat="1" applyFont="1" applyBorder="1">
      <alignment vertical="center"/>
    </xf>
    <xf numFmtId="176" fontId="22" fillId="6" borderId="2" xfId="0" applyNumberFormat="1" applyFont="1" applyFill="1" applyBorder="1" applyAlignment="1">
      <alignment horizontal="center" vertical="center"/>
    </xf>
    <xf numFmtId="176" fontId="0" fillId="10" borderId="9" xfId="0" applyNumberForma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0" fillId="10" borderId="9" xfId="0" applyNumberFormat="1" applyFill="1" applyBorder="1" applyAlignment="1">
      <alignment horizontal="center" vertical="center"/>
    </xf>
    <xf numFmtId="38" fontId="0" fillId="10" borderId="9" xfId="0" applyNumberFormat="1" applyFill="1" applyBorder="1" applyAlignment="1">
      <alignment horizontal="center" vertical="center"/>
    </xf>
    <xf numFmtId="3" fontId="14" fillId="10" borderId="9" xfId="0" applyNumberFormat="1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176" fontId="14" fillId="10" borderId="9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10" borderId="16" xfId="0" applyFill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3" fontId="9" fillId="9" borderId="9" xfId="4" applyNumberFormat="1" applyFill="1" applyBorder="1" applyAlignment="1">
      <alignment horizontal="center" vertical="center"/>
    </xf>
    <xf numFmtId="176" fontId="9" fillId="0" borderId="9" xfId="4" applyNumberFormat="1" applyBorder="1">
      <alignment vertical="center"/>
    </xf>
    <xf numFmtId="0" fontId="9" fillId="0" borderId="9" xfId="4" applyBorder="1" applyAlignment="1">
      <alignment vertical="center" shrinkToFit="1"/>
    </xf>
    <xf numFmtId="0" fontId="14" fillId="0" borderId="11" xfId="0" applyFont="1" applyBorder="1" applyAlignment="1">
      <alignment horizontal="left" vertical="center"/>
    </xf>
    <xf numFmtId="38" fontId="14" fillId="10" borderId="9" xfId="0" applyNumberFormat="1" applyFont="1" applyFill="1" applyBorder="1" applyAlignment="1">
      <alignment horizontal="center" vertical="center"/>
    </xf>
    <xf numFmtId="176" fontId="14" fillId="0" borderId="11" xfId="0" applyNumberFormat="1" applyFont="1" applyBorder="1" applyAlignment="1">
      <alignment horizontal="center" vertical="center"/>
    </xf>
    <xf numFmtId="176" fontId="0" fillId="0" borderId="11" xfId="0" applyNumberFormat="1" applyBorder="1" applyAlignment="1">
      <alignment horizontal="left" vertical="center"/>
    </xf>
    <xf numFmtId="3" fontId="9" fillId="10" borderId="9" xfId="0" applyNumberFormat="1" applyFont="1" applyFill="1" applyBorder="1" applyAlignment="1">
      <alignment horizontal="center" vertical="center"/>
    </xf>
    <xf numFmtId="3" fontId="13" fillId="10" borderId="12" xfId="0" applyNumberFormat="1" applyFont="1" applyFill="1" applyBorder="1" applyAlignment="1">
      <alignment horizontal="center" vertical="center"/>
    </xf>
    <xf numFmtId="0" fontId="9" fillId="10" borderId="9" xfId="4" applyFill="1" applyBorder="1" applyAlignment="1">
      <alignment horizontal="center" vertical="center"/>
    </xf>
    <xf numFmtId="3" fontId="9" fillId="10" borderId="11" xfId="4" applyNumberFormat="1" applyFill="1" applyBorder="1" applyAlignment="1">
      <alignment horizontal="center" vertical="center"/>
    </xf>
    <xf numFmtId="3" fontId="9" fillId="10" borderId="9" xfId="4" applyNumberFormat="1" applyFill="1" applyBorder="1" applyAlignment="1">
      <alignment horizontal="center" vertical="center"/>
    </xf>
    <xf numFmtId="38" fontId="14" fillId="0" borderId="9" xfId="0" applyNumberFormat="1" applyFont="1" applyBorder="1" applyAlignment="1">
      <alignment horizontal="right" vertical="center"/>
    </xf>
    <xf numFmtId="0" fontId="5" fillId="11" borderId="6" xfId="0" applyFont="1" applyFill="1" applyBorder="1" applyAlignment="1">
      <alignment horizontal="center" vertical="center"/>
    </xf>
    <xf numFmtId="176" fontId="22" fillId="6" borderId="22" xfId="0" applyNumberFormat="1" applyFont="1" applyFill="1" applyBorder="1" applyAlignment="1">
      <alignment horizontal="center" vertical="center"/>
    </xf>
    <xf numFmtId="176" fontId="22" fillId="0" borderId="9" xfId="0" applyNumberFormat="1" applyFont="1" applyBorder="1" applyAlignment="1">
      <alignment horizontal="center" vertical="center"/>
    </xf>
    <xf numFmtId="0" fontId="5" fillId="11" borderId="17" xfId="0" applyFont="1" applyFill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82" fontId="0" fillId="13" borderId="9" xfId="0" applyNumberFormat="1" applyFill="1" applyBorder="1" applyAlignment="1">
      <alignment horizontal="center" vertical="center"/>
    </xf>
    <xf numFmtId="56" fontId="0" fillId="0" borderId="11" xfId="0" applyNumberFormat="1" applyBorder="1" applyAlignment="1">
      <alignment horizontal="center" vertical="center"/>
    </xf>
    <xf numFmtId="0" fontId="20" fillId="13" borderId="9" xfId="3" applyFont="1" applyFill="1" applyBorder="1" applyAlignment="1">
      <alignment horizontal="center" vertical="center"/>
    </xf>
    <xf numFmtId="182" fontId="14" fillId="0" borderId="9" xfId="0" applyNumberFormat="1" applyFon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81" fontId="14" fillId="0" borderId="16" xfId="0" applyNumberFormat="1" applyFont="1" applyBorder="1">
      <alignment vertical="center"/>
    </xf>
    <xf numFmtId="0" fontId="14" fillId="0" borderId="16" xfId="0" applyFont="1" applyBorder="1" applyAlignment="1">
      <alignment horizontal="center" vertical="center"/>
    </xf>
    <xf numFmtId="3" fontId="5" fillId="12" borderId="2" xfId="0" applyNumberFormat="1" applyFont="1" applyFill="1" applyBorder="1" applyAlignment="1">
      <alignment horizontal="center" vertical="center"/>
    </xf>
    <xf numFmtId="3" fontId="0" fillId="12" borderId="9" xfId="0" applyNumberFormat="1" applyFill="1" applyBorder="1" applyAlignment="1">
      <alignment horizontal="center" vertical="center"/>
    </xf>
    <xf numFmtId="176" fontId="22" fillId="6" borderId="11" xfId="0" applyNumberFormat="1" applyFont="1" applyFill="1" applyBorder="1" applyAlignment="1">
      <alignment horizontal="center" vertical="center"/>
    </xf>
    <xf numFmtId="176" fontId="22" fillId="0" borderId="21" xfId="0" applyNumberFormat="1" applyFont="1" applyBorder="1" applyAlignment="1">
      <alignment horizontal="center" vertical="center"/>
    </xf>
    <xf numFmtId="176" fontId="22" fillId="0" borderId="9" xfId="0" applyNumberFormat="1" applyFont="1" applyBorder="1">
      <alignment vertical="center"/>
    </xf>
    <xf numFmtId="181" fontId="14" fillId="0" borderId="9" xfId="0" applyNumberFormat="1" applyFon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8" fontId="0" fillId="0" borderId="12" xfId="0" applyNumberFormat="1" applyBorder="1" applyAlignment="1">
      <alignment horizontal="center" vertical="center"/>
    </xf>
    <xf numFmtId="179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56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 shrinkToFit="1"/>
    </xf>
    <xf numFmtId="3" fontId="0" fillId="0" borderId="3" xfId="0" applyNumberFormat="1" applyBorder="1" applyAlignment="1">
      <alignment horizontal="center" vertical="center"/>
    </xf>
    <xf numFmtId="176" fontId="7" fillId="0" borderId="12" xfId="0" applyNumberFormat="1" applyFont="1" applyBorder="1">
      <alignment vertical="center"/>
    </xf>
    <xf numFmtId="176" fontId="0" fillId="0" borderId="20" xfId="0" applyNumberFormat="1" applyBorder="1" applyAlignment="1"/>
    <xf numFmtId="0" fontId="0" fillId="0" borderId="3" xfId="0" applyBorder="1" applyAlignment="1">
      <alignment vertical="center" shrinkToFit="1"/>
    </xf>
    <xf numFmtId="0" fontId="5" fillId="7" borderId="8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8" fillId="11" borderId="9" xfId="0" applyFont="1" applyFill="1" applyBorder="1" applyAlignment="1">
      <alignment horizontal="center" vertical="center"/>
    </xf>
    <xf numFmtId="0" fontId="11" fillId="11" borderId="9" xfId="0" applyFont="1" applyFill="1" applyBorder="1">
      <alignment vertical="center"/>
    </xf>
    <xf numFmtId="0" fontId="11" fillId="11" borderId="9" xfId="0" applyFont="1" applyFill="1" applyBorder="1" applyAlignment="1">
      <alignment horizontal="center" vertical="center"/>
    </xf>
    <xf numFmtId="3" fontId="13" fillId="11" borderId="9" xfId="0" applyNumberFormat="1" applyFont="1" applyFill="1" applyBorder="1" applyAlignment="1">
      <alignment horizontal="center" vertical="center"/>
    </xf>
    <xf numFmtId="0" fontId="13" fillId="11" borderId="9" xfId="0" applyFont="1" applyFill="1" applyBorder="1">
      <alignment vertical="center"/>
    </xf>
    <xf numFmtId="176" fontId="13" fillId="0" borderId="11" xfId="0" applyNumberFormat="1" applyFont="1" applyBorder="1">
      <alignment vertical="center"/>
    </xf>
    <xf numFmtId="0" fontId="13" fillId="0" borderId="11" xfId="0" applyFont="1" applyBorder="1">
      <alignment vertical="center"/>
    </xf>
    <xf numFmtId="3" fontId="14" fillId="11" borderId="9" xfId="0" applyNumberFormat="1" applyFont="1" applyFill="1" applyBorder="1" applyAlignment="1">
      <alignment horizontal="center" vertical="center"/>
    </xf>
    <xf numFmtId="49" fontId="14" fillId="11" borderId="9" xfId="0" applyNumberFormat="1" applyFont="1" applyFill="1" applyBorder="1" applyAlignment="1">
      <alignment horizontal="left" vertical="center"/>
    </xf>
    <xf numFmtId="0" fontId="14" fillId="11" borderId="9" xfId="0" applyFont="1" applyFill="1" applyBorder="1" applyAlignment="1">
      <alignment horizontal="center" vertical="center"/>
    </xf>
    <xf numFmtId="49" fontId="14" fillId="16" borderId="9" xfId="0" applyNumberFormat="1" applyFont="1" applyFill="1" applyBorder="1" applyAlignment="1">
      <alignment horizontal="left" vertical="center"/>
    </xf>
    <xf numFmtId="0" fontId="14" fillId="16" borderId="9" xfId="0" applyFont="1" applyFill="1" applyBorder="1" applyAlignment="1">
      <alignment horizontal="center" vertical="center"/>
    </xf>
    <xf numFmtId="49" fontId="9" fillId="16" borderId="9" xfId="0" applyNumberFormat="1" applyFont="1" applyFill="1" applyBorder="1" applyAlignment="1">
      <alignment horizontal="left" vertical="center"/>
    </xf>
    <xf numFmtId="0" fontId="0" fillId="16" borderId="9" xfId="0" applyFill="1" applyBorder="1" applyAlignment="1">
      <alignment horizontal="center" vertical="center"/>
    </xf>
    <xf numFmtId="0" fontId="14" fillId="16" borderId="12" xfId="0" applyFont="1" applyFill="1" applyBorder="1" applyAlignment="1">
      <alignment horizontal="left" vertical="center"/>
    </xf>
    <xf numFmtId="181" fontId="14" fillId="16" borderId="12" xfId="0" applyNumberFormat="1" applyFont="1" applyFill="1" applyBorder="1" applyAlignment="1">
      <alignment horizontal="center" vertical="center"/>
    </xf>
    <xf numFmtId="0" fontId="14" fillId="16" borderId="9" xfId="0" applyFont="1" applyFill="1" applyBorder="1" applyAlignment="1">
      <alignment horizontal="left" vertical="center"/>
    </xf>
    <xf numFmtId="0" fontId="13" fillId="16" borderId="12" xfId="3" applyFill="1" applyBorder="1"/>
    <xf numFmtId="176" fontId="13" fillId="16" borderId="12" xfId="0" applyNumberFormat="1" applyFont="1" applyFill="1" applyBorder="1" applyAlignment="1">
      <alignment horizontal="center" vertical="center"/>
    </xf>
    <xf numFmtId="0" fontId="0" fillId="16" borderId="9" xfId="0" applyFill="1" applyBorder="1" applyAlignment="1">
      <alignment horizontal="left" vertical="center" wrapText="1"/>
    </xf>
    <xf numFmtId="0" fontId="0" fillId="16" borderId="9" xfId="0" applyFill="1" applyBorder="1" applyAlignment="1">
      <alignment horizontal="left" vertical="center"/>
    </xf>
    <xf numFmtId="181" fontId="0" fillId="16" borderId="9" xfId="0" applyNumberFormat="1" applyFill="1" applyBorder="1" applyAlignment="1">
      <alignment horizontal="center" vertical="center"/>
    </xf>
    <xf numFmtId="0" fontId="0" fillId="16" borderId="11" xfId="0" applyFill="1" applyBorder="1">
      <alignment vertical="center"/>
    </xf>
    <xf numFmtId="0" fontId="14" fillId="16" borderId="9" xfId="0" applyFont="1" applyFill="1" applyBorder="1">
      <alignment vertical="center"/>
    </xf>
    <xf numFmtId="0" fontId="11" fillId="16" borderId="9" xfId="3" applyFont="1" applyFill="1" applyBorder="1" applyAlignment="1">
      <alignment horizontal="left" vertical="center"/>
    </xf>
    <xf numFmtId="0" fontId="14" fillId="16" borderId="9" xfId="0" applyFont="1" applyFill="1" applyBorder="1" applyAlignment="1">
      <alignment vertical="center" wrapText="1"/>
    </xf>
    <xf numFmtId="49" fontId="0" fillId="16" borderId="9" xfId="0" applyNumberFormat="1" applyFill="1" applyBorder="1" applyAlignment="1">
      <alignment horizontal="left" vertical="center"/>
    </xf>
    <xf numFmtId="3" fontId="9" fillId="16" borderId="14" xfId="4" applyNumberFormat="1" applyFill="1" applyBorder="1" applyAlignment="1">
      <alignment horizontal="left" vertical="center"/>
    </xf>
    <xf numFmtId="0" fontId="13" fillId="16" borderId="9" xfId="3" applyFill="1" applyBorder="1" applyAlignment="1">
      <alignment horizontal="center" vertical="center"/>
    </xf>
    <xf numFmtId="0" fontId="14" fillId="16" borderId="9" xfId="4" applyFont="1" applyFill="1" applyBorder="1" applyAlignment="1">
      <alignment horizontal="left" vertical="center"/>
    </xf>
    <xf numFmtId="0" fontId="14" fillId="16" borderId="9" xfId="4" applyFont="1" applyFill="1" applyBorder="1" applyAlignment="1">
      <alignment horizontal="center" vertical="center"/>
    </xf>
    <xf numFmtId="0" fontId="13" fillId="16" borderId="9" xfId="4" applyFont="1" applyFill="1" applyBorder="1" applyAlignment="1">
      <alignment horizontal="left" vertical="center"/>
    </xf>
    <xf numFmtId="0" fontId="9" fillId="16" borderId="9" xfId="0" applyFont="1" applyFill="1" applyBorder="1" applyAlignment="1">
      <alignment horizontal="left" vertical="center"/>
    </xf>
    <xf numFmtId="181" fontId="14" fillId="16" borderId="9" xfId="0" applyNumberFormat="1" applyFont="1" applyFill="1" applyBorder="1" applyAlignment="1">
      <alignment horizontal="center" vertical="center"/>
    </xf>
    <xf numFmtId="176" fontId="9" fillId="16" borderId="16" xfId="0" applyNumberFormat="1" applyFont="1" applyFill="1" applyBorder="1" applyAlignment="1">
      <alignment horizontal="left" vertical="center"/>
    </xf>
    <xf numFmtId="181" fontId="14" fillId="16" borderId="16" xfId="0" applyNumberFormat="1" applyFont="1" applyFill="1" applyBorder="1" applyAlignment="1">
      <alignment horizontal="center" vertical="center"/>
    </xf>
    <xf numFmtId="176" fontId="9" fillId="16" borderId="9" xfId="0" applyNumberFormat="1" applyFont="1" applyFill="1" applyBorder="1" applyAlignment="1">
      <alignment horizontal="left" vertical="center"/>
    </xf>
    <xf numFmtId="0" fontId="13" fillId="16" borderId="9" xfId="3" applyFill="1" applyBorder="1" applyAlignment="1">
      <alignment vertical="center"/>
    </xf>
    <xf numFmtId="0" fontId="18" fillId="16" borderId="9" xfId="0" applyFont="1" applyFill="1" applyBorder="1" applyAlignment="1">
      <alignment horizontal="center" vertical="center"/>
    </xf>
    <xf numFmtId="49" fontId="11" fillId="16" borderId="9" xfId="0" applyNumberFormat="1" applyFont="1" applyFill="1" applyBorder="1" applyAlignment="1">
      <alignment horizontal="left" vertical="center"/>
    </xf>
    <xf numFmtId="181" fontId="11" fillId="16" borderId="9" xfId="0" applyNumberFormat="1" applyFont="1" applyFill="1" applyBorder="1" applyAlignment="1">
      <alignment horizontal="center" vertical="center"/>
    </xf>
    <xf numFmtId="3" fontId="9" fillId="16" borderId="9" xfId="0" applyNumberFormat="1" applyFont="1" applyFill="1" applyBorder="1" applyAlignment="1">
      <alignment horizontal="left" vertical="center"/>
    </xf>
    <xf numFmtId="0" fontId="13" fillId="16" borderId="9" xfId="0" applyFont="1" applyFill="1" applyBorder="1">
      <alignment vertical="center"/>
    </xf>
    <xf numFmtId="180" fontId="13" fillId="16" borderId="9" xfId="0" applyNumberFormat="1" applyFont="1" applyFill="1" applyBorder="1" applyAlignment="1">
      <alignment horizontal="center" vertical="center"/>
    </xf>
    <xf numFmtId="0" fontId="14" fillId="16" borderId="11" xfId="0" applyFont="1" applyFill="1" applyBorder="1" applyAlignment="1">
      <alignment horizontal="center" vertical="center"/>
    </xf>
    <xf numFmtId="176" fontId="0" fillId="16" borderId="9" xfId="0" applyNumberFormat="1" applyFill="1" applyBorder="1" applyAlignment="1">
      <alignment horizontal="center" vertical="center"/>
    </xf>
    <xf numFmtId="176" fontId="14" fillId="16" borderId="9" xfId="0" applyNumberFormat="1" applyFont="1" applyFill="1" applyBorder="1" applyAlignment="1">
      <alignment horizontal="center" vertical="center"/>
    </xf>
    <xf numFmtId="176" fontId="9" fillId="16" borderId="9" xfId="0" applyNumberFormat="1" applyFont="1" applyFill="1" applyBorder="1" applyAlignment="1">
      <alignment horizontal="center" vertical="center"/>
    </xf>
    <xf numFmtId="49" fontId="9" fillId="16" borderId="9" xfId="0" applyNumberFormat="1" applyFont="1" applyFill="1" applyBorder="1" applyAlignment="1">
      <alignment horizontal="left" vertical="center" wrapText="1"/>
    </xf>
    <xf numFmtId="38" fontId="0" fillId="16" borderId="9" xfId="0" applyNumberFormat="1" applyFill="1" applyBorder="1" applyAlignment="1">
      <alignment horizontal="center" vertical="center"/>
    </xf>
    <xf numFmtId="176" fontId="13" fillId="16" borderId="11" xfId="0" applyNumberFormat="1" applyFont="1" applyFill="1" applyBorder="1" applyAlignment="1">
      <alignment horizontal="center" vertical="center"/>
    </xf>
    <xf numFmtId="176" fontId="14" fillId="16" borderId="12" xfId="0" applyNumberFormat="1" applyFont="1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176" fontId="0" fillId="14" borderId="9" xfId="0" applyNumberFormat="1" applyFill="1" applyBorder="1" applyAlignment="1">
      <alignment horizontal="center" vertical="center"/>
    </xf>
    <xf numFmtId="0" fontId="14" fillId="14" borderId="9" xfId="0" applyFont="1" applyFill="1" applyBorder="1" applyAlignment="1">
      <alignment horizontal="center" vertical="center"/>
    </xf>
    <xf numFmtId="3" fontId="9" fillId="14" borderId="9" xfId="0" applyNumberFormat="1" applyFont="1" applyFill="1" applyBorder="1" applyAlignment="1">
      <alignment horizontal="center" vertical="center"/>
    </xf>
    <xf numFmtId="38" fontId="14" fillId="16" borderId="9" xfId="0" applyNumberFormat="1" applyFont="1" applyFill="1" applyBorder="1" applyAlignment="1">
      <alignment horizontal="center" vertical="center"/>
    </xf>
    <xf numFmtId="0" fontId="13" fillId="14" borderId="9" xfId="3" applyFill="1" applyBorder="1" applyAlignment="1">
      <alignment horizontal="center" vertical="center"/>
    </xf>
    <xf numFmtId="38" fontId="14" fillId="14" borderId="9" xfId="0" applyNumberFormat="1" applyFont="1" applyFill="1" applyBorder="1" applyAlignment="1">
      <alignment horizontal="right" vertical="center"/>
    </xf>
    <xf numFmtId="38" fontId="14" fillId="16" borderId="9" xfId="0" applyNumberFormat="1" applyFont="1" applyFill="1" applyBorder="1" applyAlignment="1">
      <alignment horizontal="right" vertical="center"/>
    </xf>
    <xf numFmtId="38" fontId="14" fillId="14" borderId="9" xfId="0" applyNumberFormat="1" applyFont="1" applyFill="1" applyBorder="1" applyAlignment="1">
      <alignment horizontal="center" vertical="center"/>
    </xf>
    <xf numFmtId="176" fontId="14" fillId="14" borderId="9" xfId="0" applyNumberFormat="1" applyFont="1" applyFill="1" applyBorder="1" applyAlignment="1">
      <alignment horizontal="center" vertical="center"/>
    </xf>
    <xf numFmtId="176" fontId="13" fillId="11" borderId="9" xfId="0" applyNumberFormat="1" applyFont="1" applyFill="1" applyBorder="1" applyAlignment="1">
      <alignment horizontal="center" vertical="center"/>
    </xf>
    <xf numFmtId="176" fontId="14" fillId="16" borderId="1" xfId="0" applyNumberFormat="1" applyFont="1" applyFill="1" applyBorder="1" applyAlignment="1">
      <alignment horizontal="center" vertical="center"/>
    </xf>
    <xf numFmtId="38" fontId="9" fillId="16" borderId="9" xfId="4" applyNumberFormat="1" applyFill="1" applyBorder="1" applyAlignment="1">
      <alignment horizontal="center" vertical="center"/>
    </xf>
    <xf numFmtId="176" fontId="9" fillId="16" borderId="9" xfId="4" applyNumberFormat="1" applyFill="1" applyBorder="1" applyAlignment="1">
      <alignment horizontal="center" vertical="center"/>
    </xf>
    <xf numFmtId="176" fontId="13" fillId="14" borderId="9" xfId="0" applyNumberFormat="1" applyFont="1" applyFill="1" applyBorder="1" applyAlignment="1">
      <alignment horizontal="center" vertical="center"/>
    </xf>
    <xf numFmtId="176" fontId="13" fillId="16" borderId="9" xfId="0" applyNumberFormat="1" applyFont="1" applyFill="1" applyBorder="1" applyAlignment="1">
      <alignment horizontal="center" vertical="center"/>
    </xf>
    <xf numFmtId="38" fontId="11" fillId="16" borderId="11" xfId="0" applyNumberFormat="1" applyFont="1" applyFill="1" applyBorder="1" applyAlignment="1">
      <alignment horizontal="center" vertical="center"/>
    </xf>
    <xf numFmtId="38" fontId="11" fillId="14" borderId="9" xfId="0" applyNumberFormat="1" applyFont="1" applyFill="1" applyBorder="1" applyAlignment="1">
      <alignment horizontal="center" vertical="center"/>
    </xf>
    <xf numFmtId="182" fontId="14" fillId="14" borderId="9" xfId="0" applyNumberFormat="1" applyFont="1" applyFill="1" applyBorder="1" applyAlignment="1">
      <alignment horizontal="center" vertical="center"/>
    </xf>
    <xf numFmtId="176" fontId="18" fillId="16" borderId="9" xfId="0" applyNumberFormat="1" applyFont="1" applyFill="1" applyBorder="1" applyAlignment="1">
      <alignment horizontal="center" vertical="center"/>
    </xf>
    <xf numFmtId="38" fontId="0" fillId="14" borderId="9" xfId="0" applyNumberFormat="1" applyFill="1" applyBorder="1" applyAlignment="1">
      <alignment horizontal="center" vertical="center"/>
    </xf>
    <xf numFmtId="38" fontId="14" fillId="16" borderId="14" xfId="0" applyNumberFormat="1" applyFont="1" applyFill="1" applyBorder="1" applyAlignment="1">
      <alignment horizontal="center" vertical="center"/>
    </xf>
    <xf numFmtId="176" fontId="20" fillId="16" borderId="9" xfId="0" applyNumberFormat="1" applyFont="1" applyFill="1" applyBorder="1" applyAlignment="1">
      <alignment horizontal="center" vertical="center"/>
    </xf>
    <xf numFmtId="176" fontId="9" fillId="14" borderId="9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 shrinkToFit="1"/>
    </xf>
    <xf numFmtId="3" fontId="19" fillId="5" borderId="11" xfId="0" applyNumberFormat="1" applyFont="1" applyFill="1" applyBorder="1" applyAlignment="1">
      <alignment horizontal="center" vertical="center"/>
    </xf>
    <xf numFmtId="3" fontId="19" fillId="5" borderId="15" xfId="0" applyNumberFormat="1" applyFont="1" applyFill="1" applyBorder="1" applyAlignment="1">
      <alignment horizontal="center" vertical="center"/>
    </xf>
    <xf numFmtId="3" fontId="19" fillId="5" borderId="14" xfId="0" applyNumberFormat="1" applyFont="1" applyFill="1" applyBorder="1" applyAlignment="1">
      <alignment horizontal="center" vertical="center"/>
    </xf>
    <xf numFmtId="3" fontId="15" fillId="2" borderId="12" xfId="0" applyNumberFormat="1" applyFont="1" applyFill="1" applyBorder="1" applyAlignment="1">
      <alignment horizontal="center" vertical="center"/>
    </xf>
    <xf numFmtId="3" fontId="2" fillId="2" borderId="12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28" fillId="15" borderId="2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3" fontId="9" fillId="10" borderId="9" xfId="0" applyNumberFormat="1" applyFont="1" applyFill="1" applyBorder="1" applyAlignment="1">
      <alignment horizontal="left" vertical="center"/>
    </xf>
    <xf numFmtId="3" fontId="0" fillId="17" borderId="9" xfId="0" applyNumberFormat="1" applyFill="1" applyBorder="1" applyAlignment="1">
      <alignment horizontal="center" vertical="center"/>
    </xf>
    <xf numFmtId="3" fontId="9" fillId="17" borderId="9" xfId="0" applyNumberFormat="1" applyFont="1" applyFill="1" applyBorder="1" applyAlignment="1">
      <alignment horizontal="left" vertical="center"/>
    </xf>
    <xf numFmtId="0" fontId="0" fillId="17" borderId="9" xfId="0" applyFill="1" applyBorder="1" applyAlignment="1">
      <alignment horizontal="center" vertical="center"/>
    </xf>
    <xf numFmtId="0" fontId="30" fillId="0" borderId="9" xfId="0" applyFont="1" applyBorder="1" applyAlignment="1">
      <alignment horizontal="left" vertical="center"/>
    </xf>
    <xf numFmtId="0" fontId="31" fillId="0" borderId="1" xfId="0" applyFont="1" applyBorder="1" applyAlignment="1">
      <alignment horizontal="center" vertical="center" shrinkToFit="1"/>
    </xf>
    <xf numFmtId="176" fontId="0" fillId="0" borderId="11" xfId="0" applyNumberFormat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8F94-956D-4534-84CA-05C6038AA002}">
  <sheetPr>
    <tabColor theme="3" tint="0.79998168889431442"/>
  </sheetPr>
  <dimension ref="A2:R175"/>
  <sheetViews>
    <sheetView tabSelected="1" zoomScale="85" zoomScaleNormal="85" workbookViewId="0">
      <pane ySplit="8" topLeftCell="A93" activePane="bottomLeft" state="frozen"/>
      <selection activeCell="B1" sqref="B1"/>
      <selection pane="bottomLeft" activeCell="F96" sqref="F96"/>
    </sheetView>
  </sheetViews>
  <sheetFormatPr defaultColWidth="11.77734375" defaultRowHeight="13.5" customHeight="1"/>
  <cols>
    <col min="1" max="1" width="18.6640625" customWidth="1"/>
    <col min="2" max="2" width="17" customWidth="1"/>
    <col min="3" max="3" width="6.21875" style="5" customWidth="1"/>
    <col min="4" max="4" width="15.21875" customWidth="1"/>
    <col min="5" max="5" width="15.44140625" customWidth="1"/>
    <col min="6" max="6" width="71.44140625" customWidth="1"/>
    <col min="7" max="7" width="10.77734375" style="5" customWidth="1"/>
    <col min="8" max="9" width="12.109375" style="5" customWidth="1"/>
    <col min="10" max="10" width="7.109375" style="10" customWidth="1"/>
    <col min="11" max="11" width="50.44140625" customWidth="1"/>
    <col min="12" max="12" width="21.88671875" customWidth="1"/>
    <col min="13" max="13" width="17.44140625" style="5" customWidth="1"/>
    <col min="14" max="14" width="11.33203125" style="5" customWidth="1"/>
    <col min="15" max="15" width="9.21875" customWidth="1"/>
    <col min="16" max="16" width="16.33203125" style="5" customWidth="1"/>
    <col min="17" max="17" width="17.88671875" style="34" customWidth="1"/>
    <col min="18" max="18" width="19.33203125" style="34" customWidth="1"/>
  </cols>
  <sheetData>
    <row r="2" spans="1:18" ht="20.100000000000001" customHeight="1">
      <c r="C2" s="274" t="s">
        <v>0</v>
      </c>
      <c r="D2" s="274"/>
      <c r="E2" s="274"/>
      <c r="F2" s="23" t="s">
        <v>271</v>
      </c>
      <c r="H2" s="279" t="s">
        <v>1</v>
      </c>
      <c r="I2" s="280"/>
      <c r="J2" s="281"/>
      <c r="K2" s="9">
        <f>SUM(I:I)</f>
        <v>419146</v>
      </c>
    </row>
    <row r="3" spans="1:18" ht="20.100000000000001" customHeight="1">
      <c r="C3" s="274" t="s">
        <v>2</v>
      </c>
      <c r="D3" s="274"/>
      <c r="E3" s="274"/>
      <c r="F3" s="7" t="s">
        <v>245</v>
      </c>
    </row>
    <row r="4" spans="1:18" ht="20.100000000000001" customHeight="1">
      <c r="C4" s="274" t="s">
        <v>3</v>
      </c>
      <c r="D4" s="274"/>
      <c r="E4" s="274"/>
      <c r="F4" s="7" t="s">
        <v>272</v>
      </c>
      <c r="G4" s="273" t="s">
        <v>264</v>
      </c>
      <c r="H4" s="282" t="s">
        <v>246</v>
      </c>
      <c r="I4" s="282"/>
      <c r="J4" s="282"/>
      <c r="K4" s="282"/>
      <c r="L4" s="57"/>
    </row>
    <row r="5" spans="1:18" ht="20.100000000000001" customHeight="1">
      <c r="C5" s="274" t="s">
        <v>4</v>
      </c>
      <c r="D5" s="274"/>
      <c r="E5" s="274"/>
      <c r="F5" s="8">
        <v>45580</v>
      </c>
      <c r="G5" s="273"/>
      <c r="H5" s="282"/>
      <c r="I5" s="282"/>
      <c r="J5" s="282"/>
      <c r="K5" s="282"/>
    </row>
    <row r="6" spans="1:18" ht="20.100000000000001" customHeight="1">
      <c r="C6" s="274" t="s">
        <v>5</v>
      </c>
      <c r="D6" s="274"/>
      <c r="E6" s="274"/>
      <c r="F6" s="8">
        <v>45581</v>
      </c>
      <c r="H6" s="275" t="s">
        <v>263</v>
      </c>
      <c r="I6" s="275"/>
      <c r="J6" s="275"/>
      <c r="K6" s="275"/>
    </row>
    <row r="8" spans="1:18" s="5" customFormat="1" ht="19.5" customHeight="1">
      <c r="B8" s="88" t="s">
        <v>86</v>
      </c>
      <c r="C8" s="87" t="s">
        <v>6</v>
      </c>
      <c r="D8" s="2" t="s">
        <v>7</v>
      </c>
      <c r="E8" s="2" t="s">
        <v>8</v>
      </c>
      <c r="F8" s="18" t="s">
        <v>9</v>
      </c>
      <c r="G8" s="18" t="s">
        <v>10</v>
      </c>
      <c r="H8" s="18" t="s">
        <v>11</v>
      </c>
      <c r="I8" s="1" t="s">
        <v>12</v>
      </c>
      <c r="J8" s="1" t="s">
        <v>13</v>
      </c>
      <c r="K8" s="18" t="s">
        <v>14</v>
      </c>
      <c r="L8" s="18" t="s">
        <v>15</v>
      </c>
      <c r="M8" s="18" t="s">
        <v>16</v>
      </c>
      <c r="N8" s="20" t="s">
        <v>17</v>
      </c>
      <c r="O8" s="2" t="s">
        <v>18</v>
      </c>
      <c r="P8" s="18" t="s">
        <v>19</v>
      </c>
      <c r="Q8" s="20" t="s">
        <v>20</v>
      </c>
      <c r="R8" s="6" t="s">
        <v>21</v>
      </c>
    </row>
    <row r="9" spans="1:18" ht="18" customHeight="1">
      <c r="C9" s="276" t="s">
        <v>22</v>
      </c>
      <c r="D9" s="277"/>
      <c r="E9" s="277"/>
      <c r="F9" s="278"/>
      <c r="G9" s="24"/>
      <c r="H9" s="24"/>
      <c r="I9" s="17"/>
      <c r="J9" s="11"/>
      <c r="K9" s="13"/>
      <c r="L9" s="19"/>
      <c r="M9" s="3"/>
      <c r="N9" s="20"/>
      <c r="O9" s="6"/>
      <c r="P9" s="6"/>
      <c r="Q9" s="20"/>
      <c r="R9" s="12"/>
    </row>
    <row r="10" spans="1:18" ht="18" customHeight="1">
      <c r="A10" s="106" t="s">
        <v>75</v>
      </c>
      <c r="B10" s="92">
        <v>3</v>
      </c>
      <c r="C10" s="114">
        <v>1</v>
      </c>
      <c r="D10" s="28" t="s">
        <v>27</v>
      </c>
      <c r="E10" s="28" t="s">
        <v>27</v>
      </c>
      <c r="F10" s="200" t="s">
        <v>70</v>
      </c>
      <c r="G10" s="235">
        <v>2</v>
      </c>
      <c r="H10" s="128">
        <v>1200</v>
      </c>
      <c r="I10" s="233">
        <f t="shared" ref="I10:I60" si="0">G10*H10</f>
        <v>2400</v>
      </c>
      <c r="J10" s="40"/>
      <c r="K10" s="52" t="s">
        <v>74</v>
      </c>
      <c r="L10" s="74"/>
      <c r="M10" s="264" t="s">
        <v>282</v>
      </c>
      <c r="N10" s="108">
        <v>45567</v>
      </c>
      <c r="O10" s="6"/>
      <c r="P10" s="158">
        <v>45580</v>
      </c>
      <c r="Q10" s="33">
        <v>45581</v>
      </c>
      <c r="R10" s="31"/>
    </row>
    <row r="11" spans="1:18" ht="18" customHeight="1">
      <c r="A11" s="106" t="s">
        <v>75</v>
      </c>
      <c r="B11" s="92">
        <v>3</v>
      </c>
      <c r="C11" s="90">
        <f>C10+1</f>
        <v>2</v>
      </c>
      <c r="D11" s="28" t="s">
        <v>27</v>
      </c>
      <c r="E11" s="28" t="s">
        <v>27</v>
      </c>
      <c r="F11" s="200" t="s">
        <v>112</v>
      </c>
      <c r="G11" s="235">
        <v>1</v>
      </c>
      <c r="H11" s="128">
        <v>1070</v>
      </c>
      <c r="I11" s="233">
        <f t="shared" si="0"/>
        <v>1070</v>
      </c>
      <c r="J11" s="40"/>
      <c r="K11" s="52" t="s">
        <v>74</v>
      </c>
      <c r="L11" s="74"/>
      <c r="M11" s="264" t="s">
        <v>282</v>
      </c>
      <c r="N11" s="108">
        <v>45567</v>
      </c>
      <c r="O11" s="6"/>
      <c r="P11" s="158">
        <v>45580</v>
      </c>
      <c r="Q11" s="33">
        <v>45581</v>
      </c>
      <c r="R11" s="31"/>
    </row>
    <row r="12" spans="1:18" ht="18" customHeight="1">
      <c r="A12" s="133" t="s">
        <v>55</v>
      </c>
      <c r="B12" s="92">
        <v>3</v>
      </c>
      <c r="C12" s="90">
        <f>C11+1</f>
        <v>3</v>
      </c>
      <c r="D12" s="132" t="s">
        <v>27</v>
      </c>
      <c r="E12" s="132" t="s">
        <v>27</v>
      </c>
      <c r="F12" s="204" t="s">
        <v>145</v>
      </c>
      <c r="G12" s="199">
        <v>2</v>
      </c>
      <c r="H12" s="120">
        <v>1280</v>
      </c>
      <c r="I12" s="232">
        <f t="shared" si="0"/>
        <v>2560</v>
      </c>
      <c r="J12" s="80"/>
      <c r="K12" s="55" t="s">
        <v>85</v>
      </c>
      <c r="L12" s="74"/>
      <c r="M12" s="264" t="s">
        <v>282</v>
      </c>
      <c r="N12" s="108">
        <v>45567</v>
      </c>
      <c r="O12" s="6"/>
      <c r="P12" s="158">
        <v>45580</v>
      </c>
      <c r="Q12" s="33">
        <v>45581</v>
      </c>
      <c r="R12" s="31"/>
    </row>
    <row r="13" spans="1:18" ht="18" customHeight="1">
      <c r="A13" s="84"/>
      <c r="B13" s="88"/>
      <c r="C13" s="129"/>
      <c r="D13" s="28"/>
      <c r="E13" s="28"/>
      <c r="F13" s="54"/>
      <c r="G13" s="36"/>
      <c r="H13" s="36"/>
      <c r="I13" s="36"/>
      <c r="J13" s="45"/>
      <c r="K13" s="52"/>
      <c r="L13" s="74"/>
      <c r="M13" s="26"/>
      <c r="N13" s="33"/>
      <c r="O13" s="25"/>
      <c r="P13" s="33"/>
      <c r="Q13" s="33"/>
      <c r="R13" s="31"/>
    </row>
    <row r="14" spans="1:18" ht="18" customHeight="1">
      <c r="A14" s="118" t="s">
        <v>56</v>
      </c>
      <c r="B14" s="92">
        <v>3</v>
      </c>
      <c r="C14" s="90">
        <f>C12+1</f>
        <v>4</v>
      </c>
      <c r="D14" s="28" t="s">
        <v>27</v>
      </c>
      <c r="E14" s="28" t="s">
        <v>27</v>
      </c>
      <c r="F14" s="200" t="s">
        <v>113</v>
      </c>
      <c r="G14" s="201">
        <v>10</v>
      </c>
      <c r="H14" s="131">
        <v>31</v>
      </c>
      <c r="I14" s="237">
        <f t="shared" si="0"/>
        <v>310</v>
      </c>
      <c r="J14" s="27"/>
      <c r="K14" s="52" t="s">
        <v>114</v>
      </c>
      <c r="L14" s="74"/>
      <c r="M14" s="264" t="s">
        <v>282</v>
      </c>
      <c r="N14" s="108">
        <v>45567</v>
      </c>
      <c r="O14" s="6"/>
      <c r="P14" s="158">
        <v>45580</v>
      </c>
      <c r="Q14" s="33">
        <v>45581</v>
      </c>
      <c r="R14" s="31"/>
    </row>
    <row r="15" spans="1:18" ht="18" customHeight="1">
      <c r="A15" s="106" t="s">
        <v>55</v>
      </c>
      <c r="B15" s="92">
        <v>3</v>
      </c>
      <c r="C15" s="90">
        <f>C14+1</f>
        <v>5</v>
      </c>
      <c r="D15" s="28" t="s">
        <v>27</v>
      </c>
      <c r="E15" s="28" t="s">
        <v>27</v>
      </c>
      <c r="F15" s="200" t="s">
        <v>115</v>
      </c>
      <c r="G15" s="233">
        <v>2</v>
      </c>
      <c r="H15" s="128">
        <v>1720</v>
      </c>
      <c r="I15" s="233">
        <f t="shared" si="0"/>
        <v>3440</v>
      </c>
      <c r="J15" s="40"/>
      <c r="K15" s="41" t="s">
        <v>47</v>
      </c>
      <c r="L15" s="74"/>
      <c r="M15" s="264" t="s">
        <v>282</v>
      </c>
      <c r="N15" s="108">
        <v>45567</v>
      </c>
      <c r="O15" s="6"/>
      <c r="P15" s="158">
        <v>45580</v>
      </c>
      <c r="Q15" s="33">
        <v>45581</v>
      </c>
      <c r="R15" s="31"/>
    </row>
    <row r="16" spans="1:18" ht="18" customHeight="1">
      <c r="A16" s="84"/>
      <c r="B16" s="88"/>
      <c r="C16" s="129"/>
      <c r="D16" s="28"/>
      <c r="E16" s="28"/>
      <c r="F16" s="54"/>
      <c r="G16" s="26"/>
      <c r="H16" s="58"/>
      <c r="I16" s="58"/>
      <c r="J16" s="27"/>
      <c r="K16" s="41"/>
      <c r="L16" s="74"/>
      <c r="M16" s="72"/>
      <c r="N16" s="33"/>
      <c r="O16" s="86"/>
      <c r="P16" s="70"/>
      <c r="Q16" s="70"/>
      <c r="R16" s="31"/>
    </row>
    <row r="17" spans="1:18" ht="18" customHeight="1">
      <c r="A17" s="106" t="s">
        <v>71</v>
      </c>
      <c r="B17" s="92">
        <v>3</v>
      </c>
      <c r="C17" s="90">
        <f>C15+1</f>
        <v>6</v>
      </c>
      <c r="D17" s="130" t="s">
        <v>49</v>
      </c>
      <c r="E17" s="130" t="s">
        <v>27</v>
      </c>
      <c r="F17" s="200" t="s">
        <v>117</v>
      </c>
      <c r="G17" s="201">
        <v>1</v>
      </c>
      <c r="H17" s="131">
        <v>10226</v>
      </c>
      <c r="I17" s="233">
        <f t="shared" si="0"/>
        <v>10226</v>
      </c>
      <c r="J17" s="27"/>
      <c r="K17" s="52" t="s">
        <v>116</v>
      </c>
      <c r="L17" s="74"/>
      <c r="M17" s="264" t="s">
        <v>282</v>
      </c>
      <c r="N17" s="108">
        <v>45567</v>
      </c>
      <c r="O17" s="6"/>
      <c r="P17" s="158">
        <v>45580</v>
      </c>
      <c r="Q17" s="33">
        <v>45581</v>
      </c>
      <c r="R17" s="31"/>
    </row>
    <row r="18" spans="1:18" ht="18" customHeight="1">
      <c r="A18" s="118" t="s">
        <v>56</v>
      </c>
      <c r="B18" s="92">
        <v>3</v>
      </c>
      <c r="C18" s="90">
        <f t="shared" ref="C18:C19" si="1">C17+1</f>
        <v>7</v>
      </c>
      <c r="D18" s="28" t="s">
        <v>27</v>
      </c>
      <c r="E18" s="28" t="s">
        <v>27</v>
      </c>
      <c r="F18" s="200" t="s">
        <v>118</v>
      </c>
      <c r="G18" s="233">
        <v>6</v>
      </c>
      <c r="H18" s="263">
        <v>96</v>
      </c>
      <c r="I18" s="233">
        <f t="shared" si="0"/>
        <v>576</v>
      </c>
      <c r="J18" s="45"/>
      <c r="K18" s="83" t="s">
        <v>121</v>
      </c>
      <c r="L18" s="74"/>
      <c r="M18" s="264" t="s">
        <v>282</v>
      </c>
      <c r="N18" s="108">
        <v>45567</v>
      </c>
      <c r="O18" s="6"/>
      <c r="P18" s="158">
        <v>45580</v>
      </c>
      <c r="Q18" s="33">
        <v>45581</v>
      </c>
      <c r="R18" s="31"/>
    </row>
    <row r="19" spans="1:18" ht="18" customHeight="1">
      <c r="A19" s="118" t="s">
        <v>56</v>
      </c>
      <c r="B19" s="92">
        <v>3</v>
      </c>
      <c r="C19" s="90">
        <f t="shared" si="1"/>
        <v>8</v>
      </c>
      <c r="D19" s="28" t="s">
        <v>27</v>
      </c>
      <c r="E19" s="28" t="s">
        <v>27</v>
      </c>
      <c r="F19" s="200" t="s">
        <v>119</v>
      </c>
      <c r="G19" s="235">
        <v>4</v>
      </c>
      <c r="H19" s="128">
        <v>155</v>
      </c>
      <c r="I19" s="233">
        <f t="shared" si="0"/>
        <v>620</v>
      </c>
      <c r="J19" s="45"/>
      <c r="K19" s="52" t="s">
        <v>180</v>
      </c>
      <c r="L19" s="74"/>
      <c r="M19" s="264" t="s">
        <v>282</v>
      </c>
      <c r="N19" s="108">
        <v>45567</v>
      </c>
      <c r="O19" s="6"/>
      <c r="P19" s="158">
        <v>45580</v>
      </c>
      <c r="Q19" s="33">
        <v>45581</v>
      </c>
      <c r="R19" s="31"/>
    </row>
    <row r="20" spans="1:18" ht="18" customHeight="1">
      <c r="A20" s="26"/>
      <c r="B20" s="88"/>
      <c r="C20" s="129"/>
      <c r="D20" s="28"/>
      <c r="E20" s="28"/>
      <c r="F20" s="54"/>
      <c r="G20" s="26"/>
      <c r="H20" s="58"/>
      <c r="I20" s="36"/>
      <c r="J20" s="27"/>
      <c r="K20" s="41"/>
      <c r="L20" s="74"/>
      <c r="M20" s="72"/>
      <c r="N20" s="33"/>
      <c r="O20" s="86"/>
      <c r="P20" s="70"/>
      <c r="Q20" s="70"/>
      <c r="R20" s="31"/>
    </row>
    <row r="21" spans="1:18" ht="18" customHeight="1">
      <c r="A21" s="106" t="s">
        <v>71</v>
      </c>
      <c r="B21" s="92"/>
      <c r="C21" s="90">
        <f>C19+1</f>
        <v>9</v>
      </c>
      <c r="D21" s="130" t="s">
        <v>49</v>
      </c>
      <c r="E21" s="130" t="s">
        <v>27</v>
      </c>
      <c r="F21" s="200" t="s">
        <v>123</v>
      </c>
      <c r="G21" s="201">
        <v>1</v>
      </c>
      <c r="H21" s="131">
        <v>10115</v>
      </c>
      <c r="I21" s="233">
        <f t="shared" si="0"/>
        <v>10115</v>
      </c>
      <c r="J21" s="27"/>
      <c r="K21" s="52" t="s">
        <v>122</v>
      </c>
      <c r="L21" s="74"/>
      <c r="M21" s="264" t="s">
        <v>282</v>
      </c>
      <c r="N21" s="108">
        <v>45567</v>
      </c>
      <c r="O21" s="6"/>
      <c r="P21" s="158">
        <v>45580</v>
      </c>
      <c r="Q21" s="33">
        <v>45581</v>
      </c>
      <c r="R21" s="31"/>
    </row>
    <row r="22" spans="1:18" ht="18" customHeight="1">
      <c r="A22" s="118" t="s">
        <v>56</v>
      </c>
      <c r="B22" s="92">
        <v>3</v>
      </c>
      <c r="C22" s="90">
        <f t="shared" ref="C22:C25" si="2">C21+1</f>
        <v>10</v>
      </c>
      <c r="D22" s="28" t="s">
        <v>27</v>
      </c>
      <c r="E22" s="28" t="s">
        <v>27</v>
      </c>
      <c r="F22" s="200" t="s">
        <v>62</v>
      </c>
      <c r="G22" s="235">
        <v>65</v>
      </c>
      <c r="H22" s="128">
        <v>23</v>
      </c>
      <c r="I22" s="233">
        <f t="shared" si="0"/>
        <v>1495</v>
      </c>
      <c r="J22" s="45"/>
      <c r="K22" s="52" t="s">
        <v>124</v>
      </c>
      <c r="L22" s="74"/>
      <c r="M22" s="264" t="s">
        <v>282</v>
      </c>
      <c r="N22" s="108">
        <v>45567</v>
      </c>
      <c r="O22" s="6"/>
      <c r="P22" s="158">
        <v>45580</v>
      </c>
      <c r="Q22" s="33">
        <v>45581</v>
      </c>
      <c r="R22" s="31"/>
    </row>
    <row r="23" spans="1:18" ht="18" customHeight="1">
      <c r="A23" s="118" t="s">
        <v>56</v>
      </c>
      <c r="B23" s="92">
        <v>3</v>
      </c>
      <c r="C23" s="90">
        <f t="shared" si="2"/>
        <v>11</v>
      </c>
      <c r="D23" s="28" t="s">
        <v>27</v>
      </c>
      <c r="E23" s="28" t="s">
        <v>27</v>
      </c>
      <c r="F23" s="200" t="s">
        <v>125</v>
      </c>
      <c r="G23" s="235">
        <v>4</v>
      </c>
      <c r="H23" s="128">
        <v>155</v>
      </c>
      <c r="I23" s="233">
        <f t="shared" si="0"/>
        <v>620</v>
      </c>
      <c r="J23" s="45"/>
      <c r="K23" s="52" t="s">
        <v>126</v>
      </c>
      <c r="L23" s="74"/>
      <c r="M23" s="264" t="s">
        <v>282</v>
      </c>
      <c r="N23" s="108">
        <v>45567</v>
      </c>
      <c r="O23" s="6"/>
      <c r="P23" s="158">
        <v>45580</v>
      </c>
      <c r="Q23" s="33">
        <v>45581</v>
      </c>
      <c r="R23" s="31"/>
    </row>
    <row r="24" spans="1:18" ht="18" customHeight="1">
      <c r="A24" s="118" t="s">
        <v>56</v>
      </c>
      <c r="B24" s="92">
        <v>3</v>
      </c>
      <c r="C24" s="90">
        <f>C23+1</f>
        <v>12</v>
      </c>
      <c r="D24" s="28" t="s">
        <v>27</v>
      </c>
      <c r="E24" s="28" t="s">
        <v>27</v>
      </c>
      <c r="F24" s="200" t="s">
        <v>127</v>
      </c>
      <c r="G24" s="201">
        <v>10</v>
      </c>
      <c r="H24" s="131">
        <v>25</v>
      </c>
      <c r="I24" s="233">
        <f t="shared" si="0"/>
        <v>250</v>
      </c>
      <c r="J24" s="27"/>
      <c r="K24" s="52" t="s">
        <v>129</v>
      </c>
      <c r="L24" s="74"/>
      <c r="M24" s="264" t="s">
        <v>282</v>
      </c>
      <c r="N24" s="108">
        <v>45567</v>
      </c>
      <c r="O24" s="6"/>
      <c r="P24" s="158">
        <v>45580</v>
      </c>
      <c r="Q24" s="33">
        <v>45581</v>
      </c>
      <c r="R24" s="31"/>
    </row>
    <row r="25" spans="1:18" ht="18" customHeight="1">
      <c r="A25" s="118" t="s">
        <v>56</v>
      </c>
      <c r="B25" s="92">
        <v>3</v>
      </c>
      <c r="C25" s="90">
        <f t="shared" si="2"/>
        <v>13</v>
      </c>
      <c r="D25" s="28" t="s">
        <v>27</v>
      </c>
      <c r="E25" s="28" t="s">
        <v>27</v>
      </c>
      <c r="F25" s="200" t="s">
        <v>128</v>
      </c>
      <c r="G25" s="201">
        <v>10</v>
      </c>
      <c r="H25" s="131">
        <v>35</v>
      </c>
      <c r="I25" s="237">
        <f t="shared" si="0"/>
        <v>350</v>
      </c>
      <c r="J25" s="27"/>
      <c r="K25" s="52" t="s">
        <v>114</v>
      </c>
      <c r="L25" s="74"/>
      <c r="M25" s="264" t="s">
        <v>282</v>
      </c>
      <c r="N25" s="108">
        <v>45567</v>
      </c>
      <c r="O25" s="6"/>
      <c r="P25" s="158">
        <v>45580</v>
      </c>
      <c r="Q25" s="33">
        <v>45581</v>
      </c>
      <c r="R25" s="31"/>
    </row>
    <row r="26" spans="1:18" ht="18" customHeight="1">
      <c r="A26" s="26"/>
      <c r="B26" s="88"/>
      <c r="C26" s="129"/>
      <c r="D26" s="28"/>
      <c r="E26" s="28"/>
      <c r="F26" s="54"/>
      <c r="G26" s="26"/>
      <c r="H26" s="58"/>
      <c r="I26" s="36"/>
      <c r="J26" s="27"/>
      <c r="K26" s="41"/>
      <c r="L26" s="74"/>
      <c r="M26" s="72"/>
      <c r="N26" s="33"/>
      <c r="O26" s="86"/>
      <c r="P26" s="70"/>
      <c r="Q26" s="70"/>
      <c r="R26" s="31"/>
    </row>
    <row r="27" spans="1:18" ht="18" customHeight="1">
      <c r="A27" s="106" t="s">
        <v>71</v>
      </c>
      <c r="B27" s="92">
        <v>3</v>
      </c>
      <c r="C27" s="90">
        <f>C25+1</f>
        <v>14</v>
      </c>
      <c r="D27" s="130" t="s">
        <v>49</v>
      </c>
      <c r="E27" s="130" t="s">
        <v>27</v>
      </c>
      <c r="F27" s="200" t="s">
        <v>131</v>
      </c>
      <c r="G27" s="201">
        <v>1</v>
      </c>
      <c r="H27" s="131">
        <v>25008</v>
      </c>
      <c r="I27" s="233">
        <f t="shared" si="0"/>
        <v>25008</v>
      </c>
      <c r="J27" s="27"/>
      <c r="K27" s="52" t="s">
        <v>130</v>
      </c>
      <c r="L27" s="74"/>
      <c r="M27" s="264" t="s">
        <v>282</v>
      </c>
      <c r="N27" s="108">
        <v>45567</v>
      </c>
      <c r="O27" s="6"/>
      <c r="P27" s="158">
        <v>45580</v>
      </c>
      <c r="Q27" s="33">
        <v>45581</v>
      </c>
      <c r="R27" s="31"/>
    </row>
    <row r="28" spans="1:18" ht="18" customHeight="1">
      <c r="A28" s="118" t="s">
        <v>56</v>
      </c>
      <c r="B28" s="92">
        <v>3</v>
      </c>
      <c r="C28" s="90">
        <f t="shared" ref="C28:C29" si="3">C27+1</f>
        <v>15</v>
      </c>
      <c r="D28" s="28" t="s">
        <v>27</v>
      </c>
      <c r="E28" s="28" t="s">
        <v>27</v>
      </c>
      <c r="F28" s="200" t="s">
        <v>60</v>
      </c>
      <c r="G28" s="235">
        <v>6</v>
      </c>
      <c r="H28" s="128">
        <v>155</v>
      </c>
      <c r="I28" s="233">
        <f t="shared" si="0"/>
        <v>930</v>
      </c>
      <c r="J28" s="45"/>
      <c r="K28" s="52" t="s">
        <v>273</v>
      </c>
      <c r="L28" s="74"/>
      <c r="M28" s="264" t="s">
        <v>282</v>
      </c>
      <c r="N28" s="108">
        <v>45567</v>
      </c>
      <c r="O28" s="6"/>
      <c r="P28" s="158">
        <v>45580</v>
      </c>
      <c r="Q28" s="33">
        <v>45581</v>
      </c>
      <c r="R28" s="31"/>
    </row>
    <row r="29" spans="1:18" ht="18" customHeight="1">
      <c r="A29" s="118" t="s">
        <v>56</v>
      </c>
      <c r="B29" s="92">
        <v>3</v>
      </c>
      <c r="C29" s="90">
        <f t="shared" si="3"/>
        <v>16</v>
      </c>
      <c r="D29" s="28" t="s">
        <v>27</v>
      </c>
      <c r="E29" s="28" t="s">
        <v>27</v>
      </c>
      <c r="F29" s="200" t="s">
        <v>59</v>
      </c>
      <c r="G29" s="201">
        <v>10</v>
      </c>
      <c r="H29" s="131">
        <v>25</v>
      </c>
      <c r="I29" s="237">
        <f t="shared" si="0"/>
        <v>250</v>
      </c>
      <c r="J29" s="27"/>
      <c r="K29" s="52" t="s">
        <v>132</v>
      </c>
      <c r="L29" s="74"/>
      <c r="M29" s="264" t="s">
        <v>282</v>
      </c>
      <c r="N29" s="108">
        <v>45567</v>
      </c>
      <c r="O29" s="6"/>
      <c r="P29" s="158">
        <v>45580</v>
      </c>
      <c r="Q29" s="33">
        <v>45581</v>
      </c>
      <c r="R29" s="31"/>
    </row>
    <row r="30" spans="1:18" ht="18" customHeight="1">
      <c r="A30" s="26"/>
      <c r="B30" s="88"/>
      <c r="C30" s="129"/>
      <c r="D30" s="28"/>
      <c r="E30" s="28"/>
      <c r="F30" s="54"/>
      <c r="G30" s="26"/>
      <c r="H30" s="58"/>
      <c r="I30" s="36"/>
      <c r="J30" s="27"/>
      <c r="K30" s="41"/>
      <c r="L30" s="74"/>
      <c r="M30" s="72"/>
      <c r="N30" s="33"/>
      <c r="O30" s="86"/>
      <c r="P30" s="70"/>
      <c r="Q30" s="70"/>
      <c r="R30" s="31"/>
    </row>
    <row r="31" spans="1:18" ht="18" customHeight="1">
      <c r="A31" s="106" t="s">
        <v>71</v>
      </c>
      <c r="B31" s="92">
        <v>3</v>
      </c>
      <c r="C31" s="90">
        <f>C29+1</f>
        <v>17</v>
      </c>
      <c r="D31" s="130" t="s">
        <v>49</v>
      </c>
      <c r="E31" s="130" t="s">
        <v>27</v>
      </c>
      <c r="F31" s="200" t="s">
        <v>135</v>
      </c>
      <c r="G31" s="201">
        <v>1</v>
      </c>
      <c r="H31" s="131">
        <v>13547</v>
      </c>
      <c r="I31" s="233">
        <f t="shared" si="0"/>
        <v>13547</v>
      </c>
      <c r="J31" s="27"/>
      <c r="K31" s="52" t="s">
        <v>133</v>
      </c>
      <c r="L31" s="74"/>
      <c r="M31" s="264" t="s">
        <v>282</v>
      </c>
      <c r="N31" s="108">
        <v>45567</v>
      </c>
      <c r="O31" s="6"/>
      <c r="P31" s="158">
        <v>45580</v>
      </c>
      <c r="Q31" s="33">
        <v>45581</v>
      </c>
      <c r="R31" s="31"/>
    </row>
    <row r="32" spans="1:18" ht="18" customHeight="1">
      <c r="A32" s="118" t="s">
        <v>56</v>
      </c>
      <c r="B32" s="92">
        <v>3</v>
      </c>
      <c r="C32" s="90">
        <f t="shared" ref="C32" si="4">C31+1</f>
        <v>18</v>
      </c>
      <c r="D32" s="28" t="s">
        <v>27</v>
      </c>
      <c r="E32" s="28" t="s">
        <v>27</v>
      </c>
      <c r="F32" s="200" t="s">
        <v>118</v>
      </c>
      <c r="G32" s="233">
        <v>5</v>
      </c>
      <c r="H32" s="263">
        <v>96</v>
      </c>
      <c r="I32" s="233">
        <f t="shared" si="0"/>
        <v>480</v>
      </c>
      <c r="J32" s="45"/>
      <c r="K32" s="83" t="s">
        <v>134</v>
      </c>
      <c r="L32" s="74"/>
      <c r="M32" s="264" t="s">
        <v>282</v>
      </c>
      <c r="N32" s="108">
        <v>45567</v>
      </c>
      <c r="O32" s="6"/>
      <c r="P32" s="158">
        <v>45580</v>
      </c>
      <c r="Q32" s="33">
        <v>45581</v>
      </c>
      <c r="R32" s="31"/>
    </row>
    <row r="33" spans="1:18" ht="18" customHeight="1">
      <c r="A33" s="26"/>
      <c r="B33" s="88"/>
      <c r="C33" s="129"/>
      <c r="D33" s="28"/>
      <c r="E33" s="28"/>
      <c r="F33" s="54"/>
      <c r="G33" s="26"/>
      <c r="H33" s="58"/>
      <c r="I33" s="36"/>
      <c r="J33" s="27"/>
      <c r="K33" s="41"/>
      <c r="L33" s="74"/>
      <c r="M33" s="72"/>
      <c r="N33" s="33"/>
      <c r="O33" s="86"/>
      <c r="P33" s="70"/>
      <c r="Q33" s="70"/>
      <c r="R33" s="31"/>
    </row>
    <row r="34" spans="1:18" ht="18" customHeight="1">
      <c r="A34" s="106" t="s">
        <v>71</v>
      </c>
      <c r="B34" s="92">
        <v>3</v>
      </c>
      <c r="C34" s="90">
        <f>C32+1</f>
        <v>19</v>
      </c>
      <c r="D34" s="130" t="s">
        <v>49</v>
      </c>
      <c r="E34" s="130" t="s">
        <v>27</v>
      </c>
      <c r="F34" s="200" t="s">
        <v>137</v>
      </c>
      <c r="G34" s="201">
        <v>1</v>
      </c>
      <c r="H34" s="131">
        <v>24320</v>
      </c>
      <c r="I34" s="233">
        <f t="shared" si="0"/>
        <v>24320</v>
      </c>
      <c r="J34" s="27"/>
      <c r="K34" s="52" t="s">
        <v>136</v>
      </c>
      <c r="L34" s="74"/>
      <c r="M34" s="264" t="s">
        <v>282</v>
      </c>
      <c r="N34" s="108">
        <v>45567</v>
      </c>
      <c r="O34" s="6"/>
      <c r="P34" s="158">
        <v>45580</v>
      </c>
      <c r="Q34" s="33">
        <v>45581</v>
      </c>
      <c r="R34" s="31"/>
    </row>
    <row r="35" spans="1:18" ht="18" customHeight="1">
      <c r="A35" s="106" t="s">
        <v>75</v>
      </c>
      <c r="B35" s="92">
        <v>3</v>
      </c>
      <c r="C35" s="90">
        <f t="shared" ref="C35:C38" si="5">C34+1</f>
        <v>20</v>
      </c>
      <c r="D35" s="28" t="s">
        <v>27</v>
      </c>
      <c r="E35" s="28" t="s">
        <v>27</v>
      </c>
      <c r="F35" s="200" t="s">
        <v>138</v>
      </c>
      <c r="G35" s="201">
        <v>3</v>
      </c>
      <c r="H35" s="131">
        <v>1200</v>
      </c>
      <c r="I35" s="233">
        <f t="shared" si="0"/>
        <v>3600</v>
      </c>
      <c r="J35" s="27"/>
      <c r="K35" s="41"/>
      <c r="L35" s="74"/>
      <c r="M35" s="264" t="s">
        <v>282</v>
      </c>
      <c r="N35" s="108">
        <v>45567</v>
      </c>
      <c r="O35" s="6"/>
      <c r="P35" s="158">
        <v>45580</v>
      </c>
      <c r="Q35" s="33">
        <v>45581</v>
      </c>
      <c r="R35" s="31"/>
    </row>
    <row r="36" spans="1:18" ht="18" customHeight="1">
      <c r="A36" s="118" t="s">
        <v>56</v>
      </c>
      <c r="B36" s="92">
        <v>3</v>
      </c>
      <c r="C36" s="90">
        <f t="shared" si="5"/>
        <v>21</v>
      </c>
      <c r="D36" s="28" t="s">
        <v>27</v>
      </c>
      <c r="E36" s="28" t="s">
        <v>27</v>
      </c>
      <c r="F36" s="200" t="s">
        <v>118</v>
      </c>
      <c r="G36" s="233">
        <v>5</v>
      </c>
      <c r="H36" s="263">
        <v>96</v>
      </c>
      <c r="I36" s="233">
        <f t="shared" si="0"/>
        <v>480</v>
      </c>
      <c r="J36" s="45"/>
      <c r="K36" s="83" t="s">
        <v>134</v>
      </c>
      <c r="L36" s="74"/>
      <c r="M36" s="264" t="s">
        <v>282</v>
      </c>
      <c r="N36" s="108">
        <v>45567</v>
      </c>
      <c r="O36" s="6"/>
      <c r="P36" s="158">
        <v>45580</v>
      </c>
      <c r="Q36" s="33">
        <v>45581</v>
      </c>
      <c r="R36" s="31"/>
    </row>
    <row r="37" spans="1:18" ht="18" customHeight="1">
      <c r="A37" s="118" t="s">
        <v>56</v>
      </c>
      <c r="B37" s="92">
        <v>3</v>
      </c>
      <c r="C37" s="90">
        <f t="shared" si="5"/>
        <v>22</v>
      </c>
      <c r="D37" s="28" t="s">
        <v>27</v>
      </c>
      <c r="E37" s="28" t="s">
        <v>27</v>
      </c>
      <c r="F37" s="200" t="s">
        <v>61</v>
      </c>
      <c r="G37" s="233">
        <v>5</v>
      </c>
      <c r="H37" s="263">
        <v>96</v>
      </c>
      <c r="I37" s="233">
        <f t="shared" si="0"/>
        <v>480</v>
      </c>
      <c r="J37" s="45"/>
      <c r="K37" s="83" t="s">
        <v>139</v>
      </c>
      <c r="L37" s="74"/>
      <c r="M37" s="264" t="s">
        <v>282</v>
      </c>
      <c r="N37" s="108">
        <v>45567</v>
      </c>
      <c r="O37" s="6"/>
      <c r="P37" s="158">
        <v>45580</v>
      </c>
      <c r="Q37" s="33">
        <v>45581</v>
      </c>
      <c r="R37" s="31"/>
    </row>
    <row r="38" spans="1:18" ht="18" customHeight="1">
      <c r="A38" s="118" t="s">
        <v>57</v>
      </c>
      <c r="B38" s="92">
        <v>3</v>
      </c>
      <c r="C38" s="90">
        <f t="shared" si="5"/>
        <v>23</v>
      </c>
      <c r="D38" s="28" t="s">
        <v>27</v>
      </c>
      <c r="E38" s="28" t="s">
        <v>27</v>
      </c>
      <c r="F38" s="200" t="s">
        <v>58</v>
      </c>
      <c r="G38" s="201">
        <v>2</v>
      </c>
      <c r="H38" s="131">
        <v>1320</v>
      </c>
      <c r="I38" s="233">
        <f t="shared" si="0"/>
        <v>2640</v>
      </c>
      <c r="J38" s="27"/>
      <c r="K38" s="52" t="s">
        <v>181</v>
      </c>
      <c r="L38" s="74"/>
      <c r="M38" s="264" t="s">
        <v>282</v>
      </c>
      <c r="N38" s="108">
        <v>45567</v>
      </c>
      <c r="O38" s="6"/>
      <c r="P38" s="158">
        <v>45580</v>
      </c>
      <c r="Q38" s="33">
        <v>45581</v>
      </c>
      <c r="R38" s="31"/>
    </row>
    <row r="39" spans="1:18" ht="18" customHeight="1">
      <c r="A39" s="26"/>
      <c r="B39" s="88"/>
      <c r="C39" s="129"/>
      <c r="D39" s="28"/>
      <c r="E39" s="28"/>
      <c r="F39" s="54"/>
      <c r="G39" s="26"/>
      <c r="H39" s="58"/>
      <c r="I39" s="36"/>
      <c r="J39" s="27"/>
      <c r="K39" s="41"/>
      <c r="L39" s="74"/>
      <c r="M39" s="72"/>
      <c r="N39" s="33"/>
      <c r="O39" s="86"/>
      <c r="P39" s="70"/>
      <c r="Q39" s="70"/>
      <c r="R39" s="31"/>
    </row>
    <row r="40" spans="1:18" ht="18" customHeight="1">
      <c r="A40" s="106" t="s">
        <v>71</v>
      </c>
      <c r="B40" s="92">
        <v>3</v>
      </c>
      <c r="C40" s="90">
        <f>C38+1</f>
        <v>24</v>
      </c>
      <c r="D40" s="130" t="s">
        <v>49</v>
      </c>
      <c r="E40" s="130" t="s">
        <v>27</v>
      </c>
      <c r="F40" s="200" t="s">
        <v>147</v>
      </c>
      <c r="G40" s="201">
        <v>1</v>
      </c>
      <c r="H40" s="131">
        <v>12300</v>
      </c>
      <c r="I40" s="233">
        <f t="shared" si="0"/>
        <v>12300</v>
      </c>
      <c r="J40" s="27"/>
      <c r="K40" s="52" t="s">
        <v>146</v>
      </c>
      <c r="L40" s="74"/>
      <c r="M40" s="264" t="s">
        <v>282</v>
      </c>
      <c r="N40" s="108">
        <v>45567</v>
      </c>
      <c r="O40" s="6"/>
      <c r="P40" s="158">
        <v>45580</v>
      </c>
      <c r="Q40" s="33">
        <v>45581</v>
      </c>
      <c r="R40" s="31"/>
    </row>
    <row r="41" spans="1:18" ht="18" customHeight="1">
      <c r="A41" s="106" t="s">
        <v>55</v>
      </c>
      <c r="B41" s="92">
        <v>3</v>
      </c>
      <c r="C41" s="90">
        <f t="shared" ref="C41:C43" si="6">C40+1</f>
        <v>25</v>
      </c>
      <c r="D41" s="130" t="s">
        <v>27</v>
      </c>
      <c r="E41" s="130" t="s">
        <v>27</v>
      </c>
      <c r="F41" s="200" t="s">
        <v>148</v>
      </c>
      <c r="G41" s="201">
        <v>4</v>
      </c>
      <c r="H41" s="131">
        <v>550</v>
      </c>
      <c r="I41" s="233">
        <f t="shared" si="0"/>
        <v>2200</v>
      </c>
      <c r="J41" s="27"/>
      <c r="K41" s="41"/>
      <c r="L41" s="74"/>
      <c r="M41" s="264" t="s">
        <v>282</v>
      </c>
      <c r="N41" s="108">
        <v>45567</v>
      </c>
      <c r="O41" s="6"/>
      <c r="P41" s="158">
        <v>45580</v>
      </c>
      <c r="Q41" s="33">
        <v>45581</v>
      </c>
      <c r="R41" s="31"/>
    </row>
    <row r="42" spans="1:18" ht="18" customHeight="1">
      <c r="A42" s="118" t="s">
        <v>56</v>
      </c>
      <c r="B42" s="92">
        <v>3</v>
      </c>
      <c r="C42" s="90">
        <f t="shared" si="6"/>
        <v>26</v>
      </c>
      <c r="D42" s="28" t="s">
        <v>27</v>
      </c>
      <c r="E42" s="28" t="s">
        <v>27</v>
      </c>
      <c r="F42" s="200" t="s">
        <v>149</v>
      </c>
      <c r="G42" s="201">
        <v>10</v>
      </c>
      <c r="H42" s="131">
        <v>25</v>
      </c>
      <c r="I42" s="237">
        <f t="shared" si="0"/>
        <v>250</v>
      </c>
      <c r="J42" s="27"/>
      <c r="K42" s="52" t="s">
        <v>150</v>
      </c>
      <c r="L42" s="74"/>
      <c r="M42" s="264" t="s">
        <v>282</v>
      </c>
      <c r="N42" s="108">
        <v>45567</v>
      </c>
      <c r="O42" s="6"/>
      <c r="P42" s="158">
        <v>45580</v>
      </c>
      <c r="Q42" s="33">
        <v>45581</v>
      </c>
      <c r="R42" s="31"/>
    </row>
    <row r="43" spans="1:18" ht="18" customHeight="1">
      <c r="A43" s="118" t="s">
        <v>56</v>
      </c>
      <c r="B43" s="92">
        <v>3</v>
      </c>
      <c r="C43" s="90">
        <f t="shared" si="6"/>
        <v>27</v>
      </c>
      <c r="D43" s="28" t="s">
        <v>27</v>
      </c>
      <c r="E43" s="28" t="s">
        <v>27</v>
      </c>
      <c r="F43" s="200" t="s">
        <v>235</v>
      </c>
      <c r="G43" s="201">
        <v>2</v>
      </c>
      <c r="H43" s="131">
        <v>1280</v>
      </c>
      <c r="I43" s="233">
        <f t="shared" si="0"/>
        <v>2560</v>
      </c>
      <c r="J43" s="27"/>
      <c r="K43" s="52" t="s">
        <v>236</v>
      </c>
      <c r="L43" s="74"/>
      <c r="M43" s="264" t="s">
        <v>282</v>
      </c>
      <c r="N43" s="108">
        <v>45567</v>
      </c>
      <c r="O43" s="6"/>
      <c r="P43" s="158">
        <v>45580</v>
      </c>
      <c r="Q43" s="33">
        <v>45581</v>
      </c>
      <c r="R43" s="31"/>
    </row>
    <row r="44" spans="1:18" ht="18" customHeight="1">
      <c r="A44" s="106" t="s">
        <v>55</v>
      </c>
      <c r="B44" s="92">
        <v>3</v>
      </c>
      <c r="C44" s="90">
        <f>C43+1</f>
        <v>28</v>
      </c>
      <c r="D44" s="130" t="s">
        <v>49</v>
      </c>
      <c r="E44" s="130" t="s">
        <v>27</v>
      </c>
      <c r="F44" s="200" t="s">
        <v>141</v>
      </c>
      <c r="G44" s="201">
        <v>1</v>
      </c>
      <c r="H44" s="131">
        <v>2872</v>
      </c>
      <c r="I44" s="233">
        <f t="shared" si="0"/>
        <v>2872</v>
      </c>
      <c r="J44" s="27"/>
      <c r="K44" s="52" t="s">
        <v>140</v>
      </c>
      <c r="L44" s="74"/>
      <c r="M44" s="264" t="s">
        <v>282</v>
      </c>
      <c r="N44" s="108">
        <v>45567</v>
      </c>
      <c r="O44" s="6"/>
      <c r="P44" s="158">
        <v>45580</v>
      </c>
      <c r="Q44" s="33">
        <v>45581</v>
      </c>
      <c r="R44" s="31"/>
    </row>
    <row r="45" spans="1:18" ht="18" customHeight="1">
      <c r="A45" s="118" t="s">
        <v>56</v>
      </c>
      <c r="B45" s="92">
        <v>3</v>
      </c>
      <c r="C45" s="90">
        <f t="shared" ref="C45:C46" si="7">C44+1</f>
        <v>29</v>
      </c>
      <c r="D45" s="28" t="s">
        <v>27</v>
      </c>
      <c r="E45" s="28" t="s">
        <v>27</v>
      </c>
      <c r="F45" s="200" t="s">
        <v>142</v>
      </c>
      <c r="G45" s="235">
        <v>4</v>
      </c>
      <c r="H45" s="128">
        <v>155</v>
      </c>
      <c r="I45" s="233">
        <f t="shared" si="0"/>
        <v>620</v>
      </c>
      <c r="J45" s="45"/>
      <c r="K45" s="52" t="s">
        <v>120</v>
      </c>
      <c r="L45" s="74"/>
      <c r="M45" s="264" t="s">
        <v>282</v>
      </c>
      <c r="N45" s="108">
        <v>45567</v>
      </c>
      <c r="O45" s="6"/>
      <c r="P45" s="158">
        <v>45580</v>
      </c>
      <c r="Q45" s="33">
        <v>45581</v>
      </c>
      <c r="R45" s="31"/>
    </row>
    <row r="46" spans="1:18" ht="18" customHeight="1">
      <c r="A46" s="118" t="s">
        <v>56</v>
      </c>
      <c r="B46" s="92">
        <v>3</v>
      </c>
      <c r="C46" s="90">
        <f t="shared" si="7"/>
        <v>30</v>
      </c>
      <c r="D46" s="28" t="s">
        <v>27</v>
      </c>
      <c r="E46" s="28" t="s">
        <v>27</v>
      </c>
      <c r="F46" s="200" t="s">
        <v>143</v>
      </c>
      <c r="G46" s="235">
        <v>3</v>
      </c>
      <c r="H46" s="128">
        <v>120</v>
      </c>
      <c r="I46" s="233">
        <f t="shared" si="0"/>
        <v>360</v>
      </c>
      <c r="J46" s="40"/>
      <c r="K46" s="52" t="s">
        <v>144</v>
      </c>
      <c r="L46" s="74"/>
      <c r="M46" s="264" t="s">
        <v>282</v>
      </c>
      <c r="N46" s="108">
        <v>45567</v>
      </c>
      <c r="O46" s="6"/>
      <c r="P46" s="158">
        <v>45580</v>
      </c>
      <c r="Q46" s="33">
        <v>45581</v>
      </c>
      <c r="R46" s="31"/>
    </row>
    <row r="47" spans="1:18" ht="18" customHeight="1">
      <c r="A47" s="26"/>
      <c r="B47" s="88"/>
      <c r="C47" s="129"/>
      <c r="D47" s="28"/>
      <c r="E47" s="28"/>
      <c r="F47" s="54"/>
      <c r="G47" s="26"/>
      <c r="H47" s="58"/>
      <c r="I47" s="36"/>
      <c r="J47" s="27"/>
      <c r="K47" s="41"/>
      <c r="L47" s="74"/>
      <c r="M47" s="72"/>
      <c r="N47" s="33"/>
      <c r="O47" s="86"/>
      <c r="P47" s="70"/>
      <c r="Q47" s="70"/>
      <c r="R47" s="31"/>
    </row>
    <row r="48" spans="1:18" ht="18" customHeight="1">
      <c r="A48" s="106" t="s">
        <v>71</v>
      </c>
      <c r="B48" s="92">
        <v>3</v>
      </c>
      <c r="C48" s="90">
        <f>C46+1</f>
        <v>31</v>
      </c>
      <c r="D48" s="130" t="s">
        <v>49</v>
      </c>
      <c r="E48" s="130" t="s">
        <v>27</v>
      </c>
      <c r="F48" s="200" t="s">
        <v>72</v>
      </c>
      <c r="G48" s="235">
        <v>2</v>
      </c>
      <c r="H48" s="128">
        <v>4896</v>
      </c>
      <c r="I48" s="262">
        <f t="shared" si="0"/>
        <v>9792</v>
      </c>
      <c r="J48" s="40"/>
      <c r="K48" s="52" t="s">
        <v>64</v>
      </c>
      <c r="L48" s="74"/>
      <c r="M48" s="264" t="s">
        <v>282</v>
      </c>
      <c r="N48" s="108">
        <v>45567</v>
      </c>
      <c r="O48" s="6"/>
      <c r="P48" s="158">
        <v>45580</v>
      </c>
      <c r="Q48" s="33">
        <v>45581</v>
      </c>
      <c r="R48" s="31"/>
    </row>
    <row r="49" spans="1:18" ht="18" customHeight="1">
      <c r="A49" s="118" t="s">
        <v>56</v>
      </c>
      <c r="B49" s="92">
        <v>3</v>
      </c>
      <c r="C49" s="90">
        <f t="shared" ref="C49:C60" si="8">C48+1</f>
        <v>32</v>
      </c>
      <c r="D49" s="28" t="s">
        <v>27</v>
      </c>
      <c r="E49" s="28" t="s">
        <v>27</v>
      </c>
      <c r="F49" s="200" t="s">
        <v>65</v>
      </c>
      <c r="G49" s="235">
        <v>2</v>
      </c>
      <c r="H49" s="128">
        <v>870</v>
      </c>
      <c r="I49" s="262">
        <f t="shared" si="0"/>
        <v>1740</v>
      </c>
      <c r="J49" s="40"/>
      <c r="K49" s="52" t="s">
        <v>76</v>
      </c>
      <c r="L49" s="74"/>
      <c r="M49" s="264" t="s">
        <v>282</v>
      </c>
      <c r="N49" s="108">
        <v>45567</v>
      </c>
      <c r="O49" s="6"/>
      <c r="P49" s="158">
        <v>45580</v>
      </c>
      <c r="Q49" s="33">
        <v>45581</v>
      </c>
      <c r="R49" s="31"/>
    </row>
    <row r="50" spans="1:18" ht="18" customHeight="1">
      <c r="A50" s="106" t="s">
        <v>75</v>
      </c>
      <c r="B50" s="92">
        <v>3</v>
      </c>
      <c r="C50" s="90">
        <f t="shared" si="8"/>
        <v>33</v>
      </c>
      <c r="D50" s="28" t="s">
        <v>27</v>
      </c>
      <c r="E50" s="28" t="s">
        <v>27</v>
      </c>
      <c r="F50" s="200" t="s">
        <v>66</v>
      </c>
      <c r="G50" s="233">
        <v>2</v>
      </c>
      <c r="H50" s="128">
        <v>3680</v>
      </c>
      <c r="I50" s="262">
        <f t="shared" si="0"/>
        <v>7360</v>
      </c>
      <c r="J50" s="40"/>
      <c r="K50" s="52" t="s">
        <v>77</v>
      </c>
      <c r="L50" s="74"/>
      <c r="M50" s="264" t="s">
        <v>282</v>
      </c>
      <c r="N50" s="108">
        <v>45567</v>
      </c>
      <c r="O50" s="6"/>
      <c r="P50" s="158">
        <v>45580</v>
      </c>
      <c r="Q50" s="33">
        <v>45581</v>
      </c>
      <c r="R50" s="31"/>
    </row>
    <row r="51" spans="1:18" ht="18" customHeight="1">
      <c r="A51" s="118" t="s">
        <v>56</v>
      </c>
      <c r="B51" s="92">
        <v>3</v>
      </c>
      <c r="C51" s="90">
        <f t="shared" si="8"/>
        <v>34</v>
      </c>
      <c r="D51" s="28" t="s">
        <v>27</v>
      </c>
      <c r="E51" s="28" t="s">
        <v>27</v>
      </c>
      <c r="F51" s="200" t="s">
        <v>67</v>
      </c>
      <c r="G51" s="233">
        <v>4</v>
      </c>
      <c r="H51" s="128">
        <v>36</v>
      </c>
      <c r="I51" s="262">
        <f t="shared" si="0"/>
        <v>144</v>
      </c>
      <c r="J51" s="40"/>
      <c r="K51" s="52" t="s">
        <v>78</v>
      </c>
      <c r="L51" s="74"/>
      <c r="M51" s="264" t="s">
        <v>282</v>
      </c>
      <c r="N51" s="108">
        <v>45567</v>
      </c>
      <c r="O51" s="6"/>
      <c r="P51" s="158">
        <v>45580</v>
      </c>
      <c r="Q51" s="33">
        <v>45581</v>
      </c>
      <c r="R51" s="31"/>
    </row>
    <row r="52" spans="1:18" ht="18" customHeight="1">
      <c r="A52" s="118" t="s">
        <v>56</v>
      </c>
      <c r="B52" s="92">
        <v>3</v>
      </c>
      <c r="C52" s="90">
        <f t="shared" si="8"/>
        <v>35</v>
      </c>
      <c r="D52" s="28" t="s">
        <v>27</v>
      </c>
      <c r="E52" s="28" t="s">
        <v>27</v>
      </c>
      <c r="F52" s="198" t="s">
        <v>63</v>
      </c>
      <c r="G52" s="234">
        <v>10</v>
      </c>
      <c r="H52" s="128">
        <v>25</v>
      </c>
      <c r="I52" s="262">
        <f t="shared" si="0"/>
        <v>250</v>
      </c>
      <c r="J52" s="40"/>
      <c r="K52" s="52" t="s">
        <v>80</v>
      </c>
      <c r="L52" s="74"/>
      <c r="M52" s="264" t="s">
        <v>282</v>
      </c>
      <c r="N52" s="108">
        <v>45567</v>
      </c>
      <c r="O52" s="6"/>
      <c r="P52" s="158">
        <v>45580</v>
      </c>
      <c r="Q52" s="33">
        <v>45581</v>
      </c>
      <c r="R52" s="31"/>
    </row>
    <row r="53" spans="1:18" ht="18" customHeight="1">
      <c r="A53" s="106" t="s">
        <v>71</v>
      </c>
      <c r="B53" s="92">
        <v>3</v>
      </c>
      <c r="C53" s="90">
        <f t="shared" si="8"/>
        <v>36</v>
      </c>
      <c r="D53" s="130" t="s">
        <v>49</v>
      </c>
      <c r="E53" s="130" t="s">
        <v>27</v>
      </c>
      <c r="F53" s="236" t="s">
        <v>156</v>
      </c>
      <c r="G53" s="233">
        <v>4</v>
      </c>
      <c r="H53" s="128">
        <v>6488</v>
      </c>
      <c r="I53" s="262">
        <f t="shared" si="0"/>
        <v>25952</v>
      </c>
      <c r="J53" s="40"/>
      <c r="K53" s="54" t="s">
        <v>151</v>
      </c>
      <c r="L53" s="74"/>
      <c r="M53" s="264" t="s">
        <v>282</v>
      </c>
      <c r="N53" s="108">
        <v>45567</v>
      </c>
      <c r="O53" s="6"/>
      <c r="P53" s="158">
        <v>45580</v>
      </c>
      <c r="Q53" s="33">
        <v>45581</v>
      </c>
      <c r="R53" s="31"/>
    </row>
    <row r="54" spans="1:18" ht="18" customHeight="1">
      <c r="A54" s="106" t="s">
        <v>55</v>
      </c>
      <c r="B54" s="92">
        <v>3</v>
      </c>
      <c r="C54" s="90">
        <f t="shared" si="8"/>
        <v>37</v>
      </c>
      <c r="D54" s="130" t="s">
        <v>49</v>
      </c>
      <c r="E54" s="130" t="s">
        <v>27</v>
      </c>
      <c r="F54" s="200" t="s">
        <v>157</v>
      </c>
      <c r="G54" s="233">
        <v>1</v>
      </c>
      <c r="H54" s="128">
        <v>6296</v>
      </c>
      <c r="I54" s="233">
        <f t="shared" si="0"/>
        <v>6296</v>
      </c>
      <c r="J54" s="40"/>
      <c r="K54" s="54" t="s">
        <v>152</v>
      </c>
      <c r="L54" s="74"/>
      <c r="M54" s="264" t="s">
        <v>282</v>
      </c>
      <c r="N54" s="108">
        <v>45567</v>
      </c>
      <c r="O54" s="6"/>
      <c r="P54" s="158">
        <v>45580</v>
      </c>
      <c r="Q54" s="33">
        <v>45581</v>
      </c>
      <c r="R54" s="31"/>
    </row>
    <row r="55" spans="1:18" ht="18" customHeight="1">
      <c r="A55" s="106" t="s">
        <v>55</v>
      </c>
      <c r="B55" s="92">
        <v>3</v>
      </c>
      <c r="C55" s="90">
        <f t="shared" si="8"/>
        <v>38</v>
      </c>
      <c r="D55" s="130" t="s">
        <v>49</v>
      </c>
      <c r="E55" s="130" t="s">
        <v>27</v>
      </c>
      <c r="F55" s="200" t="s">
        <v>158</v>
      </c>
      <c r="G55" s="233">
        <v>1</v>
      </c>
      <c r="H55" s="128">
        <v>5637</v>
      </c>
      <c r="I55" s="233">
        <f t="shared" si="0"/>
        <v>5637</v>
      </c>
      <c r="J55" s="40"/>
      <c r="K55" s="52" t="s">
        <v>153</v>
      </c>
      <c r="L55" s="74"/>
      <c r="M55" s="264" t="s">
        <v>282</v>
      </c>
      <c r="N55" s="108">
        <v>45567</v>
      </c>
      <c r="O55" s="6"/>
      <c r="P55" s="158">
        <v>45580</v>
      </c>
      <c r="Q55" s="33">
        <v>45581</v>
      </c>
      <c r="R55" s="31"/>
    </row>
    <row r="56" spans="1:18" ht="18" customHeight="1">
      <c r="A56" s="118" t="s">
        <v>56</v>
      </c>
      <c r="B56" s="92">
        <v>3</v>
      </c>
      <c r="C56" s="90">
        <f t="shared" si="8"/>
        <v>39</v>
      </c>
      <c r="D56" s="85" t="s">
        <v>73</v>
      </c>
      <c r="E56" s="28" t="s">
        <v>27</v>
      </c>
      <c r="F56" s="200" t="s">
        <v>68</v>
      </c>
      <c r="G56" s="235">
        <v>6</v>
      </c>
      <c r="H56" s="128">
        <v>50</v>
      </c>
      <c r="I56" s="233">
        <f t="shared" si="0"/>
        <v>300</v>
      </c>
      <c r="J56" s="40"/>
      <c r="K56" s="52" t="s">
        <v>88</v>
      </c>
      <c r="L56" s="74"/>
      <c r="M56" s="264" t="s">
        <v>282</v>
      </c>
      <c r="N56" s="108">
        <v>45567</v>
      </c>
      <c r="O56" s="6"/>
      <c r="P56" s="158">
        <v>45580</v>
      </c>
      <c r="Q56" s="33">
        <v>45581</v>
      </c>
      <c r="R56" s="31"/>
    </row>
    <row r="57" spans="1:18" ht="18" customHeight="1">
      <c r="A57" s="118" t="s">
        <v>56</v>
      </c>
      <c r="B57" s="92">
        <v>3</v>
      </c>
      <c r="C57" s="90">
        <f>C56+1</f>
        <v>40</v>
      </c>
      <c r="D57" s="28" t="s">
        <v>27</v>
      </c>
      <c r="E57" s="28" t="s">
        <v>27</v>
      </c>
      <c r="F57" s="200" t="s">
        <v>69</v>
      </c>
      <c r="G57" s="235">
        <v>18</v>
      </c>
      <c r="H57" s="128">
        <v>54</v>
      </c>
      <c r="I57" s="233">
        <f t="shared" si="0"/>
        <v>972</v>
      </c>
      <c r="J57" s="40"/>
      <c r="K57" s="52" t="s">
        <v>89</v>
      </c>
      <c r="L57" s="74"/>
      <c r="M57" s="264" t="s">
        <v>282</v>
      </c>
      <c r="N57" s="108">
        <v>45567</v>
      </c>
      <c r="O57" s="6"/>
      <c r="P57" s="158">
        <v>45580</v>
      </c>
      <c r="Q57" s="33">
        <v>45581</v>
      </c>
      <c r="R57" s="31"/>
    </row>
    <row r="58" spans="1:18" ht="18" customHeight="1">
      <c r="A58" s="118" t="s">
        <v>56</v>
      </c>
      <c r="B58" s="92">
        <v>3</v>
      </c>
      <c r="C58" s="90">
        <f t="shared" si="8"/>
        <v>41</v>
      </c>
      <c r="D58" s="28" t="s">
        <v>27</v>
      </c>
      <c r="E58" s="28" t="s">
        <v>27</v>
      </c>
      <c r="F58" s="198" t="s">
        <v>30</v>
      </c>
      <c r="G58" s="234">
        <v>10</v>
      </c>
      <c r="H58" s="128">
        <v>29</v>
      </c>
      <c r="I58" s="233">
        <f t="shared" si="0"/>
        <v>290</v>
      </c>
      <c r="J58" s="40"/>
      <c r="K58" s="52" t="s">
        <v>79</v>
      </c>
      <c r="L58" s="74"/>
      <c r="M58" s="264" t="s">
        <v>282</v>
      </c>
      <c r="N58" s="108">
        <v>45567</v>
      </c>
      <c r="O58" s="6"/>
      <c r="P58" s="158">
        <v>45580</v>
      </c>
      <c r="Q58" s="33">
        <v>45581</v>
      </c>
      <c r="R58" s="31"/>
    </row>
    <row r="59" spans="1:18" ht="18" customHeight="1">
      <c r="A59" s="106" t="s">
        <v>55</v>
      </c>
      <c r="B59" s="92">
        <v>3</v>
      </c>
      <c r="C59" s="90">
        <f t="shared" si="8"/>
        <v>42</v>
      </c>
      <c r="D59" s="130" t="s">
        <v>49</v>
      </c>
      <c r="E59" s="130" t="s">
        <v>27</v>
      </c>
      <c r="F59" s="200" t="s">
        <v>155</v>
      </c>
      <c r="G59" s="233">
        <v>1</v>
      </c>
      <c r="H59" s="128">
        <v>3294</v>
      </c>
      <c r="I59" s="233">
        <f t="shared" si="0"/>
        <v>3294</v>
      </c>
      <c r="J59" s="40"/>
      <c r="K59" s="54" t="s">
        <v>154</v>
      </c>
      <c r="L59" s="74"/>
      <c r="M59" s="264" t="s">
        <v>282</v>
      </c>
      <c r="N59" s="108">
        <v>45567</v>
      </c>
      <c r="O59" s="6"/>
      <c r="P59" s="158">
        <v>45580</v>
      </c>
      <c r="Q59" s="33">
        <v>45581</v>
      </c>
      <c r="R59" s="31"/>
    </row>
    <row r="60" spans="1:18" ht="18" customHeight="1">
      <c r="A60" s="118" t="s">
        <v>56</v>
      </c>
      <c r="B60" s="92">
        <v>3</v>
      </c>
      <c r="C60" s="90">
        <f t="shared" si="8"/>
        <v>43</v>
      </c>
      <c r="D60" s="85" t="s">
        <v>182</v>
      </c>
      <c r="E60" s="28" t="s">
        <v>27</v>
      </c>
      <c r="F60" s="200" t="s">
        <v>159</v>
      </c>
      <c r="G60" s="201">
        <v>10</v>
      </c>
      <c r="H60" s="131">
        <v>364</v>
      </c>
      <c r="I60" s="233">
        <f t="shared" si="0"/>
        <v>3640</v>
      </c>
      <c r="J60" s="27"/>
      <c r="K60" s="52" t="s">
        <v>183</v>
      </c>
      <c r="L60" s="74"/>
      <c r="M60" s="264" t="s">
        <v>282</v>
      </c>
      <c r="N60" s="108">
        <v>45567</v>
      </c>
      <c r="O60" s="6"/>
      <c r="P60" s="158">
        <v>45580</v>
      </c>
      <c r="Q60" s="33">
        <v>45581</v>
      </c>
      <c r="R60" s="31"/>
    </row>
    <row r="61" spans="1:18" ht="18" customHeight="1">
      <c r="A61" s="26"/>
      <c r="B61" s="88"/>
      <c r="C61" s="129"/>
      <c r="D61" s="28"/>
      <c r="E61" s="28"/>
      <c r="F61" s="54"/>
      <c r="G61" s="26"/>
      <c r="H61" s="58"/>
      <c r="I61" s="36"/>
      <c r="J61" s="27"/>
      <c r="K61" s="41"/>
      <c r="L61" s="74"/>
      <c r="M61" s="72"/>
      <c r="N61" s="33"/>
      <c r="O61" s="86"/>
      <c r="P61" s="70"/>
      <c r="Q61" s="70"/>
      <c r="R61" s="31"/>
    </row>
    <row r="62" spans="1:18" ht="17.399999999999999" customHeight="1">
      <c r="A62" s="106" t="s">
        <v>55</v>
      </c>
      <c r="B62" s="92">
        <v>3</v>
      </c>
      <c r="C62" s="90">
        <f>C60+1</f>
        <v>44</v>
      </c>
      <c r="D62" s="130" t="s">
        <v>49</v>
      </c>
      <c r="E62" s="130" t="s">
        <v>27</v>
      </c>
      <c r="F62" s="200" t="s">
        <v>82</v>
      </c>
      <c r="G62" s="233">
        <v>1</v>
      </c>
      <c r="H62" s="134">
        <v>4070</v>
      </c>
      <c r="I62" s="233">
        <f>G62*H62</f>
        <v>4070</v>
      </c>
      <c r="J62" s="40"/>
      <c r="K62" s="52" t="s">
        <v>81</v>
      </c>
      <c r="L62" s="74"/>
      <c r="M62" s="264" t="s">
        <v>282</v>
      </c>
      <c r="N62" s="108">
        <v>45567</v>
      </c>
      <c r="O62" s="6"/>
      <c r="P62" s="158">
        <v>45580</v>
      </c>
      <c r="Q62" s="33">
        <v>45581</v>
      </c>
      <c r="R62" s="31"/>
    </row>
    <row r="63" spans="1:18" ht="17.399999999999999" customHeight="1">
      <c r="A63" s="118" t="s">
        <v>56</v>
      </c>
      <c r="B63" s="92">
        <v>3</v>
      </c>
      <c r="C63" s="90">
        <f t="shared" ref="C63:C65" si="9">C62+1</f>
        <v>45</v>
      </c>
      <c r="D63" s="28" t="s">
        <v>27</v>
      </c>
      <c r="E63" s="28" t="s">
        <v>27</v>
      </c>
      <c r="F63" s="198" t="s">
        <v>83</v>
      </c>
      <c r="G63" s="234">
        <v>10</v>
      </c>
      <c r="H63" s="128">
        <v>35</v>
      </c>
      <c r="I63" s="233">
        <f t="shared" ref="I63:I69" si="10">G63*H63</f>
        <v>350</v>
      </c>
      <c r="J63" s="40"/>
      <c r="K63" s="52" t="s">
        <v>114</v>
      </c>
      <c r="L63" s="74"/>
      <c r="M63" s="264" t="s">
        <v>282</v>
      </c>
      <c r="N63" s="108">
        <v>45567</v>
      </c>
      <c r="O63" s="6"/>
      <c r="P63" s="158">
        <v>45580</v>
      </c>
      <c r="Q63" s="33">
        <v>45581</v>
      </c>
      <c r="R63" s="31"/>
    </row>
    <row r="64" spans="1:18" ht="17.399999999999999" customHeight="1">
      <c r="A64" s="118" t="s">
        <v>56</v>
      </c>
      <c r="B64" s="92">
        <v>3</v>
      </c>
      <c r="C64" s="90">
        <f t="shared" si="9"/>
        <v>46</v>
      </c>
      <c r="D64" s="28" t="s">
        <v>27</v>
      </c>
      <c r="E64" s="28" t="s">
        <v>27</v>
      </c>
      <c r="F64" s="200" t="s">
        <v>84</v>
      </c>
      <c r="G64" s="233">
        <v>6</v>
      </c>
      <c r="H64" s="134">
        <v>41</v>
      </c>
      <c r="I64" s="233">
        <f t="shared" si="10"/>
        <v>246</v>
      </c>
      <c r="J64" s="40"/>
      <c r="K64" s="52" t="s">
        <v>160</v>
      </c>
      <c r="L64" s="74"/>
      <c r="M64" s="264" t="s">
        <v>282</v>
      </c>
      <c r="N64" s="108">
        <v>45567</v>
      </c>
      <c r="O64" s="6"/>
      <c r="P64" s="158">
        <v>45580</v>
      </c>
      <c r="Q64" s="33">
        <v>45581</v>
      </c>
      <c r="R64" s="31"/>
    </row>
    <row r="65" spans="1:18" ht="17.399999999999999" customHeight="1">
      <c r="A65" s="118" t="s">
        <v>56</v>
      </c>
      <c r="B65" s="92">
        <v>3</v>
      </c>
      <c r="C65" s="90">
        <f t="shared" si="9"/>
        <v>47</v>
      </c>
      <c r="D65" s="28" t="s">
        <v>27</v>
      </c>
      <c r="E65" s="28" t="s">
        <v>27</v>
      </c>
      <c r="F65" s="198" t="s">
        <v>184</v>
      </c>
      <c r="G65" s="233">
        <v>10</v>
      </c>
      <c r="H65" s="134">
        <v>25</v>
      </c>
      <c r="I65" s="233">
        <f t="shared" si="10"/>
        <v>250</v>
      </c>
      <c r="J65" s="40"/>
      <c r="K65" s="52" t="s">
        <v>161</v>
      </c>
      <c r="L65" s="74"/>
      <c r="M65" s="264" t="s">
        <v>282</v>
      </c>
      <c r="N65" s="108">
        <v>45567</v>
      </c>
      <c r="O65" s="6"/>
      <c r="P65" s="158">
        <v>45580</v>
      </c>
      <c r="Q65" s="33">
        <v>45581</v>
      </c>
      <c r="R65" s="31"/>
    </row>
    <row r="66" spans="1:18" ht="17.399999999999999" customHeight="1">
      <c r="A66" s="118" t="s">
        <v>56</v>
      </c>
      <c r="B66" s="92">
        <v>3</v>
      </c>
      <c r="C66" s="90">
        <f>C65+1</f>
        <v>48</v>
      </c>
      <c r="D66" s="28" t="s">
        <v>27</v>
      </c>
      <c r="E66" s="28" t="s">
        <v>27</v>
      </c>
      <c r="F66" s="200" t="s">
        <v>31</v>
      </c>
      <c r="G66" s="201">
        <v>3</v>
      </c>
      <c r="H66" s="131">
        <v>290</v>
      </c>
      <c r="I66" s="233">
        <f t="shared" si="10"/>
        <v>870</v>
      </c>
      <c r="J66" s="40"/>
      <c r="K66" s="52" t="s">
        <v>42</v>
      </c>
      <c r="L66" s="135"/>
      <c r="M66" s="264" t="s">
        <v>282</v>
      </c>
      <c r="N66" s="108">
        <v>45567</v>
      </c>
      <c r="O66" s="6"/>
      <c r="P66" s="158">
        <v>45580</v>
      </c>
      <c r="Q66" s="33">
        <v>45581</v>
      </c>
      <c r="R66" s="31"/>
    </row>
    <row r="67" spans="1:18" ht="17.399999999999999" customHeight="1">
      <c r="A67" s="118" t="s">
        <v>56</v>
      </c>
      <c r="B67" s="92">
        <v>3</v>
      </c>
      <c r="C67" s="90">
        <f>C66+1</f>
        <v>49</v>
      </c>
      <c r="D67" s="28" t="s">
        <v>27</v>
      </c>
      <c r="E67" s="28" t="s">
        <v>27</v>
      </c>
      <c r="F67" s="200" t="s">
        <v>32</v>
      </c>
      <c r="G67" s="201">
        <v>2</v>
      </c>
      <c r="H67" s="131">
        <v>290</v>
      </c>
      <c r="I67" s="233">
        <f t="shared" si="10"/>
        <v>580</v>
      </c>
      <c r="J67" s="40"/>
      <c r="K67" s="52" t="s">
        <v>42</v>
      </c>
      <c r="L67" s="74"/>
      <c r="M67" s="264" t="s">
        <v>282</v>
      </c>
      <c r="N67" s="108">
        <v>45567</v>
      </c>
      <c r="O67" s="6"/>
      <c r="P67" s="158">
        <v>45580</v>
      </c>
      <c r="Q67" s="33">
        <v>45581</v>
      </c>
      <c r="R67" s="31"/>
    </row>
    <row r="68" spans="1:18" ht="17.399999999999999" customHeight="1">
      <c r="A68" s="118" t="s">
        <v>56</v>
      </c>
      <c r="B68" s="92">
        <v>3</v>
      </c>
      <c r="C68" s="90">
        <f>C67+1</f>
        <v>50</v>
      </c>
      <c r="D68" s="84" t="s">
        <v>266</v>
      </c>
      <c r="E68" s="84"/>
      <c r="F68" s="200" t="s">
        <v>267</v>
      </c>
      <c r="G68" s="201">
        <v>1</v>
      </c>
      <c r="H68" s="131">
        <v>765</v>
      </c>
      <c r="I68" s="233">
        <f t="shared" si="10"/>
        <v>765</v>
      </c>
      <c r="J68" s="99"/>
      <c r="K68" s="52" t="s">
        <v>265</v>
      </c>
      <c r="L68" s="74"/>
      <c r="M68" s="264" t="s">
        <v>282</v>
      </c>
      <c r="N68" s="108">
        <v>45567</v>
      </c>
      <c r="O68" s="6"/>
      <c r="P68" s="158">
        <v>45580</v>
      </c>
      <c r="Q68" s="33">
        <v>45581</v>
      </c>
      <c r="R68" s="31"/>
    </row>
    <row r="69" spans="1:18" ht="17.399999999999999" customHeight="1">
      <c r="A69" s="118" t="s">
        <v>56</v>
      </c>
      <c r="B69" s="92">
        <v>3</v>
      </c>
      <c r="C69" s="186">
        <f>C68+1</f>
        <v>51</v>
      </c>
      <c r="D69" s="84" t="s">
        <v>268</v>
      </c>
      <c r="E69" s="84"/>
      <c r="F69" s="200" t="s">
        <v>270</v>
      </c>
      <c r="G69" s="201">
        <v>10</v>
      </c>
      <c r="H69" s="131">
        <v>78</v>
      </c>
      <c r="I69" s="233">
        <f t="shared" si="10"/>
        <v>780</v>
      </c>
      <c r="J69" s="40"/>
      <c r="K69" s="52" t="s">
        <v>269</v>
      </c>
      <c r="L69" s="74"/>
      <c r="M69" s="264" t="s">
        <v>282</v>
      </c>
      <c r="N69" s="108">
        <v>45567</v>
      </c>
      <c r="O69" s="6"/>
      <c r="P69" s="158">
        <v>45580</v>
      </c>
      <c r="Q69" s="33">
        <v>45581</v>
      </c>
      <c r="R69" s="180"/>
    </row>
    <row r="70" spans="1:18" ht="17.399999999999999" customHeight="1">
      <c r="A70" s="5"/>
      <c r="B70" s="163"/>
      <c r="C70" s="32"/>
      <c r="D70" s="84"/>
      <c r="E70" s="84"/>
      <c r="F70" s="54"/>
      <c r="G70" s="26"/>
      <c r="H70" s="58"/>
      <c r="I70" s="36"/>
      <c r="J70" s="40"/>
      <c r="K70" s="52"/>
      <c r="L70" s="74"/>
      <c r="M70" s="181"/>
      <c r="N70" s="179"/>
      <c r="O70" s="86"/>
      <c r="P70" s="179"/>
      <c r="Q70" s="179"/>
      <c r="R70" s="180"/>
    </row>
    <row r="71" spans="1:18" ht="17.399999999999999" customHeight="1">
      <c r="A71" s="178"/>
      <c r="B71" s="163"/>
      <c r="C71" s="32"/>
      <c r="D71" s="84"/>
      <c r="E71" s="84"/>
      <c r="F71" s="54"/>
      <c r="G71" s="26"/>
      <c r="H71" s="58"/>
      <c r="I71" s="36"/>
      <c r="J71" s="40"/>
      <c r="K71" s="52"/>
      <c r="L71" s="74"/>
      <c r="M71" s="181"/>
      <c r="N71" s="179"/>
      <c r="O71" s="86"/>
      <c r="P71" s="179"/>
      <c r="Q71" s="179"/>
      <c r="R71" s="180"/>
    </row>
    <row r="72" spans="1:18" ht="18" customHeight="1">
      <c r="C72" s="187"/>
      <c r="D72" s="182"/>
      <c r="E72" s="14"/>
      <c r="F72" s="152">
        <f>SUM(I10:I70)</f>
        <v>200507</v>
      </c>
      <c r="G72" s="183"/>
      <c r="H72" s="183"/>
      <c r="I72" s="183"/>
      <c r="J72" s="184"/>
      <c r="K72" s="22"/>
      <c r="L72" s="185"/>
      <c r="M72" s="3"/>
      <c r="N72" s="20"/>
      <c r="O72" s="6"/>
      <c r="P72" s="6"/>
      <c r="Q72" s="20"/>
      <c r="R72" s="12"/>
    </row>
    <row r="73" spans="1:18" ht="18" customHeight="1">
      <c r="C73" s="15"/>
      <c r="D73" s="62"/>
      <c r="E73" s="63"/>
      <c r="F73" s="77"/>
      <c r="G73" s="77"/>
      <c r="H73" s="77"/>
      <c r="I73" s="77"/>
      <c r="J73" s="78"/>
      <c r="K73" s="79"/>
      <c r="L73" s="19"/>
      <c r="M73" s="3"/>
      <c r="N73" s="20"/>
      <c r="O73" s="6"/>
      <c r="P73" s="6"/>
      <c r="Q73" s="20"/>
      <c r="R73" s="12"/>
    </row>
    <row r="74" spans="1:18" ht="18" customHeight="1">
      <c r="C74" s="15"/>
      <c r="D74" s="75"/>
      <c r="E74" s="37"/>
      <c r="F74" s="64"/>
      <c r="G74" s="64"/>
      <c r="H74" s="64"/>
      <c r="I74" s="64"/>
      <c r="J74" s="40"/>
      <c r="K74" s="29"/>
      <c r="L74" s="76"/>
      <c r="M74" s="3"/>
      <c r="N74" s="20"/>
      <c r="O74" s="6"/>
      <c r="P74" s="6"/>
      <c r="Q74" s="20"/>
      <c r="R74" s="12"/>
    </row>
    <row r="75" spans="1:18" ht="18" customHeight="1">
      <c r="C75" s="26"/>
      <c r="D75" s="65"/>
      <c r="E75" s="65"/>
      <c r="F75" s="66"/>
      <c r="G75" s="67"/>
      <c r="H75" s="68"/>
      <c r="I75" s="36"/>
      <c r="J75" s="26"/>
      <c r="K75" s="35"/>
      <c r="L75" s="76"/>
      <c r="M75" s="3"/>
      <c r="N75" s="20"/>
      <c r="O75" s="6"/>
      <c r="P75" s="6"/>
      <c r="Q75" s="20"/>
      <c r="R75" s="12"/>
    </row>
    <row r="76" spans="1:18" ht="18" customHeight="1">
      <c r="C76" s="26"/>
      <c r="D76" s="265" t="s">
        <v>257</v>
      </c>
      <c r="E76" s="266"/>
      <c r="F76" s="267"/>
      <c r="G76" s="67"/>
      <c r="H76" s="68"/>
      <c r="I76" s="36"/>
      <c r="J76" s="26"/>
      <c r="K76" s="35"/>
      <c r="L76" s="76"/>
      <c r="M76" s="3"/>
      <c r="N76" s="20"/>
      <c r="O76" s="6"/>
      <c r="P76" s="6"/>
      <c r="Q76" s="20"/>
      <c r="R76" s="12"/>
    </row>
    <row r="77" spans="1:18" ht="18" customHeight="1">
      <c r="A77" s="26" t="s">
        <v>55</v>
      </c>
      <c r="B77" s="25"/>
      <c r="C77" s="151">
        <f>+C69+1</f>
        <v>52</v>
      </c>
      <c r="D77" s="28" t="s">
        <v>27</v>
      </c>
      <c r="E77" s="28" t="s">
        <v>27</v>
      </c>
      <c r="F77" s="198" t="s">
        <v>247</v>
      </c>
      <c r="G77" s="199">
        <v>1</v>
      </c>
      <c r="H77" s="247">
        <v>2484</v>
      </c>
      <c r="I77" s="247">
        <f t="shared" ref="I77:I81" si="11">G77*H77</f>
        <v>2484</v>
      </c>
      <c r="J77" s="80"/>
      <c r="K77" s="35" t="s">
        <v>248</v>
      </c>
      <c r="L77" s="76"/>
      <c r="M77" s="264" t="s">
        <v>282</v>
      </c>
      <c r="N77" s="108">
        <v>45567</v>
      </c>
      <c r="O77" s="6"/>
      <c r="P77" s="158">
        <v>45580</v>
      </c>
      <c r="Q77" s="33">
        <v>45581</v>
      </c>
      <c r="R77" s="12"/>
    </row>
    <row r="78" spans="1:18" ht="18" customHeight="1">
      <c r="A78" s="26" t="s">
        <v>55</v>
      </c>
      <c r="B78" s="25"/>
      <c r="C78" s="151">
        <f>+C77+1</f>
        <v>53</v>
      </c>
      <c r="D78" s="28" t="s">
        <v>27</v>
      </c>
      <c r="E78" s="28" t="s">
        <v>27</v>
      </c>
      <c r="F78" s="198" t="s">
        <v>249</v>
      </c>
      <c r="G78" s="199">
        <v>1</v>
      </c>
      <c r="H78" s="247">
        <v>2581</v>
      </c>
      <c r="I78" s="247">
        <f t="shared" si="11"/>
        <v>2581</v>
      </c>
      <c r="J78" s="80"/>
      <c r="K78" s="35" t="s">
        <v>250</v>
      </c>
      <c r="L78" s="76"/>
      <c r="M78" s="264" t="s">
        <v>282</v>
      </c>
      <c r="N78" s="108">
        <v>45567</v>
      </c>
      <c r="O78" s="6"/>
      <c r="P78" s="158">
        <v>45580</v>
      </c>
      <c r="Q78" s="33">
        <v>45581</v>
      </c>
      <c r="R78" s="12"/>
    </row>
    <row r="79" spans="1:18" ht="18" customHeight="1">
      <c r="A79" s="26" t="s">
        <v>102</v>
      </c>
      <c r="B79" s="25"/>
      <c r="C79" s="151">
        <f t="shared" ref="C79:C85" si="12">+C78+1</f>
        <v>54</v>
      </c>
      <c r="D79" s="28" t="s">
        <v>27</v>
      </c>
      <c r="E79" s="28" t="s">
        <v>27</v>
      </c>
      <c r="F79" s="198" t="s">
        <v>251</v>
      </c>
      <c r="G79" s="199">
        <v>1</v>
      </c>
      <c r="H79" s="247">
        <v>6480</v>
      </c>
      <c r="I79" s="247">
        <f t="shared" si="11"/>
        <v>6480</v>
      </c>
      <c r="J79" s="80"/>
      <c r="K79" s="35" t="s">
        <v>252</v>
      </c>
      <c r="L79" s="76"/>
      <c r="M79" s="264" t="s">
        <v>282</v>
      </c>
      <c r="N79" s="108">
        <v>45567</v>
      </c>
      <c r="O79" s="6"/>
      <c r="P79" s="158">
        <v>45580</v>
      </c>
      <c r="Q79" s="33">
        <v>45581</v>
      </c>
      <c r="R79" s="12"/>
    </row>
    <row r="80" spans="1:18" ht="18" customHeight="1">
      <c r="A80" s="26" t="s">
        <v>57</v>
      </c>
      <c r="B80" s="25"/>
      <c r="C80" s="151">
        <f t="shared" si="12"/>
        <v>55</v>
      </c>
      <c r="D80" s="28" t="s">
        <v>27</v>
      </c>
      <c r="E80" s="28" t="s">
        <v>27</v>
      </c>
      <c r="F80" s="198" t="s">
        <v>253</v>
      </c>
      <c r="G80" s="199">
        <v>2</v>
      </c>
      <c r="H80" s="246">
        <v>360</v>
      </c>
      <c r="I80" s="247">
        <f t="shared" si="11"/>
        <v>720</v>
      </c>
      <c r="J80" s="80"/>
      <c r="K80" s="35" t="s">
        <v>254</v>
      </c>
      <c r="L80" s="76"/>
      <c r="M80" s="264" t="s">
        <v>282</v>
      </c>
      <c r="N80" s="108">
        <v>45567</v>
      </c>
      <c r="O80" s="6"/>
      <c r="P80" s="158">
        <v>45580</v>
      </c>
      <c r="Q80" s="33">
        <v>45581</v>
      </c>
      <c r="R80" s="12"/>
    </row>
    <row r="81" spans="1:18" ht="18" customHeight="1">
      <c r="A81" s="26" t="s">
        <v>56</v>
      </c>
      <c r="B81" s="25"/>
      <c r="C81" s="151">
        <f t="shared" si="12"/>
        <v>56</v>
      </c>
      <c r="D81" s="28" t="s">
        <v>27</v>
      </c>
      <c r="E81" s="28" t="s">
        <v>27</v>
      </c>
      <c r="F81" s="198" t="s">
        <v>255</v>
      </c>
      <c r="G81" s="199">
        <v>7</v>
      </c>
      <c r="H81" s="150">
        <v>94</v>
      </c>
      <c r="I81" s="247">
        <f t="shared" si="11"/>
        <v>658</v>
      </c>
      <c r="J81" s="80"/>
      <c r="K81" s="35" t="s">
        <v>256</v>
      </c>
      <c r="L81" s="76"/>
      <c r="M81" s="264" t="s">
        <v>282</v>
      </c>
      <c r="N81" s="108">
        <v>45567</v>
      </c>
      <c r="O81" s="6"/>
      <c r="P81" s="158">
        <v>45580</v>
      </c>
      <c r="Q81" s="33">
        <v>45581</v>
      </c>
      <c r="R81" s="12"/>
    </row>
    <row r="82" spans="1:18" ht="18" customHeight="1">
      <c r="A82" s="26" t="s">
        <v>55</v>
      </c>
      <c r="B82" s="25"/>
      <c r="C82" s="151">
        <f t="shared" si="12"/>
        <v>57</v>
      </c>
      <c r="D82" s="130" t="s">
        <v>27</v>
      </c>
      <c r="E82" s="130" t="s">
        <v>27</v>
      </c>
      <c r="F82" s="214" t="s">
        <v>50</v>
      </c>
      <c r="G82" s="201">
        <v>1</v>
      </c>
      <c r="H82" s="260">
        <v>1016</v>
      </c>
      <c r="I82" s="237">
        <f>G82*H82</f>
        <v>1016</v>
      </c>
      <c r="J82" s="27"/>
      <c r="K82" s="25" t="s">
        <v>43</v>
      </c>
      <c r="L82" s="76"/>
      <c r="M82" s="264" t="s">
        <v>282</v>
      </c>
      <c r="N82" s="108">
        <v>45567</v>
      </c>
      <c r="O82" s="6"/>
      <c r="P82" s="158">
        <v>45580</v>
      </c>
      <c r="Q82" s="33">
        <v>45581</v>
      </c>
      <c r="R82" s="12"/>
    </row>
    <row r="83" spans="1:18" ht="18" customHeight="1">
      <c r="A83" s="26" t="s">
        <v>56</v>
      </c>
      <c r="B83" s="25"/>
      <c r="C83" s="151">
        <f t="shared" si="12"/>
        <v>58</v>
      </c>
      <c r="D83" s="130" t="s">
        <v>27</v>
      </c>
      <c r="E83" s="130" t="s">
        <v>27</v>
      </c>
      <c r="F83" s="214" t="s">
        <v>44</v>
      </c>
      <c r="G83" s="201">
        <v>1</v>
      </c>
      <c r="H83" s="131">
        <v>750</v>
      </c>
      <c r="I83" s="237">
        <f>G83*H83</f>
        <v>750</v>
      </c>
      <c r="J83" s="27"/>
      <c r="K83" s="25" t="s">
        <v>51</v>
      </c>
      <c r="L83" s="76"/>
      <c r="M83" s="264" t="s">
        <v>282</v>
      </c>
      <c r="N83" s="108">
        <v>45567</v>
      </c>
      <c r="O83" s="6"/>
      <c r="P83" s="158">
        <v>45580</v>
      </c>
      <c r="Q83" s="33">
        <v>45581</v>
      </c>
      <c r="R83" s="12"/>
    </row>
    <row r="84" spans="1:18" ht="18" customHeight="1">
      <c r="A84" s="26" t="s">
        <v>56</v>
      </c>
      <c r="B84" s="25"/>
      <c r="C84" s="151">
        <f t="shared" si="12"/>
        <v>59</v>
      </c>
      <c r="D84" s="132" t="s">
        <v>27</v>
      </c>
      <c r="E84" s="132" t="s">
        <v>27</v>
      </c>
      <c r="F84" s="211" t="s">
        <v>45</v>
      </c>
      <c r="G84" s="232">
        <v>10</v>
      </c>
      <c r="H84" s="142">
        <v>35</v>
      </c>
      <c r="I84" s="244">
        <f>G84*H84</f>
        <v>350</v>
      </c>
      <c r="J84" s="80"/>
      <c r="K84" s="35" t="s">
        <v>52</v>
      </c>
      <c r="L84" s="76"/>
      <c r="M84" s="264" t="s">
        <v>282</v>
      </c>
      <c r="N84" s="108">
        <v>45567</v>
      </c>
      <c r="O84" s="6"/>
      <c r="P84" s="158">
        <v>45580</v>
      </c>
      <c r="Q84" s="33">
        <v>45581</v>
      </c>
      <c r="R84" s="12"/>
    </row>
    <row r="85" spans="1:18" ht="18" customHeight="1">
      <c r="A85" s="26" t="s">
        <v>56</v>
      </c>
      <c r="B85" s="25"/>
      <c r="C85" s="154">
        <f t="shared" si="12"/>
        <v>60</v>
      </c>
      <c r="D85" s="132" t="s">
        <v>27</v>
      </c>
      <c r="E85" s="132" t="s">
        <v>27</v>
      </c>
      <c r="F85" s="211" t="s">
        <v>53</v>
      </c>
      <c r="G85" s="232">
        <v>6</v>
      </c>
      <c r="H85" s="142">
        <v>92</v>
      </c>
      <c r="I85" s="261">
        <f>G85*H85</f>
        <v>552</v>
      </c>
      <c r="J85" s="80"/>
      <c r="K85" s="35" t="s">
        <v>54</v>
      </c>
      <c r="L85" s="76"/>
      <c r="M85" s="264" t="s">
        <v>282</v>
      </c>
      <c r="N85" s="108">
        <v>45567</v>
      </c>
      <c r="O85" s="6"/>
      <c r="P85" s="158">
        <v>45580</v>
      </c>
      <c r="Q85" s="33">
        <v>45581</v>
      </c>
      <c r="R85" s="12"/>
    </row>
    <row r="86" spans="1:18" ht="18" customHeight="1">
      <c r="C86" s="26"/>
      <c r="D86" s="65"/>
      <c r="E86" s="65"/>
      <c r="F86" s="153"/>
      <c r="G86" s="67"/>
      <c r="H86" s="68"/>
      <c r="I86" s="36"/>
      <c r="J86" s="26"/>
      <c r="K86" s="35"/>
      <c r="L86" s="76"/>
      <c r="M86" s="3"/>
      <c r="N86" s="20"/>
      <c r="O86" s="6"/>
      <c r="P86" s="6"/>
      <c r="Q86" s="20"/>
      <c r="R86" s="12"/>
    </row>
    <row r="87" spans="1:18" ht="18" customHeight="1">
      <c r="C87" s="26"/>
      <c r="D87" s="65"/>
      <c r="E87" s="65"/>
      <c r="F87" s="152">
        <f>SUM(I77:I87)</f>
        <v>15591</v>
      </c>
      <c r="G87" s="67"/>
      <c r="H87" s="68"/>
      <c r="I87" s="36"/>
      <c r="J87" s="26"/>
      <c r="K87" s="35"/>
      <c r="L87" s="76"/>
      <c r="M87" s="3"/>
      <c r="N87" s="20"/>
      <c r="O87" s="6"/>
      <c r="P87" s="6"/>
      <c r="Q87" s="20"/>
      <c r="R87" s="12"/>
    </row>
    <row r="88" spans="1:18" ht="18" customHeight="1">
      <c r="C88" s="26"/>
      <c r="D88" s="65"/>
      <c r="E88" s="65"/>
      <c r="F88" s="66"/>
      <c r="G88" s="67"/>
      <c r="H88" s="68"/>
      <c r="I88" s="36"/>
      <c r="J88" s="26"/>
      <c r="K88" s="35"/>
      <c r="L88" s="76"/>
      <c r="M88" s="3"/>
      <c r="N88" s="20"/>
      <c r="O88" s="6"/>
      <c r="P88" s="6"/>
      <c r="Q88" s="20"/>
      <c r="R88" s="12"/>
    </row>
    <row r="89" spans="1:18" ht="18" customHeight="1">
      <c r="C89" s="26"/>
      <c r="D89" s="65"/>
      <c r="E89" s="65"/>
      <c r="F89" s="66"/>
      <c r="G89" s="67"/>
      <c r="H89" s="68"/>
      <c r="I89" s="36"/>
      <c r="J89" s="26"/>
      <c r="K89" s="35"/>
      <c r="L89" s="76"/>
      <c r="M89" s="3"/>
      <c r="N89" s="20"/>
      <c r="O89" s="6"/>
      <c r="P89" s="6"/>
      <c r="Q89" s="20"/>
      <c r="R89" s="12"/>
    </row>
    <row r="90" spans="1:18" ht="18" customHeight="1">
      <c r="C90" s="26"/>
      <c r="D90" s="65"/>
      <c r="E90" s="65"/>
      <c r="F90" s="66"/>
      <c r="G90" s="67"/>
      <c r="H90" s="68"/>
      <c r="I90" s="36"/>
      <c r="J90" s="26"/>
      <c r="K90" s="35"/>
      <c r="L90" s="76"/>
      <c r="M90" s="3"/>
      <c r="N90" s="20"/>
      <c r="O90" s="6"/>
      <c r="P90" s="6"/>
      <c r="Q90" s="20"/>
      <c r="R90" s="12"/>
    </row>
    <row r="91" spans="1:18" ht="18" customHeight="1">
      <c r="C91" s="47"/>
      <c r="D91" s="265" t="s">
        <v>258</v>
      </c>
      <c r="E91" s="266"/>
      <c r="F91" s="267"/>
      <c r="G91" s="26"/>
      <c r="H91" s="26"/>
      <c r="I91" s="27"/>
      <c r="J91" s="27"/>
      <c r="K91" s="26"/>
      <c r="L91" s="19"/>
      <c r="M91" s="3"/>
      <c r="N91" s="20"/>
      <c r="O91" s="6"/>
      <c r="P91" s="6"/>
      <c r="Q91" s="20"/>
      <c r="R91" s="155"/>
    </row>
    <row r="92" spans="1:18" ht="18" customHeight="1">
      <c r="A92" s="118" t="s">
        <v>56</v>
      </c>
      <c r="B92" s="107">
        <v>3</v>
      </c>
      <c r="C92" s="162">
        <f>+C85+1</f>
        <v>61</v>
      </c>
      <c r="D92" s="28" t="s">
        <v>27</v>
      </c>
      <c r="E92" s="28" t="s">
        <v>27</v>
      </c>
      <c r="F92" s="200" t="s">
        <v>39</v>
      </c>
      <c r="G92" s="201">
        <v>2</v>
      </c>
      <c r="H92" s="157">
        <v>72</v>
      </c>
      <c r="I92" s="237">
        <f t="shared" ref="I92:I102" si="13">G92*H92</f>
        <v>144</v>
      </c>
      <c r="J92" s="27"/>
      <c r="K92" s="30" t="s">
        <v>259</v>
      </c>
      <c r="L92" s="71"/>
      <c r="M92" s="264" t="s">
        <v>282</v>
      </c>
      <c r="N92" s="108">
        <v>45567</v>
      </c>
      <c r="O92" s="6"/>
      <c r="P92" s="158">
        <v>45580</v>
      </c>
      <c r="Q92" s="33">
        <v>45581</v>
      </c>
      <c r="R92" s="31"/>
    </row>
    <row r="93" spans="1:18" ht="18" customHeight="1">
      <c r="A93" s="118" t="s">
        <v>56</v>
      </c>
      <c r="B93" s="107">
        <v>3</v>
      </c>
      <c r="C93" s="162">
        <f t="shared" ref="C93:C103" si="14">+C92+1</f>
        <v>62</v>
      </c>
      <c r="D93" s="26" t="s">
        <v>27</v>
      </c>
      <c r="E93" s="26" t="s">
        <v>27</v>
      </c>
      <c r="F93" s="225" t="s">
        <v>37</v>
      </c>
      <c r="G93" s="226">
        <v>1</v>
      </c>
      <c r="H93" s="159">
        <v>70</v>
      </c>
      <c r="I93" s="259">
        <f t="shared" si="13"/>
        <v>70</v>
      </c>
      <c r="J93" s="27"/>
      <c r="K93" s="43" t="s">
        <v>38</v>
      </c>
      <c r="L93" s="71"/>
      <c r="M93" s="264" t="s">
        <v>282</v>
      </c>
      <c r="N93" s="108">
        <v>45567</v>
      </c>
      <c r="O93" s="6"/>
      <c r="P93" s="158">
        <v>45580</v>
      </c>
      <c r="Q93" s="33">
        <v>45581</v>
      </c>
      <c r="R93" s="31"/>
    </row>
    <row r="94" spans="1:18" ht="18" customHeight="1">
      <c r="A94" s="118" t="s">
        <v>56</v>
      </c>
      <c r="B94" s="107">
        <v>3</v>
      </c>
      <c r="C94" s="162">
        <f>+C93+1</f>
        <v>63</v>
      </c>
      <c r="D94" s="28" t="s">
        <v>91</v>
      </c>
      <c r="E94" s="28" t="s">
        <v>90</v>
      </c>
      <c r="F94" s="227" t="s">
        <v>101</v>
      </c>
      <c r="G94" s="228">
        <v>2</v>
      </c>
      <c r="H94" s="257">
        <v>247</v>
      </c>
      <c r="I94" s="256">
        <f t="shared" si="13"/>
        <v>494</v>
      </c>
      <c r="J94" s="93"/>
      <c r="K94" s="48" t="s">
        <v>260</v>
      </c>
      <c r="L94" s="94" t="s">
        <v>92</v>
      </c>
      <c r="M94" s="264" t="s">
        <v>282</v>
      </c>
      <c r="N94" s="108">
        <v>45567</v>
      </c>
      <c r="O94" s="6"/>
      <c r="P94" s="158">
        <v>45580</v>
      </c>
      <c r="Q94" s="33">
        <v>45581</v>
      </c>
      <c r="R94" s="31"/>
    </row>
    <row r="95" spans="1:18" ht="18" customHeight="1">
      <c r="A95" s="118" t="s">
        <v>56</v>
      </c>
      <c r="B95" s="107">
        <v>3</v>
      </c>
      <c r="C95" s="162">
        <f>+C94+1</f>
        <v>64</v>
      </c>
      <c r="D95" s="28" t="s">
        <v>90</v>
      </c>
      <c r="E95" s="28" t="s">
        <v>90</v>
      </c>
      <c r="F95" s="227" t="s">
        <v>93</v>
      </c>
      <c r="G95" s="228">
        <v>1</v>
      </c>
      <c r="H95" s="257">
        <v>5500</v>
      </c>
      <c r="I95" s="256">
        <f t="shared" si="13"/>
        <v>5500</v>
      </c>
      <c r="J95" s="93"/>
      <c r="K95" s="48" t="s">
        <v>94</v>
      </c>
      <c r="L95" s="94" t="s">
        <v>92</v>
      </c>
      <c r="M95" s="264" t="s">
        <v>282</v>
      </c>
      <c r="N95" s="108">
        <v>45567</v>
      </c>
      <c r="O95" s="6"/>
      <c r="P95" s="158">
        <v>45580</v>
      </c>
      <c r="Q95" s="33">
        <v>45581</v>
      </c>
      <c r="R95" s="31"/>
    </row>
    <row r="96" spans="1:18" ht="18" customHeight="1">
      <c r="A96" s="118" t="s">
        <v>56</v>
      </c>
      <c r="B96" s="107">
        <v>3</v>
      </c>
      <c r="C96" s="162">
        <f>+C95+1</f>
        <v>65</v>
      </c>
      <c r="D96" s="28" t="s">
        <v>27</v>
      </c>
      <c r="E96" s="28" t="s">
        <v>27</v>
      </c>
      <c r="F96" s="200" t="s">
        <v>40</v>
      </c>
      <c r="G96" s="201">
        <v>2</v>
      </c>
      <c r="H96" s="157">
        <v>31</v>
      </c>
      <c r="I96" s="237">
        <f t="shared" si="13"/>
        <v>62</v>
      </c>
      <c r="J96" s="27"/>
      <c r="K96" s="30" t="s">
        <v>261</v>
      </c>
      <c r="L96" s="71"/>
      <c r="M96" s="264" t="s">
        <v>282</v>
      </c>
      <c r="N96" s="108">
        <v>45567</v>
      </c>
      <c r="O96" s="6"/>
      <c r="P96" s="158">
        <v>45580</v>
      </c>
      <c r="Q96" s="33">
        <v>45581</v>
      </c>
      <c r="R96" s="31"/>
    </row>
    <row r="97" spans="1:18" ht="18" customHeight="1">
      <c r="A97" s="106" t="s">
        <v>55</v>
      </c>
      <c r="B97" s="107">
        <v>3</v>
      </c>
      <c r="C97" s="162">
        <f t="shared" si="14"/>
        <v>66</v>
      </c>
      <c r="D97" s="28" t="s">
        <v>27</v>
      </c>
      <c r="E97" s="28" t="s">
        <v>27</v>
      </c>
      <c r="F97" s="200" t="s">
        <v>110</v>
      </c>
      <c r="G97" s="199">
        <v>4</v>
      </c>
      <c r="H97" s="258">
        <v>560</v>
      </c>
      <c r="I97" s="244">
        <f t="shared" si="13"/>
        <v>2240</v>
      </c>
      <c r="J97" s="80"/>
      <c r="K97" s="54" t="s">
        <v>111</v>
      </c>
      <c r="L97" s="101" t="s">
        <v>262</v>
      </c>
      <c r="M97" s="264" t="s">
        <v>282</v>
      </c>
      <c r="N97" s="108">
        <v>45567</v>
      </c>
      <c r="O97" s="6"/>
      <c r="P97" s="158">
        <v>45580</v>
      </c>
      <c r="Q97" s="33">
        <v>45581</v>
      </c>
      <c r="R97" s="31"/>
    </row>
    <row r="98" spans="1:18" ht="18" customHeight="1">
      <c r="A98" s="106" t="s">
        <v>46</v>
      </c>
      <c r="B98" s="107">
        <v>3</v>
      </c>
      <c r="C98" s="162">
        <f t="shared" si="14"/>
        <v>67</v>
      </c>
      <c r="D98" s="82" t="s">
        <v>49</v>
      </c>
      <c r="E98" s="82" t="s">
        <v>27</v>
      </c>
      <c r="F98" s="229" t="s">
        <v>95</v>
      </c>
      <c r="G98" s="201">
        <v>1</v>
      </c>
      <c r="H98" s="240">
        <v>2580</v>
      </c>
      <c r="I98" s="233">
        <f t="shared" si="13"/>
        <v>2580</v>
      </c>
      <c r="J98" s="27"/>
      <c r="K98" s="81" t="s">
        <v>96</v>
      </c>
      <c r="L98" s="19"/>
      <c r="M98" s="264" t="s">
        <v>282</v>
      </c>
      <c r="N98" s="108">
        <v>45567</v>
      </c>
      <c r="O98" s="6"/>
      <c r="P98" s="158">
        <v>45580</v>
      </c>
      <c r="Q98" s="33">
        <v>45581</v>
      </c>
      <c r="R98" s="31"/>
    </row>
    <row r="99" spans="1:18" ht="18" customHeight="1">
      <c r="A99" s="106" t="s">
        <v>46</v>
      </c>
      <c r="B99" s="107">
        <v>3</v>
      </c>
      <c r="C99" s="162">
        <f t="shared" si="14"/>
        <v>68</v>
      </c>
      <c r="D99" s="82" t="s">
        <v>49</v>
      </c>
      <c r="E99" s="82" t="s">
        <v>27</v>
      </c>
      <c r="F99" s="283" t="s">
        <v>283</v>
      </c>
      <c r="G99" s="26">
        <v>1</v>
      </c>
      <c r="H99" s="240">
        <v>3130</v>
      </c>
      <c r="I99" s="36">
        <f t="shared" si="13"/>
        <v>3130</v>
      </c>
      <c r="J99" s="27"/>
      <c r="K99" s="81" t="s">
        <v>99</v>
      </c>
      <c r="L99" s="19"/>
      <c r="M99" s="264" t="s">
        <v>282</v>
      </c>
      <c r="N99" s="108">
        <v>45567</v>
      </c>
      <c r="O99" s="6"/>
      <c r="P99" s="158">
        <v>45580</v>
      </c>
      <c r="Q99" s="33">
        <v>45581</v>
      </c>
      <c r="R99" s="31"/>
    </row>
    <row r="100" spans="1:18" ht="18" customHeight="1">
      <c r="A100" s="106" t="s">
        <v>46</v>
      </c>
      <c r="B100" s="107">
        <v>3</v>
      </c>
      <c r="C100" s="162">
        <f t="shared" si="14"/>
        <v>69</v>
      </c>
      <c r="D100" s="284" t="s">
        <v>284</v>
      </c>
      <c r="E100" s="284" t="s">
        <v>23</v>
      </c>
      <c r="F100" s="285" t="s">
        <v>285</v>
      </c>
      <c r="G100" s="286">
        <v>1</v>
      </c>
      <c r="H100" s="286">
        <v>3769</v>
      </c>
      <c r="I100" s="36">
        <f t="shared" si="13"/>
        <v>3769</v>
      </c>
      <c r="J100" s="27"/>
      <c r="K100" s="287" t="s">
        <v>286</v>
      </c>
      <c r="L100" s="19"/>
      <c r="M100" s="288" t="s">
        <v>287</v>
      </c>
      <c r="N100" s="108">
        <v>45596</v>
      </c>
      <c r="O100" s="6"/>
      <c r="P100" s="158">
        <v>45602</v>
      </c>
      <c r="Q100" s="33">
        <v>45603</v>
      </c>
      <c r="R100" s="31"/>
    </row>
    <row r="101" spans="1:18" ht="18" customHeight="1">
      <c r="A101" s="106" t="s">
        <v>46</v>
      </c>
      <c r="B101" s="107">
        <v>3</v>
      </c>
      <c r="C101" s="162">
        <f t="shared" si="14"/>
        <v>70</v>
      </c>
      <c r="D101" s="82" t="s">
        <v>49</v>
      </c>
      <c r="E101" s="82" t="s">
        <v>27</v>
      </c>
      <c r="F101" s="283" t="s">
        <v>288</v>
      </c>
      <c r="G101" s="26">
        <v>1</v>
      </c>
      <c r="H101" s="240">
        <v>3920</v>
      </c>
      <c r="I101" s="36">
        <f t="shared" si="13"/>
        <v>3920</v>
      </c>
      <c r="J101" s="27"/>
      <c r="K101" s="81" t="s">
        <v>100</v>
      </c>
      <c r="L101" s="19"/>
      <c r="M101" s="264" t="s">
        <v>282</v>
      </c>
      <c r="N101" s="108">
        <v>45567</v>
      </c>
      <c r="O101" s="6"/>
      <c r="P101" s="158">
        <v>45580</v>
      </c>
      <c r="Q101" s="33">
        <v>45581</v>
      </c>
      <c r="R101" s="31"/>
    </row>
    <row r="102" spans="1:18" ht="18" customHeight="1">
      <c r="A102" s="106" t="s">
        <v>46</v>
      </c>
      <c r="B102" s="107">
        <v>3</v>
      </c>
      <c r="C102" s="162">
        <f t="shared" si="14"/>
        <v>71</v>
      </c>
      <c r="D102" s="284" t="s">
        <v>284</v>
      </c>
      <c r="E102" s="284" t="s">
        <v>23</v>
      </c>
      <c r="F102" s="285" t="s">
        <v>289</v>
      </c>
      <c r="G102" s="286">
        <v>1</v>
      </c>
      <c r="H102" s="286">
        <v>5086</v>
      </c>
      <c r="I102" s="289">
        <f t="shared" si="13"/>
        <v>5086</v>
      </c>
      <c r="J102" s="27"/>
      <c r="K102" s="287" t="s">
        <v>290</v>
      </c>
      <c r="L102" s="95"/>
      <c r="M102" s="288" t="s">
        <v>287</v>
      </c>
      <c r="N102" s="108">
        <v>45596</v>
      </c>
      <c r="O102" s="6"/>
      <c r="P102" s="158">
        <v>45602</v>
      </c>
      <c r="Q102" s="33">
        <v>45603</v>
      </c>
      <c r="R102" s="31"/>
    </row>
    <row r="103" spans="1:18" ht="18" customHeight="1">
      <c r="A103" s="106" t="s">
        <v>46</v>
      </c>
      <c r="B103" s="107">
        <v>3</v>
      </c>
      <c r="C103" s="162">
        <f t="shared" si="14"/>
        <v>72</v>
      </c>
      <c r="D103" s="82" t="s">
        <v>49</v>
      </c>
      <c r="E103" s="82" t="s">
        <v>27</v>
      </c>
      <c r="F103" s="198" t="s">
        <v>97</v>
      </c>
      <c r="G103" s="221">
        <v>1</v>
      </c>
      <c r="H103" s="248">
        <v>3130</v>
      </c>
      <c r="I103" s="256">
        <f>G103*H103</f>
        <v>3130</v>
      </c>
      <c r="J103" s="93"/>
      <c r="K103" s="55" t="s">
        <v>98</v>
      </c>
      <c r="L103" s="94" t="s">
        <v>92</v>
      </c>
      <c r="M103" s="264" t="s">
        <v>282</v>
      </c>
      <c r="N103" s="108">
        <v>45567</v>
      </c>
      <c r="O103" s="6"/>
      <c r="P103" s="158">
        <v>45580</v>
      </c>
      <c r="Q103" s="33">
        <v>45581</v>
      </c>
      <c r="R103" s="31"/>
    </row>
    <row r="104" spans="1:18" ht="18" customHeight="1">
      <c r="A104" s="26"/>
      <c r="B104" s="88"/>
      <c r="C104" s="129"/>
      <c r="D104" s="28"/>
      <c r="E104" s="28"/>
      <c r="F104" s="73"/>
      <c r="G104" s="46"/>
      <c r="H104" s="160"/>
      <c r="I104" s="60"/>
      <c r="J104" s="80"/>
      <c r="K104" s="54"/>
      <c r="L104" s="71"/>
      <c r="M104" s="177"/>
      <c r="N104" s="176"/>
      <c r="O104" s="113"/>
      <c r="P104" s="6"/>
      <c r="Q104" s="156"/>
      <c r="R104" s="31"/>
    </row>
    <row r="105" spans="1:18" ht="18" customHeight="1">
      <c r="A105" s="106" t="s">
        <v>56</v>
      </c>
      <c r="B105" s="107">
        <v>3</v>
      </c>
      <c r="C105" s="162">
        <f>+C103+1</f>
        <v>73</v>
      </c>
      <c r="D105" s="42" t="s">
        <v>27</v>
      </c>
      <c r="E105" s="42" t="s">
        <v>27</v>
      </c>
      <c r="F105" s="230" t="s">
        <v>41</v>
      </c>
      <c r="G105" s="231">
        <v>1</v>
      </c>
      <c r="H105" s="254">
        <v>830</v>
      </c>
      <c r="I105" s="255">
        <f>G105*H105</f>
        <v>830</v>
      </c>
      <c r="J105" s="100"/>
      <c r="K105" s="91" t="s">
        <v>105</v>
      </c>
      <c r="L105" s="101"/>
      <c r="M105" s="264" t="s">
        <v>282</v>
      </c>
      <c r="N105" s="108">
        <v>45567</v>
      </c>
      <c r="O105" s="6"/>
      <c r="P105" s="158">
        <v>45580</v>
      </c>
      <c r="Q105" s="33">
        <v>45581</v>
      </c>
      <c r="R105" s="31"/>
    </row>
    <row r="106" spans="1:18" ht="18" customHeight="1">
      <c r="A106" s="106" t="s">
        <v>56</v>
      </c>
      <c r="B106" s="107">
        <v>3</v>
      </c>
      <c r="C106" s="162">
        <f t="shared" ref="C106" si="15">+C105+1</f>
        <v>74</v>
      </c>
      <c r="D106" s="42" t="s">
        <v>27</v>
      </c>
      <c r="E106" s="42" t="s">
        <v>27</v>
      </c>
      <c r="F106" s="230" t="s">
        <v>28</v>
      </c>
      <c r="G106" s="231">
        <v>1</v>
      </c>
      <c r="H106" s="254">
        <v>1350</v>
      </c>
      <c r="I106" s="255">
        <f>G106*H106</f>
        <v>1350</v>
      </c>
      <c r="J106" s="100"/>
      <c r="K106" s="91" t="s">
        <v>105</v>
      </c>
      <c r="L106" s="101"/>
      <c r="M106" s="264" t="s">
        <v>282</v>
      </c>
      <c r="N106" s="108">
        <v>45567</v>
      </c>
      <c r="O106" s="6"/>
      <c r="P106" s="158">
        <v>45580</v>
      </c>
      <c r="Q106" s="33">
        <v>45581</v>
      </c>
      <c r="R106" s="31"/>
    </row>
    <row r="107" spans="1:18" ht="18" customHeight="1">
      <c r="C107" s="26"/>
      <c r="D107" s="42"/>
      <c r="E107" s="42"/>
      <c r="F107" s="29"/>
      <c r="G107" s="26"/>
      <c r="H107" s="36"/>
      <c r="I107" s="36"/>
      <c r="J107" s="27"/>
      <c r="K107" s="48"/>
      <c r="L107" s="19"/>
      <c r="M107" s="3"/>
      <c r="N107" s="174"/>
      <c r="O107" s="6"/>
      <c r="P107" s="6"/>
      <c r="Q107" s="20"/>
      <c r="R107" s="161"/>
    </row>
    <row r="108" spans="1:18" ht="18" customHeight="1">
      <c r="C108" s="26"/>
      <c r="D108" s="49"/>
      <c r="E108" s="49"/>
      <c r="F108" s="168">
        <f>SUM(I92:I107)</f>
        <v>32305</v>
      </c>
      <c r="G108" s="170"/>
      <c r="H108" s="170"/>
      <c r="I108" s="170"/>
      <c r="J108" s="38"/>
      <c r="K108" s="39"/>
      <c r="L108" s="19"/>
      <c r="M108" s="3"/>
      <c r="N108" s="20"/>
      <c r="O108" s="6"/>
      <c r="P108" s="6"/>
      <c r="Q108" s="20"/>
      <c r="R108" s="12"/>
    </row>
    <row r="109" spans="1:18" ht="18" customHeight="1">
      <c r="C109" s="26"/>
      <c r="D109" s="65"/>
      <c r="E109" s="65"/>
      <c r="F109" s="169"/>
      <c r="G109" s="171"/>
      <c r="H109" s="26"/>
      <c r="I109" s="36"/>
      <c r="J109" s="26"/>
      <c r="K109" s="35"/>
      <c r="L109" s="76"/>
      <c r="M109" s="3"/>
      <c r="N109" s="20"/>
      <c r="O109" s="6"/>
      <c r="P109" s="6"/>
      <c r="Q109" s="20"/>
      <c r="R109" s="12"/>
    </row>
    <row r="110" spans="1:18" ht="18" customHeight="1">
      <c r="C110" s="26"/>
      <c r="D110" s="65"/>
      <c r="E110" s="65"/>
      <c r="F110" s="66"/>
      <c r="G110" s="67"/>
      <c r="H110" s="68"/>
      <c r="I110" s="36"/>
      <c r="J110" s="26"/>
      <c r="K110" s="35"/>
      <c r="L110" s="76"/>
      <c r="M110" s="3"/>
      <c r="N110" s="20"/>
      <c r="O110" s="6"/>
      <c r="P110" s="6"/>
      <c r="Q110" s="20"/>
      <c r="R110" s="12"/>
    </row>
    <row r="111" spans="1:18" ht="18" customHeight="1">
      <c r="C111" s="26"/>
      <c r="D111" s="65"/>
      <c r="E111" s="65"/>
      <c r="F111" s="66"/>
      <c r="G111" s="67"/>
      <c r="H111" s="68"/>
      <c r="I111" s="36"/>
      <c r="J111" s="26"/>
      <c r="K111" s="35"/>
      <c r="L111" s="76"/>
      <c r="M111" s="3"/>
      <c r="N111" s="20"/>
      <c r="O111" s="6"/>
      <c r="P111" s="6"/>
      <c r="Q111" s="20"/>
      <c r="R111" s="12"/>
    </row>
    <row r="112" spans="1:18" ht="18" customHeight="1">
      <c r="C112" s="26"/>
      <c r="D112" s="265" t="s">
        <v>162</v>
      </c>
      <c r="E112" s="266"/>
      <c r="F112" s="267"/>
      <c r="G112" s="67"/>
      <c r="H112" s="68"/>
      <c r="I112" s="36"/>
      <c r="J112" s="26"/>
      <c r="K112" s="35"/>
      <c r="L112" s="76"/>
      <c r="M112" s="3"/>
      <c r="N112" s="20"/>
      <c r="O112" s="6"/>
      <c r="P112" s="6"/>
      <c r="Q112" s="20"/>
      <c r="R112" s="12"/>
    </row>
    <row r="113" spans="1:18" ht="18" customHeight="1">
      <c r="A113" s="106" t="s">
        <v>71</v>
      </c>
      <c r="B113" s="92">
        <v>3</v>
      </c>
      <c r="C113" s="166">
        <f>C106+1</f>
        <v>75</v>
      </c>
      <c r="D113" s="82" t="s">
        <v>49</v>
      </c>
      <c r="E113" s="82" t="s">
        <v>27</v>
      </c>
      <c r="F113" s="222" t="s">
        <v>174</v>
      </c>
      <c r="G113" s="223">
        <v>1</v>
      </c>
      <c r="H113" s="136">
        <v>10487</v>
      </c>
      <c r="I113" s="233">
        <f t="shared" ref="I113:I124" si="16">G113*H113</f>
        <v>10487</v>
      </c>
      <c r="J113" s="26"/>
      <c r="K113" s="35" t="s">
        <v>163</v>
      </c>
      <c r="L113" s="76"/>
      <c r="M113" s="264" t="s">
        <v>282</v>
      </c>
      <c r="N113" s="108">
        <v>45567</v>
      </c>
      <c r="O113" s="6"/>
      <c r="P113" s="158">
        <v>45580</v>
      </c>
      <c r="Q113" s="33">
        <v>45581</v>
      </c>
      <c r="R113" s="12"/>
    </row>
    <row r="114" spans="1:18" ht="18" customHeight="1">
      <c r="A114" s="118" t="s">
        <v>56</v>
      </c>
      <c r="B114" s="92">
        <v>3</v>
      </c>
      <c r="C114" s="167">
        <f>+C113+1</f>
        <v>76</v>
      </c>
      <c r="D114" s="69" t="s">
        <v>23</v>
      </c>
      <c r="E114" s="69" t="s">
        <v>23</v>
      </c>
      <c r="F114" s="224" t="s">
        <v>164</v>
      </c>
      <c r="G114" s="221">
        <v>1</v>
      </c>
      <c r="H114" s="118">
        <v>880</v>
      </c>
      <c r="I114" s="233">
        <f t="shared" si="16"/>
        <v>880</v>
      </c>
      <c r="J114" s="26"/>
      <c r="K114" s="35"/>
      <c r="L114" s="76"/>
      <c r="M114" s="264" t="s">
        <v>282</v>
      </c>
      <c r="N114" s="108">
        <v>45567</v>
      </c>
      <c r="O114" s="6"/>
      <c r="P114" s="158">
        <v>45580</v>
      </c>
      <c r="Q114" s="33">
        <v>45581</v>
      </c>
      <c r="R114" s="12"/>
    </row>
    <row r="115" spans="1:18" ht="18" customHeight="1">
      <c r="A115" s="119" t="s">
        <v>56</v>
      </c>
      <c r="B115" s="92">
        <v>3</v>
      </c>
      <c r="C115" s="167">
        <f t="shared" ref="C115:C124" si="17">+C114+1</f>
        <v>77</v>
      </c>
      <c r="D115" s="98" t="s">
        <v>23</v>
      </c>
      <c r="E115" s="98" t="s">
        <v>23</v>
      </c>
      <c r="F115" s="202" t="s">
        <v>165</v>
      </c>
      <c r="G115" s="203">
        <v>10</v>
      </c>
      <c r="H115" s="117">
        <v>29</v>
      </c>
      <c r="I115" s="233">
        <f t="shared" si="16"/>
        <v>290</v>
      </c>
      <c r="J115" s="122"/>
      <c r="K115" s="123" t="s">
        <v>166</v>
      </c>
      <c r="L115" s="76"/>
      <c r="M115" s="264" t="s">
        <v>282</v>
      </c>
      <c r="N115" s="108">
        <v>45567</v>
      </c>
      <c r="O115" s="6"/>
      <c r="P115" s="158">
        <v>45580</v>
      </c>
      <c r="Q115" s="33">
        <v>45581</v>
      </c>
      <c r="R115" s="12"/>
    </row>
    <row r="116" spans="1:18" ht="18" customHeight="1">
      <c r="A116" s="119" t="s">
        <v>56</v>
      </c>
      <c r="B116" s="92">
        <v>3</v>
      </c>
      <c r="C116" s="167">
        <f t="shared" si="17"/>
        <v>78</v>
      </c>
      <c r="D116" s="98" t="s">
        <v>23</v>
      </c>
      <c r="E116" s="98" t="s">
        <v>23</v>
      </c>
      <c r="F116" s="202" t="s">
        <v>167</v>
      </c>
      <c r="G116" s="203">
        <v>10</v>
      </c>
      <c r="H116" s="117">
        <v>26</v>
      </c>
      <c r="I116" s="233">
        <f t="shared" si="16"/>
        <v>260</v>
      </c>
      <c r="J116" s="122"/>
      <c r="K116" s="123" t="s">
        <v>166</v>
      </c>
      <c r="L116" s="76"/>
      <c r="M116" s="264" t="s">
        <v>282</v>
      </c>
      <c r="N116" s="108">
        <v>45567</v>
      </c>
      <c r="O116" s="6"/>
      <c r="P116" s="158">
        <v>45580</v>
      </c>
      <c r="Q116" s="33">
        <v>45581</v>
      </c>
      <c r="R116" s="12"/>
    </row>
    <row r="117" spans="1:18" ht="18" customHeight="1">
      <c r="A117" s="106" t="s">
        <v>71</v>
      </c>
      <c r="B117" s="92">
        <v>3</v>
      </c>
      <c r="C117" s="167">
        <f t="shared" si="17"/>
        <v>79</v>
      </c>
      <c r="D117" s="82" t="s">
        <v>49</v>
      </c>
      <c r="E117" s="82" t="s">
        <v>27</v>
      </c>
      <c r="F117" s="222" t="s">
        <v>175</v>
      </c>
      <c r="G117" s="223">
        <v>2</v>
      </c>
      <c r="H117" s="136">
        <v>8300</v>
      </c>
      <c r="I117" s="233">
        <f t="shared" si="16"/>
        <v>16600</v>
      </c>
      <c r="J117" s="26"/>
      <c r="K117" s="35" t="s">
        <v>168</v>
      </c>
      <c r="L117" s="76"/>
      <c r="M117" s="264" t="s">
        <v>282</v>
      </c>
      <c r="N117" s="108">
        <v>45567</v>
      </c>
      <c r="O117" s="6"/>
      <c r="P117" s="158">
        <v>45580</v>
      </c>
      <c r="Q117" s="33">
        <v>45581</v>
      </c>
      <c r="R117" s="173"/>
    </row>
    <row r="118" spans="1:18" ht="18" customHeight="1">
      <c r="A118" s="106" t="s">
        <v>57</v>
      </c>
      <c r="B118" s="92">
        <v>3</v>
      </c>
      <c r="C118" s="167">
        <f t="shared" si="17"/>
        <v>80</v>
      </c>
      <c r="D118" s="98" t="s">
        <v>23</v>
      </c>
      <c r="E118" s="98" t="s">
        <v>23</v>
      </c>
      <c r="F118" s="224" t="s">
        <v>169</v>
      </c>
      <c r="G118" s="221">
        <v>4</v>
      </c>
      <c r="H118" s="118">
        <v>450</v>
      </c>
      <c r="I118" s="233">
        <f t="shared" si="16"/>
        <v>1800</v>
      </c>
      <c r="J118" s="26"/>
      <c r="K118" s="35"/>
      <c r="L118" s="76"/>
      <c r="M118" s="264" t="s">
        <v>282</v>
      </c>
      <c r="N118" s="108">
        <v>45567</v>
      </c>
      <c r="O118" s="6"/>
      <c r="P118" s="158">
        <v>45580</v>
      </c>
      <c r="Q118" s="33">
        <v>45581</v>
      </c>
      <c r="R118" s="31"/>
    </row>
    <row r="119" spans="1:18" ht="18" customHeight="1">
      <c r="A119" s="119" t="s">
        <v>56</v>
      </c>
      <c r="B119" s="92">
        <v>3</v>
      </c>
      <c r="C119" s="167">
        <f>+C118+1</f>
        <v>81</v>
      </c>
      <c r="D119" s="98" t="s">
        <v>23</v>
      </c>
      <c r="E119" s="98" t="s">
        <v>23</v>
      </c>
      <c r="F119" s="202" t="s">
        <v>170</v>
      </c>
      <c r="G119" s="203">
        <v>10</v>
      </c>
      <c r="H119" s="117">
        <v>29</v>
      </c>
      <c r="I119" s="233">
        <f t="shared" si="16"/>
        <v>290</v>
      </c>
      <c r="J119" s="122"/>
      <c r="K119" s="123" t="s">
        <v>166</v>
      </c>
      <c r="L119" s="76"/>
      <c r="M119" s="264" t="s">
        <v>282</v>
      </c>
      <c r="N119" s="108">
        <v>45567</v>
      </c>
      <c r="O119" s="6"/>
      <c r="P119" s="158">
        <v>45580</v>
      </c>
      <c r="Q119" s="33">
        <v>45581</v>
      </c>
      <c r="R119" s="31"/>
    </row>
    <row r="120" spans="1:18" ht="18" customHeight="1">
      <c r="A120" s="106" t="s">
        <v>55</v>
      </c>
      <c r="B120" s="92">
        <v>3</v>
      </c>
      <c r="C120" s="167">
        <f t="shared" si="17"/>
        <v>82</v>
      </c>
      <c r="D120" s="82" t="s">
        <v>49</v>
      </c>
      <c r="E120" s="82" t="s">
        <v>27</v>
      </c>
      <c r="F120" s="222" t="s">
        <v>176</v>
      </c>
      <c r="G120" s="223">
        <v>1</v>
      </c>
      <c r="H120" s="136">
        <v>5842</v>
      </c>
      <c r="I120" s="233">
        <f t="shared" si="16"/>
        <v>5842</v>
      </c>
      <c r="J120" s="26"/>
      <c r="K120" s="35" t="s">
        <v>171</v>
      </c>
      <c r="L120" s="76"/>
      <c r="M120" s="264" t="s">
        <v>282</v>
      </c>
      <c r="N120" s="108">
        <v>45567</v>
      </c>
      <c r="O120" s="6"/>
      <c r="P120" s="158">
        <v>45580</v>
      </c>
      <c r="Q120" s="33">
        <v>45581</v>
      </c>
      <c r="R120" s="31"/>
    </row>
    <row r="121" spans="1:18" ht="18" customHeight="1">
      <c r="A121" s="118" t="s">
        <v>56</v>
      </c>
      <c r="B121" s="92">
        <v>3</v>
      </c>
      <c r="C121" s="167">
        <f>+C120+1</f>
        <v>83</v>
      </c>
      <c r="D121" s="42" t="s">
        <v>23</v>
      </c>
      <c r="E121" s="42" t="s">
        <v>23</v>
      </c>
      <c r="F121" s="204" t="s">
        <v>165</v>
      </c>
      <c r="G121" s="221">
        <v>10</v>
      </c>
      <c r="H121" s="120">
        <v>29</v>
      </c>
      <c r="I121" s="233">
        <f t="shared" si="16"/>
        <v>290</v>
      </c>
      <c r="J121" s="46"/>
      <c r="K121" s="55" t="s">
        <v>166</v>
      </c>
      <c r="L121" s="76"/>
      <c r="M121" s="264" t="s">
        <v>282</v>
      </c>
      <c r="N121" s="108">
        <v>45567</v>
      </c>
      <c r="O121" s="6"/>
      <c r="P121" s="158">
        <v>45580</v>
      </c>
      <c r="Q121" s="33">
        <v>45581</v>
      </c>
      <c r="R121" s="31"/>
    </row>
    <row r="122" spans="1:18" ht="18" customHeight="1">
      <c r="A122" s="106" t="s">
        <v>55</v>
      </c>
      <c r="B122" s="92">
        <v>3</v>
      </c>
      <c r="C122" s="167">
        <f t="shared" si="17"/>
        <v>84</v>
      </c>
      <c r="D122" s="42" t="s">
        <v>23</v>
      </c>
      <c r="E122" s="42" t="s">
        <v>23</v>
      </c>
      <c r="F122" s="204" t="s">
        <v>177</v>
      </c>
      <c r="G122" s="221">
        <v>1</v>
      </c>
      <c r="H122" s="120">
        <v>6826</v>
      </c>
      <c r="I122" s="233">
        <f t="shared" si="16"/>
        <v>6826</v>
      </c>
      <c r="J122" s="46"/>
      <c r="K122" s="55" t="s">
        <v>179</v>
      </c>
      <c r="L122" s="76"/>
      <c r="M122" s="264" t="s">
        <v>282</v>
      </c>
      <c r="N122" s="108">
        <v>45567</v>
      </c>
      <c r="O122" s="6"/>
      <c r="P122" s="158">
        <v>45580</v>
      </c>
      <c r="Q122" s="33">
        <v>45581</v>
      </c>
      <c r="R122" s="31"/>
    </row>
    <row r="123" spans="1:18" ht="18" customHeight="1">
      <c r="A123" s="118" t="s">
        <v>56</v>
      </c>
      <c r="B123" s="92">
        <v>3</v>
      </c>
      <c r="C123" s="167">
        <f t="shared" si="17"/>
        <v>85</v>
      </c>
      <c r="D123" s="42" t="s">
        <v>23</v>
      </c>
      <c r="E123" s="42" t="s">
        <v>23</v>
      </c>
      <c r="F123" s="204" t="s">
        <v>172</v>
      </c>
      <c r="G123" s="221">
        <v>13</v>
      </c>
      <c r="H123" s="120">
        <v>19</v>
      </c>
      <c r="I123" s="233">
        <f t="shared" si="16"/>
        <v>247</v>
      </c>
      <c r="J123" s="122"/>
      <c r="K123" s="123" t="s">
        <v>166</v>
      </c>
      <c r="L123" s="76"/>
      <c r="M123" s="264" t="s">
        <v>282</v>
      </c>
      <c r="N123" s="108">
        <v>45567</v>
      </c>
      <c r="O123" s="6"/>
      <c r="P123" s="158">
        <v>45580</v>
      </c>
      <c r="Q123" s="33">
        <v>45581</v>
      </c>
      <c r="R123" s="31"/>
    </row>
    <row r="124" spans="1:18" ht="18" customHeight="1">
      <c r="A124" s="118" t="s">
        <v>56</v>
      </c>
      <c r="B124" s="92">
        <v>3</v>
      </c>
      <c r="C124" s="167">
        <f t="shared" si="17"/>
        <v>86</v>
      </c>
      <c r="D124" s="42" t="s">
        <v>73</v>
      </c>
      <c r="E124" s="42" t="s">
        <v>23</v>
      </c>
      <c r="F124" s="204" t="s">
        <v>173</v>
      </c>
      <c r="G124" s="221">
        <v>13</v>
      </c>
      <c r="H124" s="120">
        <v>20</v>
      </c>
      <c r="I124" s="233">
        <f t="shared" si="16"/>
        <v>260</v>
      </c>
      <c r="J124" s="122"/>
      <c r="K124" s="123" t="s">
        <v>178</v>
      </c>
      <c r="L124" s="76"/>
      <c r="M124" s="264" t="s">
        <v>282</v>
      </c>
      <c r="N124" s="108">
        <v>45567</v>
      </c>
      <c r="O124" s="6"/>
      <c r="P124" s="158">
        <v>45580</v>
      </c>
      <c r="Q124" s="33">
        <v>45581</v>
      </c>
      <c r="R124" s="31"/>
    </row>
    <row r="125" spans="1:18" ht="18" customHeight="1">
      <c r="A125" s="5"/>
      <c r="B125" s="163"/>
      <c r="C125" s="28"/>
      <c r="D125" s="116"/>
      <c r="E125" s="116"/>
      <c r="F125" s="55"/>
      <c r="G125" s="164"/>
      <c r="H125" s="165"/>
      <c r="I125" s="56"/>
      <c r="J125" s="122"/>
      <c r="K125" s="123"/>
      <c r="L125" s="76"/>
      <c r="M125" s="3"/>
      <c r="N125" s="20"/>
      <c r="O125" s="6"/>
      <c r="P125" s="172"/>
      <c r="Q125" s="176"/>
      <c r="R125" s="31"/>
    </row>
    <row r="126" spans="1:18" ht="18" customHeight="1">
      <c r="C126" s="26"/>
      <c r="D126" s="65"/>
      <c r="E126" s="65"/>
      <c r="F126" s="97">
        <f>SUM(I113:I125)</f>
        <v>44072</v>
      </c>
      <c r="G126" s="67"/>
      <c r="H126" s="68"/>
      <c r="I126" s="36"/>
      <c r="J126" s="26"/>
      <c r="K126" s="35"/>
      <c r="L126" s="76"/>
      <c r="M126" s="3"/>
      <c r="N126" s="20"/>
      <c r="O126" s="6"/>
      <c r="P126" s="172"/>
      <c r="Q126" s="176"/>
      <c r="R126" s="31"/>
    </row>
    <row r="127" spans="1:18" ht="18" customHeight="1">
      <c r="C127" s="26"/>
      <c r="D127" s="65"/>
      <c r="E127" s="65"/>
      <c r="F127" s="66"/>
      <c r="G127" s="67"/>
      <c r="H127" s="68"/>
      <c r="I127" s="36"/>
      <c r="J127" s="26"/>
      <c r="K127" s="35"/>
      <c r="L127" s="76"/>
      <c r="M127" s="3"/>
      <c r="N127" s="20"/>
      <c r="O127" s="6"/>
      <c r="P127" s="172"/>
      <c r="Q127" s="176"/>
      <c r="R127" s="31"/>
    </row>
    <row r="128" spans="1:18" ht="18" customHeight="1">
      <c r="C128" s="26"/>
      <c r="D128" s="65"/>
      <c r="E128" s="65"/>
      <c r="F128" s="66"/>
      <c r="G128" s="67"/>
      <c r="H128" s="68"/>
      <c r="I128" s="36"/>
      <c r="J128" s="26"/>
      <c r="K128" s="35"/>
      <c r="L128" s="76"/>
      <c r="M128" s="3"/>
      <c r="N128" s="20"/>
      <c r="O128" s="6"/>
      <c r="P128" s="172"/>
      <c r="Q128" s="176"/>
      <c r="R128" s="31"/>
    </row>
    <row r="129" spans="1:18" ht="18" customHeight="1">
      <c r="C129" s="26"/>
      <c r="D129" s="28"/>
      <c r="E129" s="28"/>
      <c r="F129" s="51"/>
      <c r="G129" s="36"/>
      <c r="H129" s="36"/>
      <c r="I129" s="36"/>
      <c r="J129" s="40"/>
      <c r="K129" s="41"/>
      <c r="L129" s="76"/>
      <c r="M129" s="3"/>
      <c r="N129" s="20"/>
      <c r="O129" s="6"/>
      <c r="P129" s="172"/>
      <c r="Q129" s="176"/>
      <c r="R129" s="31"/>
    </row>
    <row r="130" spans="1:18" ht="18" customHeight="1">
      <c r="B130" s="115"/>
      <c r="C130" s="69"/>
      <c r="D130" s="268" t="s">
        <v>29</v>
      </c>
      <c r="E130" s="269"/>
      <c r="F130" s="269"/>
      <c r="G130" s="50"/>
      <c r="H130" s="59"/>
      <c r="I130" s="59"/>
      <c r="J130" s="14"/>
      <c r="K130" s="22"/>
      <c r="L130" s="19"/>
      <c r="M130" s="3"/>
      <c r="N130" s="20"/>
      <c r="O130" s="6"/>
      <c r="P130" s="172"/>
      <c r="Q130" s="176"/>
      <c r="R130" s="31"/>
    </row>
    <row r="131" spans="1:18" ht="18" customHeight="1">
      <c r="A131" s="147" t="s">
        <v>56</v>
      </c>
      <c r="B131" s="92">
        <v>3</v>
      </c>
      <c r="C131" s="138">
        <f>+C124+1</f>
        <v>87</v>
      </c>
      <c r="D131" s="148" t="s">
        <v>185</v>
      </c>
      <c r="E131" s="149" t="s">
        <v>27</v>
      </c>
      <c r="F131" s="215" t="s">
        <v>186</v>
      </c>
      <c r="G131" s="216">
        <v>1</v>
      </c>
      <c r="H131" s="121">
        <v>8989</v>
      </c>
      <c r="I131" s="252">
        <f>G131*H131</f>
        <v>8989</v>
      </c>
      <c r="J131" s="102"/>
      <c r="K131" s="44" t="s">
        <v>187</v>
      </c>
      <c r="L131" s="53"/>
      <c r="M131" s="264" t="s">
        <v>282</v>
      </c>
      <c r="N131" s="108">
        <v>45567</v>
      </c>
      <c r="O131" s="6"/>
      <c r="P131" s="158">
        <v>45580</v>
      </c>
      <c r="Q131" s="33">
        <v>45581</v>
      </c>
      <c r="R131" s="31"/>
    </row>
    <row r="132" spans="1:18" ht="18" customHeight="1">
      <c r="A132" s="147" t="s">
        <v>57</v>
      </c>
      <c r="B132" s="92">
        <v>3</v>
      </c>
      <c r="C132" s="138">
        <f>+C131+1</f>
        <v>88</v>
      </c>
      <c r="D132" s="149" t="s">
        <v>27</v>
      </c>
      <c r="E132" s="149" t="s">
        <v>27</v>
      </c>
      <c r="F132" s="217" t="s">
        <v>188</v>
      </c>
      <c r="G132" s="218">
        <v>1</v>
      </c>
      <c r="H132" s="245">
        <v>5928</v>
      </c>
      <c r="I132" s="253">
        <f>G132*H132</f>
        <v>5928</v>
      </c>
      <c r="J132" s="139"/>
      <c r="K132" s="103" t="s">
        <v>107</v>
      </c>
      <c r="L132" s="53"/>
      <c r="M132" s="264" t="s">
        <v>282</v>
      </c>
      <c r="N132" s="108">
        <v>45567</v>
      </c>
      <c r="O132" s="6"/>
      <c r="P132" s="158">
        <v>45580</v>
      </c>
      <c r="Q132" s="33">
        <v>45581</v>
      </c>
      <c r="R132" s="31"/>
    </row>
    <row r="133" spans="1:18" ht="18" customHeight="1">
      <c r="A133" s="147" t="s">
        <v>57</v>
      </c>
      <c r="B133" s="92">
        <v>3</v>
      </c>
      <c r="C133" s="138">
        <f>+C132+1</f>
        <v>89</v>
      </c>
      <c r="D133" s="149" t="s">
        <v>27</v>
      </c>
      <c r="E133" s="149" t="s">
        <v>27</v>
      </c>
      <c r="F133" s="219" t="s">
        <v>189</v>
      </c>
      <c r="G133" s="218">
        <v>1</v>
      </c>
      <c r="H133" s="245">
        <v>2425</v>
      </c>
      <c r="I133" s="253">
        <f>G133*H133</f>
        <v>2425</v>
      </c>
      <c r="J133" s="139"/>
      <c r="K133" s="140" t="s">
        <v>106</v>
      </c>
      <c r="L133" s="53"/>
      <c r="M133" s="264" t="s">
        <v>282</v>
      </c>
      <c r="N133" s="108">
        <v>45567</v>
      </c>
      <c r="O133" s="6"/>
      <c r="P133" s="158">
        <v>45580</v>
      </c>
      <c r="Q133" s="33">
        <v>45581</v>
      </c>
      <c r="R133" s="31"/>
    </row>
    <row r="134" spans="1:18" ht="18" customHeight="1">
      <c r="A134" s="147" t="s">
        <v>55</v>
      </c>
      <c r="B134" s="92">
        <v>3</v>
      </c>
      <c r="C134" s="138">
        <f>+C133+1</f>
        <v>90</v>
      </c>
      <c r="D134" s="130" t="s">
        <v>23</v>
      </c>
      <c r="E134" s="130" t="s">
        <v>23</v>
      </c>
      <c r="F134" s="220" t="s">
        <v>190</v>
      </c>
      <c r="G134" s="221">
        <v>1</v>
      </c>
      <c r="H134" s="118">
        <v>3263</v>
      </c>
      <c r="I134" s="237">
        <f>G134*H134</f>
        <v>3263</v>
      </c>
      <c r="J134" s="96"/>
      <c r="K134" s="35" t="s">
        <v>191</v>
      </c>
      <c r="L134" s="53"/>
      <c r="M134" s="264" t="s">
        <v>282</v>
      </c>
      <c r="N134" s="108">
        <v>45567</v>
      </c>
      <c r="O134" s="6"/>
      <c r="P134" s="158">
        <v>45580</v>
      </c>
      <c r="Q134" s="33">
        <v>45581</v>
      </c>
      <c r="R134" s="31"/>
    </row>
    <row r="135" spans="1:18" ht="18" customHeight="1">
      <c r="A135" s="26"/>
      <c r="B135" s="88"/>
      <c r="C135" s="32"/>
      <c r="D135" s="46"/>
      <c r="E135" s="46"/>
      <c r="F135" s="109"/>
      <c r="G135" s="110"/>
      <c r="H135" s="61"/>
      <c r="I135" s="137"/>
      <c r="J135" s="111"/>
      <c r="K135" s="112"/>
      <c r="L135" s="53"/>
      <c r="M135" s="3"/>
      <c r="N135" s="108"/>
      <c r="O135" s="6"/>
      <c r="P135" s="158"/>
      <c r="Q135" s="33"/>
      <c r="R135" s="31"/>
    </row>
    <row r="136" spans="1:18" ht="18" customHeight="1">
      <c r="A136" s="118" t="s">
        <v>108</v>
      </c>
      <c r="B136" s="92">
        <v>3</v>
      </c>
      <c r="C136" s="82">
        <f>+C134+1</f>
        <v>91</v>
      </c>
      <c r="D136" s="188" t="s">
        <v>27</v>
      </c>
      <c r="E136" s="188" t="s">
        <v>27</v>
      </c>
      <c r="F136" s="189" t="s">
        <v>274</v>
      </c>
      <c r="G136" s="190">
        <v>1</v>
      </c>
      <c r="H136" s="241">
        <v>4400</v>
      </c>
      <c r="I136" s="233">
        <f t="shared" ref="I136" si="18">G136*H136</f>
        <v>4400</v>
      </c>
      <c r="J136" s="40"/>
      <c r="K136" s="41" t="s">
        <v>275</v>
      </c>
      <c r="L136" s="18"/>
      <c r="M136" s="264" t="s">
        <v>282</v>
      </c>
      <c r="N136" s="108">
        <v>45567</v>
      </c>
      <c r="O136" s="6"/>
      <c r="P136" s="158">
        <v>45580</v>
      </c>
      <c r="Q136" s="33">
        <v>45581</v>
      </c>
      <c r="R136" s="31"/>
    </row>
    <row r="137" spans="1:18" ht="18" customHeight="1">
      <c r="A137" s="118" t="s">
        <v>108</v>
      </c>
      <c r="B137" s="92">
        <v>3</v>
      </c>
      <c r="C137" s="82">
        <f t="shared" ref="C137:C143" si="19">+C136+1</f>
        <v>92</v>
      </c>
      <c r="D137" s="132" t="s">
        <v>192</v>
      </c>
      <c r="E137" s="132" t="s">
        <v>27</v>
      </c>
      <c r="F137" s="211" t="s">
        <v>193</v>
      </c>
      <c r="G137" s="201">
        <v>1</v>
      </c>
      <c r="H137" s="120">
        <v>1443</v>
      </c>
      <c r="I137" s="234">
        <f t="shared" ref="I137:I165" si="20">G137*H137</f>
        <v>1443</v>
      </c>
      <c r="J137" s="141"/>
      <c r="K137" s="35" t="s">
        <v>109</v>
      </c>
      <c r="L137" s="18"/>
      <c r="M137" s="264" t="s">
        <v>282</v>
      </c>
      <c r="N137" s="108">
        <v>45567</v>
      </c>
      <c r="O137" s="6"/>
      <c r="P137" s="158">
        <v>45580</v>
      </c>
      <c r="Q137" s="33">
        <v>45581</v>
      </c>
      <c r="R137" s="31"/>
    </row>
    <row r="138" spans="1:18" ht="18" customHeight="1">
      <c r="A138" s="118" t="s">
        <v>108</v>
      </c>
      <c r="B138" s="92">
        <v>3</v>
      </c>
      <c r="C138" s="82">
        <f t="shared" si="19"/>
        <v>93</v>
      </c>
      <c r="D138" s="191" t="s">
        <v>276</v>
      </c>
      <c r="E138" s="191" t="s">
        <v>27</v>
      </c>
      <c r="F138" s="192" t="s">
        <v>277</v>
      </c>
      <c r="G138" s="190">
        <v>1</v>
      </c>
      <c r="H138" s="250">
        <v>1611</v>
      </c>
      <c r="I138" s="251">
        <f t="shared" si="20"/>
        <v>1611</v>
      </c>
      <c r="J138" s="193"/>
      <c r="K138" s="194" t="s">
        <v>278</v>
      </c>
      <c r="L138" s="18"/>
      <c r="M138" s="264" t="s">
        <v>282</v>
      </c>
      <c r="N138" s="108">
        <v>45567</v>
      </c>
      <c r="O138" s="6"/>
      <c r="P138" s="158">
        <v>45580</v>
      </c>
      <c r="Q138" s="33">
        <v>45581</v>
      </c>
      <c r="R138" s="31"/>
    </row>
    <row r="139" spans="1:18" ht="18" customHeight="1">
      <c r="A139" s="118" t="s">
        <v>108</v>
      </c>
      <c r="B139" s="92">
        <v>3</v>
      </c>
      <c r="C139" s="82">
        <f t="shared" si="19"/>
        <v>94</v>
      </c>
      <c r="D139" s="130" t="s">
        <v>27</v>
      </c>
      <c r="E139" s="130" t="s">
        <v>27</v>
      </c>
      <c r="F139" s="212" t="s">
        <v>194</v>
      </c>
      <c r="G139" s="201">
        <v>1</v>
      </c>
      <c r="H139" s="241">
        <v>6230</v>
      </c>
      <c r="I139" s="233">
        <f t="shared" si="20"/>
        <v>6230</v>
      </c>
      <c r="J139" s="27"/>
      <c r="K139" s="29" t="s">
        <v>35</v>
      </c>
      <c r="L139" s="18"/>
      <c r="M139" s="264" t="s">
        <v>282</v>
      </c>
      <c r="N139" s="108">
        <v>45567</v>
      </c>
      <c r="O139" s="6"/>
      <c r="P139" s="158">
        <v>45580</v>
      </c>
      <c r="Q139" s="33">
        <v>45581</v>
      </c>
      <c r="R139" s="31"/>
    </row>
    <row r="140" spans="1:18" ht="18" customHeight="1">
      <c r="A140" s="118" t="s">
        <v>108</v>
      </c>
      <c r="B140" s="92">
        <v>3</v>
      </c>
      <c r="C140" s="82">
        <f t="shared" si="19"/>
        <v>95</v>
      </c>
      <c r="D140" s="132" t="s">
        <v>27</v>
      </c>
      <c r="E140" s="132" t="s">
        <v>27</v>
      </c>
      <c r="F140" s="198" t="s">
        <v>36</v>
      </c>
      <c r="G140" s="199">
        <v>1</v>
      </c>
      <c r="H140" s="248">
        <v>198</v>
      </c>
      <c r="I140" s="234">
        <f t="shared" si="20"/>
        <v>198</v>
      </c>
      <c r="J140" s="80"/>
      <c r="K140" s="35" t="s">
        <v>195</v>
      </c>
      <c r="L140" s="18"/>
      <c r="M140" s="264" t="s">
        <v>282</v>
      </c>
      <c r="N140" s="108">
        <v>45567</v>
      </c>
      <c r="O140" s="6"/>
      <c r="P140" s="158">
        <v>45580</v>
      </c>
      <c r="Q140" s="33">
        <v>45581</v>
      </c>
      <c r="R140" s="31"/>
    </row>
    <row r="141" spans="1:18" ht="18" customHeight="1">
      <c r="A141" s="118" t="s">
        <v>108</v>
      </c>
      <c r="B141" s="92">
        <v>3</v>
      </c>
      <c r="C141" s="82">
        <f t="shared" si="19"/>
        <v>96</v>
      </c>
      <c r="D141" s="130" t="s">
        <v>27</v>
      </c>
      <c r="E141" s="130" t="s">
        <v>27</v>
      </c>
      <c r="F141" s="213" t="s">
        <v>196</v>
      </c>
      <c r="G141" s="199">
        <v>1</v>
      </c>
      <c r="H141" s="249">
        <v>881</v>
      </c>
      <c r="I141" s="237">
        <f t="shared" si="20"/>
        <v>881</v>
      </c>
      <c r="J141" s="143"/>
      <c r="K141" s="35" t="s">
        <v>197</v>
      </c>
      <c r="L141" s="18"/>
      <c r="M141" s="264" t="s">
        <v>282</v>
      </c>
      <c r="N141" s="108">
        <v>45567</v>
      </c>
      <c r="O141" s="6"/>
      <c r="P141" s="158">
        <v>45580</v>
      </c>
      <c r="Q141" s="33">
        <v>45581</v>
      </c>
      <c r="R141" s="31"/>
    </row>
    <row r="142" spans="1:18" ht="18" customHeight="1">
      <c r="A142" s="118" t="s">
        <v>108</v>
      </c>
      <c r="B142" s="92">
        <v>3</v>
      </c>
      <c r="C142" s="82">
        <f t="shared" si="19"/>
        <v>97</v>
      </c>
      <c r="D142" s="130" t="s">
        <v>27</v>
      </c>
      <c r="E142" s="130" t="s">
        <v>27</v>
      </c>
      <c r="F142" s="200" t="s">
        <v>237</v>
      </c>
      <c r="G142" s="209">
        <v>1</v>
      </c>
      <c r="H142" s="131">
        <v>4239</v>
      </c>
      <c r="I142" s="237">
        <f t="shared" si="20"/>
        <v>4239</v>
      </c>
      <c r="J142" s="96"/>
      <c r="K142" s="81" t="s">
        <v>238</v>
      </c>
      <c r="L142" s="18"/>
      <c r="M142" s="264" t="s">
        <v>282</v>
      </c>
      <c r="N142" s="108">
        <v>45567</v>
      </c>
      <c r="O142" s="6"/>
      <c r="P142" s="158">
        <v>45580</v>
      </c>
      <c r="Q142" s="33">
        <v>45581</v>
      </c>
      <c r="R142" s="31"/>
    </row>
    <row r="143" spans="1:18" ht="18" customHeight="1">
      <c r="A143" s="118" t="s">
        <v>108</v>
      </c>
      <c r="B143" s="92">
        <v>3</v>
      </c>
      <c r="C143" s="82">
        <f t="shared" si="19"/>
        <v>98</v>
      </c>
      <c r="D143" s="130" t="s">
        <v>27</v>
      </c>
      <c r="E143" s="130" t="s">
        <v>27</v>
      </c>
      <c r="F143" s="214" t="s">
        <v>33</v>
      </c>
      <c r="G143" s="209">
        <v>1</v>
      </c>
      <c r="H143" s="131">
        <v>5117</v>
      </c>
      <c r="I143" s="237">
        <f t="shared" si="20"/>
        <v>5117</v>
      </c>
      <c r="J143" s="96"/>
      <c r="K143" s="29" t="s">
        <v>198</v>
      </c>
      <c r="L143" s="18"/>
      <c r="M143" s="264" t="s">
        <v>282</v>
      </c>
      <c r="N143" s="108">
        <v>45567</v>
      </c>
      <c r="O143" s="6"/>
      <c r="P143" s="158">
        <v>45580</v>
      </c>
      <c r="Q143" s="33">
        <v>45581</v>
      </c>
      <c r="R143" s="31"/>
    </row>
    <row r="144" spans="1:18" ht="18" customHeight="1">
      <c r="A144" s="118" t="s">
        <v>56</v>
      </c>
      <c r="B144" s="92">
        <v>3</v>
      </c>
      <c r="C144" s="82">
        <f>+C143+1</f>
        <v>99</v>
      </c>
      <c r="D144" s="195" t="s">
        <v>27</v>
      </c>
      <c r="E144" s="195" t="s">
        <v>27</v>
      </c>
      <c r="F144" s="196" t="s">
        <v>279</v>
      </c>
      <c r="G144" s="197">
        <v>1</v>
      </c>
      <c r="H144" s="248">
        <v>2359</v>
      </c>
      <c r="I144" s="244">
        <f t="shared" si="20"/>
        <v>2359</v>
      </c>
      <c r="J144" s="80"/>
      <c r="K144" s="35" t="s">
        <v>280</v>
      </c>
      <c r="L144" s="18"/>
      <c r="M144" s="264" t="s">
        <v>282</v>
      </c>
      <c r="N144" s="108">
        <v>45567</v>
      </c>
      <c r="O144" s="6"/>
      <c r="P144" s="158">
        <v>45580</v>
      </c>
      <c r="Q144" s="33">
        <v>45581</v>
      </c>
      <c r="R144" s="31"/>
    </row>
    <row r="145" spans="1:18" ht="18" customHeight="1">
      <c r="A145" s="118" t="s">
        <v>55</v>
      </c>
      <c r="B145" s="92">
        <v>3</v>
      </c>
      <c r="C145" s="82">
        <f t="shared" ref="C145:C165" si="21">+C144+1</f>
        <v>100</v>
      </c>
      <c r="D145" s="130" t="s">
        <v>27</v>
      </c>
      <c r="E145" s="130" t="s">
        <v>27</v>
      </c>
      <c r="F145" s="204" t="s">
        <v>199</v>
      </c>
      <c r="G145" s="201">
        <v>2</v>
      </c>
      <c r="H145" s="245">
        <v>1543</v>
      </c>
      <c r="I145" s="233">
        <f t="shared" si="20"/>
        <v>3086</v>
      </c>
      <c r="J145" s="144"/>
      <c r="K145" s="25" t="s">
        <v>34</v>
      </c>
      <c r="L145" s="18"/>
      <c r="M145" s="264" t="s">
        <v>282</v>
      </c>
      <c r="N145" s="108">
        <v>45567</v>
      </c>
      <c r="O145" s="6"/>
      <c r="P145" s="158">
        <v>45580</v>
      </c>
      <c r="Q145" s="33">
        <v>45581</v>
      </c>
      <c r="R145" s="31"/>
    </row>
    <row r="146" spans="1:18" ht="18" customHeight="1">
      <c r="A146" s="118" t="s">
        <v>108</v>
      </c>
      <c r="B146" s="92">
        <v>3</v>
      </c>
      <c r="C146" s="82">
        <f>+C145+1</f>
        <v>101</v>
      </c>
      <c r="D146" s="145" t="s">
        <v>200</v>
      </c>
      <c r="E146" s="130" t="s">
        <v>27</v>
      </c>
      <c r="F146" s="207" t="s">
        <v>201</v>
      </c>
      <c r="G146" s="201">
        <v>1</v>
      </c>
      <c r="H146" s="120">
        <v>2380</v>
      </c>
      <c r="I146" s="233">
        <f t="shared" si="20"/>
        <v>2380</v>
      </c>
      <c r="J146" s="144"/>
      <c r="K146" s="25" t="s">
        <v>202</v>
      </c>
      <c r="L146" s="18"/>
      <c r="M146" s="264" t="s">
        <v>282</v>
      </c>
      <c r="N146" s="108">
        <v>45567</v>
      </c>
      <c r="O146" s="6"/>
      <c r="P146" s="158">
        <v>45580</v>
      </c>
      <c r="Q146" s="33">
        <v>45581</v>
      </c>
      <c r="R146" s="31"/>
    </row>
    <row r="147" spans="1:18" ht="18" customHeight="1">
      <c r="A147" s="118" t="s">
        <v>108</v>
      </c>
      <c r="B147" s="92">
        <v>3</v>
      </c>
      <c r="C147" s="82">
        <f t="shared" si="21"/>
        <v>102</v>
      </c>
      <c r="D147" s="130" t="s">
        <v>200</v>
      </c>
      <c r="E147" s="130" t="s">
        <v>27</v>
      </c>
      <c r="F147" s="208" t="s">
        <v>203</v>
      </c>
      <c r="G147" s="209">
        <v>1</v>
      </c>
      <c r="H147" s="120">
        <v>2700</v>
      </c>
      <c r="I147" s="233">
        <f t="shared" si="20"/>
        <v>2700</v>
      </c>
      <c r="J147" s="144"/>
      <c r="K147" s="25" t="s">
        <v>204</v>
      </c>
      <c r="L147" s="18"/>
      <c r="M147" s="264" t="s">
        <v>282</v>
      </c>
      <c r="N147" s="108">
        <v>45567</v>
      </c>
      <c r="O147" s="6"/>
      <c r="P147" s="158">
        <v>45580</v>
      </c>
      <c r="Q147" s="33">
        <v>45581</v>
      </c>
      <c r="R147" s="31"/>
    </row>
    <row r="148" spans="1:18" ht="18" customHeight="1">
      <c r="A148" s="118" t="s">
        <v>108</v>
      </c>
      <c r="B148" s="92">
        <v>3</v>
      </c>
      <c r="C148" s="82">
        <f t="shared" si="21"/>
        <v>103</v>
      </c>
      <c r="D148" s="130" t="s">
        <v>200</v>
      </c>
      <c r="E148" s="130" t="s">
        <v>27</v>
      </c>
      <c r="F148" s="208" t="s">
        <v>205</v>
      </c>
      <c r="G148" s="209">
        <v>1</v>
      </c>
      <c r="H148" s="120">
        <v>2700</v>
      </c>
      <c r="I148" s="233">
        <f t="shared" si="20"/>
        <v>2700</v>
      </c>
      <c r="J148" s="144"/>
      <c r="K148" s="25" t="s">
        <v>206</v>
      </c>
      <c r="L148" s="18"/>
      <c r="M148" s="264" t="s">
        <v>282</v>
      </c>
      <c r="N148" s="108">
        <v>45567</v>
      </c>
      <c r="O148" s="6"/>
      <c r="P148" s="158">
        <v>45580</v>
      </c>
      <c r="Q148" s="33">
        <v>45581</v>
      </c>
      <c r="R148" s="31"/>
    </row>
    <row r="149" spans="1:18" ht="18" customHeight="1">
      <c r="A149" s="118" t="s">
        <v>108</v>
      </c>
      <c r="B149" s="92">
        <v>3</v>
      </c>
      <c r="C149" s="82">
        <f t="shared" si="21"/>
        <v>104</v>
      </c>
      <c r="D149" s="130" t="s">
        <v>200</v>
      </c>
      <c r="E149" s="130" t="s">
        <v>27</v>
      </c>
      <c r="F149" s="208" t="s">
        <v>207</v>
      </c>
      <c r="G149" s="201">
        <v>1</v>
      </c>
      <c r="H149" s="120">
        <v>2700</v>
      </c>
      <c r="I149" s="233">
        <f t="shared" si="20"/>
        <v>2700</v>
      </c>
      <c r="J149" s="144"/>
      <c r="K149" s="25" t="s">
        <v>208</v>
      </c>
      <c r="L149" s="18"/>
      <c r="M149" s="264" t="s">
        <v>282</v>
      </c>
      <c r="N149" s="108">
        <v>45567</v>
      </c>
      <c r="O149" s="6"/>
      <c r="P149" s="158">
        <v>45580</v>
      </c>
      <c r="Q149" s="33">
        <v>45581</v>
      </c>
      <c r="R149" s="31"/>
    </row>
    <row r="150" spans="1:18" ht="18" customHeight="1">
      <c r="A150" s="118" t="s">
        <v>108</v>
      </c>
      <c r="B150" s="92">
        <v>3</v>
      </c>
      <c r="C150" s="82">
        <f t="shared" si="21"/>
        <v>105</v>
      </c>
      <c r="D150" s="130" t="s">
        <v>200</v>
      </c>
      <c r="E150" s="130" t="s">
        <v>27</v>
      </c>
      <c r="F150" s="208" t="s">
        <v>209</v>
      </c>
      <c r="G150" s="201">
        <v>1</v>
      </c>
      <c r="H150" s="120">
        <v>2700</v>
      </c>
      <c r="I150" s="233">
        <f>G150*H150</f>
        <v>2700</v>
      </c>
      <c r="J150" s="144"/>
      <c r="K150" s="25" t="s">
        <v>210</v>
      </c>
      <c r="L150" s="18"/>
      <c r="M150" s="264" t="s">
        <v>282</v>
      </c>
      <c r="N150" s="108">
        <v>45567</v>
      </c>
      <c r="O150" s="6"/>
      <c r="P150" s="158">
        <v>45580</v>
      </c>
      <c r="Q150" s="33">
        <v>45581</v>
      </c>
      <c r="R150" s="31"/>
    </row>
    <row r="151" spans="1:18" ht="18" customHeight="1">
      <c r="A151" s="118" t="s">
        <v>108</v>
      </c>
      <c r="B151" s="92">
        <v>3</v>
      </c>
      <c r="C151" s="82">
        <f t="shared" si="21"/>
        <v>106</v>
      </c>
      <c r="D151" s="243" t="s">
        <v>281</v>
      </c>
      <c r="E151" s="130" t="s">
        <v>27</v>
      </c>
      <c r="F151" s="208" t="s">
        <v>211</v>
      </c>
      <c r="G151" s="201">
        <v>1</v>
      </c>
      <c r="H151" s="242">
        <v>4410</v>
      </c>
      <c r="I151" s="233">
        <f>G151*H151</f>
        <v>4410</v>
      </c>
      <c r="J151" s="144"/>
      <c r="K151" s="25" t="s">
        <v>212</v>
      </c>
      <c r="L151" s="18"/>
      <c r="M151" s="264" t="s">
        <v>282</v>
      </c>
      <c r="N151" s="108">
        <v>45567</v>
      </c>
      <c r="O151" s="6"/>
      <c r="P151" s="158">
        <v>45580</v>
      </c>
      <c r="Q151" s="33">
        <v>45581</v>
      </c>
      <c r="R151" s="31"/>
    </row>
    <row r="152" spans="1:18" ht="18" customHeight="1">
      <c r="A152" s="118" t="s">
        <v>108</v>
      </c>
      <c r="B152" s="92">
        <v>3</v>
      </c>
      <c r="C152" s="82">
        <f t="shared" si="21"/>
        <v>107</v>
      </c>
      <c r="D152" s="130" t="s">
        <v>200</v>
      </c>
      <c r="E152" s="130" t="s">
        <v>27</v>
      </c>
      <c r="F152" s="208" t="s">
        <v>213</v>
      </c>
      <c r="G152" s="201">
        <v>1</v>
      </c>
      <c r="H152" s="120">
        <v>3650</v>
      </c>
      <c r="I152" s="233">
        <f>G152*H152</f>
        <v>3650</v>
      </c>
      <c r="J152" s="144"/>
      <c r="K152" s="25" t="s">
        <v>214</v>
      </c>
      <c r="L152" s="18"/>
      <c r="M152" s="264" t="s">
        <v>282</v>
      </c>
      <c r="N152" s="108">
        <v>45567</v>
      </c>
      <c r="O152" s="6"/>
      <c r="P152" s="158">
        <v>45580</v>
      </c>
      <c r="Q152" s="33">
        <v>45581</v>
      </c>
      <c r="R152" s="31"/>
    </row>
    <row r="153" spans="1:18" ht="18" customHeight="1">
      <c r="A153" s="118" t="s">
        <v>108</v>
      </c>
      <c r="B153" s="92">
        <v>3</v>
      </c>
      <c r="C153" s="82">
        <f>+C152+1</f>
        <v>108</v>
      </c>
      <c r="D153" s="130" t="s">
        <v>27</v>
      </c>
      <c r="E153" s="130" t="s">
        <v>27</v>
      </c>
      <c r="F153" s="210" t="s">
        <v>215</v>
      </c>
      <c r="G153" s="201">
        <v>1</v>
      </c>
      <c r="H153" s="241">
        <v>16470</v>
      </c>
      <c r="I153" s="233">
        <f t="shared" si="20"/>
        <v>16470</v>
      </c>
      <c r="J153" s="96"/>
      <c r="K153" s="29" t="s">
        <v>216</v>
      </c>
      <c r="L153" s="18"/>
      <c r="M153" s="264" t="s">
        <v>282</v>
      </c>
      <c r="N153" s="108">
        <v>45567</v>
      </c>
      <c r="O153" s="6"/>
      <c r="P153" s="158">
        <v>45580</v>
      </c>
      <c r="Q153" s="33">
        <v>45581</v>
      </c>
      <c r="R153" s="31"/>
    </row>
    <row r="154" spans="1:18" ht="18" customHeight="1">
      <c r="A154" s="118" t="s">
        <v>217</v>
      </c>
      <c r="B154" s="92">
        <v>3</v>
      </c>
      <c r="C154" s="82">
        <f>+C153+1</f>
        <v>109</v>
      </c>
      <c r="D154" s="130" t="s">
        <v>27</v>
      </c>
      <c r="E154" s="130" t="s">
        <v>27</v>
      </c>
      <c r="F154" s="211" t="s">
        <v>218</v>
      </c>
      <c r="G154" s="201">
        <v>1</v>
      </c>
      <c r="H154" s="241">
        <v>24392</v>
      </c>
      <c r="I154" s="233">
        <f t="shared" si="20"/>
        <v>24392</v>
      </c>
      <c r="J154" s="27"/>
      <c r="K154" s="29" t="s">
        <v>219</v>
      </c>
      <c r="L154" s="18"/>
      <c r="M154" s="264" t="s">
        <v>282</v>
      </c>
      <c r="N154" s="108">
        <v>45567</v>
      </c>
      <c r="O154" s="6"/>
      <c r="P154" s="158">
        <v>45580</v>
      </c>
      <c r="Q154" s="33">
        <v>45581</v>
      </c>
      <c r="R154" s="31"/>
    </row>
    <row r="155" spans="1:18" ht="18" customHeight="1">
      <c r="A155" s="118" t="s">
        <v>108</v>
      </c>
      <c r="B155" s="92">
        <v>3</v>
      </c>
      <c r="C155" s="82">
        <f t="shared" si="21"/>
        <v>110</v>
      </c>
      <c r="D155" s="132" t="s">
        <v>220</v>
      </c>
      <c r="E155" s="132" t="s">
        <v>27</v>
      </c>
      <c r="F155" s="198" t="s">
        <v>221</v>
      </c>
      <c r="G155" s="199">
        <v>5</v>
      </c>
      <c r="H155" s="142">
        <v>177</v>
      </c>
      <c r="I155" s="244">
        <f t="shared" si="20"/>
        <v>885</v>
      </c>
      <c r="J155" s="80"/>
      <c r="K155" s="35" t="s">
        <v>222</v>
      </c>
      <c r="L155" s="18"/>
      <c r="M155" s="264" t="s">
        <v>282</v>
      </c>
      <c r="N155" s="108">
        <v>45567</v>
      </c>
      <c r="O155" s="6"/>
      <c r="P155" s="158">
        <v>45580</v>
      </c>
      <c r="Q155" s="33">
        <v>45581</v>
      </c>
      <c r="R155" s="31"/>
    </row>
    <row r="156" spans="1:18" ht="18" customHeight="1">
      <c r="A156" s="118" t="s">
        <v>55</v>
      </c>
      <c r="B156" s="92">
        <v>3</v>
      </c>
      <c r="C156" s="82">
        <f t="shared" si="21"/>
        <v>111</v>
      </c>
      <c r="D156" s="130" t="s">
        <v>27</v>
      </c>
      <c r="E156" s="130" t="s">
        <v>27</v>
      </c>
      <c r="F156" s="200" t="s">
        <v>223</v>
      </c>
      <c r="G156" s="201">
        <v>4</v>
      </c>
      <c r="H156" s="131">
        <v>280</v>
      </c>
      <c r="I156" s="237">
        <f t="shared" si="20"/>
        <v>1120</v>
      </c>
      <c r="J156" s="27"/>
      <c r="K156" s="25" t="s">
        <v>224</v>
      </c>
      <c r="L156" s="18"/>
      <c r="M156" s="264" t="s">
        <v>282</v>
      </c>
      <c r="N156" s="108">
        <v>45567</v>
      </c>
      <c r="O156" s="6"/>
      <c r="P156" s="158">
        <v>45580</v>
      </c>
      <c r="Q156" s="33">
        <v>45581</v>
      </c>
      <c r="R156" s="31"/>
    </row>
    <row r="157" spans="1:18" ht="18" customHeight="1">
      <c r="A157" s="118" t="s">
        <v>56</v>
      </c>
      <c r="B157" s="92">
        <v>3</v>
      </c>
      <c r="C157" s="82">
        <f t="shared" si="21"/>
        <v>112</v>
      </c>
      <c r="D157" s="146" t="s">
        <v>23</v>
      </c>
      <c r="E157" s="146" t="s">
        <v>23</v>
      </c>
      <c r="F157" s="202" t="s">
        <v>48</v>
      </c>
      <c r="G157" s="203">
        <v>10</v>
      </c>
      <c r="H157" s="117">
        <v>25</v>
      </c>
      <c r="I157" s="239">
        <f t="shared" si="20"/>
        <v>250</v>
      </c>
      <c r="J157" s="122"/>
      <c r="K157" s="123" t="s">
        <v>225</v>
      </c>
      <c r="L157" s="18"/>
      <c r="M157" s="264" t="s">
        <v>282</v>
      </c>
      <c r="N157" s="108">
        <v>45567</v>
      </c>
      <c r="O157" s="6"/>
      <c r="P157" s="158">
        <v>45580</v>
      </c>
      <c r="Q157" s="33">
        <v>45581</v>
      </c>
      <c r="R157" s="31"/>
    </row>
    <row r="158" spans="1:18" ht="18" customHeight="1">
      <c r="A158" s="118" t="s">
        <v>108</v>
      </c>
      <c r="B158" s="92">
        <v>3</v>
      </c>
      <c r="C158" s="82">
        <f>+C157+1</f>
        <v>113</v>
      </c>
      <c r="D158" s="130" t="s">
        <v>226</v>
      </c>
      <c r="E158" s="130" t="s">
        <v>23</v>
      </c>
      <c r="F158" s="204" t="s">
        <v>227</v>
      </c>
      <c r="G158" s="201">
        <v>6</v>
      </c>
      <c r="H158" s="240">
        <v>138</v>
      </c>
      <c r="I158" s="237">
        <f t="shared" si="20"/>
        <v>828</v>
      </c>
      <c r="J158" s="26"/>
      <c r="K158" s="29" t="s">
        <v>228</v>
      </c>
      <c r="L158" s="18"/>
      <c r="M158" s="264" t="s">
        <v>282</v>
      </c>
      <c r="N158" s="108">
        <v>45567</v>
      </c>
      <c r="O158" s="6"/>
      <c r="P158" s="158">
        <v>45580</v>
      </c>
      <c r="Q158" s="33">
        <v>45581</v>
      </c>
      <c r="R158" s="31"/>
    </row>
    <row r="159" spans="1:18" ht="18" customHeight="1">
      <c r="A159" s="118" t="s">
        <v>108</v>
      </c>
      <c r="B159" s="92">
        <v>3</v>
      </c>
      <c r="C159" s="82">
        <f t="shared" si="21"/>
        <v>114</v>
      </c>
      <c r="D159" s="130" t="s">
        <v>226</v>
      </c>
      <c r="E159" s="130" t="s">
        <v>23</v>
      </c>
      <c r="F159" s="204" t="s">
        <v>229</v>
      </c>
      <c r="G159" s="201">
        <v>3</v>
      </c>
      <c r="H159" s="240">
        <v>464</v>
      </c>
      <c r="I159" s="237">
        <f t="shared" si="20"/>
        <v>1392</v>
      </c>
      <c r="J159" s="26"/>
      <c r="K159" s="29" t="s">
        <v>230</v>
      </c>
      <c r="L159" s="18"/>
      <c r="M159" s="264" t="s">
        <v>282</v>
      </c>
      <c r="N159" s="108">
        <v>45567</v>
      </c>
      <c r="O159" s="6"/>
      <c r="P159" s="158">
        <v>45580</v>
      </c>
      <c r="Q159" s="33">
        <v>45581</v>
      </c>
      <c r="R159" s="31"/>
    </row>
    <row r="160" spans="1:18" ht="18" customHeight="1">
      <c r="A160" s="118" t="s">
        <v>108</v>
      </c>
      <c r="B160" s="92">
        <v>3</v>
      </c>
      <c r="C160" s="82">
        <f t="shared" si="21"/>
        <v>115</v>
      </c>
      <c r="D160" s="130" t="s">
        <v>226</v>
      </c>
      <c r="E160" s="130" t="s">
        <v>23</v>
      </c>
      <c r="F160" s="204" t="s">
        <v>231</v>
      </c>
      <c r="G160" s="201">
        <v>5</v>
      </c>
      <c r="H160" s="240">
        <v>141</v>
      </c>
      <c r="I160" s="237">
        <f t="shared" si="20"/>
        <v>705</v>
      </c>
      <c r="J160" s="26"/>
      <c r="K160" s="29" t="s">
        <v>232</v>
      </c>
      <c r="L160" s="18"/>
      <c r="M160" s="264" t="s">
        <v>282</v>
      </c>
      <c r="N160" s="108">
        <v>45567</v>
      </c>
      <c r="O160" s="6"/>
      <c r="P160" s="158">
        <v>45580</v>
      </c>
      <c r="Q160" s="33">
        <v>45581</v>
      </c>
      <c r="R160" s="31"/>
    </row>
    <row r="161" spans="1:18" ht="18" customHeight="1">
      <c r="A161" s="118" t="s">
        <v>108</v>
      </c>
      <c r="B161" s="92">
        <v>3</v>
      </c>
      <c r="C161" s="82">
        <f t="shared" si="21"/>
        <v>116</v>
      </c>
      <c r="D161" s="130" t="s">
        <v>226</v>
      </c>
      <c r="E161" s="130" t="s">
        <v>23</v>
      </c>
      <c r="F161" s="204" t="s">
        <v>233</v>
      </c>
      <c r="G161" s="201">
        <v>5</v>
      </c>
      <c r="H161" s="240">
        <v>104</v>
      </c>
      <c r="I161" s="237">
        <f t="shared" si="20"/>
        <v>520</v>
      </c>
      <c r="J161" s="26"/>
      <c r="K161" s="29" t="s">
        <v>234</v>
      </c>
      <c r="L161" s="18"/>
      <c r="M161" s="264" t="s">
        <v>282</v>
      </c>
      <c r="N161" s="108">
        <v>45567</v>
      </c>
      <c r="O161" s="6"/>
      <c r="P161" s="158">
        <v>45580</v>
      </c>
      <c r="Q161" s="33">
        <v>45581</v>
      </c>
      <c r="R161" s="31"/>
    </row>
    <row r="162" spans="1:18" ht="18" customHeight="1">
      <c r="A162" s="26"/>
      <c r="B162" s="88"/>
      <c r="C162" s="32"/>
      <c r="D162" s="46"/>
      <c r="E162" s="46"/>
      <c r="F162" s="109"/>
      <c r="G162" s="110"/>
      <c r="H162" s="61"/>
      <c r="I162" s="137"/>
      <c r="J162" s="111"/>
      <c r="K162" s="112"/>
      <c r="L162" s="71"/>
      <c r="M162" s="3"/>
      <c r="N162" s="108"/>
      <c r="O162" s="6"/>
      <c r="P162" s="158"/>
      <c r="Q162" s="33"/>
      <c r="R162" s="31"/>
    </row>
    <row r="163" spans="1:18" ht="18" customHeight="1">
      <c r="A163" s="118" t="s">
        <v>108</v>
      </c>
      <c r="B163" s="92">
        <v>3</v>
      </c>
      <c r="C163" s="82">
        <f>+C161+1</f>
        <v>117</v>
      </c>
      <c r="D163" s="46" t="s">
        <v>185</v>
      </c>
      <c r="E163" s="130" t="s">
        <v>23</v>
      </c>
      <c r="F163" s="205" t="s">
        <v>239</v>
      </c>
      <c r="G163" s="206">
        <v>4</v>
      </c>
      <c r="H163" s="61">
        <v>1708</v>
      </c>
      <c r="I163" s="237">
        <f t="shared" si="20"/>
        <v>6832</v>
      </c>
      <c r="J163" s="111"/>
      <c r="K163" s="112" t="s">
        <v>240</v>
      </c>
      <c r="L163" s="71"/>
      <c r="M163" s="264" t="s">
        <v>282</v>
      </c>
      <c r="N163" s="108">
        <v>45567</v>
      </c>
      <c r="O163" s="6"/>
      <c r="P163" s="158">
        <v>45580</v>
      </c>
      <c r="Q163" s="33">
        <v>45581</v>
      </c>
      <c r="R163" s="31"/>
    </row>
    <row r="164" spans="1:18" ht="18" customHeight="1">
      <c r="A164" s="118" t="s">
        <v>108</v>
      </c>
      <c r="B164" s="92">
        <v>3</v>
      </c>
      <c r="C164" s="82">
        <f t="shared" si="21"/>
        <v>118</v>
      </c>
      <c r="D164" s="46" t="s">
        <v>185</v>
      </c>
      <c r="E164" s="130" t="s">
        <v>23</v>
      </c>
      <c r="F164" s="205" t="s">
        <v>242</v>
      </c>
      <c r="G164" s="206">
        <v>4</v>
      </c>
      <c r="H164" s="61">
        <v>422</v>
      </c>
      <c r="I164" s="238">
        <f t="shared" si="20"/>
        <v>1688</v>
      </c>
      <c r="J164" s="111"/>
      <c r="K164" s="112" t="s">
        <v>241</v>
      </c>
      <c r="L164" s="71"/>
      <c r="M164" s="264" t="s">
        <v>282</v>
      </c>
      <c r="N164" s="108">
        <v>45567</v>
      </c>
      <c r="O164" s="6"/>
      <c r="P164" s="158">
        <v>45580</v>
      </c>
      <c r="Q164" s="33">
        <v>45581</v>
      </c>
      <c r="R164" s="31"/>
    </row>
    <row r="165" spans="1:18" ht="18" customHeight="1">
      <c r="A165" s="118" t="s">
        <v>108</v>
      </c>
      <c r="B165" s="92">
        <v>3</v>
      </c>
      <c r="C165" s="82">
        <f t="shared" si="21"/>
        <v>119</v>
      </c>
      <c r="D165" s="46" t="s">
        <v>185</v>
      </c>
      <c r="E165" s="130" t="s">
        <v>23</v>
      </c>
      <c r="F165" s="205" t="s">
        <v>243</v>
      </c>
      <c r="G165" s="206">
        <v>4</v>
      </c>
      <c r="H165" s="61">
        <v>45</v>
      </c>
      <c r="I165" s="238">
        <f t="shared" si="20"/>
        <v>180</v>
      </c>
      <c r="J165" s="111"/>
      <c r="K165" s="112" t="s">
        <v>244</v>
      </c>
      <c r="L165" s="71"/>
      <c r="M165" s="264" t="s">
        <v>282</v>
      </c>
      <c r="N165" s="108">
        <v>45567</v>
      </c>
      <c r="O165" s="6"/>
      <c r="P165" s="158">
        <v>45580</v>
      </c>
      <c r="Q165" s="33">
        <v>45581</v>
      </c>
      <c r="R165" s="31"/>
    </row>
    <row r="166" spans="1:18" ht="18" customHeight="1">
      <c r="A166" s="84"/>
      <c r="B166" s="88"/>
      <c r="C166" s="32"/>
      <c r="D166" s="28"/>
      <c r="E166" s="28"/>
      <c r="F166" s="35"/>
      <c r="G166" s="46"/>
      <c r="H166" s="60"/>
      <c r="I166" s="58"/>
      <c r="J166" s="27"/>
      <c r="K166" s="25"/>
      <c r="L166" s="19"/>
      <c r="M166" s="3"/>
      <c r="N166" s="33"/>
      <c r="O166" s="6"/>
      <c r="P166" s="33"/>
      <c r="Q166" s="174"/>
      <c r="R166" s="175"/>
    </row>
    <row r="167" spans="1:18" ht="18" customHeight="1">
      <c r="C167" s="18"/>
      <c r="D167" s="2"/>
      <c r="E167" s="2"/>
      <c r="F167" s="127">
        <f>SUM(I131:I166)</f>
        <v>126671</v>
      </c>
      <c r="G167" s="126"/>
      <c r="H167" s="126"/>
      <c r="I167" s="126"/>
      <c r="J167" s="124"/>
      <c r="K167" s="16"/>
      <c r="L167" s="19"/>
      <c r="M167" s="3"/>
      <c r="N167" s="20"/>
      <c r="O167" s="6"/>
      <c r="P167" s="6"/>
      <c r="Q167" s="20"/>
      <c r="R167" s="12"/>
    </row>
    <row r="168" spans="1:18" ht="18" customHeight="1">
      <c r="C168" s="18"/>
      <c r="D168" s="2"/>
      <c r="E168" s="2"/>
      <c r="F168" s="13"/>
      <c r="G168" s="125"/>
      <c r="H168" s="125"/>
      <c r="I168" s="59"/>
      <c r="J168" s="1"/>
      <c r="K168" s="13"/>
      <c r="L168" s="19"/>
      <c r="M168" s="3"/>
      <c r="N168" s="20"/>
      <c r="O168" s="6"/>
      <c r="P168" s="6"/>
      <c r="Q168" s="20"/>
      <c r="R168" s="12"/>
    </row>
    <row r="169" spans="1:18" ht="18" customHeight="1">
      <c r="C169" s="18"/>
      <c r="D169" s="18"/>
      <c r="E169" s="18"/>
      <c r="F169" s="19" t="s">
        <v>24</v>
      </c>
      <c r="G169" s="17"/>
      <c r="H169" s="17"/>
      <c r="I169" s="17">
        <f>G169*H169</f>
        <v>0</v>
      </c>
      <c r="J169" s="11"/>
      <c r="K169" s="13" t="s">
        <v>25</v>
      </c>
      <c r="L169" s="21"/>
      <c r="M169" s="18"/>
      <c r="N169" s="20"/>
      <c r="O169" s="21"/>
      <c r="P169" s="18"/>
      <c r="Q169" s="20"/>
      <c r="R169" s="12"/>
    </row>
    <row r="170" spans="1:18" ht="18" customHeight="1">
      <c r="B170" s="89">
        <v>4</v>
      </c>
      <c r="C170" s="104"/>
      <c r="D170" s="2"/>
      <c r="E170" s="2"/>
      <c r="F170" s="19" t="s">
        <v>25</v>
      </c>
      <c r="G170" s="17"/>
      <c r="H170" s="17">
        <v>5000</v>
      </c>
      <c r="I170" s="17">
        <f>G170*H170</f>
        <v>0</v>
      </c>
      <c r="J170" s="11"/>
      <c r="K170" s="13" t="s">
        <v>26</v>
      </c>
      <c r="L170" s="21"/>
      <c r="M170" s="18"/>
      <c r="N170" s="20"/>
      <c r="O170" s="21"/>
      <c r="P170" s="18"/>
      <c r="Q170" s="20"/>
      <c r="R170" s="6"/>
    </row>
    <row r="171" spans="1:18" ht="18" customHeight="1">
      <c r="C171" s="18"/>
      <c r="D171" s="2"/>
      <c r="E171" s="2"/>
      <c r="F171" s="19" t="s">
        <v>26</v>
      </c>
      <c r="G171" s="17"/>
      <c r="H171" s="17"/>
      <c r="I171" s="17">
        <f>G171*H171</f>
        <v>0</v>
      </c>
      <c r="J171" s="11"/>
      <c r="K171" s="3"/>
      <c r="L171" s="21"/>
      <c r="M171" s="18"/>
      <c r="N171" s="18"/>
      <c r="O171" s="21"/>
      <c r="P171" s="18"/>
      <c r="Q171" s="6"/>
      <c r="R171" s="6"/>
    </row>
    <row r="172" spans="1:18" ht="18" customHeight="1">
      <c r="C172" s="18"/>
      <c r="D172" s="2"/>
      <c r="E172" s="2"/>
      <c r="F172" s="270"/>
      <c r="G172" s="271"/>
      <c r="H172" s="271"/>
      <c r="I172" s="272"/>
      <c r="J172" s="4"/>
      <c r="K172" s="16"/>
    </row>
    <row r="173" spans="1:18" ht="18" customHeight="1"/>
    <row r="174" spans="1:18" ht="18" customHeight="1"/>
    <row r="175" spans="1:18" ht="18" customHeight="1"/>
  </sheetData>
  <autoFilter ref="C8:P175" xr:uid="{00000000-0009-0000-0000-000003000000}"/>
  <mergeCells count="15">
    <mergeCell ref="C2:E2"/>
    <mergeCell ref="H2:J2"/>
    <mergeCell ref="C3:E3"/>
    <mergeCell ref="C4:E4"/>
    <mergeCell ref="H4:K5"/>
    <mergeCell ref="C5:E5"/>
    <mergeCell ref="D112:F112"/>
    <mergeCell ref="D130:F130"/>
    <mergeCell ref="F172:I172"/>
    <mergeCell ref="G4:G5"/>
    <mergeCell ref="C6:E6"/>
    <mergeCell ref="H6:K6"/>
    <mergeCell ref="C9:F9"/>
    <mergeCell ref="D76:F76"/>
    <mergeCell ref="D91:F91"/>
  </mergeCells>
  <phoneticPr fontId="10"/>
  <dataValidations count="2">
    <dataValidation allowBlank="1" showInputMessage="1" showErrorMessage="1" sqref="K72:K74" xr:uid="{46DE85AA-3078-405B-A992-78482AAEB354}"/>
    <dataValidation imeMode="hiragana" allowBlank="1" showInputMessage="1" showErrorMessage="1" sqref="K93" xr:uid="{BFEB1837-0482-43B6-A7D9-43089D435AA6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140" zoomScaleNormal="100" zoomScaleSheetLayoutView="140" workbookViewId="0">
      <selection activeCell="A3" sqref="A1:XFD1048576"/>
    </sheetView>
  </sheetViews>
  <sheetFormatPr defaultColWidth="11.6640625" defaultRowHeight="13.5" customHeight="1"/>
  <cols>
    <col min="1" max="1" width="12.109375" bestFit="1" customWidth="1"/>
    <col min="2" max="2" width="31.44140625" bestFit="1" customWidth="1"/>
  </cols>
  <sheetData>
    <row r="1" spans="1:2" ht="13.5" customHeight="1">
      <c r="A1" s="105" t="s">
        <v>0</v>
      </c>
      <c r="B1" s="23" t="s">
        <v>104</v>
      </c>
    </row>
    <row r="2" spans="1:2" ht="13.5" customHeight="1">
      <c r="A2" s="105" t="s">
        <v>2</v>
      </c>
      <c r="B2" s="7" t="s">
        <v>87</v>
      </c>
    </row>
    <row r="3" spans="1:2" ht="13.5" customHeight="1">
      <c r="A3" s="105" t="s">
        <v>3</v>
      </c>
      <c r="B3" s="7" t="s">
        <v>103</v>
      </c>
    </row>
    <row r="4" spans="1:2" ht="13.5" customHeight="1">
      <c r="A4" s="105" t="s">
        <v>4</v>
      </c>
      <c r="B4" s="8">
        <v>44972</v>
      </c>
    </row>
    <row r="5" spans="1:2" ht="13.5" customHeight="1">
      <c r="A5" s="105" t="s">
        <v>5</v>
      </c>
      <c r="B5" s="8">
        <v>44975</v>
      </c>
    </row>
  </sheetData>
  <phoneticPr fontId="10"/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287"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7734375" defaultRowHeight="13.5" customHeight="1"/>
  <sheetData/>
  <phoneticPr fontId="10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原価一覧 (20240605) ③ 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齋藤 秀昭</cp:lastModifiedBy>
  <cp:lastPrinted>2023-01-13T04:52:35Z</cp:lastPrinted>
  <dcterms:created xsi:type="dcterms:W3CDTF">2016-05-16T08:05:24Z</dcterms:created>
  <dcterms:modified xsi:type="dcterms:W3CDTF">2024-10-31T09:25:50Z</dcterms:modified>
</cp:coreProperties>
</file>