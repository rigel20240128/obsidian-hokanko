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mc:AlternateContent xmlns:mc="http://schemas.openxmlformats.org/markup-compatibility/2006">
    <mc:Choice Requires="x15">
      <x15ac:absPath xmlns:x15ac="http://schemas.microsoft.com/office/spreadsheetml/2010/11/ac" url="\\Sv-ap\data\製品管理部(機材)出荷管理課・資材調達課\機材・資材調達課(ﾛﾎﾞｯﾄ部品手配)\"/>
    </mc:Choice>
  </mc:AlternateContent>
  <xr:revisionPtr revIDLastSave="0" documentId="13_ncr:1_{AC9E063E-CEF4-4BE6-982A-CEBE5098B7C1}" xr6:coauthVersionLast="47" xr6:coauthVersionMax="47" xr10:uidLastSave="{00000000-0000-0000-0000-000000000000}"/>
  <bookViews>
    <workbookView xWindow="-120" yWindow="-120" windowWidth="29040" windowHeight="15840" xr2:uid="{00000000-000D-0000-FFFF-FFFF00000000}"/>
  </bookViews>
  <sheets>
    <sheet name="発注 (20240425) " sheetId="12" r:id="rId1"/>
    <sheet name="Sheet1" sheetId="13" r:id="rId2"/>
    <sheet name="Sheet2" sheetId="2" r:id="rId3"/>
    <sheet name="Sheet3" sheetId="3" r:id="rId4"/>
  </sheets>
  <definedNames>
    <definedName name="_xlnm._FilterDatabase" localSheetId="0">'発注 (20240425) '!$C$10:$P$10</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I117" i="12" l="1"/>
  <c r="I116" i="12"/>
  <c r="C116" i="12"/>
  <c r="C117" i="12" s="1"/>
  <c r="I60" i="12"/>
  <c r="I59" i="12"/>
  <c r="I81" i="12"/>
  <c r="I91" i="12"/>
  <c r="I89" i="12"/>
  <c r="I90" i="12" l="1"/>
  <c r="I119" i="12"/>
  <c r="I118" i="12"/>
  <c r="I115" i="12"/>
  <c r="I65" i="12"/>
  <c r="I66" i="12"/>
  <c r="I45" i="12"/>
  <c r="F121" i="12" l="1"/>
  <c r="I49" i="12"/>
  <c r="I48" i="12"/>
  <c r="I47" i="12"/>
  <c r="I46" i="12"/>
  <c r="I44" i="12"/>
  <c r="I43" i="12"/>
  <c r="I42" i="12"/>
  <c r="F51" i="12" l="1"/>
  <c r="I87" i="12"/>
  <c r="I86" i="12"/>
  <c r="I85" i="12"/>
  <c r="I84" i="12"/>
  <c r="I83" i="12"/>
  <c r="I82" i="12"/>
  <c r="I80" i="12"/>
  <c r="I79" i="12"/>
  <c r="I78" i="12"/>
  <c r="I77" i="12"/>
  <c r="I76" i="12"/>
  <c r="I75" i="12"/>
  <c r="I74" i="12"/>
  <c r="I73" i="12"/>
  <c r="I64" i="12"/>
  <c r="I63" i="12"/>
  <c r="I62" i="12"/>
  <c r="I61" i="12"/>
  <c r="I58" i="12"/>
  <c r="I57" i="12"/>
  <c r="I35" i="12"/>
  <c r="I34" i="12"/>
  <c r="I32" i="12"/>
  <c r="I31" i="12"/>
  <c r="I30" i="12"/>
  <c r="I29" i="12"/>
  <c r="I28" i="12"/>
  <c r="I27" i="12"/>
  <c r="I25" i="12"/>
  <c r="I24" i="12"/>
  <c r="I23" i="12"/>
  <c r="I22" i="12"/>
  <c r="I21" i="12"/>
  <c r="I19" i="12"/>
  <c r="I18" i="12"/>
  <c r="I17" i="12"/>
  <c r="I16" i="12"/>
  <c r="I15" i="12"/>
  <c r="I14" i="12"/>
  <c r="I159" i="12"/>
  <c r="I158" i="12"/>
  <c r="I157" i="12"/>
  <c r="I156" i="12"/>
  <c r="I155" i="12"/>
  <c r="I154" i="12"/>
  <c r="I153" i="12"/>
  <c r="I152" i="12"/>
  <c r="I151" i="12"/>
  <c r="I150" i="12"/>
  <c r="I149" i="12"/>
  <c r="I148" i="12"/>
  <c r="I147" i="12"/>
  <c r="I146" i="12"/>
  <c r="I145" i="12"/>
  <c r="I144" i="12"/>
  <c r="I143" i="12"/>
  <c r="I142" i="12"/>
  <c r="I141" i="12"/>
  <c r="I140" i="12"/>
  <c r="I139" i="12"/>
  <c r="I138" i="12"/>
  <c r="I137" i="12"/>
  <c r="I136" i="12"/>
  <c r="I135" i="12"/>
  <c r="I134" i="12"/>
  <c r="I133" i="12"/>
  <c r="I132" i="12"/>
  <c r="I131" i="12"/>
  <c r="I130" i="12"/>
  <c r="I129" i="12"/>
  <c r="I128" i="12"/>
  <c r="I108" i="12"/>
  <c r="I107" i="12"/>
  <c r="I106" i="12"/>
  <c r="I105" i="12"/>
  <c r="I104" i="12"/>
  <c r="I103" i="12"/>
  <c r="I102" i="12"/>
  <c r="I101" i="12"/>
  <c r="I100" i="12"/>
  <c r="I99" i="12"/>
  <c r="I98" i="12"/>
  <c r="F93" i="12" l="1"/>
  <c r="F68" i="12"/>
  <c r="F37" i="12"/>
  <c r="F111" i="12"/>
  <c r="F164" i="12" l="1"/>
  <c r="C15" i="12"/>
  <c r="C16" i="12" s="1"/>
  <c r="C17" i="12" l="1"/>
  <c r="C18" i="12" s="1"/>
  <c r="C19" i="12" s="1"/>
  <c r="C21" i="12" s="1"/>
  <c r="C22" i="12" s="1"/>
  <c r="C23" i="12" s="1"/>
  <c r="C24" i="12" s="1"/>
  <c r="C25" i="12" s="1"/>
  <c r="C27" i="12" s="1"/>
  <c r="C28" i="12" s="1"/>
  <c r="C29" i="12" s="1"/>
  <c r="C30" i="12" s="1"/>
  <c r="C31" i="12" s="1"/>
  <c r="C32" i="12" s="1"/>
  <c r="C34" i="12" s="1"/>
  <c r="C35" i="12" s="1"/>
  <c r="C42" i="12" s="1"/>
  <c r="C43" i="12" s="1"/>
  <c r="C44" i="12" s="1"/>
  <c r="C45" i="12" s="1"/>
  <c r="C46" i="12" s="1"/>
  <c r="C47" i="12" s="1"/>
  <c r="C48" i="12" s="1"/>
  <c r="C49" i="12" s="1"/>
  <c r="C57" i="12" s="1"/>
  <c r="I198" i="12"/>
  <c r="I197" i="12"/>
  <c r="I196" i="12"/>
  <c r="C58" i="12" l="1"/>
  <c r="K2" i="12"/>
  <c r="C59" i="12" l="1"/>
  <c r="C60" i="12" s="1"/>
  <c r="C61" i="12" s="1"/>
  <c r="C62" i="12" s="1"/>
  <c r="C63" i="12" s="1"/>
  <c r="C64" i="12" s="1"/>
  <c r="C65" i="12" s="1"/>
  <c r="C66" i="12" s="1"/>
  <c r="C73" i="12" s="1"/>
  <c r="C74" i="12" s="1"/>
  <c r="C75" i="12" s="1"/>
  <c r="C76" i="12" s="1"/>
  <c r="C77" i="12" s="1"/>
  <c r="C78" i="12" s="1"/>
  <c r="C79" i="12" s="1"/>
  <c r="C80" i="12" s="1"/>
  <c r="C81" i="12" s="1"/>
  <c r="C82" i="12" s="1"/>
  <c r="C83" i="12" s="1"/>
  <c r="C84" i="12" s="1"/>
  <c r="C85" i="12" s="1"/>
  <c r="C86" i="12" s="1"/>
  <c r="C87" i="12" s="1"/>
  <c r="C89" i="12" s="1"/>
  <c r="C90" i="12" s="1"/>
  <c r="C91" i="12" s="1"/>
  <c r="C98" i="12" s="1"/>
  <c r="C99" i="12" s="1"/>
  <c r="C100" i="12" s="1"/>
  <c r="C101" i="12" s="1"/>
  <c r="C102" i="12" s="1"/>
  <c r="C103" i="12" s="1"/>
  <c r="C104" i="12" s="1"/>
  <c r="C105" i="12" s="1"/>
  <c r="C106" i="12" s="1"/>
  <c r="C107" i="12" s="1"/>
  <c r="C108" i="12" s="1"/>
  <c r="C115" i="12" s="1"/>
  <c r="C118" i="12" s="1"/>
  <c r="C119" i="12" s="1"/>
  <c r="C128" i="12" l="1"/>
  <c r="C129" i="12" s="1"/>
  <c r="C130" i="12" s="1"/>
  <c r="C131" i="12" s="1"/>
  <c r="C132" i="12" s="1"/>
  <c r="C133" i="12" s="1"/>
  <c r="C134" i="12" s="1"/>
  <c r="C135" i="12" s="1"/>
  <c r="C136" i="12" s="1"/>
  <c r="C137" i="12" s="1"/>
  <c r="C138" i="12" s="1"/>
  <c r="C139" i="12" s="1"/>
  <c r="C140" i="12" s="1"/>
  <c r="C141" i="12" s="1"/>
  <c r="C142" i="12" s="1"/>
  <c r="C143" i="12" s="1"/>
  <c r="C144" i="12" s="1"/>
  <c r="C145" i="12" s="1"/>
  <c r="C146" i="12" s="1"/>
  <c r="C147" i="12" s="1"/>
  <c r="C148" i="12" s="1"/>
  <c r="C149" i="12" s="1"/>
  <c r="C150" i="12" s="1"/>
  <c r="C151" i="12" s="1"/>
  <c r="C152" i="12" s="1"/>
  <c r="C153" i="12" s="1"/>
  <c r="C154" i="12" s="1"/>
  <c r="C155" i="12" s="1"/>
  <c r="C156" i="12" s="1"/>
  <c r="C157" i="12" s="1"/>
  <c r="C158" i="12" s="1"/>
  <c r="C159" i="12" s="1"/>
</calcChain>
</file>

<file path=xl/sharedStrings.xml><?xml version="1.0" encoding="utf-8"?>
<sst xmlns="http://schemas.openxmlformats.org/spreadsheetml/2006/main" count="677" uniqueCount="288">
  <si>
    <t>お客先名</t>
  </si>
  <si>
    <t>合計金額</t>
  </si>
  <si>
    <t>担当営業</t>
  </si>
  <si>
    <t>受注番号</t>
  </si>
  <si>
    <t>希望納期</t>
  </si>
  <si>
    <t>最終納品</t>
  </si>
  <si>
    <t>見積り分類</t>
  </si>
  <si>
    <t>メーカー</t>
  </si>
  <si>
    <t>仕入先</t>
  </si>
  <si>
    <t>品名 / 型式</t>
  </si>
  <si>
    <t>数量</t>
  </si>
  <si>
    <t>単価</t>
  </si>
  <si>
    <t>金額</t>
  </si>
  <si>
    <t>分類合計</t>
  </si>
  <si>
    <t>詳細</t>
  </si>
  <si>
    <t>備考</t>
  </si>
  <si>
    <t>技術分類</t>
  </si>
  <si>
    <t>発注日</t>
  </si>
  <si>
    <t>発注</t>
  </si>
  <si>
    <t>納期</t>
  </si>
  <si>
    <t>入荷予定日</t>
  </si>
  <si>
    <t>入荷日</t>
  </si>
  <si>
    <t>運送費</t>
  </si>
  <si>
    <t>設計費</t>
  </si>
  <si>
    <t>組立調整費</t>
  </si>
  <si>
    <t>出荷依頼項目NO.</t>
    <rPh sb="0" eb="4">
      <t>シュッカイライ</t>
    </rPh>
    <rPh sb="4" eb="6">
      <t>コウモク</t>
    </rPh>
    <phoneticPr fontId="10"/>
  </si>
  <si>
    <t>10日目</t>
    <rPh sb="2" eb="3">
      <t>ヒ</t>
    </rPh>
    <rPh sb="3" eb="4">
      <t>メ</t>
    </rPh>
    <phoneticPr fontId="11"/>
  </si>
  <si>
    <t>株式会社ナカヨ様(成電社）</t>
    <rPh sb="0" eb="4">
      <t>カブシキガイシャ</t>
    </rPh>
    <rPh sb="7" eb="8">
      <t>サマ</t>
    </rPh>
    <rPh sb="9" eb="12">
      <t>セイデンシャ</t>
    </rPh>
    <phoneticPr fontId="10"/>
  </si>
  <si>
    <t>勝田、米山</t>
    <rPh sb="0" eb="2">
      <t>カツタ</t>
    </rPh>
    <rPh sb="3" eb="5">
      <t>ヨネヤマ</t>
    </rPh>
    <phoneticPr fontId="10"/>
  </si>
  <si>
    <t>Ｎo.214491</t>
    <phoneticPr fontId="10"/>
  </si>
  <si>
    <t>ミスミ</t>
    <phoneticPr fontId="11"/>
  </si>
  <si>
    <t>配電BOX　関連</t>
    <rPh sb="0" eb="2">
      <t>ハイデン</t>
    </rPh>
    <rPh sb="6" eb="8">
      <t>カンレン</t>
    </rPh>
    <phoneticPr fontId="11"/>
  </si>
  <si>
    <t>1日目</t>
    <rPh sb="1" eb="2">
      <t>ヒ</t>
    </rPh>
    <rPh sb="2" eb="3">
      <t>メ</t>
    </rPh>
    <phoneticPr fontId="11"/>
  </si>
  <si>
    <t>3日目</t>
    <rPh sb="1" eb="2">
      <t>ヒ</t>
    </rPh>
    <rPh sb="2" eb="3">
      <t>メ</t>
    </rPh>
    <phoneticPr fontId="11"/>
  </si>
  <si>
    <t>2日目</t>
    <rPh sb="1" eb="2">
      <t>ヒ</t>
    </rPh>
    <rPh sb="2" eb="3">
      <t>メ</t>
    </rPh>
    <phoneticPr fontId="11"/>
  </si>
  <si>
    <t>5日目</t>
    <rPh sb="1" eb="3">
      <t>ヒメ</t>
    </rPh>
    <phoneticPr fontId="11"/>
  </si>
  <si>
    <t>SETB-0209-A01 JR3404+SV70チルドモーター+捨て射ち+配電BOX+圧送タンク  20240423</t>
    <phoneticPr fontId="10"/>
  </si>
  <si>
    <t>8日目</t>
    <rPh sb="1" eb="3">
      <t>ヒメ</t>
    </rPh>
    <phoneticPr fontId="11"/>
  </si>
  <si>
    <t>ｼﾘﾝｼﾞレギュレーター</t>
    <phoneticPr fontId="11"/>
  </si>
  <si>
    <t>meviy</t>
    <phoneticPr fontId="11"/>
  </si>
  <si>
    <t>MVSHM-3N02052005020-2D1-AN79X</t>
    <phoneticPr fontId="11"/>
  </si>
  <si>
    <t>158930－Z001　レギュレーター取付板金</t>
    <phoneticPr fontId="11"/>
  </si>
  <si>
    <t>BVHV6-1-3-A</t>
    <phoneticPr fontId="11"/>
  </si>
  <si>
    <t>ハンドバルブ</t>
    <phoneticPr fontId="11"/>
  </si>
  <si>
    <t>CHNS4</t>
    <phoneticPr fontId="11"/>
  </si>
  <si>
    <t>蝶ﾅｯﾄ</t>
    <phoneticPr fontId="11"/>
  </si>
  <si>
    <t>SMC</t>
    <phoneticPr fontId="11"/>
  </si>
  <si>
    <t>制御機材</t>
    <rPh sb="0" eb="1">
      <t>セイ</t>
    </rPh>
    <rPh sb="1" eb="2">
      <t>オ</t>
    </rPh>
    <rPh sb="2" eb="4">
      <t>キザイ</t>
    </rPh>
    <phoneticPr fontId="11"/>
  </si>
  <si>
    <t>エアタック</t>
    <phoneticPr fontId="11"/>
  </si>
  <si>
    <t>PC401</t>
    <phoneticPr fontId="11"/>
  </si>
  <si>
    <t>ﾜﾝﾀｯﾁﾂｷﾞﾃ PCｼﾘｰｽﾞ</t>
    <phoneticPr fontId="10"/>
  </si>
  <si>
    <t>RSCB4-15</t>
    <phoneticPr fontId="11"/>
  </si>
  <si>
    <t>六角ﾎﾞﾙﾄ</t>
    <phoneticPr fontId="11"/>
  </si>
  <si>
    <t>UJDST4-W</t>
    <phoneticPr fontId="11"/>
  </si>
  <si>
    <t>ﾜﾝﾀｯﾁ継手異径ﾕﾆｵﾝｽﾄﾚｰﾄ</t>
    <rPh sb="5" eb="7">
      <t>ツギテ</t>
    </rPh>
    <rPh sb="7" eb="8">
      <t>イ</t>
    </rPh>
    <rPh sb="8" eb="9">
      <t>ケイ</t>
    </rPh>
    <phoneticPr fontId="11"/>
  </si>
  <si>
    <t xml:space="preserve">USYL6 </t>
    <phoneticPr fontId="11"/>
  </si>
  <si>
    <t>ワンタッチ継手　Ｙタイプ</t>
    <phoneticPr fontId="11"/>
  </si>
  <si>
    <t>USSTL4</t>
    <phoneticPr fontId="11"/>
  </si>
  <si>
    <t>ﾜﾝﾀｯﾁ継手ﾕﾆｵﾝｽﾄﾚｰﾄ</t>
    <rPh sb="5" eb="7">
      <t>ツギテ</t>
    </rPh>
    <phoneticPr fontId="11"/>
  </si>
  <si>
    <t>BSLG6</t>
    <phoneticPr fontId="11"/>
  </si>
  <si>
    <t>ワンタッチ継手　ブラインドプラグ</t>
  </si>
  <si>
    <t>SCB4-6</t>
    <phoneticPr fontId="11"/>
  </si>
  <si>
    <t>六角穴付きﾎﾞﾙﾄ　M4×6mm　　　　2本</t>
    <rPh sb="21" eb="22">
      <t>ホン</t>
    </rPh>
    <phoneticPr fontId="11"/>
  </si>
  <si>
    <t>A8110</t>
    <phoneticPr fontId="11"/>
  </si>
  <si>
    <t>汎用3芯OAタップ 4ヶ口</t>
    <phoneticPr fontId="11"/>
  </si>
  <si>
    <t>ＪＡＰＰＹ</t>
    <phoneticPr fontId="11"/>
  </si>
  <si>
    <t>ADR-341-JP</t>
    <phoneticPr fontId="11"/>
  </si>
  <si>
    <t>配線ダクト（側片折り取り可能）　1本　　カッチンダクト</t>
    <rPh sb="17" eb="18">
      <t>ホン</t>
    </rPh>
    <phoneticPr fontId="11"/>
  </si>
  <si>
    <t>富士電機</t>
    <rPh sb="0" eb="2">
      <t>フジ</t>
    </rPh>
    <rPh sb="2" eb="4">
      <t>デンキ</t>
    </rPh>
    <phoneticPr fontId="11"/>
  </si>
  <si>
    <t>制御機材</t>
    <rPh sb="0" eb="4">
      <t>セイギョキザイ</t>
    </rPh>
    <phoneticPr fontId="11"/>
  </si>
  <si>
    <t>CP30FM-2P005 5A</t>
    <phoneticPr fontId="11"/>
  </si>
  <si>
    <t>サーキットプロテクター</t>
    <phoneticPr fontId="11"/>
  </si>
  <si>
    <t>CP30FM-2P007 7A</t>
    <phoneticPr fontId="11"/>
  </si>
  <si>
    <t xml:space="preserve">DR30D0L-H9W </t>
    <phoneticPr fontId="11"/>
  </si>
  <si>
    <t>φ30 コマンドスイッチ DR30 表示灯</t>
    <phoneticPr fontId="11"/>
  </si>
  <si>
    <t>EBS-32FB-15A</t>
    <phoneticPr fontId="11"/>
  </si>
  <si>
    <t>漏電ブレーカ</t>
    <rPh sb="0" eb="2">
      <t>ロウデン</t>
    </rPh>
    <phoneticPr fontId="11"/>
  </si>
  <si>
    <t>TBS-22</t>
    <phoneticPr fontId="11"/>
  </si>
  <si>
    <r>
      <t>端子カバー　</t>
    </r>
    <r>
      <rPr>
        <b/>
        <sz val="11"/>
        <rFont val="ＭＳ Ｐゴシック"/>
        <family val="3"/>
        <charset val="128"/>
      </rPr>
      <t>　</t>
    </r>
    <phoneticPr fontId="11"/>
  </si>
  <si>
    <t>MKS9L-10P</t>
    <phoneticPr fontId="11"/>
  </si>
  <si>
    <t>MKBシリーズ　止め金具【10個入り】</t>
    <phoneticPr fontId="11"/>
  </si>
  <si>
    <t>MWS-MDR50-HT50</t>
    <phoneticPr fontId="11"/>
  </si>
  <si>
    <t>MWSシリーズ（バネアップ）,対応圧着端子：Y端子/丸端子</t>
    <phoneticPr fontId="11"/>
  </si>
  <si>
    <t>MWS-DS37A-HT37</t>
    <phoneticPr fontId="11"/>
  </si>
  <si>
    <t>MWSシリーズ（バネアップ）,DINレール取付、ネジ取付両対応</t>
    <phoneticPr fontId="11"/>
  </si>
  <si>
    <t>オムロン</t>
    <phoneticPr fontId="11"/>
  </si>
  <si>
    <t>制御機材</t>
    <rPh sb="0" eb="2">
      <t>セイギョ</t>
    </rPh>
    <rPh sb="2" eb="4">
      <t>キザイ</t>
    </rPh>
    <phoneticPr fontId="11"/>
  </si>
  <si>
    <t>S8VS-12024</t>
    <phoneticPr fontId="11"/>
  </si>
  <si>
    <t>パワーサプライ   5A</t>
    <phoneticPr fontId="11"/>
  </si>
  <si>
    <t>3VC-3</t>
    <phoneticPr fontId="11"/>
  </si>
  <si>
    <t>ACコード 固定長（PSE） 片側切り落としタイププラグ</t>
    <phoneticPr fontId="11"/>
  </si>
  <si>
    <t>MRB-440</t>
    <phoneticPr fontId="11"/>
  </si>
  <si>
    <t>DINレール</t>
    <phoneticPr fontId="11"/>
  </si>
  <si>
    <t>三沢電線</t>
    <rPh sb="0" eb="2">
      <t>ミサワ</t>
    </rPh>
    <rPh sb="2" eb="4">
      <t>デンセン</t>
    </rPh>
    <phoneticPr fontId="11"/>
  </si>
  <si>
    <t>UL1007-20AWG-BE-10</t>
    <phoneticPr fontId="11"/>
  </si>
  <si>
    <t>単芯電線　　0.5　AGW20　青色</t>
    <rPh sb="0" eb="1">
      <t>タン</t>
    </rPh>
    <rPh sb="1" eb="2">
      <t>シン</t>
    </rPh>
    <rPh sb="2" eb="4">
      <t>デンセン</t>
    </rPh>
    <rPh sb="16" eb="17">
      <t>アオ</t>
    </rPh>
    <rPh sb="17" eb="18">
      <t>イロ</t>
    </rPh>
    <phoneticPr fontId="11"/>
  </si>
  <si>
    <t>UL1007-18AWG-R-10</t>
    <phoneticPr fontId="11"/>
  </si>
  <si>
    <t>単芯電線　　0.75　AGW18　赤色</t>
    <rPh sb="0" eb="1">
      <t>タン</t>
    </rPh>
    <rPh sb="1" eb="2">
      <t>シン</t>
    </rPh>
    <rPh sb="2" eb="4">
      <t>デンセン</t>
    </rPh>
    <rPh sb="17" eb="19">
      <t>アカイロ</t>
    </rPh>
    <phoneticPr fontId="11"/>
  </si>
  <si>
    <t>UL1007-18AWG-BK-10</t>
    <phoneticPr fontId="11"/>
  </si>
  <si>
    <t>単芯電線　　0.75　AGW18　黒色</t>
    <rPh sb="0" eb="1">
      <t>タン</t>
    </rPh>
    <rPh sb="1" eb="2">
      <t>シン</t>
    </rPh>
    <rPh sb="2" eb="4">
      <t>デンセン</t>
    </rPh>
    <rPh sb="17" eb="19">
      <t>コクショク</t>
    </rPh>
    <phoneticPr fontId="11"/>
  </si>
  <si>
    <t>UL1007-18AWG-Y-10</t>
    <phoneticPr fontId="11"/>
  </si>
  <si>
    <t>単芯電線　　0.75　AGW18　黄色</t>
    <rPh sb="0" eb="1">
      <t>タン</t>
    </rPh>
    <rPh sb="1" eb="2">
      <t>シン</t>
    </rPh>
    <rPh sb="2" eb="4">
      <t>デンセン</t>
    </rPh>
    <rPh sb="17" eb="19">
      <t>キイロ</t>
    </rPh>
    <phoneticPr fontId="11"/>
  </si>
  <si>
    <t>UL1007-18AWG-GN-10</t>
    <phoneticPr fontId="11"/>
  </si>
  <si>
    <t>単芯電線　　0.75　AGW18　緑色</t>
    <rPh sb="0" eb="1">
      <t>タン</t>
    </rPh>
    <rPh sb="1" eb="2">
      <t>シン</t>
    </rPh>
    <rPh sb="2" eb="4">
      <t>デンセン</t>
    </rPh>
    <rPh sb="17" eb="19">
      <t>ミドリイロ</t>
    </rPh>
    <phoneticPr fontId="11"/>
  </si>
  <si>
    <t>UL1007-16AWG-Y-10</t>
    <phoneticPr fontId="11"/>
  </si>
  <si>
    <t>単芯電線　　1.25　AGW16　黄色</t>
    <rPh sb="0" eb="1">
      <t>タン</t>
    </rPh>
    <rPh sb="1" eb="2">
      <t>シン</t>
    </rPh>
    <rPh sb="2" eb="4">
      <t>デンセン</t>
    </rPh>
    <rPh sb="17" eb="19">
      <t>キイロ</t>
    </rPh>
    <phoneticPr fontId="11"/>
  </si>
  <si>
    <t>UL1007-16AWG-GN-10</t>
    <phoneticPr fontId="11"/>
  </si>
  <si>
    <t>単芯電線　　1.25　AGW16　緑色</t>
    <rPh sb="0" eb="1">
      <t>タン</t>
    </rPh>
    <rPh sb="1" eb="2">
      <t>シン</t>
    </rPh>
    <rPh sb="2" eb="4">
      <t>デンセン</t>
    </rPh>
    <rPh sb="17" eb="19">
      <t>ミドリイロ</t>
    </rPh>
    <phoneticPr fontId="11"/>
  </si>
  <si>
    <t>SS300UCRSB-23-3-20</t>
    <phoneticPr fontId="11"/>
  </si>
  <si>
    <t>SS300UCR UL/CE対応（シールド有(３芯）</t>
    <rPh sb="24" eb="25">
      <t>シン</t>
    </rPh>
    <phoneticPr fontId="11"/>
  </si>
  <si>
    <t>RSAU-PS-500-330-200-K-WB2204120331</t>
    <phoneticPr fontId="11"/>
  </si>
  <si>
    <t>Web設計ボックス</t>
    <rPh sb="3" eb="5">
      <t>セッケイ</t>
    </rPh>
    <phoneticPr fontId="11"/>
  </si>
  <si>
    <t>タキゲン製造</t>
    <rPh sb="4" eb="6">
      <t>セイゾウ</t>
    </rPh>
    <phoneticPr fontId="11"/>
  </si>
  <si>
    <t>C-30-SG-30X90A-EP-UL</t>
    <phoneticPr fontId="11"/>
  </si>
  <si>
    <t>グロメット　　2個</t>
    <rPh sb="8" eb="9">
      <t>コ</t>
    </rPh>
    <phoneticPr fontId="11"/>
  </si>
  <si>
    <t>AYSK15-10</t>
    <phoneticPr fontId="11"/>
  </si>
  <si>
    <t>ゴム足</t>
    <rPh sb="2" eb="3">
      <t>アシ</t>
    </rPh>
    <phoneticPr fontId="11"/>
  </si>
  <si>
    <t>ミスミ</t>
  </si>
  <si>
    <t xml:space="preserve">SCB4-8  </t>
    <phoneticPr fontId="11"/>
  </si>
  <si>
    <t>六角穴付ボルト　　4本 在庫使用</t>
    <rPh sb="10" eb="11">
      <t>ホン</t>
    </rPh>
    <phoneticPr fontId="11"/>
  </si>
  <si>
    <t>ﾜｺﾞ</t>
    <phoneticPr fontId="11"/>
  </si>
  <si>
    <t>2000-1301</t>
    <phoneticPr fontId="11"/>
  </si>
  <si>
    <t>DINレール用中継端子台 2000シリーズ　ｸﾞﾚｰ色　　16個</t>
    <rPh sb="26" eb="27">
      <t>ショク</t>
    </rPh>
    <rPh sb="31" eb="32">
      <t>コ</t>
    </rPh>
    <phoneticPr fontId="11"/>
  </si>
  <si>
    <t>2000-1391</t>
    <phoneticPr fontId="11"/>
  </si>
  <si>
    <t>中継用端子台用エンドプレート  ｸﾞﾚｰ色　4枚</t>
    <rPh sb="23" eb="24">
      <t>マイ</t>
    </rPh>
    <phoneticPr fontId="11"/>
  </si>
  <si>
    <t>2000-404</t>
    <phoneticPr fontId="11"/>
  </si>
  <si>
    <t>中継用端子台 差込型ジャンパ（絶縁）　　4個</t>
    <rPh sb="21" eb="22">
      <t>コ</t>
    </rPh>
    <phoneticPr fontId="11"/>
  </si>
  <si>
    <t>2002-1301</t>
    <phoneticPr fontId="11"/>
  </si>
  <si>
    <t>DINレール用中継端子台 2002シリーズ　ｸﾞﾚｰ色　　6個</t>
    <rPh sb="26" eb="27">
      <t>ショク</t>
    </rPh>
    <rPh sb="30" eb="31">
      <t>コ</t>
    </rPh>
    <phoneticPr fontId="11"/>
  </si>
  <si>
    <t>2002-1307</t>
    <phoneticPr fontId="11"/>
  </si>
  <si>
    <t>DINレール用中継端子台 2002シリーズ　ｱｰｽ用ｸﾞﾘｰﾝ色　3個</t>
    <rPh sb="25" eb="26">
      <t>ヨウ</t>
    </rPh>
    <rPh sb="31" eb="32">
      <t>イロ</t>
    </rPh>
    <rPh sb="34" eb="35">
      <t>コ</t>
    </rPh>
    <phoneticPr fontId="11"/>
  </si>
  <si>
    <t>2002-403</t>
    <phoneticPr fontId="11"/>
  </si>
  <si>
    <t>中継用端子台 差込型ジャンパ（絶縁） 2002シリーズ用　3個</t>
    <rPh sb="30" eb="31">
      <t>コ</t>
    </rPh>
    <phoneticPr fontId="11"/>
  </si>
  <si>
    <t>2002-1391</t>
    <phoneticPr fontId="11"/>
  </si>
  <si>
    <t>中継用端子台用エンドプレート　　4個</t>
    <rPh sb="17" eb="18">
      <t>コ</t>
    </rPh>
    <phoneticPr fontId="11"/>
  </si>
  <si>
    <t>1日目</t>
    <rPh sb="1" eb="3">
      <t>ヒメ</t>
    </rPh>
    <phoneticPr fontId="11"/>
  </si>
  <si>
    <t>6日目</t>
    <rPh sb="1" eb="3">
      <t>ヒメ</t>
    </rPh>
    <phoneticPr fontId="11"/>
  </si>
  <si>
    <t>10日間</t>
    <rPh sb="2" eb="3">
      <t>ヒ</t>
    </rPh>
    <rPh sb="3" eb="4">
      <t>カン</t>
    </rPh>
    <phoneticPr fontId="11"/>
  </si>
  <si>
    <t>ﾂｰﾙ冶具ﾕﾆｯﾄ</t>
    <phoneticPr fontId="11"/>
  </si>
  <si>
    <t>8日目</t>
    <rPh sb="1" eb="2">
      <t>ヒ</t>
    </rPh>
    <rPh sb="2" eb="3">
      <t>メ</t>
    </rPh>
    <phoneticPr fontId="11"/>
  </si>
  <si>
    <t>CBSST3-6</t>
    <phoneticPr fontId="11"/>
  </si>
  <si>
    <t>低頭六角穴付ボルト</t>
    <phoneticPr fontId="11"/>
  </si>
  <si>
    <t>モーター駆動軸先端固定用ﾈｼﾞ</t>
    <rPh sb="4" eb="6">
      <t>クドウ</t>
    </rPh>
    <rPh sb="6" eb="7">
      <t>ジク</t>
    </rPh>
    <rPh sb="7" eb="9">
      <t>センタン</t>
    </rPh>
    <rPh sb="9" eb="11">
      <t>コテイ</t>
    </rPh>
    <rPh sb="11" eb="12">
      <t>ヨウ</t>
    </rPh>
    <phoneticPr fontId="11"/>
  </si>
  <si>
    <t>MS3-10</t>
    <phoneticPr fontId="11"/>
  </si>
  <si>
    <t>ノックピン　－プラス公差　2本</t>
    <rPh sb="14" eb="15">
      <t>ホン</t>
    </rPh>
    <phoneticPr fontId="11"/>
  </si>
  <si>
    <t>SCB4-14</t>
    <phoneticPr fontId="11"/>
  </si>
  <si>
    <t>SCB4-25</t>
    <phoneticPr fontId="11"/>
  </si>
  <si>
    <t>ﾛﾎﾞｯﾄθ軸固定用</t>
    <phoneticPr fontId="11"/>
  </si>
  <si>
    <t xml:space="preserve">SLBNR4 </t>
    <phoneticPr fontId="11"/>
  </si>
  <si>
    <t>ナット　　1個</t>
    <rPh sb="6" eb="7">
      <t>コ</t>
    </rPh>
    <phoneticPr fontId="11"/>
  </si>
  <si>
    <t>sunco</t>
    <phoneticPr fontId="11"/>
  </si>
  <si>
    <t>SSHNI-ST-M4-14</t>
    <phoneticPr fontId="11"/>
  </si>
  <si>
    <t>六角穴付 止めねじ 棒先 アンスコ製　　1個</t>
    <rPh sb="21" eb="22">
      <t>コ</t>
    </rPh>
    <phoneticPr fontId="11"/>
  </si>
  <si>
    <t>WSSS12-3-1</t>
    <phoneticPr fontId="11"/>
  </si>
  <si>
    <t>金属ワッシャ　Ｔ寸選択・指定タイプ</t>
    <phoneticPr fontId="11"/>
  </si>
  <si>
    <t>モーター駆動軸先端固定用ｽﾍﾟｰｻ部使用</t>
    <rPh sb="4" eb="6">
      <t>クドウ</t>
    </rPh>
    <rPh sb="6" eb="7">
      <t>ジク</t>
    </rPh>
    <rPh sb="7" eb="9">
      <t>センタン</t>
    </rPh>
    <rPh sb="9" eb="11">
      <t>コテイ</t>
    </rPh>
    <rPh sb="11" eb="12">
      <t>ヨウ</t>
    </rPh>
    <rPh sb="17" eb="18">
      <t>ブ</t>
    </rPh>
    <rPh sb="18" eb="20">
      <t>シヨウ</t>
    </rPh>
    <phoneticPr fontId="11"/>
  </si>
  <si>
    <t>MSSFS4-8</t>
    <phoneticPr fontId="11"/>
  </si>
  <si>
    <t>六角穴付止めねじ平先</t>
    <phoneticPr fontId="11"/>
  </si>
  <si>
    <t>SETB-0091-Ｙ05 に固定</t>
    <rPh sb="15" eb="17">
      <t>コテイ</t>
    </rPh>
    <phoneticPr fontId="11"/>
  </si>
  <si>
    <t>六角穴付きﾎﾞﾙﾄ　 (M4×25)　2本</t>
    <rPh sb="20" eb="21">
      <t>ホン</t>
    </rPh>
    <phoneticPr fontId="11"/>
  </si>
  <si>
    <t>SCB5-10</t>
    <phoneticPr fontId="11"/>
  </si>
  <si>
    <t>六角穴付きﾎﾞﾙﾄ　M5×10mm　1本</t>
    <rPh sb="19" eb="20">
      <t>ホン</t>
    </rPh>
    <phoneticPr fontId="11"/>
  </si>
  <si>
    <t>ﾛﾎﾞｯﾄθ軸固定用</t>
    <rPh sb="6" eb="7">
      <t>ジク</t>
    </rPh>
    <rPh sb="7" eb="9">
      <t>コテイ</t>
    </rPh>
    <rPh sb="9" eb="10">
      <t>ヨウ</t>
    </rPh>
    <phoneticPr fontId="11"/>
  </si>
  <si>
    <t>WSSS16-5-3</t>
    <phoneticPr fontId="11"/>
  </si>
  <si>
    <t>DCLS-D17-V10-H22-T1.5-L5.5</t>
    <phoneticPr fontId="11"/>
  </si>
  <si>
    <t>段付スペーサ</t>
    <phoneticPr fontId="11"/>
  </si>
  <si>
    <t>SETB-0091-Ｙ06 モータ受けとして</t>
    <rPh sb="17" eb="18">
      <t>ウ</t>
    </rPh>
    <phoneticPr fontId="11"/>
  </si>
  <si>
    <t>FL6903ZZ</t>
    <phoneticPr fontId="11"/>
  </si>
  <si>
    <t>小径玉軸受　フランジ付両シールド形</t>
    <phoneticPr fontId="11"/>
  </si>
  <si>
    <t>ノックピン　－プラス公差　8本</t>
    <rPh sb="14" eb="15">
      <t>ホン</t>
    </rPh>
    <phoneticPr fontId="11"/>
  </si>
  <si>
    <t>SCB4-45</t>
    <phoneticPr fontId="11"/>
  </si>
  <si>
    <t>六角穴付きﾎﾞﾙﾄ　 (M4×45)　4本</t>
    <rPh sb="20" eb="21">
      <t>ホン</t>
    </rPh>
    <phoneticPr fontId="11"/>
  </si>
  <si>
    <t>六角穴付きﾎﾞﾙﾄ　 (M4×14)　　6本</t>
    <rPh sb="21" eb="22">
      <t>ホン</t>
    </rPh>
    <phoneticPr fontId="11"/>
  </si>
  <si>
    <t>SETB-0091-Y06とSETB-0091-Y05　固定用　6個</t>
    <rPh sb="28" eb="30">
      <t>コテイ</t>
    </rPh>
    <rPh sb="30" eb="31">
      <t>ヨウ</t>
    </rPh>
    <rPh sb="33" eb="34">
      <t>コ</t>
    </rPh>
    <phoneticPr fontId="11"/>
  </si>
  <si>
    <t>ねじ変換継手</t>
    <phoneticPr fontId="11"/>
  </si>
  <si>
    <t>チューブ用継手　ナット・スリーブ一体型　エルボ　</t>
    <phoneticPr fontId="11"/>
  </si>
  <si>
    <t>アズワン</t>
    <phoneticPr fontId="11"/>
  </si>
  <si>
    <t>石鍋</t>
    <rPh sb="0" eb="2">
      <t>イシナベ</t>
    </rPh>
    <phoneticPr fontId="11"/>
  </si>
  <si>
    <t xml:space="preserve">5-079-04　  </t>
    <phoneticPr fontId="11"/>
  </si>
  <si>
    <t>ﾐﾆｶｯﾌﾟ（30cc）　</t>
    <phoneticPr fontId="11"/>
  </si>
  <si>
    <t>捨て打ちBOX</t>
    <rPh sb="0" eb="1">
      <t>ス</t>
    </rPh>
    <rPh sb="2" eb="3">
      <t>ウ</t>
    </rPh>
    <phoneticPr fontId="11"/>
  </si>
  <si>
    <t>浸け置きカップ</t>
    <rPh sb="0" eb="1">
      <t>ツ</t>
    </rPh>
    <rPh sb="2" eb="3">
      <t>オ</t>
    </rPh>
    <phoneticPr fontId="11"/>
  </si>
  <si>
    <t>SUNCO</t>
    <phoneticPr fontId="11"/>
  </si>
  <si>
    <t>ﾐｽﾐ</t>
    <phoneticPr fontId="11"/>
  </si>
  <si>
    <t>FNT3</t>
    <phoneticPr fontId="11"/>
  </si>
  <si>
    <t>袋ﾅｯﾄ</t>
    <phoneticPr fontId="11"/>
  </si>
  <si>
    <t>KBXS100-100</t>
    <phoneticPr fontId="11"/>
  </si>
  <si>
    <t>金属BOX</t>
    <phoneticPr fontId="11"/>
  </si>
  <si>
    <t>SCB4-5</t>
    <phoneticPr fontId="11"/>
  </si>
  <si>
    <r>
      <t>SETB0091</t>
    </r>
    <r>
      <rPr>
        <b/>
        <sz val="11"/>
        <rFont val="ＭＳ Ｐゴシック"/>
        <family val="3"/>
        <charset val="128"/>
      </rPr>
      <t>-Ｙ05</t>
    </r>
    <r>
      <rPr>
        <sz val="11"/>
        <color theme="1"/>
        <rFont val="ＭＳ Ｐゴシック"/>
        <family val="3"/>
        <charset val="128"/>
        <scheme val="minor"/>
      </rPr>
      <t xml:space="preserve"> 回転軸位置決めﾌﾞﾗｹｯﾄ</t>
    </r>
    <phoneticPr fontId="11"/>
  </si>
  <si>
    <r>
      <rPr>
        <b/>
        <sz val="11"/>
        <color indexed="8"/>
        <rFont val="ＭＳ Ｐゴシック"/>
        <family val="3"/>
        <charset val="128"/>
      </rPr>
      <t>SETB-0110-Ｙ01</t>
    </r>
    <r>
      <rPr>
        <b/>
        <sz val="11"/>
        <color indexed="10"/>
        <rFont val="ＭＳ Ｐゴシック"/>
        <family val="3"/>
        <charset val="128"/>
      </rPr>
      <t xml:space="preserve"> </t>
    </r>
    <r>
      <rPr>
        <sz val="11"/>
        <color theme="1"/>
        <rFont val="ＭＳ Ｐゴシック"/>
        <family val="3"/>
        <charset val="128"/>
        <scheme val="minor"/>
      </rPr>
      <t>ﾊﾞﾙﾌﾞ固定モーターﾌﾞﾗｹｯﾄ</t>
    </r>
    <phoneticPr fontId="11"/>
  </si>
  <si>
    <t>MS4-10</t>
    <phoneticPr fontId="11"/>
  </si>
  <si>
    <t>APMTS-N1-T1</t>
    <phoneticPr fontId="11"/>
  </si>
  <si>
    <t>SKTGLK4-1</t>
    <phoneticPr fontId="11"/>
  </si>
  <si>
    <t>MVBLK-AMW-3SB-R2X88</t>
    <phoneticPr fontId="10"/>
  </si>
  <si>
    <t>MVBLK-AMW-343-8ZXY2</t>
    <phoneticPr fontId="10"/>
  </si>
  <si>
    <r>
      <t>SETB</t>
    </r>
    <r>
      <rPr>
        <b/>
        <sz val="11"/>
        <rFont val="ＭＳ Ｐゴシック"/>
        <family val="3"/>
        <charset val="128"/>
      </rPr>
      <t>0209-Ｙ06</t>
    </r>
    <r>
      <rPr>
        <sz val="11"/>
        <color theme="1"/>
        <rFont val="ＭＳ Ｐゴシック"/>
        <family val="3"/>
        <charset val="128"/>
        <scheme val="minor"/>
      </rPr>
      <t xml:space="preserve"> モータ取付板</t>
    </r>
    <phoneticPr fontId="11"/>
  </si>
  <si>
    <t>MVBLK-AMW-3SB-TBRRG</t>
  </si>
  <si>
    <t>IR1010-01BEA-A  0.01-0.40Mp</t>
    <phoneticPr fontId="11"/>
  </si>
  <si>
    <t>精密レギュレータ IR1000-A  0.01～0.4MPa</t>
    <phoneticPr fontId="11"/>
  </si>
  <si>
    <t>ｹｰﾌﾞﾙﾍﾞｱ関連</t>
    <phoneticPr fontId="11"/>
  </si>
  <si>
    <t>6日目</t>
    <rPh sb="1" eb="2">
      <t>ヒ</t>
    </rPh>
    <rPh sb="2" eb="3">
      <t>メ</t>
    </rPh>
    <phoneticPr fontId="18"/>
  </si>
  <si>
    <t>CSHELH-SUS-M4-6</t>
    <phoneticPr fontId="11"/>
  </si>
  <si>
    <t>極薄NSローヘッド ステンレス 表面処理なし (M4×6)</t>
    <phoneticPr fontId="11"/>
  </si>
  <si>
    <t>SETB-0012-Z01とSETB-0023-Z25と26固定用　</t>
    <phoneticPr fontId="11"/>
  </si>
  <si>
    <t>1日目</t>
    <rPh sb="1" eb="2">
      <t>ヒ</t>
    </rPh>
    <rPh sb="2" eb="3">
      <t>メ</t>
    </rPh>
    <phoneticPr fontId="18"/>
  </si>
  <si>
    <t>CSHELH-SUS-M4-10</t>
    <phoneticPr fontId="11"/>
  </si>
  <si>
    <t>極薄NSローヘッド ステンレス 表面処理なし (M4×10)</t>
    <phoneticPr fontId="11"/>
  </si>
  <si>
    <t>SETB-0023-Z24-1とSETB-0031-Z01 　ロボット固定</t>
    <rPh sb="35" eb="37">
      <t>コテイ</t>
    </rPh>
    <phoneticPr fontId="11"/>
  </si>
  <si>
    <t>5日目</t>
    <rPh sb="1" eb="2">
      <t>ヒ</t>
    </rPh>
    <rPh sb="2" eb="3">
      <t>メ</t>
    </rPh>
    <phoneticPr fontId="18"/>
  </si>
  <si>
    <t xml:space="preserve">FWZAA-D20-V8-P4.5-H4.5-T7 </t>
    <phoneticPr fontId="11"/>
  </si>
  <si>
    <t>金属ワッシャ　－ザグリ穴タイプ－</t>
    <phoneticPr fontId="11"/>
  </si>
  <si>
    <t>六角穴付きﾎﾞﾙﾄ　 (M4×5)　3本</t>
    <rPh sb="19" eb="20">
      <t>ホン</t>
    </rPh>
    <phoneticPr fontId="11"/>
  </si>
  <si>
    <t>SETB-0023-Z27へ7FWZAA-D20-V8-P4.5-H4.5-T7 　固定用</t>
    <phoneticPr fontId="11"/>
  </si>
  <si>
    <t>3日目</t>
    <rPh sb="1" eb="2">
      <t>ヒ</t>
    </rPh>
    <rPh sb="2" eb="3">
      <t>メ</t>
    </rPh>
    <phoneticPr fontId="18"/>
  </si>
  <si>
    <t>MVSHM-3N02052021023-2LM-DB43G</t>
    <phoneticPr fontId="11"/>
  </si>
  <si>
    <r>
      <t>SETB-0023-Z24</t>
    </r>
    <r>
      <rPr>
        <b/>
        <sz val="11"/>
        <rFont val="ＭＳ Ｐゴシック"/>
        <family val="3"/>
        <charset val="128"/>
      </rPr>
      <t>-1</t>
    </r>
    <r>
      <rPr>
        <sz val="11"/>
        <rFont val="ＭＳ Ｐゴシック"/>
        <family val="3"/>
        <charset val="128"/>
      </rPr>
      <t>　ケーブルベアヘッド横板金</t>
    </r>
    <phoneticPr fontId="11"/>
  </si>
  <si>
    <t>MVSHM-3N03058005012-JPA291K6N111AA</t>
    <phoneticPr fontId="11"/>
  </si>
  <si>
    <t>SETB-0023-Z25　ケーブルベア下板左側</t>
    <rPh sb="22" eb="23">
      <t>ヒダリ</t>
    </rPh>
    <rPh sb="23" eb="24">
      <t>ガワ</t>
    </rPh>
    <phoneticPr fontId="11"/>
  </si>
  <si>
    <t>MVSHM-3N03058005012-JPA291EG4111AA</t>
    <phoneticPr fontId="11"/>
  </si>
  <si>
    <t>SETB-0023-Z26　ケーブルベア下板右側</t>
    <rPh sb="22" eb="23">
      <t>ミギ</t>
    </rPh>
    <phoneticPr fontId="11"/>
  </si>
  <si>
    <t>SETB-0023-Z27　ケーブルベア下板</t>
    <phoneticPr fontId="11"/>
  </si>
  <si>
    <t>SFB5-8</t>
    <phoneticPr fontId="11"/>
  </si>
  <si>
    <t>六角穴付皿ボルト　M5×8mm</t>
    <phoneticPr fontId="11"/>
  </si>
  <si>
    <t xml:space="preserve">SZ16F-3-075-25 </t>
    <phoneticPr fontId="11"/>
  </si>
  <si>
    <t>ケーブルキャリア　スリットタイプ</t>
    <phoneticPr fontId="11"/>
  </si>
  <si>
    <t>SLBNR5</t>
    <phoneticPr fontId="11"/>
  </si>
  <si>
    <t>M5ﾅｯﾄ</t>
    <phoneticPr fontId="11"/>
  </si>
  <si>
    <t>SBCB4-15</t>
    <phoneticPr fontId="11"/>
  </si>
  <si>
    <t xml:space="preserve">SPWF4 </t>
    <phoneticPr fontId="11"/>
  </si>
  <si>
    <t>平座金－単品販売－　M4用</t>
    <rPh sb="12" eb="13">
      <t>ヨウ</t>
    </rPh>
    <phoneticPr fontId="11"/>
  </si>
  <si>
    <t>SLBNR4</t>
    <phoneticPr fontId="11"/>
  </si>
  <si>
    <t>M4ﾅｯﾄ　　在庫使用　4個</t>
    <rPh sb="7" eb="9">
      <t>ザイコ</t>
    </rPh>
    <rPh sb="9" eb="11">
      <t>シヨウ</t>
    </rPh>
    <rPh sb="13" eb="14">
      <t>コ</t>
    </rPh>
    <phoneticPr fontId="11"/>
  </si>
  <si>
    <t>ﾉｽﾞﾙ位置合わせ冶具　</t>
    <phoneticPr fontId="10"/>
  </si>
  <si>
    <t>東北ﾏﾃﾘｱﾙｽ</t>
    <rPh sb="0" eb="2">
      <t>トウホク</t>
    </rPh>
    <phoneticPr fontId="11"/>
  </si>
  <si>
    <t>SETA0010-Z04-1位置決めベース</t>
    <phoneticPr fontId="11"/>
  </si>
  <si>
    <t>SETA0010-Z02-1角度切替ベース</t>
    <phoneticPr fontId="11"/>
  </si>
  <si>
    <t>SETA0010-Z03角度切替ブラケット</t>
    <phoneticPr fontId="11"/>
  </si>
  <si>
    <t>JTDA-SUD-A27-B12-T2-X6-Y6-M4-L15-MA4</t>
    <phoneticPr fontId="11"/>
  </si>
  <si>
    <t>押え板</t>
    <phoneticPr fontId="11"/>
  </si>
  <si>
    <t>ASFCS-A27-B14-T0.3-D4.5-E6-C6-P15</t>
    <phoneticPr fontId="11"/>
  </si>
  <si>
    <t>シム</t>
    <phoneticPr fontId="11"/>
  </si>
  <si>
    <t>六角穴付きﾎﾞﾙﾄ　M4×5mm　　　　6本</t>
    <rPh sb="21" eb="22">
      <t>ホン</t>
    </rPh>
    <phoneticPr fontId="11"/>
  </si>
  <si>
    <t>ワッシャ　　平座金　　M4×8mm　　　4個</t>
    <rPh sb="21" eb="22">
      <t>コ</t>
    </rPh>
    <phoneticPr fontId="11"/>
  </si>
  <si>
    <t>2Week</t>
    <phoneticPr fontId="10"/>
  </si>
  <si>
    <t>送料</t>
    <rPh sb="0" eb="2">
      <t>ソウリョウ</t>
    </rPh>
    <phoneticPr fontId="10"/>
  </si>
  <si>
    <t>SSTT0328カップ受け板金</t>
  </si>
  <si>
    <t>MVSHM-3N02050-33U-A6RE4</t>
    <phoneticPr fontId="11"/>
  </si>
  <si>
    <t>MVSHM-3N03054-33U-TS97K</t>
    <phoneticPr fontId="11"/>
  </si>
  <si>
    <t>SSTT0329金属BOX受皿</t>
    <phoneticPr fontId="11"/>
  </si>
  <si>
    <t>CSHCS-SUS-M4-8</t>
    <phoneticPr fontId="11"/>
  </si>
  <si>
    <t>ﾜｰｸ治具ﾍﾞｰｽ</t>
    <rPh sb="3" eb="5">
      <t>ジグ</t>
    </rPh>
    <phoneticPr fontId="11"/>
  </si>
  <si>
    <t>位置決めピン　高硬度ステンレス</t>
    <phoneticPr fontId="10"/>
  </si>
  <si>
    <t>3日目</t>
    <rPh sb="1" eb="3">
      <t>ヒメ</t>
    </rPh>
    <phoneticPr fontId="11"/>
  </si>
  <si>
    <t>MVBLK-AMW-3SC-FXK4R</t>
    <phoneticPr fontId="10"/>
  </si>
  <si>
    <t>SETB0209-X01　　NYC_防湿剤塗布装置ベースプレート</t>
    <phoneticPr fontId="10"/>
  </si>
  <si>
    <t>SCB4-10</t>
    <phoneticPr fontId="11"/>
  </si>
  <si>
    <t>SFPBA5-P7.95-L5-B4</t>
    <phoneticPr fontId="10"/>
  </si>
  <si>
    <t>位置決めピン　大頭テーパタイプ　－圧入－</t>
    <phoneticPr fontId="10"/>
  </si>
  <si>
    <t>六角穴付きﾎﾞﾙﾄ　M4×10mm　　　　4本</t>
    <rPh sb="22" eb="23">
      <t>ホン</t>
    </rPh>
    <phoneticPr fontId="11"/>
  </si>
  <si>
    <t>2023/10/13実績有り</t>
    <rPh sb="10" eb="12">
      <t>ジッセキ</t>
    </rPh>
    <rPh sb="12" eb="13">
      <t>ア</t>
    </rPh>
    <phoneticPr fontId="10"/>
  </si>
  <si>
    <t>SETB-0031-Z01  ＳＶＥＭ取付ﾌﾞﾗｹｯﾄ</t>
    <phoneticPr fontId="10"/>
  </si>
  <si>
    <t>六角穴付ボタンボルト　 (M4×15)</t>
    <phoneticPr fontId="11"/>
  </si>
  <si>
    <t>SETB-0023-Z25と26ﾛﾎﾞｯﾄ固定用　、SETB-0031-Z01固定</t>
    <rPh sb="21" eb="23">
      <t>コテイ</t>
    </rPh>
    <rPh sb="23" eb="24">
      <t>ヨウ</t>
    </rPh>
    <rPh sb="39" eb="41">
      <t>コテイ</t>
    </rPh>
    <phoneticPr fontId="11"/>
  </si>
  <si>
    <t>SCB3-20</t>
    <phoneticPr fontId="11"/>
  </si>
  <si>
    <t>六角穴付きﾎﾞﾙﾄ　 (M3×20)　　2本</t>
    <rPh sb="21" eb="22">
      <t>ホン</t>
    </rPh>
    <phoneticPr fontId="11"/>
  </si>
  <si>
    <t>MVSHM-3N02002007016-2LU-F6R7Z</t>
    <phoneticPr fontId="11"/>
  </si>
  <si>
    <t>PLGJ4-6M</t>
    <phoneticPr fontId="10"/>
  </si>
  <si>
    <t>日本ﾋﾟｽｺ</t>
    <rPh sb="0" eb="2">
      <t>ニホン</t>
    </rPh>
    <phoneticPr fontId="10"/>
  </si>
  <si>
    <t>一般配管用 チューブフィッティングミニタイプ 違径ソケットエルボ</t>
    <phoneticPr fontId="10"/>
  </si>
  <si>
    <t>②</t>
    <phoneticPr fontId="10"/>
  </si>
  <si>
    <t>見積もりNo.　22-24-00515A</t>
    <rPh sb="0" eb="2">
      <t>ミツ</t>
    </rPh>
    <phoneticPr fontId="11"/>
  </si>
  <si>
    <t>小頭ﾈｼﾞ　2個</t>
    <rPh sb="7" eb="8">
      <t>コ</t>
    </rPh>
    <phoneticPr fontId="11"/>
  </si>
  <si>
    <t>皿ﾈｼﾞ　2個</t>
    <phoneticPr fontId="11"/>
  </si>
  <si>
    <r>
      <t>浸け置きﾕﾆｯﾄ　</t>
    </r>
    <r>
      <rPr>
        <b/>
        <sz val="16"/>
        <color indexed="8"/>
        <rFont val="ＭＳ Ｐゴシック"/>
        <family val="3"/>
        <charset val="128"/>
      </rPr>
      <t>　SETB-0091-A02</t>
    </r>
    <phoneticPr fontId="11"/>
  </si>
  <si>
    <t xml:space="preserve">
AB2368E411</t>
    <phoneticPr fontId="10"/>
  </si>
  <si>
    <t>見積もり、発注お願い致します。</t>
    <rPh sb="0" eb="2">
      <t>ミツ</t>
    </rPh>
    <rPh sb="5" eb="7">
      <t>ハッチュウ</t>
    </rPh>
    <rPh sb="8" eb="9">
      <t>ネガ</t>
    </rPh>
    <rPh sb="10" eb="11">
      <t>イタ</t>
    </rPh>
    <phoneticPr fontId="10"/>
  </si>
  <si>
    <t>MVSHM-3N03002-3TN-6GDPA</t>
    <phoneticPr fontId="10"/>
  </si>
  <si>
    <t>SETB-0110-Z27　ケーブルベア下板1　JR3404用</t>
    <phoneticPr fontId="10"/>
  </si>
  <si>
    <t xml:space="preserve">
AB237DD5F3</t>
    <phoneticPr fontId="10"/>
  </si>
  <si>
    <r>
      <t>MVSHM-3N03002006064-JPA29144M111AB　</t>
    </r>
    <r>
      <rPr>
        <b/>
        <sz val="11"/>
        <color rgb="FFFF0000"/>
        <rFont val="ＭＳ Ｐゴシック"/>
        <family val="3"/>
        <charset val="128"/>
        <scheme val="minor"/>
      </rPr>
      <t>次回発注しない間違え</t>
    </r>
    <rPh sb="35" eb="37">
      <t>ジカイ</t>
    </rPh>
    <rPh sb="37" eb="39">
      <t>ハッチュウ</t>
    </rPh>
    <rPh sb="42" eb="44">
      <t>マチガ</t>
    </rPh>
    <phoneticPr fontId="11"/>
  </si>
  <si>
    <r>
      <t>CSH</t>
    </r>
    <r>
      <rPr>
        <sz val="11"/>
        <color rgb="FFFF0000"/>
        <rFont val="ＭＳ Ｐゴシック"/>
        <family val="3"/>
        <charset val="128"/>
      </rPr>
      <t>CS</t>
    </r>
    <r>
      <rPr>
        <sz val="11"/>
        <color indexed="8"/>
        <rFont val="ＭＳ Ｐゴシック"/>
        <family val="3"/>
        <charset val="128"/>
      </rPr>
      <t>-SUS-M3-5　</t>
    </r>
    <r>
      <rPr>
        <b/>
        <sz val="11"/>
        <color rgb="FFFF0000"/>
        <rFont val="ＭＳ Ｐゴシック"/>
        <family val="3"/>
        <charset val="128"/>
      </rPr>
      <t>次回発注しない間違え</t>
    </r>
    <phoneticPr fontId="11"/>
  </si>
  <si>
    <t>CSHSM-SUS-M3-5</t>
    <phoneticPr fontId="11"/>
  </si>
  <si>
    <t>AB237DE439</t>
    <phoneticPr fontId="10"/>
  </si>
  <si>
    <r>
      <t xml:space="preserve">ﾐｽﾐ品受注NO.
AB2368E411、
</t>
    </r>
    <r>
      <rPr>
        <b/>
        <sz val="12"/>
        <color rgb="FF00B050"/>
        <rFont val="ＭＳ Ｐゴシック"/>
        <family val="3"/>
        <charset val="128"/>
        <scheme val="minor"/>
      </rPr>
      <t>AB237DD5F3、</t>
    </r>
    <r>
      <rPr>
        <b/>
        <sz val="12"/>
        <color rgb="FF7030A0"/>
        <rFont val="ＭＳ Ｐゴシック"/>
        <family val="3"/>
        <charset val="128"/>
        <scheme val="minor"/>
      </rPr>
      <t>AB237DE439、</t>
    </r>
    <r>
      <rPr>
        <b/>
        <sz val="12"/>
        <color rgb="FF00B0F0"/>
        <rFont val="ＭＳ Ｐゴシック"/>
        <family val="3"/>
        <charset val="128"/>
        <scheme val="minor"/>
      </rPr>
      <t>AB237ED357</t>
    </r>
    <r>
      <rPr>
        <b/>
        <sz val="12"/>
        <color theme="9" tint="-0.249977111117893"/>
        <rFont val="ＭＳ Ｐゴシック"/>
        <family val="3"/>
        <charset val="128"/>
        <scheme val="minor"/>
      </rPr>
      <t>にて発注済み</t>
    </r>
    <rPh sb="3" eb="4">
      <t>ヒン</t>
    </rPh>
    <rPh sb="4" eb="6">
      <t>ジュチュウ</t>
    </rPh>
    <rPh sb="56" eb="58">
      <t>ハッチュウ</t>
    </rPh>
    <rPh sb="58" eb="59">
      <t>ズ</t>
    </rPh>
    <phoneticPr fontId="10"/>
  </si>
  <si>
    <r>
      <t>AFPNHAL4-P6-L0-B5-ML8-E2　　</t>
    </r>
    <r>
      <rPr>
        <b/>
        <sz val="11"/>
        <color rgb="FFFF0000"/>
        <rFont val="ＭＳ Ｐゴシック"/>
        <family val="3"/>
        <charset val="128"/>
        <scheme val="minor"/>
      </rPr>
      <t>次回は発注しない</t>
    </r>
    <rPh sb="26" eb="28">
      <t>ジカイ</t>
    </rPh>
    <rPh sb="29" eb="31">
      <t>ハッチュウ</t>
    </rPh>
    <phoneticPr fontId="10"/>
  </si>
  <si>
    <t>AFPNHAL4-P5-L0-B5-ML8-E2</t>
    <phoneticPr fontId="10"/>
  </si>
  <si>
    <t>AB237ED357</t>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</si>
</sst>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quot;¥&quot;\-#,##0"/>
    <numFmt numFmtId="176" formatCode="#,##0_);[Red]\(#,##0\)"/>
    <numFmt numFmtId="177" formatCode="yyyy&quot;年&quot;m&quot;月&quot;d&quot;日&quot;;@"/>
    <numFmt numFmtId="178" formatCode="m/d;@"/>
    <numFmt numFmtId="179" formatCode="m&quot;月&quot;d&quot;日&quot;;@"/>
    <numFmt numFmtId="180" formatCode="#,##0_ "/>
    <numFmt numFmtId="181" formatCode="0_ "/>
    <numFmt numFmtId="182" formatCode="0_);[Red]\(0\)"/>
    <numFmt numFmtId="183" formatCode="0_ ;[Red]\-0\ "/>
  </numFmts>
  <fonts count="41" x14ac:knownFonts="1">
    <font>
      <sz val="11"/>
      <color theme="1"/>
      <name val="ＭＳ Ｐゴシック"/>
      <scheme val="minor"/>
    </font>
    <font>
      <u/>
      <sz val="11"/>
      <name val="ＭＳ Ｐゴシック"/>
      <family val="3"/>
      <charset val="128"/>
      <scheme val="minor"/>
    </font>
    <font>
      <b/>
      <sz val="11"/>
      <color theme="1"/>
      <name val="ＭＳ Ｐゴシック"/>
      <family val="3"/>
      <charset val="128"/>
      <scheme val="minor"/>
    </font>
    <font>
      <b/>
      <sz val="13.95"/>
      <color rgb="FF000000"/>
      <name val="ＭＳ Ｐゴシック"/>
      <family val="3"/>
      <charset val="128"/>
    </font>
    <font>
      <b/>
      <sz val="11"/>
      <color rgb="FF000000"/>
      <name val="ＭＳ Ｐゴシック"/>
      <family val="3"/>
      <charset val="128"/>
    </font>
    <font>
      <sz val="11"/>
      <color rgb="FF000000"/>
      <name val="ＭＳ Ｐゴシック"/>
      <family val="3"/>
      <charset val="128"/>
    </font>
    <font>
      <b/>
      <sz val="13.95"/>
      <color theme="1"/>
      <name val="ＭＳ Ｐゴシック"/>
      <family val="3"/>
      <charset val="128"/>
      <scheme val="minor"/>
    </font>
    <font>
      <b/>
      <sz val="12"/>
      <color rgb="FF000000"/>
      <name val="ＭＳ Ｐゴシック"/>
      <family val="3"/>
      <charset val="128"/>
    </font>
    <font>
      <sz val="19.95"/>
      <color theme="1"/>
      <name val="ＭＳ Ｐゴシック"/>
      <family val="3"/>
      <charset val="128"/>
      <scheme val="minor"/>
    </font>
    <font>
      <sz val="11"/>
      <color theme="1"/>
      <name val="ＭＳ Ｐゴシック"/>
      <family val="3"/>
      <charset val="128"/>
      <scheme val="minor"/>
    </font>
    <font>
      <sz val="6"/>
      <name val="ＭＳ Ｐゴシック"/>
      <family val="3"/>
      <charset val="128"/>
      <scheme val="minor"/>
    </font>
    <font>
      <sz val="6"/>
      <name val="ＭＳ Ｐゴシック"/>
      <family val="3"/>
      <charset val="128"/>
    </font>
    <font>
      <sz val="11"/>
      <color theme="1"/>
      <name val="ＭＳ Ｐゴシック"/>
      <family val="3"/>
      <charset val="128"/>
    </font>
    <font>
      <sz val="11"/>
      <name val="ＭＳ Ｐゴシック"/>
      <family val="3"/>
      <charset val="128"/>
    </font>
    <font>
      <sz val="11"/>
      <color rgb="FFFF0000"/>
      <name val="ＭＳ Ｐゴシック"/>
      <family val="3"/>
      <charset val="128"/>
      <scheme val="minor"/>
    </font>
    <font>
      <sz val="10"/>
      <color indexed="8"/>
      <name val="ＭＳ Ｐゴシック"/>
      <family val="3"/>
      <charset val="128"/>
    </font>
    <font>
      <b/>
      <sz val="11"/>
      <color indexed="10"/>
      <name val="ＭＳ Ｐゴシック"/>
      <family val="3"/>
      <charset val="128"/>
    </font>
    <font>
      <b/>
      <sz val="16"/>
      <color theme="1"/>
      <name val="ＭＳ Ｐゴシック"/>
      <family val="3"/>
      <charset val="128"/>
      <scheme val="minor"/>
    </font>
    <font>
      <b/>
      <sz val="11"/>
      <name val="ＭＳ Ｐゴシック"/>
      <family val="3"/>
      <charset val="128"/>
    </font>
    <font>
      <b/>
      <sz val="11"/>
      <color indexed="8"/>
      <name val="ＭＳ Ｐゴシック"/>
      <family val="3"/>
      <charset val="128"/>
    </font>
    <font>
      <sz val="11"/>
      <name val="ＭＳ Ｐゴシック"/>
      <family val="3"/>
      <charset val="128"/>
      <scheme val="minor"/>
    </font>
    <font>
      <sz val="16"/>
      <color theme="1"/>
      <name val="ＭＳ Ｐゴシック"/>
      <family val="3"/>
      <charset val="128"/>
      <scheme val="minor"/>
    </font>
    <font>
      <b/>
      <sz val="14"/>
      <color theme="1"/>
      <name val="ＭＳ Ｐゴシック"/>
      <family val="3"/>
      <charset val="128"/>
      <scheme val="minor"/>
    </font>
    <font>
      <sz val="20"/>
      <color theme="1"/>
      <name val="ＭＳ Ｐゴシック"/>
      <family val="3"/>
      <charset val="128"/>
      <scheme val="minor"/>
    </font>
    <font>
      <sz val="11"/>
      <color indexed="8"/>
      <name val="ＭＳ Ｐゴシック"/>
      <family val="3"/>
      <charset val="128"/>
    </font>
    <font>
      <sz val="11"/>
      <color rgb="FFFF0000"/>
      <name val="ＭＳ Ｐゴシック"/>
      <family val="3"/>
      <charset val="128"/>
    </font>
    <font>
      <b/>
      <sz val="11"/>
      <color theme="9" tint="-0.249977111117893"/>
      <name val="ＭＳ Ｐゴシック"/>
      <family val="3"/>
      <charset val="128"/>
      <scheme val="minor"/>
    </font>
    <font>
      <sz val="9"/>
      <name val="ＭＳ Ｐゴシック"/>
      <family val="3"/>
      <charset val="128"/>
      <scheme val="minor"/>
    </font>
    <font>
      <b/>
      <sz val="11"/>
      <color theme="10"/>
      <name val="ＭＳ Ｐゴシック"/>
      <family val="3"/>
      <charset val="128"/>
      <scheme val="minor"/>
    </font>
    <font>
      <sz val="9.9499999999999993"/>
      <color rgb="FF000000"/>
      <name val="ＭＳ Ｐゴシック"/>
      <family val="3"/>
      <charset val="128"/>
    </font>
    <font>
      <b/>
      <sz val="16"/>
      <color indexed="8"/>
      <name val="ＭＳ Ｐゴシック"/>
      <family val="3"/>
      <charset val="128"/>
    </font>
    <font>
      <b/>
      <sz val="12"/>
      <color theme="9" tint="-0.249977111117893"/>
      <name val="ＭＳ Ｐゴシック"/>
      <family val="3"/>
      <charset val="128"/>
      <scheme val="minor"/>
    </font>
    <font>
      <b/>
      <sz val="11"/>
      <color rgb="FF0070C0"/>
      <name val="ＭＳ Ｐゴシック"/>
      <family val="3"/>
      <charset val="128"/>
      <scheme val="minor"/>
    </font>
    <font>
      <b/>
      <sz val="11"/>
      <color rgb="FF00B050"/>
      <name val="ＭＳ Ｐゴシック"/>
      <family val="3"/>
      <charset val="128"/>
      <scheme val="minor"/>
    </font>
    <font>
      <b/>
      <sz val="12"/>
      <color rgb="FF00B050"/>
      <name val="ＭＳ Ｐゴシック"/>
      <family val="3"/>
      <charset val="128"/>
      <scheme val="minor"/>
    </font>
    <font>
      <b/>
      <sz val="11"/>
      <color rgb="FFFF0000"/>
      <name val="ＭＳ Ｐゴシック"/>
      <family val="3"/>
      <charset val="128"/>
      <scheme val="minor"/>
    </font>
    <font>
      <b/>
      <sz val="11"/>
      <color rgb="FFFF0000"/>
      <name val="ＭＳ Ｐゴシック"/>
      <family val="3"/>
      <charset val="128"/>
    </font>
    <font>
      <b/>
      <sz val="11"/>
      <color rgb="FF7030A0"/>
      <name val="ＭＳ Ｐゴシック"/>
      <family val="3"/>
      <charset val="128"/>
      <scheme val="minor"/>
    </font>
    <font>
      <b/>
      <sz val="12"/>
      <color rgb="FF7030A0"/>
      <name val="ＭＳ Ｐゴシック"/>
      <family val="3"/>
      <charset val="128"/>
      <scheme val="minor"/>
    </font>
    <font>
      <b/>
      <sz val="12"/>
      <color rgb="FF00B0F0"/>
      <name val="ＭＳ Ｐゴシック"/>
      <family val="3"/>
      <charset val="128"/>
      <scheme val="minor"/>
    </font>
    <font>
      <b/>
      <sz val="11"/>
      <color rgb="FF00B0F0"/>
      <name val="ＭＳ Ｐゴシック"/>
      <family val="3"/>
      <charset val="128"/>
    </font>
  </fonts>
  <fills count="18">
    <fill>
      <patternFill patternType="none"/>
    </fill>
    <fill>
      <patternFill patternType="gray125"/>
    </fill>
    <fill>
      <patternFill patternType="solid">
        <fgColor rgb="FFFFFF99"/>
      </patternFill>
    </fill>
    <fill>
      <patternFill patternType="solid">
        <fgColor rgb="FF92D050"/>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rgb="FFFFFFCC"/>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8" tint="0.5899838251899777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00B050"/>
        <bgColor indexed="64"/>
      </patternFill>
    </fill>
    <fill>
      <patternFill patternType="solid">
        <fgColor rgb="FFFFC000"/>
        <bgColor indexed="64"/>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style="thin">
        <color indexed="64"/>
      </left>
      <right style="thin">
        <color theme="0"/>
      </right>
      <top style="thin">
        <color indexed="64"/>
      </top>
      <bottom style="thin">
        <color indexed="64"/>
      </bottom>
      <diagonal/>
    </border>
  </borders>
  <cellStyleXfs count="6">
    <xf numFmtId="0" fontId="0" fillId="0" borderId="0">
      <alignment vertical="center"/>
    </xf>
    <xf numFmtId="0" fontId="1" fillId="0" borderId="0">
      <alignment vertical="center"/>
    </xf>
    <xf numFmtId="0" fontId="1" fillId="0" borderId="0">
      <alignment vertical="center"/>
    </xf>
    <xf numFmtId="0" fontId="13" fillId="0" borderId="0"/>
    <xf numFmtId="0" fontId="9" fillId="0" borderId="0">
      <alignment vertical="center"/>
    </xf>
    <xf numFmtId="0" fontId="13" fillId="0" borderId="0">
      <alignment vertical="center"/>
    </xf>
  </cellStyleXfs>
  <cellXfs count="282">
    <xf numFmtId="0" fontId="0" fillId="0" borderId="0" xfId="0">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0" xfId="0" applyAlignment="1">
      <alignment horizontal="center" vertical="center"/>
    </xf>
    <xf numFmtId="3" fontId="0" fillId="0" borderId="1" xfId="0" applyNumberFormat="1" applyBorder="1" applyAlignment="1">
      <alignment horizontal="center" vertical="center"/>
    </xf>
    <xf numFmtId="0" fontId="0" fillId="0" borderId="1" xfId="0" applyBorder="1" applyAlignment="1">
      <alignment horizontal="center" vertical="center" shrinkToFit="1"/>
    </xf>
    <xf numFmtId="0" fontId="0" fillId="0" borderId="1" xfId="0" applyBorder="1" applyAlignment="1">
      <alignment vertical="center" shrinkToFit="1"/>
    </xf>
    <xf numFmtId="176" fontId="0" fillId="0" borderId="1" xfId="0" applyNumberFormat="1" applyBorder="1">
      <alignment vertical="center"/>
    </xf>
    <xf numFmtId="177" fontId="0" fillId="0" borderId="1" xfId="0" applyNumberFormat="1" applyBorder="1" applyAlignment="1">
      <alignment horizontal="center" vertical="center"/>
    </xf>
    <xf numFmtId="0" fontId="3" fillId="0" borderId="1" xfId="0" applyFont="1" applyBorder="1" applyAlignment="1">
      <alignment horizontal="center" vertical="center"/>
    </xf>
    <xf numFmtId="177" fontId="3" fillId="0" borderId="1" xfId="0" applyNumberFormat="1" applyFont="1" applyBorder="1" applyAlignment="1">
      <alignment horizontal="center" vertical="center"/>
    </xf>
    <xf numFmtId="176" fontId="4" fillId="0" borderId="1" xfId="0" applyNumberFormat="1" applyFont="1" applyBorder="1">
      <alignment vertical="center"/>
    </xf>
    <xf numFmtId="0" fontId="0" fillId="0" borderId="0" xfId="0" applyAlignment="1">
      <alignment horizontal="right" vertical="center"/>
    </xf>
    <xf numFmtId="176" fontId="0" fillId="0" borderId="1" xfId="0" applyNumberFormat="1" applyBorder="1" applyAlignment="1"/>
    <xf numFmtId="179" fontId="0" fillId="0" borderId="1" xfId="0" applyNumberForma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center" vertical="center"/>
    </xf>
    <xf numFmtId="0" fontId="0" fillId="0" borderId="1" xfId="0" applyBorder="1" applyAlignment="1">
      <alignment horizontal="left" vertical="center"/>
    </xf>
    <xf numFmtId="176" fontId="0" fillId="0" borderId="1" xfId="0" applyNumberFormat="1" applyBorder="1" applyAlignment="1">
      <alignment horizontal="center" vertical="center"/>
    </xf>
    <xf numFmtId="0" fontId="0" fillId="0" borderId="1" xfId="0" applyBorder="1" applyAlignment="1">
      <alignment horizontal="left" vertical="center" shrinkToFit="1"/>
    </xf>
    <xf numFmtId="0" fontId="0" fillId="0" borderId="1" xfId="0" applyBorder="1">
      <alignment vertical="center"/>
    </xf>
    <xf numFmtId="0" fontId="7" fillId="0" borderId="1" xfId="0" applyFont="1" applyBorder="1" applyAlignment="1">
      <alignment horizontal="center" vertical="center"/>
    </xf>
    <xf numFmtId="0" fontId="0" fillId="0" borderId="5" xfId="0" applyBorder="1">
      <alignment vertical="center"/>
    </xf>
    <xf numFmtId="0" fontId="0" fillId="0" borderId="5" xfId="0" applyBorder="1" applyAlignment="1">
      <alignment horizontal="center" vertical="center"/>
    </xf>
    <xf numFmtId="0" fontId="0" fillId="0" borderId="7" xfId="0" applyBorder="1" applyAlignment="1">
      <alignment horizontal="center" vertical="center"/>
    </xf>
    <xf numFmtId="3" fontId="0" fillId="0" borderId="5" xfId="0" applyNumberFormat="1" applyBorder="1" applyAlignment="1">
      <alignment horizontal="center" vertical="center"/>
    </xf>
    <xf numFmtId="178" fontId="0" fillId="0" borderId="5" xfId="0" applyNumberFormat="1" applyBorder="1" applyAlignment="1">
      <alignment horizontal="center" vertical="center"/>
    </xf>
    <xf numFmtId="56" fontId="0" fillId="0" borderId="5" xfId="0" applyNumberFormat="1" applyBorder="1" applyAlignment="1">
      <alignment horizontal="center" vertical="center"/>
    </xf>
    <xf numFmtId="177" fontId="0" fillId="0" borderId="0" xfId="0" applyNumberFormat="1" applyAlignment="1">
      <alignment horizontal="center" vertical="center"/>
    </xf>
    <xf numFmtId="0" fontId="13" fillId="0" borderId="5" xfId="3" applyBorder="1" applyAlignment="1">
      <alignment horizontal="center" vertical="center"/>
    </xf>
    <xf numFmtId="176" fontId="0" fillId="0" borderId="5" xfId="0" applyNumberFormat="1" applyBorder="1" applyAlignment="1"/>
    <xf numFmtId="0" fontId="9" fillId="0" borderId="0" xfId="0" applyFont="1">
      <alignment vertical="center"/>
    </xf>
    <xf numFmtId="0" fontId="14" fillId="0" borderId="0" xfId="0" applyFont="1" applyAlignment="1">
      <alignment horizontal="center" vertical="center"/>
    </xf>
    <xf numFmtId="176" fontId="0" fillId="0" borderId="4" xfId="0" applyNumberFormat="1" applyBorder="1" applyAlignment="1">
      <alignment horizontal="center" vertical="center"/>
    </xf>
    <xf numFmtId="0" fontId="0" fillId="0" borderId="5" xfId="0" applyBorder="1" applyAlignment="1">
      <alignment vertical="center" shrinkToFit="1"/>
    </xf>
    <xf numFmtId="3" fontId="9" fillId="0" borderId="5" xfId="0" applyNumberFormat="1" applyFont="1" applyBorder="1" applyAlignment="1">
      <alignment horizontal="center" vertical="center"/>
    </xf>
    <xf numFmtId="3" fontId="0" fillId="0" borderId="4" xfId="0" applyNumberFormat="1" applyBorder="1" applyAlignment="1">
      <alignment horizontal="center" vertical="center"/>
    </xf>
    <xf numFmtId="0" fontId="2" fillId="0" borderId="5" xfId="0" applyFont="1" applyBorder="1" applyAlignment="1">
      <alignment horizontal="center" vertical="center"/>
    </xf>
    <xf numFmtId="179" fontId="0" fillId="0" borderId="5" xfId="0" applyNumberFormat="1" applyBorder="1" applyAlignment="1">
      <alignment horizontal="center" vertical="center"/>
    </xf>
    <xf numFmtId="3" fontId="15" fillId="0" borderId="5" xfId="0" applyNumberFormat="1" applyFont="1" applyBorder="1" applyAlignment="1">
      <alignment horizontal="center" vertical="center"/>
    </xf>
    <xf numFmtId="0" fontId="9" fillId="0" borderId="7" xfId="0" applyFont="1" applyBorder="1" applyAlignment="1">
      <alignment horizontal="left" vertical="center"/>
    </xf>
    <xf numFmtId="3" fontId="0" fillId="0" borderId="8" xfId="0" applyNumberFormat="1" applyBorder="1" applyAlignment="1">
      <alignment horizontal="center" vertical="center"/>
    </xf>
    <xf numFmtId="178" fontId="0" fillId="0" borderId="8" xfId="0" applyNumberFormat="1" applyBorder="1" applyAlignment="1">
      <alignment horizontal="center" vertical="center"/>
    </xf>
    <xf numFmtId="177" fontId="0" fillId="0" borderId="5" xfId="0" applyNumberFormat="1" applyBorder="1" applyAlignment="1">
      <alignment horizontal="center" vertical="center"/>
    </xf>
    <xf numFmtId="0" fontId="9" fillId="0" borderId="5" xfId="0" applyFont="1" applyBorder="1" applyAlignment="1">
      <alignment horizontal="left" vertical="center"/>
    </xf>
    <xf numFmtId="176" fontId="0" fillId="0" borderId="5" xfId="0" applyNumberFormat="1" applyBorder="1" applyAlignment="1">
      <alignment horizontal="center" vertical="center"/>
    </xf>
    <xf numFmtId="0" fontId="13" fillId="0" borderId="9" xfId="3" applyBorder="1" applyAlignment="1">
      <alignment horizontal="left" vertical="center"/>
    </xf>
    <xf numFmtId="5" fontId="12" fillId="0" borderId="7" xfId="0" applyNumberFormat="1" applyFont="1" applyBorder="1" applyAlignment="1">
      <alignment horizontal="center" vertical="center"/>
    </xf>
    <xf numFmtId="0" fontId="0" fillId="6" borderId="5" xfId="0" applyFill="1" applyBorder="1" applyAlignment="1">
      <alignment horizontal="center" vertical="center"/>
    </xf>
    <xf numFmtId="0" fontId="9" fillId="0" borderId="5" xfId="0" applyFont="1" applyBorder="1" applyAlignment="1">
      <alignment horizontal="center" vertical="center"/>
    </xf>
    <xf numFmtId="0" fontId="0" fillId="0" borderId="5" xfId="0" applyBorder="1" applyAlignment="1">
      <alignment horizontal="left" vertical="center"/>
    </xf>
    <xf numFmtId="0" fontId="20" fillId="0" borderId="5" xfId="0" applyFont="1" applyBorder="1" applyAlignment="1">
      <alignment horizontal="center" vertical="center"/>
    </xf>
    <xf numFmtId="38" fontId="0" fillId="0" borderId="5" xfId="0" applyNumberFormat="1" applyBorder="1" applyAlignment="1">
      <alignment horizontal="center" vertical="center"/>
    </xf>
    <xf numFmtId="0" fontId="20" fillId="0" borderId="5" xfId="0" applyFont="1" applyBorder="1" applyAlignment="1">
      <alignment horizontal="left" vertical="center"/>
    </xf>
    <xf numFmtId="181" fontId="20" fillId="0" borderId="5" xfId="0" applyNumberFormat="1" applyFont="1" applyBorder="1" applyAlignment="1">
      <alignment horizontal="center" vertical="center"/>
    </xf>
    <xf numFmtId="38" fontId="20" fillId="0" borderId="5" xfId="0" applyNumberFormat="1" applyFont="1" applyBorder="1" applyAlignment="1">
      <alignment horizontal="center" vertical="center"/>
    </xf>
    <xf numFmtId="0" fontId="0" fillId="0" borderId="7" xfId="0" applyBorder="1" applyAlignment="1">
      <alignment horizontal="left" vertical="center"/>
    </xf>
    <xf numFmtId="3" fontId="0" fillId="5" borderId="5" xfId="0" applyNumberFormat="1" applyFill="1" applyBorder="1" applyAlignment="1">
      <alignment horizontal="center" vertical="center"/>
    </xf>
    <xf numFmtId="3" fontId="21" fillId="3" borderId="7" xfId="0" applyNumberFormat="1" applyFont="1" applyFill="1" applyBorder="1" applyAlignment="1">
      <alignment horizontal="center" vertical="center"/>
    </xf>
    <xf numFmtId="3" fontId="21" fillId="3" borderId="10" xfId="0" applyNumberFormat="1" applyFont="1" applyFill="1" applyBorder="1" applyAlignment="1">
      <alignment horizontal="center" vertical="center"/>
    </xf>
    <xf numFmtId="3" fontId="0" fillId="7" borderId="5" xfId="0" applyNumberFormat="1" applyFill="1" applyBorder="1" applyAlignment="1">
      <alignment horizontal="center" vertical="center"/>
    </xf>
    <xf numFmtId="0" fontId="13" fillId="0" borderId="5" xfId="3" applyBorder="1" applyAlignment="1">
      <alignment horizontal="left" vertical="center"/>
    </xf>
    <xf numFmtId="38" fontId="0" fillId="5" borderId="5" xfId="0" applyNumberFormat="1" applyFill="1" applyBorder="1" applyAlignment="1">
      <alignment horizontal="center" vertical="center"/>
    </xf>
    <xf numFmtId="0" fontId="13" fillId="5" borderId="5" xfId="3" applyFill="1" applyBorder="1" applyAlignment="1">
      <alignment horizontal="center" vertical="center"/>
    </xf>
    <xf numFmtId="176" fontId="0" fillId="0" borderId="5" xfId="0" applyNumberFormat="1" applyBorder="1">
      <alignment vertical="center"/>
    </xf>
    <xf numFmtId="0" fontId="0" fillId="5" borderId="5" xfId="0" applyFill="1" applyBorder="1" applyAlignment="1">
      <alignment horizontal="center" vertical="center"/>
    </xf>
    <xf numFmtId="0" fontId="20" fillId="0" borderId="7" xfId="0" applyFont="1" applyBorder="1">
      <alignment vertical="center"/>
    </xf>
    <xf numFmtId="176" fontId="17" fillId="8" borderId="7" xfId="0" applyNumberFormat="1" applyFont="1" applyFill="1" applyBorder="1" applyAlignment="1">
      <alignment horizontal="center" vertical="center"/>
    </xf>
    <xf numFmtId="176" fontId="22" fillId="0" borderId="5" xfId="0" applyNumberFormat="1" applyFont="1" applyBorder="1" applyAlignment="1">
      <alignment horizontal="center" vertical="center"/>
    </xf>
    <xf numFmtId="0" fontId="9" fillId="0" borderId="5" xfId="0" applyFont="1" applyBorder="1">
      <alignment vertical="center"/>
    </xf>
    <xf numFmtId="182" fontId="20" fillId="0" borderId="5" xfId="0" applyNumberFormat="1" applyFont="1" applyBorder="1" applyAlignment="1">
      <alignment horizontal="center" vertical="center"/>
    </xf>
    <xf numFmtId="0" fontId="20" fillId="0" borderId="7" xfId="0" applyFont="1" applyBorder="1" applyAlignment="1">
      <alignment horizontal="left" vertical="center"/>
    </xf>
    <xf numFmtId="0" fontId="20" fillId="0" borderId="5" xfId="0" applyFont="1" applyBorder="1">
      <alignment vertical="center"/>
    </xf>
    <xf numFmtId="183" fontId="0" fillId="0" borderId="5" xfId="0" applyNumberFormat="1" applyBorder="1" applyAlignment="1">
      <alignment horizontal="center" vertical="center"/>
    </xf>
    <xf numFmtId="0" fontId="24" fillId="0" borderId="5" xfId="0" applyFont="1" applyBorder="1" applyAlignment="1">
      <alignment horizontal="center" vertical="center"/>
    </xf>
    <xf numFmtId="0" fontId="24" fillId="0" borderId="5" xfId="0" applyFont="1" applyBorder="1">
      <alignment vertical="center"/>
    </xf>
    <xf numFmtId="176" fontId="24" fillId="0" borderId="5" xfId="0" applyNumberFormat="1" applyFont="1" applyBorder="1" applyAlignment="1">
      <alignment horizontal="center" vertical="center"/>
    </xf>
    <xf numFmtId="176" fontId="24" fillId="0" borderId="7" xfId="0" applyNumberFormat="1" applyFont="1" applyBorder="1" applyAlignment="1">
      <alignment horizontal="left" vertical="center"/>
    </xf>
    <xf numFmtId="3" fontId="24" fillId="0" borderId="5" xfId="0" applyNumberFormat="1" applyFont="1" applyBorder="1" applyAlignment="1">
      <alignment horizontal="center" vertical="center"/>
    </xf>
    <xf numFmtId="0" fontId="24" fillId="0" borderId="5" xfId="0" applyFont="1" applyBorder="1" applyAlignment="1">
      <alignment horizontal="left" vertical="center"/>
    </xf>
    <xf numFmtId="0" fontId="15" fillId="0" borderId="5" xfId="0" applyFont="1" applyBorder="1" applyAlignment="1">
      <alignment horizontal="center" vertical="center"/>
    </xf>
    <xf numFmtId="176" fontId="0" fillId="0" borderId="7" xfId="0" applyNumberFormat="1" applyBorder="1" applyAlignment="1">
      <alignment horizontal="left"/>
    </xf>
    <xf numFmtId="0" fontId="0" fillId="7" borderId="5" xfId="0" applyFill="1" applyBorder="1" applyAlignment="1">
      <alignment horizontal="left" vertical="center"/>
    </xf>
    <xf numFmtId="0" fontId="0" fillId="7" borderId="5" xfId="0" applyFill="1" applyBorder="1">
      <alignment vertical="center"/>
    </xf>
    <xf numFmtId="3" fontId="20" fillId="0" borderId="5" xfId="0" applyNumberFormat="1" applyFont="1" applyBorder="1" applyAlignment="1">
      <alignment horizontal="center" vertical="center"/>
    </xf>
    <xf numFmtId="0" fontId="13" fillId="0" borderId="7" xfId="0" applyFont="1" applyBorder="1">
      <alignment vertical="center"/>
    </xf>
    <xf numFmtId="0" fontId="20" fillId="0" borderId="7" xfId="0" applyFont="1" applyBorder="1" applyAlignment="1">
      <alignment horizontal="center" vertical="center"/>
    </xf>
    <xf numFmtId="176" fontId="17" fillId="8" borderId="5" xfId="0" applyNumberFormat="1" applyFont="1" applyFill="1" applyBorder="1" applyAlignment="1">
      <alignment horizontal="center" vertical="center"/>
    </xf>
    <xf numFmtId="176" fontId="0" fillId="0" borderId="5" xfId="0" applyNumberFormat="1" applyBorder="1" applyAlignment="1">
      <alignment horizontal="left" vertical="center"/>
    </xf>
    <xf numFmtId="0" fontId="0" fillId="5" borderId="0" xfId="0" applyFill="1" applyAlignment="1">
      <alignment horizontal="center" vertical="center"/>
    </xf>
    <xf numFmtId="0" fontId="15" fillId="5" borderId="5" xfId="0" applyFont="1" applyFill="1" applyBorder="1" applyAlignment="1">
      <alignment horizontal="center" vertical="center"/>
    </xf>
    <xf numFmtId="0" fontId="24" fillId="5" borderId="5" xfId="0" applyFont="1" applyFill="1" applyBorder="1">
      <alignment vertical="center"/>
    </xf>
    <xf numFmtId="0" fontId="0" fillId="0" borderId="5" xfId="0" applyBorder="1" applyAlignment="1">
      <alignment horizontal="left" vertical="center" shrinkToFit="1"/>
    </xf>
    <xf numFmtId="3" fontId="20" fillId="5" borderId="5" xfId="0" applyNumberFormat="1" applyFont="1" applyFill="1" applyBorder="1" applyAlignment="1">
      <alignment horizontal="center" vertical="center"/>
    </xf>
    <xf numFmtId="0" fontId="20" fillId="5" borderId="5" xfId="0" applyFont="1" applyFill="1" applyBorder="1">
      <alignment vertical="center"/>
    </xf>
    <xf numFmtId="0" fontId="0" fillId="0" borderId="5" xfId="0" applyBorder="1" applyAlignment="1">
      <alignment horizontal="right" vertical="center"/>
    </xf>
    <xf numFmtId="0" fontId="24" fillId="5" borderId="5" xfId="3" applyFont="1" applyFill="1" applyBorder="1" applyAlignment="1">
      <alignment horizontal="left" vertical="center"/>
    </xf>
    <xf numFmtId="49" fontId="20" fillId="5" borderId="5" xfId="0" applyNumberFormat="1" applyFont="1" applyFill="1" applyBorder="1" applyAlignment="1">
      <alignment horizontal="left" vertical="center"/>
    </xf>
    <xf numFmtId="0" fontId="20" fillId="5" borderId="5" xfId="0" applyFont="1" applyFill="1" applyBorder="1" applyAlignment="1">
      <alignment vertical="center" wrapText="1"/>
    </xf>
    <xf numFmtId="176" fontId="20" fillId="0" borderId="7" xfId="0" applyNumberFormat="1" applyFont="1" applyBorder="1" applyAlignment="1">
      <alignment horizontal="center" vertical="center"/>
    </xf>
    <xf numFmtId="49" fontId="0" fillId="5" borderId="5" xfId="0" applyNumberFormat="1" applyFill="1" applyBorder="1" applyAlignment="1">
      <alignment horizontal="left" vertical="center"/>
    </xf>
    <xf numFmtId="0" fontId="20" fillId="5" borderId="5" xfId="0" applyFont="1" applyFill="1" applyBorder="1" applyAlignment="1">
      <alignment horizontal="left" vertical="center"/>
    </xf>
    <xf numFmtId="176" fontId="0" fillId="0" borderId="7" xfId="0" applyNumberFormat="1" applyBorder="1" applyAlignment="1">
      <alignment horizontal="left" vertical="center"/>
    </xf>
    <xf numFmtId="0" fontId="0" fillId="5" borderId="5" xfId="0" applyFill="1" applyBorder="1" applyAlignment="1">
      <alignment horizontal="left" vertical="center" wrapText="1"/>
    </xf>
    <xf numFmtId="0" fontId="0" fillId="5" borderId="5" xfId="0" applyFill="1" applyBorder="1" applyAlignment="1">
      <alignment horizontal="left" vertical="center"/>
    </xf>
    <xf numFmtId="0" fontId="0" fillId="5" borderId="7" xfId="0" applyFill="1" applyBorder="1">
      <alignment vertical="center"/>
    </xf>
    <xf numFmtId="3" fontId="0" fillId="0" borderId="13" xfId="0" applyNumberFormat="1" applyBorder="1" applyAlignment="1">
      <alignment horizontal="center" vertical="center"/>
    </xf>
    <xf numFmtId="3" fontId="21" fillId="3" borderId="9" xfId="0" applyNumberFormat="1" applyFont="1" applyFill="1" applyBorder="1" applyAlignment="1">
      <alignment horizontal="left" vertical="center"/>
    </xf>
    <xf numFmtId="0" fontId="0" fillId="0" borderId="13" xfId="0" applyBorder="1" applyAlignment="1">
      <alignment horizontal="center" vertical="center"/>
    </xf>
    <xf numFmtId="179" fontId="0" fillId="0" borderId="13" xfId="0" applyNumberFormat="1" applyBorder="1" applyAlignment="1">
      <alignment horizontal="center" vertical="center"/>
    </xf>
    <xf numFmtId="178" fontId="0" fillId="0" borderId="13" xfId="0" applyNumberFormat="1" applyBorder="1" applyAlignment="1">
      <alignment horizontal="center" vertical="center"/>
    </xf>
    <xf numFmtId="0" fontId="0" fillId="0" borderId="12" xfId="0" applyBorder="1" applyAlignment="1">
      <alignment horizontal="left" vertical="center"/>
    </xf>
    <xf numFmtId="0" fontId="0" fillId="0" borderId="8" xfId="0" applyBorder="1" applyAlignment="1">
      <alignment horizontal="center" vertical="center"/>
    </xf>
    <xf numFmtId="176" fontId="20" fillId="0" borderId="5" xfId="0" applyNumberFormat="1" applyFont="1" applyBorder="1" applyAlignment="1">
      <alignment horizontal="left" vertical="center"/>
    </xf>
    <xf numFmtId="3" fontId="14" fillId="0" borderId="5" xfId="0" applyNumberFormat="1" applyFont="1" applyBorder="1" applyAlignment="1">
      <alignment horizontal="center" vertical="center"/>
    </xf>
    <xf numFmtId="0" fontId="14" fillId="0" borderId="5" xfId="0" applyFont="1" applyBorder="1">
      <alignment vertical="center"/>
    </xf>
    <xf numFmtId="0" fontId="14" fillId="0" borderId="5" xfId="0" applyFont="1" applyBorder="1" applyAlignment="1">
      <alignment horizontal="center" vertical="center"/>
    </xf>
    <xf numFmtId="38" fontId="14" fillId="0" borderId="7" xfId="0" applyNumberFormat="1" applyFont="1" applyBorder="1" applyAlignment="1">
      <alignment horizontal="center" vertical="center"/>
    </xf>
    <xf numFmtId="0" fontId="14" fillId="0" borderId="7" xfId="0" applyFont="1" applyBorder="1" applyAlignment="1">
      <alignment horizontal="left" vertical="center"/>
    </xf>
    <xf numFmtId="176" fontId="20" fillId="0" borderId="7" xfId="0" applyNumberFormat="1" applyFont="1" applyBorder="1" applyAlignment="1">
      <alignment horizontal="left" vertical="center"/>
    </xf>
    <xf numFmtId="0" fontId="14" fillId="0" borderId="5" xfId="0" applyFont="1" applyBorder="1" applyAlignment="1">
      <alignment horizontal="left" vertical="center"/>
    </xf>
    <xf numFmtId="0" fontId="25" fillId="0" borderId="5" xfId="0" applyFont="1" applyBorder="1">
      <alignment vertical="center"/>
    </xf>
    <xf numFmtId="0" fontId="25" fillId="0" borderId="5" xfId="0" applyFont="1" applyBorder="1" applyAlignment="1">
      <alignment horizontal="center" vertical="center"/>
    </xf>
    <xf numFmtId="176" fontId="14" fillId="0" borderId="5" xfId="0" applyNumberFormat="1" applyFont="1" applyBorder="1" applyAlignment="1">
      <alignment horizontal="center" vertical="center"/>
    </xf>
    <xf numFmtId="176" fontId="20" fillId="0" borderId="5" xfId="0" applyNumberFormat="1" applyFont="1" applyBorder="1" applyAlignment="1">
      <alignment horizontal="center" vertical="center"/>
    </xf>
    <xf numFmtId="176" fontId="14" fillId="0" borderId="7" xfId="0" applyNumberFormat="1" applyFont="1" applyBorder="1" applyAlignment="1">
      <alignment horizontal="left" vertical="center"/>
    </xf>
    <xf numFmtId="0" fontId="0" fillId="10" borderId="5" xfId="0" applyFill="1" applyBorder="1" applyAlignment="1">
      <alignment horizontal="center" vertical="center"/>
    </xf>
    <xf numFmtId="0" fontId="27" fillId="0" borderId="5" xfId="0" applyFont="1" applyBorder="1" applyAlignment="1">
      <alignment horizontal="left" vertical="center"/>
    </xf>
    <xf numFmtId="0" fontId="20" fillId="0" borderId="1" xfId="0" applyFont="1" applyBorder="1" applyAlignment="1">
      <alignment vertical="center" shrinkToFit="1"/>
    </xf>
    <xf numFmtId="3" fontId="24" fillId="0" borderId="5" xfId="0" applyNumberFormat="1" applyFont="1" applyBorder="1" applyAlignment="1">
      <alignment horizontal="left" vertical="center"/>
    </xf>
    <xf numFmtId="0" fontId="24" fillId="0" borderId="7" xfId="0" applyFont="1" applyBorder="1" applyAlignment="1">
      <alignment horizontal="center" vertical="center"/>
    </xf>
    <xf numFmtId="3" fontId="13" fillId="0" borderId="5" xfId="0" applyNumberFormat="1" applyFont="1" applyBorder="1" applyAlignment="1">
      <alignment horizontal="center" vertical="center"/>
    </xf>
    <xf numFmtId="0" fontId="0" fillId="7" borderId="5" xfId="0" applyFill="1" applyBorder="1" applyAlignment="1">
      <alignment horizontal="center" vertical="center"/>
    </xf>
    <xf numFmtId="181" fontId="20" fillId="7" borderId="5" xfId="0" applyNumberFormat="1" applyFont="1" applyFill="1" applyBorder="1" applyAlignment="1">
      <alignment horizontal="center" vertical="center"/>
    </xf>
    <xf numFmtId="0" fontId="0" fillId="7" borderId="7" xfId="0" applyFill="1" applyBorder="1" applyAlignment="1">
      <alignment horizontal="left" vertical="center"/>
    </xf>
    <xf numFmtId="0" fontId="20" fillId="7" borderId="5" xfId="0" applyFont="1" applyFill="1" applyBorder="1">
      <alignment vertical="center"/>
    </xf>
    <xf numFmtId="176" fontId="20" fillId="5" borderId="5" xfId="0" applyNumberFormat="1" applyFont="1" applyFill="1" applyBorder="1" applyAlignment="1">
      <alignment horizontal="center" vertical="center"/>
    </xf>
    <xf numFmtId="0" fontId="13" fillId="5" borderId="5" xfId="0" applyFont="1" applyFill="1" applyBorder="1">
      <alignment vertical="center"/>
    </xf>
    <xf numFmtId="0" fontId="20" fillId="5" borderId="5" xfId="0" applyFont="1" applyFill="1" applyBorder="1" applyAlignment="1">
      <alignment horizontal="center" vertical="center"/>
    </xf>
    <xf numFmtId="38" fontId="20" fillId="5" borderId="5" xfId="0" applyNumberFormat="1" applyFont="1" applyFill="1" applyBorder="1" applyAlignment="1">
      <alignment horizontal="center" vertical="center"/>
    </xf>
    <xf numFmtId="0" fontId="9" fillId="5" borderId="5" xfId="0" applyFont="1" applyFill="1" applyBorder="1" applyAlignment="1">
      <alignment horizontal="left" vertical="center"/>
    </xf>
    <xf numFmtId="0" fontId="0" fillId="5" borderId="8" xfId="0" applyFill="1" applyBorder="1" applyAlignment="1">
      <alignment horizontal="center" vertical="center"/>
    </xf>
    <xf numFmtId="0" fontId="9" fillId="0" borderId="12" xfId="0" applyFont="1" applyBorder="1" applyAlignment="1">
      <alignment horizontal="left" vertical="center"/>
    </xf>
    <xf numFmtId="0" fontId="9" fillId="5" borderId="8" xfId="0" applyFont="1" applyFill="1" applyBorder="1" applyAlignment="1">
      <alignment horizontal="left" vertical="center"/>
    </xf>
    <xf numFmtId="179" fontId="0" fillId="0" borderId="0" xfId="0" applyNumberFormat="1" applyAlignment="1">
      <alignment horizontal="center" vertical="center"/>
    </xf>
    <xf numFmtId="3" fontId="0" fillId="0" borderId="0" xfId="0" applyNumberFormat="1" applyAlignment="1">
      <alignment horizontal="center" vertical="center"/>
    </xf>
    <xf numFmtId="177" fontId="0" fillId="0" borderId="13" xfId="0" applyNumberFormat="1" applyBorder="1" applyAlignment="1">
      <alignment horizontal="center" vertical="center"/>
    </xf>
    <xf numFmtId="0" fontId="0" fillId="0" borderId="13" xfId="0" applyBorder="1" applyAlignment="1">
      <alignment vertical="center" shrinkToFit="1"/>
    </xf>
    <xf numFmtId="176" fontId="0" fillId="0" borderId="14" xfId="0" applyNumberFormat="1" applyBorder="1" applyAlignment="1">
      <alignment horizontal="center" vertical="center"/>
    </xf>
    <xf numFmtId="176" fontId="0" fillId="0" borderId="6" xfId="0" applyNumberFormat="1" applyBorder="1" applyAlignment="1">
      <alignment horizontal="center" vertical="center"/>
    </xf>
    <xf numFmtId="176" fontId="0" fillId="0" borderId="6" xfId="0" applyNumberFormat="1" applyBorder="1" applyAlignment="1"/>
    <xf numFmtId="0" fontId="0" fillId="0" borderId="6" xfId="0" applyBorder="1" applyAlignment="1">
      <alignment horizontal="left" vertical="center" shrinkToFit="1"/>
    </xf>
    <xf numFmtId="0" fontId="0" fillId="5" borderId="5" xfId="0" applyFill="1" applyBorder="1">
      <alignment vertical="center"/>
    </xf>
    <xf numFmtId="0" fontId="24" fillId="5" borderId="5" xfId="0" applyFont="1" applyFill="1" applyBorder="1" applyAlignment="1">
      <alignment horizontal="left" vertical="center"/>
    </xf>
    <xf numFmtId="0" fontId="0" fillId="0" borderId="5" xfId="0" applyBorder="1" applyAlignment="1">
      <alignment horizontal="left" vertical="center" wrapText="1"/>
    </xf>
    <xf numFmtId="0" fontId="0" fillId="0" borderId="15" xfId="0" applyBorder="1" applyAlignment="1">
      <alignment horizontal="left" vertical="center"/>
    </xf>
    <xf numFmtId="0" fontId="20" fillId="0" borderId="5" xfId="0" applyFont="1" applyBorder="1" applyAlignment="1">
      <alignment vertical="center" wrapText="1"/>
    </xf>
    <xf numFmtId="0" fontId="0" fillId="0" borderId="15" xfId="0" applyBorder="1" applyAlignment="1">
      <alignment horizontal="center" vertical="center"/>
    </xf>
    <xf numFmtId="0" fontId="13" fillId="0" borderId="5" xfId="3" applyBorder="1" applyAlignment="1">
      <alignment horizontal="left"/>
    </xf>
    <xf numFmtId="176" fontId="24" fillId="0" borderId="5" xfId="0" applyNumberFormat="1" applyFont="1" applyBorder="1" applyAlignment="1">
      <alignment horizontal="left"/>
    </xf>
    <xf numFmtId="181" fontId="0" fillId="0" borderId="5" xfId="0" applyNumberFormat="1" applyBorder="1" applyAlignment="1">
      <alignment horizontal="center" vertical="center"/>
    </xf>
    <xf numFmtId="176" fontId="0" fillId="5" borderId="5" xfId="0" applyNumberFormat="1" applyFill="1" applyBorder="1" applyAlignment="1">
      <alignment horizontal="left" vertical="center"/>
    </xf>
    <xf numFmtId="176" fontId="20" fillId="5" borderId="5" xfId="0" applyNumberFormat="1" applyFont="1" applyFill="1" applyBorder="1" applyAlignment="1">
      <alignment horizontal="left" vertical="center"/>
    </xf>
    <xf numFmtId="0" fontId="13" fillId="5" borderId="5" xfId="3" applyFill="1" applyBorder="1" applyAlignment="1">
      <alignment horizontal="left"/>
    </xf>
    <xf numFmtId="176" fontId="0" fillId="5" borderId="5" xfId="0" applyNumberFormat="1" applyFill="1" applyBorder="1" applyAlignment="1">
      <alignment horizontal="center" vertical="center"/>
    </xf>
    <xf numFmtId="49" fontId="9" fillId="5" borderId="5" xfId="0" applyNumberFormat="1" applyFont="1" applyFill="1" applyBorder="1" applyAlignment="1">
      <alignment horizontal="left" vertical="center"/>
    </xf>
    <xf numFmtId="0" fontId="28" fillId="0" borderId="5" xfId="2" applyFont="1" applyBorder="1">
      <alignment vertical="center"/>
    </xf>
    <xf numFmtId="0" fontId="29" fillId="0" borderId="2" xfId="0" applyFont="1" applyBorder="1" applyAlignment="1">
      <alignment horizontal="center" vertical="center"/>
    </xf>
    <xf numFmtId="0" fontId="5" fillId="0" borderId="4" xfId="0" applyFont="1" applyBorder="1" applyAlignment="1">
      <alignment horizontal="center" vertical="center"/>
    </xf>
    <xf numFmtId="0" fontId="5" fillId="0" borderId="2" xfId="0" applyFont="1" applyBorder="1" applyAlignment="1">
      <alignment horizontal="center" vertical="center"/>
    </xf>
    <xf numFmtId="3" fontId="0" fillId="0" borderId="2" xfId="0" applyNumberFormat="1" applyBorder="1" applyAlignment="1">
      <alignment horizontal="center" vertical="center"/>
    </xf>
    <xf numFmtId="49" fontId="5" fillId="0" borderId="5" xfId="0" applyNumberFormat="1" applyFont="1" applyBorder="1" applyAlignment="1">
      <alignment vertical="center" shrinkToFit="1"/>
    </xf>
    <xf numFmtId="176" fontId="0" fillId="0" borderId="3" xfId="0" applyNumberFormat="1" applyBorder="1" applyAlignment="1"/>
    <xf numFmtId="176" fontId="6" fillId="0" borderId="5" xfId="0" applyNumberFormat="1" applyFont="1" applyBorder="1">
      <alignment vertical="center"/>
    </xf>
    <xf numFmtId="176" fontId="0" fillId="0" borderId="4" xfId="0" applyNumberFormat="1" applyBorder="1">
      <alignment vertical="center"/>
    </xf>
    <xf numFmtId="49" fontId="24" fillId="5" borderId="5" xfId="0" applyNumberFormat="1" applyFont="1" applyFill="1" applyBorder="1" applyAlignment="1">
      <alignment horizontal="left" vertical="center"/>
    </xf>
    <xf numFmtId="38" fontId="24" fillId="5" borderId="5" xfId="0" applyNumberFormat="1" applyFont="1" applyFill="1" applyBorder="1" applyAlignment="1">
      <alignment horizontal="center" vertical="center"/>
    </xf>
    <xf numFmtId="183" fontId="0" fillId="5" borderId="5" xfId="0" applyNumberFormat="1" applyFill="1" applyBorder="1" applyAlignment="1">
      <alignment horizontal="center" vertical="center"/>
    </xf>
    <xf numFmtId="49" fontId="9" fillId="5" borderId="5" xfId="0" applyNumberFormat="1" applyFont="1" applyFill="1" applyBorder="1">
      <alignment vertical="center"/>
    </xf>
    <xf numFmtId="176" fontId="6" fillId="0" borderId="5" xfId="0" applyNumberFormat="1" applyFont="1" applyBorder="1" applyAlignment="1">
      <alignment horizontal="center" vertical="center"/>
    </xf>
    <xf numFmtId="176" fontId="17" fillId="8" borderId="11" xfId="0" applyNumberFormat="1" applyFont="1" applyFill="1" applyBorder="1" applyAlignment="1">
      <alignment horizontal="center" vertical="center"/>
    </xf>
    <xf numFmtId="0" fontId="20" fillId="0" borderId="8" xfId="0" applyFont="1" applyBorder="1" applyAlignment="1">
      <alignment horizontal="left" vertical="center"/>
    </xf>
    <xf numFmtId="0" fontId="20" fillId="0" borderId="12" xfId="0" applyFont="1" applyBorder="1" applyAlignment="1">
      <alignment horizontal="center" vertical="center"/>
    </xf>
    <xf numFmtId="3" fontId="13" fillId="5" borderId="8" xfId="0" applyNumberFormat="1" applyFont="1" applyFill="1" applyBorder="1" applyAlignment="1">
      <alignment horizontal="center" vertical="center"/>
    </xf>
    <xf numFmtId="0" fontId="20" fillId="5" borderId="8" xfId="0" applyFont="1" applyFill="1" applyBorder="1" applyAlignment="1">
      <alignment horizontal="left" vertical="center"/>
    </xf>
    <xf numFmtId="0" fontId="20" fillId="5" borderId="8" xfId="0" applyFont="1" applyFill="1" applyBorder="1" applyAlignment="1">
      <alignment horizontal="center" vertical="center"/>
    </xf>
    <xf numFmtId="0" fontId="9" fillId="0" borderId="1" xfId="0" applyFont="1" applyBorder="1" applyAlignment="1">
      <alignment horizontal="left" vertical="center" shrinkToFit="1"/>
    </xf>
    <xf numFmtId="0" fontId="9" fillId="5" borderId="5" xfId="0" applyFont="1" applyFill="1" applyBorder="1" applyAlignment="1">
      <alignment vertical="center" shrinkToFit="1"/>
    </xf>
    <xf numFmtId="0" fontId="9" fillId="5" borderId="5" xfId="0" applyFont="1" applyFill="1" applyBorder="1" applyAlignment="1">
      <alignment horizontal="center" vertical="center"/>
    </xf>
    <xf numFmtId="14" fontId="9" fillId="0" borderId="1" xfId="0" applyNumberFormat="1" applyFont="1" applyBorder="1" applyAlignment="1">
      <alignment horizontal="left" vertical="center"/>
    </xf>
    <xf numFmtId="3" fontId="0" fillId="12" borderId="5" xfId="0" applyNumberFormat="1" applyFill="1" applyBorder="1" applyAlignment="1">
      <alignment horizontal="center" vertical="center"/>
    </xf>
    <xf numFmtId="3" fontId="5" fillId="12" borderId="2" xfId="0" applyNumberFormat="1" applyFont="1" applyFill="1" applyBorder="1" applyAlignment="1">
      <alignment horizontal="center" vertical="center"/>
    </xf>
    <xf numFmtId="0" fontId="5" fillId="12" borderId="2" xfId="0" applyFont="1" applyFill="1" applyBorder="1" applyAlignment="1">
      <alignment horizontal="center" vertical="center"/>
    </xf>
    <xf numFmtId="3" fontId="0" fillId="12" borderId="8" xfId="0" applyNumberFormat="1" applyFill="1" applyBorder="1" applyAlignment="1">
      <alignment horizontal="center" vertical="center"/>
    </xf>
    <xf numFmtId="49" fontId="20" fillId="0" borderId="5" xfId="0" applyNumberFormat="1" applyFont="1" applyBorder="1" applyAlignment="1">
      <alignment horizontal="left" vertical="center"/>
    </xf>
    <xf numFmtId="0" fontId="0" fillId="13" borderId="5" xfId="0" applyFill="1" applyBorder="1" applyAlignment="1">
      <alignment horizontal="center" vertical="center"/>
    </xf>
    <xf numFmtId="0" fontId="0" fillId="14" borderId="5" xfId="0" applyFill="1" applyBorder="1" applyAlignment="1">
      <alignment horizontal="center" vertical="center"/>
    </xf>
    <xf numFmtId="0" fontId="0" fillId="15" borderId="8" xfId="0" applyFill="1" applyBorder="1" applyAlignment="1">
      <alignment horizontal="center" vertical="center"/>
    </xf>
    <xf numFmtId="0" fontId="0" fillId="6" borderId="8" xfId="0" applyFill="1" applyBorder="1" applyAlignment="1">
      <alignment horizontal="center" vertical="center"/>
    </xf>
    <xf numFmtId="0" fontId="20" fillId="6" borderId="5" xfId="0" applyFont="1" applyFill="1" applyBorder="1" applyAlignment="1">
      <alignment horizontal="center" vertical="center"/>
    </xf>
    <xf numFmtId="0" fontId="13" fillId="6" borderId="5" xfId="0" applyFont="1" applyFill="1" applyBorder="1" applyAlignment="1">
      <alignment horizontal="center" vertical="center"/>
    </xf>
    <xf numFmtId="0" fontId="20" fillId="6" borderId="7" xfId="0" applyFont="1" applyFill="1" applyBorder="1" applyAlignment="1">
      <alignment horizontal="center" vertical="center"/>
    </xf>
    <xf numFmtId="181" fontId="24" fillId="6" borderId="5" xfId="0" applyNumberFormat="1" applyFont="1" applyFill="1" applyBorder="1" applyAlignment="1">
      <alignment horizontal="center" vertical="center"/>
    </xf>
    <xf numFmtId="181" fontId="0" fillId="6" borderId="5" xfId="0" applyNumberFormat="1" applyFill="1" applyBorder="1" applyAlignment="1">
      <alignment horizontal="center" vertical="center"/>
    </xf>
    <xf numFmtId="181" fontId="20" fillId="6" borderId="5" xfId="0" applyNumberFormat="1" applyFont="1" applyFill="1" applyBorder="1" applyAlignment="1">
      <alignment horizontal="center" vertical="center"/>
    </xf>
    <xf numFmtId="0" fontId="0" fillId="6" borderId="15" xfId="0" applyFill="1" applyBorder="1" applyAlignment="1">
      <alignment horizontal="center" vertical="center"/>
    </xf>
    <xf numFmtId="176" fontId="24" fillId="6" borderId="5" xfId="0" applyNumberFormat="1" applyFont="1" applyFill="1" applyBorder="1" applyAlignment="1">
      <alignment horizontal="center" vertical="center"/>
    </xf>
    <xf numFmtId="0" fontId="13" fillId="6" borderId="5" xfId="3" applyFill="1" applyBorder="1" applyAlignment="1">
      <alignment horizontal="center" vertical="center"/>
    </xf>
    <xf numFmtId="0" fontId="24" fillId="6" borderId="5" xfId="0" applyFont="1" applyFill="1" applyBorder="1" applyAlignment="1">
      <alignment horizontal="center" vertical="center"/>
    </xf>
    <xf numFmtId="176" fontId="0" fillId="6" borderId="4" xfId="0" applyNumberFormat="1" applyFill="1" applyBorder="1" applyAlignment="1">
      <alignment horizontal="center" vertical="center"/>
    </xf>
    <xf numFmtId="176" fontId="0" fillId="6" borderId="5" xfId="0" applyNumberFormat="1" applyFill="1" applyBorder="1" applyAlignment="1">
      <alignment horizontal="center" vertical="center"/>
    </xf>
    <xf numFmtId="3" fontId="9" fillId="0" borderId="8" xfId="0" applyNumberFormat="1" applyFont="1" applyBorder="1" applyAlignment="1">
      <alignment horizontal="center" vertical="center"/>
    </xf>
    <xf numFmtId="3" fontId="9" fillId="5" borderId="5" xfId="0" applyNumberFormat="1" applyFont="1" applyFill="1" applyBorder="1" applyAlignment="1">
      <alignment horizontal="center" vertical="center"/>
    </xf>
    <xf numFmtId="181" fontId="20" fillId="6" borderId="8" xfId="0" applyNumberFormat="1" applyFont="1" applyFill="1" applyBorder="1" applyAlignment="1">
      <alignment horizontal="center" vertical="center"/>
    </xf>
    <xf numFmtId="0" fontId="20" fillId="6" borderId="12" xfId="0" applyFont="1" applyFill="1" applyBorder="1" applyAlignment="1">
      <alignment horizontal="center" vertical="center"/>
    </xf>
    <xf numFmtId="0" fontId="0" fillId="6" borderId="7" xfId="0" applyFill="1" applyBorder="1" applyAlignment="1">
      <alignment horizontal="center" vertical="center"/>
    </xf>
    <xf numFmtId="176" fontId="20" fillId="6" borderId="5" xfId="0" applyNumberFormat="1" applyFont="1" applyFill="1" applyBorder="1" applyAlignment="1">
      <alignment horizontal="center" vertical="center"/>
    </xf>
    <xf numFmtId="38" fontId="20" fillId="6" borderId="5" xfId="0" applyNumberFormat="1" applyFont="1" applyFill="1" applyBorder="1" applyAlignment="1">
      <alignment horizontal="center" vertical="center"/>
    </xf>
    <xf numFmtId="176" fontId="20" fillId="6" borderId="7" xfId="0" applyNumberFormat="1" applyFont="1" applyFill="1" applyBorder="1" applyAlignment="1">
      <alignment horizontal="center" vertical="center"/>
    </xf>
    <xf numFmtId="38" fontId="0" fillId="6" borderId="5" xfId="0" applyNumberFormat="1" applyFill="1" applyBorder="1" applyAlignment="1">
      <alignment horizontal="center" vertical="center"/>
    </xf>
    <xf numFmtId="38" fontId="20" fillId="6" borderId="9" xfId="0" applyNumberFormat="1" applyFont="1" applyFill="1" applyBorder="1" applyAlignment="1">
      <alignment horizontal="center" vertical="center"/>
    </xf>
    <xf numFmtId="38" fontId="24" fillId="6" borderId="7" xfId="0" applyNumberFormat="1" applyFont="1" applyFill="1" applyBorder="1" applyAlignment="1">
      <alignment horizontal="center" vertical="center"/>
    </xf>
    <xf numFmtId="176" fontId="13" fillId="6" borderId="5" xfId="0" applyNumberFormat="1" applyFont="1" applyFill="1" applyBorder="1" applyAlignment="1">
      <alignment horizontal="center" vertical="center"/>
    </xf>
    <xf numFmtId="180" fontId="0" fillId="6" borderId="5" xfId="0" applyNumberFormat="1" applyFill="1" applyBorder="1" applyAlignment="1">
      <alignment horizontal="center" vertical="center"/>
    </xf>
    <xf numFmtId="176" fontId="12" fillId="6" borderId="5" xfId="0" applyNumberFormat="1" applyFont="1" applyFill="1" applyBorder="1" applyAlignment="1">
      <alignment horizontal="center" vertical="center"/>
    </xf>
    <xf numFmtId="176" fontId="20" fillId="6" borderId="8" xfId="0" applyNumberFormat="1" applyFont="1" applyFill="1" applyBorder="1" applyAlignment="1">
      <alignment horizontal="center" vertical="center"/>
    </xf>
    <xf numFmtId="179" fontId="9" fillId="0" borderId="5" xfId="0" applyNumberFormat="1" applyFont="1" applyBorder="1" applyAlignment="1">
      <alignment horizontal="center" vertical="center"/>
    </xf>
    <xf numFmtId="0" fontId="26" fillId="0" borderId="5" xfId="0" applyFont="1" applyBorder="1" applyAlignment="1">
      <alignment horizontal="center" vertical="center"/>
    </xf>
    <xf numFmtId="0" fontId="0" fillId="9" borderId="0" xfId="0" applyFill="1" applyAlignment="1">
      <alignment horizontal="right" vertical="center"/>
    </xf>
    <xf numFmtId="0" fontId="32" fillId="0" borderId="0" xfId="0" applyFont="1">
      <alignment vertical="center"/>
    </xf>
    <xf numFmtId="3" fontId="20" fillId="7" borderId="5" xfId="0" applyNumberFormat="1" applyFont="1" applyFill="1" applyBorder="1" applyAlignment="1">
      <alignment horizontal="center" vertical="center"/>
    </xf>
    <xf numFmtId="49" fontId="20" fillId="7" borderId="5" xfId="0" applyNumberFormat="1" applyFont="1" applyFill="1" applyBorder="1" applyAlignment="1">
      <alignment horizontal="left" vertical="center"/>
    </xf>
    <xf numFmtId="0" fontId="20" fillId="7" borderId="5" xfId="0" applyFont="1" applyFill="1" applyBorder="1" applyAlignment="1">
      <alignment horizontal="center" vertical="center"/>
    </xf>
    <xf numFmtId="183" fontId="20" fillId="7" borderId="5" xfId="0" applyNumberFormat="1" applyFont="1" applyFill="1" applyBorder="1" applyAlignment="1">
      <alignment horizontal="center" vertical="center"/>
    </xf>
    <xf numFmtId="38" fontId="20" fillId="7" borderId="5" xfId="0" applyNumberFormat="1" applyFont="1" applyFill="1" applyBorder="1" applyAlignment="1">
      <alignment horizontal="center" vertical="center"/>
    </xf>
    <xf numFmtId="0" fontId="13" fillId="7" borderId="5" xfId="0" applyFont="1" applyFill="1" applyBorder="1">
      <alignment vertical="center"/>
    </xf>
    <xf numFmtId="0" fontId="13" fillId="7" borderId="5" xfId="0" applyFont="1" applyFill="1" applyBorder="1" applyAlignment="1">
      <alignment horizontal="center" vertical="center"/>
    </xf>
    <xf numFmtId="176" fontId="20" fillId="7" borderId="5" xfId="0" applyNumberFormat="1" applyFont="1" applyFill="1" applyBorder="1" applyAlignment="1">
      <alignment horizontal="center" vertical="center"/>
    </xf>
    <xf numFmtId="176" fontId="0" fillId="7" borderId="5" xfId="0" applyNumberFormat="1" applyFill="1" applyBorder="1" applyAlignment="1">
      <alignment horizontal="center" vertical="center"/>
    </xf>
    <xf numFmtId="0" fontId="24" fillId="7" borderId="5" xfId="0" applyFont="1" applyFill="1" applyBorder="1" applyAlignment="1">
      <alignment horizontal="center" vertical="center"/>
    </xf>
    <xf numFmtId="0" fontId="12" fillId="7" borderId="5" xfId="0" applyFont="1" applyFill="1" applyBorder="1" applyAlignment="1">
      <alignment horizontal="center" vertical="center"/>
    </xf>
    <xf numFmtId="0" fontId="24" fillId="7" borderId="5" xfId="0" applyFont="1" applyFill="1" applyBorder="1">
      <alignment vertical="center"/>
    </xf>
    <xf numFmtId="176" fontId="24" fillId="7" borderId="5" xfId="0" applyNumberFormat="1" applyFont="1" applyFill="1" applyBorder="1" applyAlignment="1">
      <alignment horizontal="center" vertical="center"/>
    </xf>
    <xf numFmtId="176" fontId="12" fillId="7" borderId="5" xfId="0" applyNumberFormat="1" applyFont="1" applyFill="1" applyBorder="1" applyAlignment="1">
      <alignment horizontal="center" vertical="center"/>
    </xf>
    <xf numFmtId="56" fontId="0" fillId="0" borderId="2" xfId="0" applyNumberFormat="1" applyBorder="1" applyAlignment="1">
      <alignment horizontal="center" vertical="center"/>
    </xf>
    <xf numFmtId="49" fontId="0" fillId="7" borderId="5" xfId="0" applyNumberFormat="1" applyFill="1" applyBorder="1" applyAlignment="1">
      <alignment horizontal="left" vertical="center"/>
    </xf>
    <xf numFmtId="38" fontId="0" fillId="7" borderId="5" xfId="0" applyNumberFormat="1" applyFill="1" applyBorder="1" applyAlignment="1">
      <alignment horizontal="center" vertical="center"/>
    </xf>
    <xf numFmtId="176" fontId="0" fillId="7" borderId="1" xfId="0" applyNumberFormat="1" applyFill="1" applyBorder="1" applyAlignment="1">
      <alignment horizontal="center" vertical="center"/>
    </xf>
    <xf numFmtId="3" fontId="9" fillId="7" borderId="5" xfId="0" applyNumberFormat="1" applyFont="1" applyFill="1" applyBorder="1" applyAlignment="1">
      <alignment horizontal="center" vertical="center"/>
    </xf>
    <xf numFmtId="178" fontId="0" fillId="7" borderId="5" xfId="0" applyNumberFormat="1" applyFill="1" applyBorder="1" applyAlignment="1">
      <alignment horizontal="center" vertical="center"/>
    </xf>
    <xf numFmtId="0" fontId="24" fillId="16" borderId="5" xfId="0" applyFont="1" applyFill="1" applyBorder="1" applyAlignment="1">
      <alignment horizontal="center" vertical="center"/>
    </xf>
    <xf numFmtId="176" fontId="20" fillId="16" borderId="5" xfId="0" applyNumberFormat="1" applyFont="1" applyFill="1" applyBorder="1" applyAlignment="1">
      <alignment horizontal="left" vertical="center"/>
    </xf>
    <xf numFmtId="181" fontId="20" fillId="16" borderId="7" xfId="0" applyNumberFormat="1" applyFont="1" applyFill="1" applyBorder="1" applyAlignment="1">
      <alignment horizontal="center" vertical="center"/>
    </xf>
    <xf numFmtId="0" fontId="0" fillId="16" borderId="5" xfId="0" applyFill="1" applyBorder="1" applyAlignment="1">
      <alignment horizontal="center" vertical="center"/>
    </xf>
    <xf numFmtId="176" fontId="24" fillId="16" borderId="5" xfId="0" applyNumberFormat="1" applyFont="1" applyFill="1" applyBorder="1" applyAlignment="1">
      <alignment horizontal="center" vertical="center"/>
    </xf>
    <xf numFmtId="0" fontId="33" fillId="0" borderId="5" xfId="0" applyFont="1" applyBorder="1" applyAlignment="1">
      <alignment horizontal="center" vertical="center"/>
    </xf>
    <xf numFmtId="3" fontId="9" fillId="17" borderId="5" xfId="0" applyNumberFormat="1" applyFont="1" applyFill="1" applyBorder="1" applyAlignment="1">
      <alignment horizontal="center" vertical="center"/>
    </xf>
    <xf numFmtId="3" fontId="0" fillId="17" borderId="5" xfId="0" applyNumberFormat="1" applyFill="1" applyBorder="1" applyAlignment="1">
      <alignment horizontal="center" vertical="center"/>
    </xf>
    <xf numFmtId="49" fontId="24" fillId="17" borderId="5" xfId="0" applyNumberFormat="1" applyFont="1" applyFill="1" applyBorder="1" applyAlignment="1">
      <alignment horizontal="left" vertical="center"/>
    </xf>
    <xf numFmtId="181" fontId="24" fillId="17" borderId="5" xfId="0" applyNumberFormat="1" applyFont="1" applyFill="1" applyBorder="1" applyAlignment="1">
      <alignment horizontal="center" vertical="center"/>
    </xf>
    <xf numFmtId="38" fontId="24" fillId="17" borderId="5" xfId="0" applyNumberFormat="1" applyFont="1" applyFill="1" applyBorder="1" applyAlignment="1">
      <alignment horizontal="center" vertical="center"/>
    </xf>
    <xf numFmtId="38" fontId="24" fillId="17" borderId="7" xfId="0" applyNumberFormat="1" applyFont="1" applyFill="1" applyBorder="1" applyAlignment="1">
      <alignment horizontal="center" vertical="center"/>
    </xf>
    <xf numFmtId="0" fontId="37" fillId="0" borderId="5" xfId="0" applyFont="1" applyBorder="1" applyAlignment="1">
      <alignment horizontal="center" vertical="center"/>
    </xf>
    <xf numFmtId="3" fontId="20" fillId="17" borderId="5" xfId="0" applyNumberFormat="1" applyFont="1" applyFill="1" applyBorder="1" applyAlignment="1">
      <alignment horizontal="center" vertical="center"/>
    </xf>
    <xf numFmtId="0" fontId="9" fillId="17" borderId="5" xfId="0" applyFont="1" applyFill="1" applyBorder="1" applyAlignment="1">
      <alignment vertical="center" shrinkToFit="1"/>
    </xf>
    <xf numFmtId="176" fontId="0" fillId="17" borderId="0" xfId="0" applyNumberFormat="1" applyFill="1" applyAlignment="1">
      <alignment horizontal="center" vertical="center"/>
    </xf>
    <xf numFmtId="176" fontId="0" fillId="0" borderId="0" xfId="0" applyNumberFormat="1" applyAlignment="1"/>
    <xf numFmtId="0" fontId="40" fillId="0" borderId="0" xfId="0" applyFont="1" applyAlignment="1">
      <alignment horizontal="center" vertical="center"/>
    </xf>
    <xf numFmtId="176" fontId="6" fillId="0" borderId="2" xfId="0" applyNumberFormat="1" applyFont="1" applyBorder="1" applyAlignment="1">
      <alignment horizontal="center" vertical="center"/>
    </xf>
    <xf numFmtId="176" fontId="6" fillId="0" borderId="3" xfId="0" applyNumberFormat="1" applyFont="1" applyBorder="1" applyAlignment="1">
      <alignment horizontal="center" vertical="center"/>
    </xf>
    <xf numFmtId="176" fontId="6" fillId="0" borderId="4" xfId="0" applyNumberFormat="1" applyFont="1" applyBorder="1" applyAlignment="1">
      <alignment horizontal="center" vertical="center"/>
    </xf>
    <xf numFmtId="0" fontId="3" fillId="2" borderId="1"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8" fillId="4" borderId="5" xfId="0" applyFont="1" applyFill="1" applyBorder="1" applyAlignment="1">
      <alignment horizontal="center" vertical="center" shrinkToFit="1"/>
    </xf>
    <xf numFmtId="3" fontId="17" fillId="3" borderId="7" xfId="0" applyNumberFormat="1" applyFont="1" applyFill="1" applyBorder="1" applyAlignment="1">
      <alignment horizontal="center" vertical="center"/>
    </xf>
    <xf numFmtId="3" fontId="17" fillId="3" borderId="10" xfId="0" applyNumberFormat="1" applyFont="1" applyFill="1" applyBorder="1" applyAlignment="1">
      <alignment horizontal="center" vertical="center"/>
    </xf>
    <xf numFmtId="3" fontId="17" fillId="3" borderId="9" xfId="0" applyNumberFormat="1" applyFont="1" applyFill="1" applyBorder="1" applyAlignment="1">
      <alignment horizontal="center" vertical="center"/>
    </xf>
    <xf numFmtId="0" fontId="23" fillId="0" borderId="11" xfId="0" applyFont="1" applyBorder="1" applyAlignment="1">
      <alignment horizontal="center" vertical="center"/>
    </xf>
    <xf numFmtId="3" fontId="2" fillId="11" borderId="5" xfId="0" applyNumberFormat="1" applyFont="1" applyFill="1" applyBorder="1" applyAlignment="1">
      <alignment horizontal="center" vertical="center"/>
    </xf>
    <xf numFmtId="49" fontId="31" fillId="0" borderId="0" xfId="0" applyNumberFormat="1" applyFont="1" applyAlignment="1">
      <alignment horizontal="left" vertical="center" shrinkToFit="1"/>
    </xf>
  </cellXfs>
  <cellStyles count="6">
    <cellStyle name="ハイパーリンク" xfId="2" xr:uid="{00000000-0005-0000-0000-000000000000}"/>
    <cellStyle name="標準" xfId="0" builtinId="0"/>
    <cellStyle name="標準 2" xfId="5" xr:uid="{C2CBC382-4BC1-4D3B-B64A-4DC2C10C5618}"/>
    <cellStyle name="標準 3" xfId="4" xr:uid="{1B9717F3-D5E1-4047-8E84-2BA2544C8F2B}"/>
    <cellStyle name="標準_発注管理表" xfId="3" xr:uid="{00000000-0005-0000-0000-000002000000}"/>
    <cellStyle name="表示済みのハイパーリンク" xfId="1" xr:uid="{00000000-0005-0000-0000-000003000000}"/>
  </cellStyles>
  <dxfs count="0"/>
  <tableStyles count="0" defaultTableStyle="TableStyleMedium9" defaultPivotStyle="PivotStyleMedium9"/>
  <colors>
    <mruColors>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95B11-EA03-4D9F-B7D5-933EB783FCD2}">
  <sheetPr>
    <tabColor rgb="FFFFC000"/>
  </sheetPr>
  <dimension ref="A2:R201"/>
  <sheetViews>
    <sheetView tabSelected="1" zoomScale="81" zoomScaleNormal="81" workbookViewId="0">
      <pane xSplit="11" ySplit="10" topLeftCell="N98" activePane="bottomRight" state="frozen"/>
      <selection activeCell="D26" sqref="D26"/>
      <selection pane="topRight" activeCell="D26" sqref="D26"/>
      <selection pane="bottomLeft" activeCell="D26" sqref="D26"/>
      <selection pane="bottomRight" activeCell="R117" sqref="R117"/>
    </sheetView>
  </sheetViews>
  <sheetFormatPr defaultColWidth="11.875" defaultRowHeight="13.5" customHeight="1" x14ac:dyDescent="0.15"/>
  <cols>
    <col min="1" max="1" width="8.5" customWidth="1"/>
    <col min="2" max="2" width="9.375" customWidth="1"/>
    <col min="3" max="3" width="6.125" style="3" customWidth="1"/>
    <col min="4" max="4" width="15.125" customWidth="1"/>
    <col min="5" max="5" width="15.5" customWidth="1"/>
    <col min="6" max="6" width="59.75" customWidth="1"/>
    <col min="7" max="7" width="10.875" style="3" customWidth="1"/>
    <col min="8" max="9" width="12.125" style="3" customWidth="1"/>
    <col min="10" max="10" width="7.125" style="12" customWidth="1"/>
    <col min="11" max="11" width="50.5" customWidth="1"/>
    <col min="12" max="12" width="38.5" customWidth="1"/>
    <col min="13" max="13" width="20.75" style="3" customWidth="1"/>
    <col min="14" max="14" width="17" style="3" customWidth="1"/>
    <col min="15" max="15" width="7.875" customWidth="1"/>
    <col min="16" max="16" width="16.375" style="3" customWidth="1"/>
    <col min="17" max="17" width="17.875" style="28" customWidth="1"/>
    <col min="18" max="18" width="19.375" style="28" customWidth="1"/>
  </cols>
  <sheetData>
    <row r="2" spans="1:18" ht="20.100000000000001" customHeight="1" x14ac:dyDescent="0.15">
      <c r="C2" s="271" t="s">
        <v>0</v>
      </c>
      <c r="D2" s="271"/>
      <c r="E2" s="271"/>
      <c r="F2" s="21" t="s">
        <v>27</v>
      </c>
      <c r="H2" s="272" t="s">
        <v>1</v>
      </c>
      <c r="I2" s="273"/>
      <c r="J2" s="274"/>
      <c r="K2" s="11">
        <f>SUM(I:I)</f>
        <v>274519</v>
      </c>
    </row>
    <row r="3" spans="1:18" ht="20.100000000000001" customHeight="1" x14ac:dyDescent="0.15">
      <c r="C3" s="271" t="s">
        <v>2</v>
      </c>
      <c r="D3" s="271"/>
      <c r="E3" s="271"/>
      <c r="F3" s="9" t="s">
        <v>28</v>
      </c>
    </row>
    <row r="4" spans="1:18" ht="20.100000000000001" customHeight="1" x14ac:dyDescent="0.15">
      <c r="C4" s="271" t="s">
        <v>3</v>
      </c>
      <c r="D4" s="271"/>
      <c r="E4" s="271"/>
      <c r="F4" s="9" t="s">
        <v>29</v>
      </c>
      <c r="H4" s="275" t="s">
        <v>36</v>
      </c>
      <c r="I4" s="275"/>
      <c r="J4" s="275"/>
      <c r="K4" s="275"/>
      <c r="L4" s="31"/>
    </row>
    <row r="5" spans="1:18" ht="20.100000000000001" customHeight="1" x14ac:dyDescent="0.15">
      <c r="C5" s="271" t="s">
        <v>4</v>
      </c>
      <c r="D5" s="271"/>
      <c r="E5" s="271"/>
      <c r="F5" s="10">
        <v>45434</v>
      </c>
      <c r="G5" s="279" t="s">
        <v>270</v>
      </c>
      <c r="H5" s="275"/>
      <c r="I5" s="275"/>
      <c r="J5" s="275"/>
      <c r="K5" s="275"/>
    </row>
    <row r="6" spans="1:18" ht="20.100000000000001" customHeight="1" x14ac:dyDescent="0.15">
      <c r="C6" s="271" t="s">
        <v>5</v>
      </c>
      <c r="D6" s="271"/>
      <c r="E6" s="271"/>
      <c r="F6" s="10">
        <v>45436</v>
      </c>
      <c r="G6" s="279"/>
      <c r="I6" s="32"/>
    </row>
    <row r="7" spans="1:18" ht="19.899999999999999" customHeight="1" x14ac:dyDescent="0.15">
      <c r="K7" s="281" t="s">
        <v>284</v>
      </c>
      <c r="L7" s="281"/>
    </row>
    <row r="8" spans="1:18" ht="16.899999999999999" customHeight="1" x14ac:dyDescent="0.15">
      <c r="J8" s="228"/>
      <c r="K8" s="229" t="s">
        <v>276</v>
      </c>
    </row>
    <row r="10" spans="1:18" s="3" customFormat="1" ht="19.5" customHeight="1" x14ac:dyDescent="0.15">
      <c r="B10" s="37" t="s">
        <v>25</v>
      </c>
      <c r="C10" s="36" t="s">
        <v>6</v>
      </c>
      <c r="D10" s="4" t="s">
        <v>7</v>
      </c>
      <c r="E10" s="4" t="s">
        <v>8</v>
      </c>
      <c r="F10" s="1" t="s">
        <v>9</v>
      </c>
      <c r="G10" s="1" t="s">
        <v>10</v>
      </c>
      <c r="H10" s="1" t="s">
        <v>11</v>
      </c>
      <c r="I10" s="2" t="s">
        <v>12</v>
      </c>
      <c r="J10" s="2" t="s">
        <v>13</v>
      </c>
      <c r="K10" s="1" t="s">
        <v>14</v>
      </c>
      <c r="L10" s="1" t="s">
        <v>15</v>
      </c>
      <c r="M10" s="1" t="s">
        <v>16</v>
      </c>
      <c r="N10" s="14" t="s">
        <v>17</v>
      </c>
      <c r="O10" s="4" t="s">
        <v>18</v>
      </c>
      <c r="P10" s="1" t="s">
        <v>19</v>
      </c>
      <c r="Q10" s="14" t="s">
        <v>20</v>
      </c>
      <c r="R10" s="8" t="s">
        <v>21</v>
      </c>
    </row>
    <row r="11" spans="1:18" s="3" customFormat="1" ht="19.5" customHeight="1" x14ac:dyDescent="0.15">
      <c r="B11" s="23"/>
      <c r="C11" s="25"/>
      <c r="D11" s="106"/>
      <c r="E11" s="106"/>
      <c r="F11" s="147"/>
      <c r="G11" s="148"/>
      <c r="H11" s="149"/>
      <c r="I11" s="149"/>
      <c r="J11" s="150"/>
      <c r="K11" s="151"/>
      <c r="L11" s="1"/>
      <c r="M11" s="1"/>
      <c r="N11" s="14"/>
      <c r="O11" s="4"/>
      <c r="P11" s="2"/>
      <c r="Q11" s="38"/>
      <c r="R11" s="43"/>
    </row>
    <row r="12" spans="1:18" s="3" customFormat="1" ht="19.5" customHeight="1" x14ac:dyDescent="0.15">
      <c r="B12" s="23"/>
      <c r="C12" s="106"/>
      <c r="D12" s="25"/>
      <c r="E12" s="25"/>
      <c r="F12" s="34"/>
      <c r="G12" s="45"/>
      <c r="H12" s="45"/>
      <c r="I12" s="45"/>
      <c r="J12" s="30"/>
      <c r="K12" s="92"/>
      <c r="N12" s="144"/>
      <c r="O12" s="145"/>
      <c r="Q12" s="109"/>
      <c r="R12" s="146"/>
    </row>
    <row r="13" spans="1:18" s="3" customFormat="1" ht="19.7" customHeight="1" x14ac:dyDescent="0.15">
      <c r="A13" s="23"/>
      <c r="B13" s="23"/>
      <c r="C13" s="25"/>
      <c r="D13" s="58"/>
      <c r="E13" s="59"/>
      <c r="F13" s="107" t="s">
        <v>138</v>
      </c>
      <c r="G13" s="23"/>
      <c r="H13" s="23"/>
      <c r="I13" s="23"/>
      <c r="J13" s="56"/>
      <c r="K13" s="23"/>
      <c r="L13" s="23"/>
      <c r="M13" s="108"/>
      <c r="N13" s="109"/>
      <c r="O13" s="106"/>
      <c r="P13" s="108"/>
      <c r="Q13" s="109"/>
      <c r="R13" s="110"/>
    </row>
    <row r="14" spans="1:18" s="3" customFormat="1" ht="19.7" customHeight="1" x14ac:dyDescent="0.15">
      <c r="A14" s="65" t="s">
        <v>139</v>
      </c>
      <c r="B14" s="197">
        <v>15</v>
      </c>
      <c r="C14" s="193">
        <v>1</v>
      </c>
      <c r="D14" s="41" t="s">
        <v>39</v>
      </c>
      <c r="E14" s="211" t="s">
        <v>30</v>
      </c>
      <c r="F14" s="143" t="s">
        <v>194</v>
      </c>
      <c r="G14" s="198">
        <v>1</v>
      </c>
      <c r="H14" s="141">
        <v>10120</v>
      </c>
      <c r="I14" s="214">
        <f t="shared" ref="I14:I19" si="0">G14*H14</f>
        <v>10120</v>
      </c>
      <c r="J14" s="111"/>
      <c r="K14" s="142" t="s">
        <v>190</v>
      </c>
      <c r="L14" s="112"/>
      <c r="M14" s="227" t="s">
        <v>275</v>
      </c>
      <c r="N14" s="226">
        <v>45413</v>
      </c>
      <c r="O14" s="25"/>
      <c r="P14" s="27">
        <v>45432</v>
      </c>
      <c r="Q14" s="38">
        <v>45433</v>
      </c>
      <c r="R14" s="42">
        <v>45433</v>
      </c>
    </row>
    <row r="15" spans="1:18" s="3" customFormat="1" ht="19.7" customHeight="1" x14ac:dyDescent="0.15">
      <c r="A15" s="65" t="s">
        <v>32</v>
      </c>
      <c r="B15" s="197">
        <v>15</v>
      </c>
      <c r="C15" s="190">
        <f t="shared" ref="C15:C19" si="1">+C14+1</f>
        <v>2</v>
      </c>
      <c r="D15" s="25" t="s">
        <v>30</v>
      </c>
      <c r="E15" s="25" t="s">
        <v>30</v>
      </c>
      <c r="F15" s="140" t="s">
        <v>140</v>
      </c>
      <c r="G15" s="48">
        <v>1</v>
      </c>
      <c r="H15" s="65">
        <v>161</v>
      </c>
      <c r="I15" s="215">
        <f t="shared" si="0"/>
        <v>161</v>
      </c>
      <c r="J15" s="56"/>
      <c r="K15" s="56" t="s">
        <v>141</v>
      </c>
      <c r="L15" s="50" t="s">
        <v>142</v>
      </c>
      <c r="M15" s="227" t="s">
        <v>275</v>
      </c>
      <c r="N15" s="226">
        <v>45413</v>
      </c>
      <c r="O15" s="25"/>
      <c r="P15" s="27">
        <v>45432</v>
      </c>
      <c r="Q15" s="38">
        <v>45433</v>
      </c>
      <c r="R15" s="26">
        <v>45433</v>
      </c>
    </row>
    <row r="16" spans="1:18" s="3" customFormat="1" ht="19.7" customHeight="1" x14ac:dyDescent="0.15">
      <c r="A16" s="65" t="s">
        <v>32</v>
      </c>
      <c r="B16" s="197">
        <v>15</v>
      </c>
      <c r="C16" s="190">
        <f t="shared" si="1"/>
        <v>3</v>
      </c>
      <c r="D16" s="84" t="s">
        <v>30</v>
      </c>
      <c r="E16" s="84" t="s">
        <v>30</v>
      </c>
      <c r="F16" s="140" t="s">
        <v>191</v>
      </c>
      <c r="G16" s="48">
        <v>4</v>
      </c>
      <c r="H16" s="65">
        <v>155</v>
      </c>
      <c r="I16" s="201">
        <f>G16*H16</f>
        <v>620</v>
      </c>
      <c r="J16" s="56"/>
      <c r="K16" s="56" t="s">
        <v>144</v>
      </c>
      <c r="L16" s="50"/>
      <c r="M16" s="227" t="s">
        <v>275</v>
      </c>
      <c r="N16" s="226">
        <v>45413</v>
      </c>
      <c r="O16" s="25"/>
      <c r="P16" s="27">
        <v>45432</v>
      </c>
      <c r="Q16" s="38">
        <v>45433</v>
      </c>
      <c r="R16" s="26">
        <v>45433</v>
      </c>
    </row>
    <row r="17" spans="1:18" s="3" customFormat="1" ht="19.7" customHeight="1" x14ac:dyDescent="0.15">
      <c r="A17" s="65" t="s">
        <v>32</v>
      </c>
      <c r="B17" s="197">
        <v>15</v>
      </c>
      <c r="C17" s="190">
        <f>+C16+1</f>
        <v>4</v>
      </c>
      <c r="D17" s="84" t="s">
        <v>30</v>
      </c>
      <c r="E17" s="84" t="s">
        <v>30</v>
      </c>
      <c r="F17" s="101" t="s">
        <v>148</v>
      </c>
      <c r="G17" s="199">
        <v>1</v>
      </c>
      <c r="H17" s="138">
        <v>76</v>
      </c>
      <c r="I17" s="201">
        <f t="shared" si="0"/>
        <v>76</v>
      </c>
      <c r="J17" s="71"/>
      <c r="K17" s="71" t="s">
        <v>149</v>
      </c>
      <c r="L17" s="23"/>
      <c r="M17" s="227" t="s">
        <v>275</v>
      </c>
      <c r="N17" s="226">
        <v>45413</v>
      </c>
      <c r="O17" s="25"/>
      <c r="P17" s="27">
        <v>45432</v>
      </c>
      <c r="Q17" s="38">
        <v>45433</v>
      </c>
      <c r="R17" s="26">
        <v>45433</v>
      </c>
    </row>
    <row r="18" spans="1:18" s="3" customFormat="1" ht="19.7" customHeight="1" x14ac:dyDescent="0.15">
      <c r="A18" s="65" t="s">
        <v>32</v>
      </c>
      <c r="B18" s="197">
        <v>15</v>
      </c>
      <c r="C18" s="190">
        <f t="shared" si="1"/>
        <v>5</v>
      </c>
      <c r="D18" s="84" t="s">
        <v>150</v>
      </c>
      <c r="E18" s="84" t="s">
        <v>30</v>
      </c>
      <c r="F18" s="104" t="s">
        <v>151</v>
      </c>
      <c r="G18" s="48">
        <v>1</v>
      </c>
      <c r="H18" s="65">
        <v>421</v>
      </c>
      <c r="I18" s="216">
        <f t="shared" si="0"/>
        <v>421</v>
      </c>
      <c r="J18" s="56"/>
      <c r="K18" s="56" t="s">
        <v>152</v>
      </c>
      <c r="L18" s="23"/>
      <c r="M18" s="227" t="s">
        <v>275</v>
      </c>
      <c r="N18" s="226">
        <v>45413</v>
      </c>
      <c r="O18" s="25"/>
      <c r="P18" s="27">
        <v>45432</v>
      </c>
      <c r="Q18" s="38">
        <v>45433</v>
      </c>
      <c r="R18" s="26">
        <v>45433</v>
      </c>
    </row>
    <row r="19" spans="1:18" s="3" customFormat="1" ht="19.7" customHeight="1" x14ac:dyDescent="0.15">
      <c r="A19" s="65" t="s">
        <v>32</v>
      </c>
      <c r="B19" s="197">
        <v>15</v>
      </c>
      <c r="C19" s="190">
        <f t="shared" si="1"/>
        <v>6</v>
      </c>
      <c r="D19" s="25" t="s">
        <v>30</v>
      </c>
      <c r="E19" s="25" t="s">
        <v>30</v>
      </c>
      <c r="F19" s="104" t="s">
        <v>153</v>
      </c>
      <c r="G19" s="48">
        <v>1</v>
      </c>
      <c r="H19" s="65">
        <v>210</v>
      </c>
      <c r="I19" s="215">
        <f t="shared" si="0"/>
        <v>210</v>
      </c>
      <c r="J19" s="56"/>
      <c r="K19" s="56" t="s">
        <v>154</v>
      </c>
      <c r="L19" s="50" t="s">
        <v>155</v>
      </c>
      <c r="M19" s="227" t="s">
        <v>275</v>
      </c>
      <c r="N19" s="226">
        <v>45413</v>
      </c>
      <c r="O19" s="25"/>
      <c r="P19" s="27">
        <v>45432</v>
      </c>
      <c r="Q19" s="38">
        <v>45433</v>
      </c>
      <c r="R19" s="26">
        <v>45433</v>
      </c>
    </row>
    <row r="20" spans="1:18" s="3" customFormat="1" ht="19.7" customHeight="1" x14ac:dyDescent="0.15">
      <c r="A20" s="23"/>
      <c r="B20" s="23"/>
      <c r="C20" s="25"/>
      <c r="D20" s="25"/>
      <c r="E20" s="25"/>
      <c r="F20" s="50"/>
      <c r="G20" s="23"/>
      <c r="H20" s="23"/>
      <c r="I20" s="86"/>
      <c r="J20" s="56"/>
      <c r="K20" s="56"/>
      <c r="L20" s="23"/>
      <c r="M20" s="23"/>
      <c r="N20" s="38"/>
      <c r="O20" s="25"/>
      <c r="P20" s="23"/>
      <c r="Q20" s="38"/>
      <c r="R20" s="26"/>
    </row>
    <row r="21" spans="1:18" s="3" customFormat="1" ht="19.7" customHeight="1" x14ac:dyDescent="0.15">
      <c r="A21" s="65" t="s">
        <v>139</v>
      </c>
      <c r="B21" s="197">
        <v>15</v>
      </c>
      <c r="C21" s="190">
        <f>+C19+1</f>
        <v>7</v>
      </c>
      <c r="D21" s="25" t="s">
        <v>39</v>
      </c>
      <c r="E21" s="25" t="s">
        <v>30</v>
      </c>
      <c r="F21" s="140" t="s">
        <v>195</v>
      </c>
      <c r="G21" s="48">
        <v>1</v>
      </c>
      <c r="H21" s="65">
        <v>8913</v>
      </c>
      <c r="I21" s="201">
        <f>G21*H21</f>
        <v>8913</v>
      </c>
      <c r="J21" s="56"/>
      <c r="K21" s="40" t="s">
        <v>189</v>
      </c>
      <c r="L21" s="23"/>
      <c r="M21" s="227" t="s">
        <v>275</v>
      </c>
      <c r="N21" s="226">
        <v>45413</v>
      </c>
      <c r="O21" s="25"/>
      <c r="P21" s="27">
        <v>45432</v>
      </c>
      <c r="Q21" s="38">
        <v>45433</v>
      </c>
      <c r="R21" s="26">
        <v>45433</v>
      </c>
    </row>
    <row r="22" spans="1:18" s="3" customFormat="1" ht="19.7" customHeight="1" x14ac:dyDescent="0.15">
      <c r="A22" s="65" t="s">
        <v>32</v>
      </c>
      <c r="B22" s="197">
        <v>15</v>
      </c>
      <c r="C22" s="190">
        <f>+C21+1</f>
        <v>8</v>
      </c>
      <c r="D22" s="84" t="s">
        <v>30</v>
      </c>
      <c r="E22" s="84" t="s">
        <v>30</v>
      </c>
      <c r="F22" s="104" t="s">
        <v>156</v>
      </c>
      <c r="G22" s="48">
        <v>2</v>
      </c>
      <c r="H22" s="65">
        <v>156</v>
      </c>
      <c r="I22" s="201">
        <f>G22*H22</f>
        <v>312</v>
      </c>
      <c r="J22" s="56"/>
      <c r="K22" s="56" t="s">
        <v>157</v>
      </c>
      <c r="L22" s="50" t="s">
        <v>158</v>
      </c>
      <c r="M22" s="227" t="s">
        <v>275</v>
      </c>
      <c r="N22" s="226">
        <v>45413</v>
      </c>
      <c r="O22" s="25"/>
      <c r="P22" s="27">
        <v>45432</v>
      </c>
      <c r="Q22" s="38">
        <v>45433</v>
      </c>
      <c r="R22" s="26">
        <v>45433</v>
      </c>
    </row>
    <row r="23" spans="1:18" s="3" customFormat="1" ht="19.7" customHeight="1" x14ac:dyDescent="0.15">
      <c r="A23" s="65" t="s">
        <v>32</v>
      </c>
      <c r="B23" s="197">
        <v>15</v>
      </c>
      <c r="C23" s="190">
        <f>+C22+1</f>
        <v>9</v>
      </c>
      <c r="D23" s="84" t="s">
        <v>30</v>
      </c>
      <c r="E23" s="84" t="s">
        <v>30</v>
      </c>
      <c r="F23" s="137" t="s">
        <v>146</v>
      </c>
      <c r="G23" s="199">
        <v>10</v>
      </c>
      <c r="H23" s="136">
        <v>29</v>
      </c>
      <c r="I23" s="201">
        <f>G23*H23</f>
        <v>290</v>
      </c>
      <c r="J23" s="113"/>
      <c r="K23" s="113" t="s">
        <v>159</v>
      </c>
      <c r="L23" s="53" t="s">
        <v>147</v>
      </c>
      <c r="M23" s="227" t="s">
        <v>275</v>
      </c>
      <c r="N23" s="226">
        <v>45413</v>
      </c>
      <c r="O23" s="25"/>
      <c r="P23" s="27">
        <v>45432</v>
      </c>
      <c r="Q23" s="38">
        <v>45433</v>
      </c>
      <c r="R23" s="26">
        <v>45433</v>
      </c>
    </row>
    <row r="24" spans="1:18" s="3" customFormat="1" ht="19.7" customHeight="1" x14ac:dyDescent="0.15">
      <c r="A24" s="65" t="s">
        <v>32</v>
      </c>
      <c r="B24" s="197">
        <v>15</v>
      </c>
      <c r="C24" s="190">
        <f>+C23+1</f>
        <v>10</v>
      </c>
      <c r="D24" s="84" t="s">
        <v>30</v>
      </c>
      <c r="E24" s="84" t="s">
        <v>30</v>
      </c>
      <c r="F24" s="94" t="s">
        <v>160</v>
      </c>
      <c r="G24" s="199">
        <v>10</v>
      </c>
      <c r="H24" s="138">
        <v>25</v>
      </c>
      <c r="I24" s="217">
        <f>G24*H24</f>
        <v>250</v>
      </c>
      <c r="J24" s="53"/>
      <c r="K24" s="53" t="s">
        <v>161</v>
      </c>
      <c r="L24" s="72" t="s">
        <v>162</v>
      </c>
      <c r="M24" s="227" t="s">
        <v>275</v>
      </c>
      <c r="N24" s="226">
        <v>45413</v>
      </c>
      <c r="O24" s="25"/>
      <c r="P24" s="27">
        <v>45432</v>
      </c>
      <c r="Q24" s="38">
        <v>45433</v>
      </c>
      <c r="R24" s="26">
        <v>45433</v>
      </c>
    </row>
    <row r="25" spans="1:18" s="3" customFormat="1" ht="19.5" customHeight="1" x14ac:dyDescent="0.15">
      <c r="A25" s="65" t="s">
        <v>32</v>
      </c>
      <c r="B25" s="197">
        <v>15</v>
      </c>
      <c r="C25" s="190">
        <f>+C24+1</f>
        <v>11</v>
      </c>
      <c r="D25" s="84" t="s">
        <v>30</v>
      </c>
      <c r="E25" s="84" t="s">
        <v>30</v>
      </c>
      <c r="F25" s="104" t="s">
        <v>163</v>
      </c>
      <c r="G25" s="200">
        <v>1</v>
      </c>
      <c r="H25" s="136">
        <v>250</v>
      </c>
      <c r="I25" s="201">
        <f>G25*H25</f>
        <v>250</v>
      </c>
      <c r="J25" s="113"/>
      <c r="K25" s="113" t="s">
        <v>154</v>
      </c>
      <c r="L25" s="50" t="s">
        <v>147</v>
      </c>
      <c r="M25" s="227" t="s">
        <v>275</v>
      </c>
      <c r="N25" s="226">
        <v>45413</v>
      </c>
      <c r="O25" s="25"/>
      <c r="P25" s="27">
        <v>45432</v>
      </c>
      <c r="Q25" s="38">
        <v>45433</v>
      </c>
      <c r="R25" s="26">
        <v>45433</v>
      </c>
    </row>
    <row r="26" spans="1:18" s="3" customFormat="1" ht="19.7" customHeight="1" x14ac:dyDescent="0.15">
      <c r="A26" s="23"/>
      <c r="B26" s="23"/>
      <c r="C26" s="25"/>
      <c r="D26" s="114"/>
      <c r="E26" s="114"/>
      <c r="F26" s="115"/>
      <c r="G26" s="116"/>
      <c r="H26" s="116"/>
      <c r="I26" s="117"/>
      <c r="J26" s="118"/>
      <c r="K26" s="118"/>
      <c r="L26" s="115"/>
      <c r="M26" s="23"/>
      <c r="N26" s="38"/>
      <c r="O26" s="25"/>
      <c r="P26" s="23"/>
      <c r="Q26" s="38"/>
      <c r="R26" s="26"/>
    </row>
    <row r="27" spans="1:18" s="3" customFormat="1" ht="19.7" customHeight="1" x14ac:dyDescent="0.15">
      <c r="A27" s="65" t="s">
        <v>139</v>
      </c>
      <c r="B27" s="197">
        <v>15</v>
      </c>
      <c r="C27" s="190">
        <f>+C25+1</f>
        <v>12</v>
      </c>
      <c r="D27" s="25" t="s">
        <v>39</v>
      </c>
      <c r="E27" s="25" t="s">
        <v>30</v>
      </c>
      <c r="F27" s="104" t="s">
        <v>197</v>
      </c>
      <c r="G27" s="48">
        <v>1</v>
      </c>
      <c r="H27" s="65">
        <v>11996</v>
      </c>
      <c r="I27" s="215">
        <f t="shared" ref="I27:I32" si="2">G27*H27</f>
        <v>11996</v>
      </c>
      <c r="J27" s="56"/>
      <c r="K27" s="40" t="s">
        <v>196</v>
      </c>
      <c r="L27" s="23"/>
      <c r="M27" s="227" t="s">
        <v>275</v>
      </c>
      <c r="N27" s="226">
        <v>45413</v>
      </c>
      <c r="O27" s="25"/>
      <c r="P27" s="27">
        <v>45432</v>
      </c>
      <c r="Q27" s="38">
        <v>45433</v>
      </c>
      <c r="R27" s="26">
        <v>45433</v>
      </c>
    </row>
    <row r="28" spans="1:18" s="3" customFormat="1" ht="19.7" customHeight="1" x14ac:dyDescent="0.15">
      <c r="A28" s="65" t="s">
        <v>34</v>
      </c>
      <c r="B28" s="197">
        <v>15</v>
      </c>
      <c r="C28" s="190">
        <f>+C27+1</f>
        <v>13</v>
      </c>
      <c r="D28" s="25" t="s">
        <v>30</v>
      </c>
      <c r="E28" s="25" t="s">
        <v>30</v>
      </c>
      <c r="F28" s="104" t="s">
        <v>164</v>
      </c>
      <c r="G28" s="48">
        <v>1</v>
      </c>
      <c r="H28" s="65">
        <v>1290</v>
      </c>
      <c r="I28" s="215">
        <f t="shared" si="2"/>
        <v>1290</v>
      </c>
      <c r="J28" s="56"/>
      <c r="K28" s="56" t="s">
        <v>165</v>
      </c>
      <c r="L28" s="50" t="s">
        <v>166</v>
      </c>
      <c r="M28" s="227" t="s">
        <v>275</v>
      </c>
      <c r="N28" s="226">
        <v>45413</v>
      </c>
      <c r="O28" s="25"/>
      <c r="P28" s="27">
        <v>45432</v>
      </c>
      <c r="Q28" s="38">
        <v>45433</v>
      </c>
      <c r="R28" s="26">
        <v>45433</v>
      </c>
    </row>
    <row r="29" spans="1:18" s="3" customFormat="1" ht="19.7" customHeight="1" x14ac:dyDescent="0.15">
      <c r="A29" s="65" t="s">
        <v>32</v>
      </c>
      <c r="B29" s="197">
        <v>15</v>
      </c>
      <c r="C29" s="190">
        <f>+C28+1</f>
        <v>14</v>
      </c>
      <c r="D29" s="25" t="s">
        <v>30</v>
      </c>
      <c r="E29" s="25" t="s">
        <v>30</v>
      </c>
      <c r="F29" s="104" t="s">
        <v>167</v>
      </c>
      <c r="G29" s="48">
        <v>1</v>
      </c>
      <c r="H29" s="65">
        <v>1950</v>
      </c>
      <c r="I29" s="215">
        <f t="shared" si="2"/>
        <v>1950</v>
      </c>
      <c r="J29" s="56"/>
      <c r="K29" s="56" t="s">
        <v>168</v>
      </c>
      <c r="L29" s="50" t="s">
        <v>166</v>
      </c>
      <c r="M29" s="227" t="s">
        <v>275</v>
      </c>
      <c r="N29" s="226">
        <v>45413</v>
      </c>
      <c r="O29" s="25"/>
      <c r="P29" s="27">
        <v>45432</v>
      </c>
      <c r="Q29" s="38">
        <v>45433</v>
      </c>
      <c r="R29" s="26">
        <v>45433</v>
      </c>
    </row>
    <row r="30" spans="1:18" s="3" customFormat="1" ht="19.7" customHeight="1" x14ac:dyDescent="0.15">
      <c r="A30" s="65" t="s">
        <v>32</v>
      </c>
      <c r="B30" s="197">
        <v>15</v>
      </c>
      <c r="C30" s="190">
        <f>+C29+1</f>
        <v>15</v>
      </c>
      <c r="D30" s="84" t="s">
        <v>30</v>
      </c>
      <c r="E30" s="84" t="s">
        <v>30</v>
      </c>
      <c r="F30" s="104" t="s">
        <v>143</v>
      </c>
      <c r="G30" s="48">
        <v>8</v>
      </c>
      <c r="H30" s="65">
        <v>94</v>
      </c>
      <c r="I30" s="201">
        <f t="shared" si="2"/>
        <v>752</v>
      </c>
      <c r="J30" s="56"/>
      <c r="K30" s="56" t="s">
        <v>169</v>
      </c>
      <c r="L30" s="23"/>
      <c r="M30" s="227" t="s">
        <v>275</v>
      </c>
      <c r="N30" s="226">
        <v>45413</v>
      </c>
      <c r="O30" s="25"/>
      <c r="P30" s="27">
        <v>45432</v>
      </c>
      <c r="Q30" s="38">
        <v>45433</v>
      </c>
      <c r="R30" s="26">
        <v>45433</v>
      </c>
    </row>
    <row r="31" spans="1:18" s="3" customFormat="1" ht="19.7" customHeight="1" x14ac:dyDescent="0.15">
      <c r="A31" s="65" t="s">
        <v>32</v>
      </c>
      <c r="B31" s="197">
        <v>15</v>
      </c>
      <c r="C31" s="190">
        <f>+C30+1</f>
        <v>16</v>
      </c>
      <c r="D31" s="84" t="s">
        <v>30</v>
      </c>
      <c r="E31" s="84" t="s">
        <v>30</v>
      </c>
      <c r="F31" s="137" t="s">
        <v>170</v>
      </c>
      <c r="G31" s="200">
        <v>10</v>
      </c>
      <c r="H31" s="136">
        <v>34</v>
      </c>
      <c r="I31" s="218">
        <f t="shared" si="2"/>
        <v>340</v>
      </c>
      <c r="J31" s="119"/>
      <c r="K31" s="119" t="s">
        <v>171</v>
      </c>
      <c r="L31" s="120"/>
      <c r="M31" s="227" t="s">
        <v>275</v>
      </c>
      <c r="N31" s="226">
        <v>45413</v>
      </c>
      <c r="O31" s="25"/>
      <c r="P31" s="27">
        <v>45432</v>
      </c>
      <c r="Q31" s="38">
        <v>45433</v>
      </c>
      <c r="R31" s="26">
        <v>45433</v>
      </c>
    </row>
    <row r="32" spans="1:18" s="3" customFormat="1" ht="19.7" customHeight="1" x14ac:dyDescent="0.15">
      <c r="A32" s="65" t="s">
        <v>32</v>
      </c>
      <c r="B32" s="197">
        <v>15</v>
      </c>
      <c r="C32" s="190">
        <f>+C31+1</f>
        <v>17</v>
      </c>
      <c r="D32" s="84" t="s">
        <v>30</v>
      </c>
      <c r="E32" s="84" t="s">
        <v>30</v>
      </c>
      <c r="F32" s="137" t="s">
        <v>145</v>
      </c>
      <c r="G32" s="200">
        <v>10</v>
      </c>
      <c r="H32" s="136">
        <v>29</v>
      </c>
      <c r="I32" s="216">
        <f t="shared" si="2"/>
        <v>290</v>
      </c>
      <c r="J32" s="113"/>
      <c r="K32" s="113" t="s">
        <v>172</v>
      </c>
      <c r="L32" s="53" t="s">
        <v>173</v>
      </c>
      <c r="M32" s="227" t="s">
        <v>275</v>
      </c>
      <c r="N32" s="226">
        <v>45413</v>
      </c>
      <c r="O32" s="25"/>
      <c r="P32" s="27">
        <v>45432</v>
      </c>
      <c r="Q32" s="38">
        <v>45433</v>
      </c>
      <c r="R32" s="26">
        <v>45433</v>
      </c>
    </row>
    <row r="33" spans="1:18" s="3" customFormat="1" ht="19.7" customHeight="1" x14ac:dyDescent="0.15">
      <c r="A33" s="23"/>
      <c r="B33" s="23"/>
      <c r="C33" s="25"/>
      <c r="D33" s="25"/>
      <c r="E33" s="25"/>
      <c r="F33" s="121"/>
      <c r="G33" s="122"/>
      <c r="H33" s="123"/>
      <c r="I33" s="124"/>
      <c r="J33" s="125"/>
      <c r="K33" s="56"/>
      <c r="L33" s="116"/>
      <c r="M33" s="23"/>
      <c r="N33" s="38"/>
      <c r="O33" s="25"/>
      <c r="P33" s="23"/>
      <c r="Q33" s="38"/>
      <c r="R33" s="26"/>
    </row>
    <row r="34" spans="1:18" s="3" customFormat="1" ht="19.7" customHeight="1" x14ac:dyDescent="0.15">
      <c r="A34" s="65" t="s">
        <v>32</v>
      </c>
      <c r="B34" s="197">
        <v>15</v>
      </c>
      <c r="C34" s="190">
        <f>+C32+1</f>
        <v>18</v>
      </c>
      <c r="D34" s="25" t="s">
        <v>30</v>
      </c>
      <c r="E34" s="25" t="s">
        <v>30</v>
      </c>
      <c r="F34" s="101" t="s">
        <v>192</v>
      </c>
      <c r="G34" s="199">
        <v>1</v>
      </c>
      <c r="H34" s="138">
        <v>1070</v>
      </c>
      <c r="I34" s="201">
        <f>G34*H34</f>
        <v>1070</v>
      </c>
      <c r="J34" s="71"/>
      <c r="K34" s="53" t="s">
        <v>174</v>
      </c>
      <c r="L34" s="50"/>
      <c r="M34" s="227" t="s">
        <v>275</v>
      </c>
      <c r="N34" s="226">
        <v>45413</v>
      </c>
      <c r="O34" s="25"/>
      <c r="P34" s="27">
        <v>45432</v>
      </c>
      <c r="Q34" s="38">
        <v>45433</v>
      </c>
      <c r="R34" s="26">
        <v>45433</v>
      </c>
    </row>
    <row r="35" spans="1:18" s="3" customFormat="1" ht="19.7" customHeight="1" x14ac:dyDescent="0.15">
      <c r="A35" s="65" t="s">
        <v>32</v>
      </c>
      <c r="B35" s="197">
        <v>15</v>
      </c>
      <c r="C35" s="190">
        <f>+C34+1</f>
        <v>19</v>
      </c>
      <c r="D35" s="25" t="s">
        <v>30</v>
      </c>
      <c r="E35" s="25" t="s">
        <v>30</v>
      </c>
      <c r="F35" s="101" t="s">
        <v>193</v>
      </c>
      <c r="G35" s="199">
        <v>1</v>
      </c>
      <c r="H35" s="138">
        <v>1780</v>
      </c>
      <c r="I35" s="201">
        <f>G35*H35</f>
        <v>1780</v>
      </c>
      <c r="J35" s="71"/>
      <c r="K35" s="127" t="s">
        <v>175</v>
      </c>
      <c r="L35" s="50"/>
      <c r="M35" s="227" t="s">
        <v>275</v>
      </c>
      <c r="N35" s="226">
        <v>45413</v>
      </c>
      <c r="O35" s="25"/>
      <c r="P35" s="27">
        <v>45432</v>
      </c>
      <c r="Q35" s="38">
        <v>45433</v>
      </c>
      <c r="R35" s="26">
        <v>45433</v>
      </c>
    </row>
    <row r="36" spans="1:18" s="3" customFormat="1" ht="19.7" customHeight="1" x14ac:dyDescent="0.15">
      <c r="A36" s="23"/>
      <c r="B36" s="23"/>
      <c r="C36" s="25"/>
      <c r="D36" s="39"/>
      <c r="E36" s="39"/>
      <c r="F36" s="46"/>
      <c r="G36" s="29"/>
      <c r="H36" s="29"/>
      <c r="I36" s="47"/>
      <c r="J36" s="119"/>
      <c r="K36" s="113"/>
      <c r="L36" s="120"/>
      <c r="M36" s="23"/>
      <c r="N36" s="38"/>
      <c r="O36" s="25"/>
      <c r="P36" s="23"/>
      <c r="Q36" s="38"/>
      <c r="R36" s="26"/>
    </row>
    <row r="37" spans="1:18" s="3" customFormat="1" ht="19.7" customHeight="1" x14ac:dyDescent="0.15">
      <c r="A37" s="23"/>
      <c r="B37" s="23"/>
      <c r="C37" s="25"/>
      <c r="D37" s="25"/>
      <c r="E37" s="25"/>
      <c r="F37" s="87">
        <f>SUM(I14:I36)</f>
        <v>41091</v>
      </c>
      <c r="G37" s="23"/>
      <c r="H37" s="23"/>
      <c r="I37" s="24"/>
      <c r="J37" s="56"/>
      <c r="K37" s="23"/>
      <c r="L37" s="23"/>
      <c r="M37" s="23"/>
      <c r="N37" s="38"/>
      <c r="O37" s="25"/>
      <c r="P37" s="23"/>
      <c r="Q37" s="38"/>
      <c r="R37" s="26"/>
    </row>
    <row r="38" spans="1:18" s="3" customFormat="1" ht="19.5" customHeight="1" x14ac:dyDescent="0.15">
      <c r="B38" s="23"/>
      <c r="C38" s="25"/>
      <c r="D38" s="25"/>
      <c r="E38" s="25"/>
      <c r="F38" s="34"/>
      <c r="G38" s="33"/>
      <c r="H38" s="18"/>
      <c r="I38" s="18"/>
      <c r="J38" s="13"/>
      <c r="K38" s="19"/>
      <c r="L38" s="1"/>
      <c r="M38" s="1"/>
      <c r="N38" s="14"/>
      <c r="O38" s="4"/>
      <c r="P38" s="2"/>
      <c r="Q38" s="38"/>
      <c r="R38" s="26"/>
    </row>
    <row r="39" spans="1:18" s="3" customFormat="1" ht="19.5" customHeight="1" x14ac:dyDescent="0.15">
      <c r="B39" s="23"/>
      <c r="C39" s="25"/>
      <c r="D39" s="25"/>
      <c r="E39" s="25"/>
      <c r="F39" s="34"/>
      <c r="G39" s="33"/>
      <c r="H39" s="18"/>
      <c r="I39" s="18"/>
      <c r="J39" s="13"/>
      <c r="K39" s="19"/>
      <c r="L39" s="1"/>
      <c r="M39" s="1"/>
      <c r="N39" s="14"/>
      <c r="O39" s="4"/>
      <c r="P39" s="2"/>
      <c r="Q39" s="38"/>
      <c r="R39" s="26"/>
    </row>
    <row r="40" spans="1:18" s="3" customFormat="1" ht="19.5" customHeight="1" x14ac:dyDescent="0.15">
      <c r="B40" s="23"/>
      <c r="C40" s="25"/>
      <c r="D40" s="25"/>
      <c r="E40" s="25"/>
      <c r="F40" s="34"/>
      <c r="G40" s="33"/>
      <c r="H40" s="18"/>
      <c r="I40" s="18"/>
      <c r="J40" s="13"/>
      <c r="K40" s="19"/>
      <c r="L40" s="1"/>
      <c r="M40" s="1"/>
      <c r="N40" s="14"/>
      <c r="O40" s="4"/>
      <c r="P40" s="2"/>
      <c r="Q40" s="38"/>
      <c r="R40" s="26"/>
    </row>
    <row r="41" spans="1:18" s="3" customFormat="1" ht="19.5" customHeight="1" x14ac:dyDescent="0.15">
      <c r="B41" s="23"/>
      <c r="C41" s="167"/>
      <c r="D41" s="280" t="s">
        <v>233</v>
      </c>
      <c r="E41" s="280"/>
      <c r="F41" s="280"/>
      <c r="G41" s="168"/>
      <c r="H41" s="18"/>
      <c r="I41" s="18"/>
      <c r="J41" s="7"/>
      <c r="K41" s="17"/>
      <c r="L41" s="1"/>
      <c r="M41" s="1"/>
      <c r="N41" s="14"/>
      <c r="O41" s="4"/>
      <c r="P41" s="2"/>
      <c r="Q41" s="38"/>
      <c r="R41" s="26"/>
    </row>
    <row r="42" spans="1:18" s="3" customFormat="1" ht="19.5" customHeight="1" x14ac:dyDescent="0.15">
      <c r="A42" s="188" t="s">
        <v>244</v>
      </c>
      <c r="B42" s="197">
        <v>15</v>
      </c>
      <c r="C42" s="191">
        <f>+C35+1</f>
        <v>20</v>
      </c>
      <c r="D42" s="248" t="s">
        <v>234</v>
      </c>
      <c r="E42" s="248" t="s">
        <v>234</v>
      </c>
      <c r="F42" s="135" t="s">
        <v>235</v>
      </c>
      <c r="G42" s="232">
        <v>1</v>
      </c>
      <c r="H42" s="234">
        <v>7800</v>
      </c>
      <c r="I42" s="234">
        <f t="shared" ref="I42:I49" si="3">G42*H42</f>
        <v>7800</v>
      </c>
      <c r="J42" s="86"/>
      <c r="K42" s="72" t="s">
        <v>235</v>
      </c>
      <c r="L42" s="189" t="s">
        <v>260</v>
      </c>
      <c r="M42" s="1"/>
      <c r="N42" s="14">
        <v>45419</v>
      </c>
      <c r="O42" s="4"/>
      <c r="P42" s="244">
        <v>45435</v>
      </c>
      <c r="Q42" s="38">
        <v>45432</v>
      </c>
      <c r="R42" s="26">
        <v>45429</v>
      </c>
    </row>
    <row r="43" spans="1:18" s="3" customFormat="1" ht="19.5" customHeight="1" x14ac:dyDescent="0.15">
      <c r="A43" s="188" t="s">
        <v>244</v>
      </c>
      <c r="B43" s="197">
        <v>15</v>
      </c>
      <c r="C43" s="192">
        <f t="shared" ref="C43:C49" si="4">+C42+1</f>
        <v>21</v>
      </c>
      <c r="D43" s="248" t="s">
        <v>234</v>
      </c>
      <c r="E43" s="248" t="s">
        <v>234</v>
      </c>
      <c r="F43" s="135" t="s">
        <v>236</v>
      </c>
      <c r="G43" s="232">
        <v>1</v>
      </c>
      <c r="H43" s="234">
        <v>3500</v>
      </c>
      <c r="I43" s="234">
        <f t="shared" si="3"/>
        <v>3500</v>
      </c>
      <c r="J43" s="86"/>
      <c r="K43" s="72" t="s">
        <v>236</v>
      </c>
      <c r="L43" s="189" t="s">
        <v>260</v>
      </c>
      <c r="M43" s="1"/>
      <c r="N43" s="14">
        <v>45419</v>
      </c>
      <c r="O43" s="4"/>
      <c r="P43" s="244">
        <v>45435</v>
      </c>
      <c r="Q43" s="38">
        <v>45432</v>
      </c>
      <c r="R43" s="26">
        <v>45429</v>
      </c>
    </row>
    <row r="44" spans="1:18" s="3" customFormat="1" ht="19.5" customHeight="1" x14ac:dyDescent="0.15">
      <c r="A44" s="188" t="s">
        <v>244</v>
      </c>
      <c r="B44" s="197">
        <v>15</v>
      </c>
      <c r="C44" s="192">
        <f t="shared" si="4"/>
        <v>22</v>
      </c>
      <c r="D44" s="248" t="s">
        <v>234</v>
      </c>
      <c r="E44" s="248" t="s">
        <v>234</v>
      </c>
      <c r="F44" s="135" t="s">
        <v>237</v>
      </c>
      <c r="G44" s="232">
        <v>1</v>
      </c>
      <c r="H44" s="234">
        <v>4700</v>
      </c>
      <c r="I44" s="234">
        <f t="shared" si="3"/>
        <v>4700</v>
      </c>
      <c r="J44" s="86"/>
      <c r="K44" s="72" t="s">
        <v>237</v>
      </c>
      <c r="L44" s="189" t="s">
        <v>260</v>
      </c>
      <c r="M44" s="1"/>
      <c r="N44" s="14">
        <v>45419</v>
      </c>
      <c r="O44" s="4"/>
      <c r="P44" s="244">
        <v>45435</v>
      </c>
      <c r="Q44" s="38">
        <v>45432</v>
      </c>
      <c r="R44" s="26">
        <v>45429</v>
      </c>
    </row>
    <row r="45" spans="1:18" s="3" customFormat="1" ht="19.5" customHeight="1" x14ac:dyDescent="0.15">
      <c r="A45" s="49"/>
      <c r="B45" s="197">
        <v>15</v>
      </c>
      <c r="C45" s="192">
        <f t="shared" si="4"/>
        <v>23</v>
      </c>
      <c r="D45" s="248" t="s">
        <v>234</v>
      </c>
      <c r="E45" s="248" t="s">
        <v>234</v>
      </c>
      <c r="F45" s="135" t="s">
        <v>245</v>
      </c>
      <c r="G45" s="232">
        <v>1</v>
      </c>
      <c r="H45" s="234">
        <v>1000</v>
      </c>
      <c r="I45" s="234">
        <f t="shared" si="3"/>
        <v>1000</v>
      </c>
      <c r="J45" s="86"/>
      <c r="K45" s="72"/>
      <c r="L45" s="1"/>
      <c r="M45" s="1"/>
      <c r="N45" s="14">
        <v>45419</v>
      </c>
      <c r="O45" s="4"/>
      <c r="P45" s="244">
        <v>45435</v>
      </c>
      <c r="Q45" s="38">
        <v>45432</v>
      </c>
      <c r="R45" s="26">
        <v>45429</v>
      </c>
    </row>
    <row r="46" spans="1:18" s="3" customFormat="1" ht="19.5" customHeight="1" x14ac:dyDescent="0.15">
      <c r="A46" s="65" t="s">
        <v>32</v>
      </c>
      <c r="B46" s="197">
        <v>15</v>
      </c>
      <c r="C46" s="192">
        <f t="shared" si="4"/>
        <v>24</v>
      </c>
      <c r="D46" s="25" t="s">
        <v>30</v>
      </c>
      <c r="E46" s="25" t="s">
        <v>30</v>
      </c>
      <c r="F46" s="165" t="s">
        <v>238</v>
      </c>
      <c r="G46" s="48">
        <v>1</v>
      </c>
      <c r="H46" s="62">
        <v>930</v>
      </c>
      <c r="I46" s="219">
        <f t="shared" si="3"/>
        <v>930</v>
      </c>
      <c r="J46" s="24"/>
      <c r="K46" s="69" t="s">
        <v>239</v>
      </c>
      <c r="L46" s="1"/>
      <c r="M46" s="227" t="s">
        <v>275</v>
      </c>
      <c r="N46" s="226">
        <v>45413</v>
      </c>
      <c r="O46" s="25"/>
      <c r="P46" s="27">
        <v>45432</v>
      </c>
      <c r="Q46" s="38">
        <v>45433</v>
      </c>
      <c r="R46" s="26">
        <v>45433</v>
      </c>
    </row>
    <row r="47" spans="1:18" s="3" customFormat="1" ht="19.5" customHeight="1" x14ac:dyDescent="0.15">
      <c r="A47" s="65" t="s">
        <v>32</v>
      </c>
      <c r="B47" s="197">
        <v>15</v>
      </c>
      <c r="C47" s="192">
        <f t="shared" si="4"/>
        <v>25</v>
      </c>
      <c r="D47" s="25" t="s">
        <v>30</v>
      </c>
      <c r="E47" s="25" t="s">
        <v>30</v>
      </c>
      <c r="F47" s="165" t="s">
        <v>240</v>
      </c>
      <c r="G47" s="48">
        <v>1</v>
      </c>
      <c r="H47" s="62">
        <v>750</v>
      </c>
      <c r="I47" s="219">
        <f t="shared" si="3"/>
        <v>750</v>
      </c>
      <c r="J47" s="24"/>
      <c r="K47" s="22" t="s">
        <v>241</v>
      </c>
      <c r="L47" s="1"/>
      <c r="M47" s="227" t="s">
        <v>275</v>
      </c>
      <c r="N47" s="226">
        <v>45413</v>
      </c>
      <c r="O47" s="25"/>
      <c r="P47" s="27">
        <v>45432</v>
      </c>
      <c r="Q47" s="38">
        <v>45433</v>
      </c>
      <c r="R47" s="26">
        <v>45433</v>
      </c>
    </row>
    <row r="48" spans="1:18" s="3" customFormat="1" ht="19.5" customHeight="1" x14ac:dyDescent="0.15">
      <c r="A48" s="65" t="s">
        <v>32</v>
      </c>
      <c r="B48" s="197">
        <v>15</v>
      </c>
      <c r="C48" s="192">
        <f t="shared" si="4"/>
        <v>26</v>
      </c>
      <c r="D48" s="84" t="s">
        <v>30</v>
      </c>
      <c r="E48" s="84" t="s">
        <v>30</v>
      </c>
      <c r="F48" s="94" t="s">
        <v>188</v>
      </c>
      <c r="G48" s="201">
        <v>10</v>
      </c>
      <c r="H48" s="139">
        <v>35</v>
      </c>
      <c r="I48" s="217">
        <f t="shared" si="3"/>
        <v>350</v>
      </c>
      <c r="J48" s="86"/>
      <c r="K48" s="72" t="s">
        <v>242</v>
      </c>
      <c r="L48" s="1"/>
      <c r="M48" s="227" t="s">
        <v>275</v>
      </c>
      <c r="N48" s="226">
        <v>45413</v>
      </c>
      <c r="O48" s="25"/>
      <c r="P48" s="27">
        <v>45432</v>
      </c>
      <c r="Q48" s="38">
        <v>45433</v>
      </c>
      <c r="R48" s="26">
        <v>45433</v>
      </c>
    </row>
    <row r="49" spans="1:18" s="3" customFormat="1" ht="19.5" customHeight="1" x14ac:dyDescent="0.15">
      <c r="A49" s="65" t="s">
        <v>32</v>
      </c>
      <c r="B49" s="197">
        <v>15</v>
      </c>
      <c r="C49" s="192">
        <f t="shared" si="4"/>
        <v>27</v>
      </c>
      <c r="D49" s="84" t="s">
        <v>30</v>
      </c>
      <c r="E49" s="84" t="s">
        <v>30</v>
      </c>
      <c r="F49" s="94" t="s">
        <v>229</v>
      </c>
      <c r="G49" s="201">
        <v>6</v>
      </c>
      <c r="H49" s="139">
        <v>92</v>
      </c>
      <c r="I49" s="220">
        <f t="shared" si="3"/>
        <v>552</v>
      </c>
      <c r="J49" s="86"/>
      <c r="K49" s="72" t="s">
        <v>243</v>
      </c>
      <c r="L49" s="1"/>
      <c r="M49" s="227" t="s">
        <v>275</v>
      </c>
      <c r="N49" s="226">
        <v>45413</v>
      </c>
      <c r="O49" s="25"/>
      <c r="P49" s="27">
        <v>45432</v>
      </c>
      <c r="Q49" s="38">
        <v>45433</v>
      </c>
      <c r="R49" s="26">
        <v>45433</v>
      </c>
    </row>
    <row r="50" spans="1:18" s="3" customFormat="1" ht="19.5" customHeight="1" x14ac:dyDescent="0.15">
      <c r="B50" s="23"/>
      <c r="C50" s="169"/>
      <c r="D50" s="4"/>
      <c r="E50" s="170"/>
      <c r="F50" s="171"/>
      <c r="G50" s="45"/>
      <c r="H50" s="45"/>
      <c r="I50" s="45"/>
      <c r="J50" s="172"/>
      <c r="K50" s="19"/>
      <c r="L50" s="1"/>
      <c r="M50" s="1"/>
      <c r="N50" s="14"/>
      <c r="O50" s="4"/>
      <c r="P50" s="2"/>
      <c r="Q50" s="38"/>
      <c r="R50" s="26"/>
    </row>
    <row r="51" spans="1:18" s="3" customFormat="1" ht="19.5" customHeight="1" x14ac:dyDescent="0.15">
      <c r="B51" s="23"/>
      <c r="C51" s="1"/>
      <c r="D51" s="4"/>
      <c r="E51" s="4"/>
      <c r="F51" s="180">
        <f>SUM(I42:I49)</f>
        <v>19582</v>
      </c>
      <c r="G51" s="179"/>
      <c r="H51" s="173"/>
      <c r="I51" s="173"/>
      <c r="J51" s="174"/>
      <c r="K51" s="17"/>
      <c r="L51" s="1"/>
      <c r="M51" s="1"/>
      <c r="N51" s="14"/>
      <c r="O51" s="4"/>
      <c r="P51" s="2"/>
      <c r="Q51" s="38"/>
      <c r="R51" s="26"/>
    </row>
    <row r="52" spans="1:18" s="3" customFormat="1" ht="19.5" customHeight="1" x14ac:dyDescent="0.15">
      <c r="B52" s="23"/>
      <c r="C52" s="25"/>
      <c r="D52" s="25"/>
      <c r="E52" s="25"/>
      <c r="F52" s="34"/>
      <c r="G52" s="33"/>
      <c r="H52" s="18"/>
      <c r="I52" s="18"/>
      <c r="J52" s="13"/>
      <c r="K52" s="19"/>
      <c r="L52" s="1"/>
      <c r="M52" s="1"/>
      <c r="N52" s="14"/>
      <c r="O52" s="4"/>
      <c r="P52" s="2"/>
      <c r="Q52" s="38"/>
      <c r="R52" s="26"/>
    </row>
    <row r="53" spans="1:18" s="3" customFormat="1" ht="19.5" customHeight="1" x14ac:dyDescent="0.15">
      <c r="B53" s="23"/>
      <c r="C53" s="25"/>
      <c r="D53" s="25"/>
      <c r="E53" s="25"/>
      <c r="F53" s="34"/>
      <c r="G53" s="33"/>
      <c r="H53" s="18"/>
      <c r="I53" s="18"/>
      <c r="J53" s="13"/>
      <c r="K53" s="19"/>
      <c r="L53" s="1"/>
      <c r="M53" s="1"/>
      <c r="N53" s="14"/>
      <c r="O53" s="4"/>
      <c r="P53" s="2"/>
      <c r="Q53" s="38"/>
      <c r="R53" s="26"/>
    </row>
    <row r="54" spans="1:18" s="3" customFormat="1" ht="19.5" customHeight="1" x14ac:dyDescent="0.15">
      <c r="B54" s="23"/>
      <c r="C54" s="25"/>
      <c r="D54" s="25"/>
      <c r="E54" s="25"/>
      <c r="F54" s="34"/>
      <c r="G54" s="33"/>
      <c r="H54" s="18"/>
      <c r="I54" s="18"/>
      <c r="J54" s="13"/>
      <c r="K54" s="19"/>
      <c r="L54" s="1"/>
      <c r="M54" s="1"/>
      <c r="N54" s="14"/>
      <c r="O54" s="4"/>
      <c r="P54" s="2"/>
      <c r="Q54" s="38"/>
      <c r="R54" s="26"/>
    </row>
    <row r="55" spans="1:18" s="3" customFormat="1" ht="19.5" customHeight="1" x14ac:dyDescent="0.15">
      <c r="B55" s="23"/>
      <c r="C55" s="25"/>
      <c r="D55" s="25"/>
      <c r="E55" s="25"/>
      <c r="F55" s="34"/>
      <c r="G55" s="33"/>
      <c r="H55" s="18"/>
      <c r="I55" s="18"/>
      <c r="J55" s="13"/>
      <c r="K55" s="19"/>
      <c r="L55" s="1"/>
      <c r="M55" s="1"/>
      <c r="N55" s="14"/>
      <c r="O55" s="4"/>
      <c r="P55" s="2"/>
      <c r="Q55" s="38"/>
      <c r="R55" s="26"/>
    </row>
    <row r="56" spans="1:18" s="3" customFormat="1" ht="19.7" customHeight="1" x14ac:dyDescent="0.15">
      <c r="A56" s="23"/>
      <c r="B56" s="23"/>
      <c r="C56" s="25"/>
      <c r="D56" s="276" t="s">
        <v>274</v>
      </c>
      <c r="E56" s="277"/>
      <c r="F56" s="278"/>
      <c r="G56" s="23"/>
      <c r="H56" s="23"/>
      <c r="I56" s="24"/>
      <c r="J56" s="56"/>
      <c r="K56" s="23"/>
      <c r="L56" s="23"/>
      <c r="M56" s="23"/>
      <c r="N56" s="38"/>
      <c r="O56" s="25"/>
      <c r="P56" s="23"/>
      <c r="Q56" s="38"/>
      <c r="R56" s="26"/>
    </row>
    <row r="57" spans="1:18" s="3" customFormat="1" ht="19.7" customHeight="1" x14ac:dyDescent="0.15">
      <c r="A57" s="65" t="s">
        <v>32</v>
      </c>
      <c r="B57" s="48">
        <v>19</v>
      </c>
      <c r="C57" s="190">
        <f>+C49+1</f>
        <v>28</v>
      </c>
      <c r="D57" s="230" t="s">
        <v>176</v>
      </c>
      <c r="E57" s="230" t="s">
        <v>177</v>
      </c>
      <c r="F57" s="231" t="s">
        <v>178</v>
      </c>
      <c r="G57" s="232">
        <v>1</v>
      </c>
      <c r="H57" s="233">
        <v>2080</v>
      </c>
      <c r="I57" s="234">
        <f t="shared" ref="I57:I66" si="5">G57*H57</f>
        <v>2080</v>
      </c>
      <c r="J57" s="71"/>
      <c r="K57" s="194" t="s">
        <v>179</v>
      </c>
      <c r="L57" s="128"/>
      <c r="M57" s="23"/>
      <c r="N57" s="38">
        <v>45419</v>
      </c>
      <c r="O57" s="25"/>
      <c r="P57" s="27">
        <v>45435</v>
      </c>
      <c r="Q57" s="38"/>
      <c r="R57" s="26">
        <v>45426</v>
      </c>
    </row>
    <row r="58" spans="1:18" s="3" customFormat="1" ht="19.7" customHeight="1" x14ac:dyDescent="0.15">
      <c r="A58" s="65" t="s">
        <v>32</v>
      </c>
      <c r="B58" s="48">
        <v>19</v>
      </c>
      <c r="C58" s="190">
        <f>+C57+1</f>
        <v>29</v>
      </c>
      <c r="D58" s="25" t="s">
        <v>30</v>
      </c>
      <c r="E58" s="25" t="s">
        <v>30</v>
      </c>
      <c r="F58" s="100" t="s">
        <v>44</v>
      </c>
      <c r="G58" s="48">
        <v>1</v>
      </c>
      <c r="H58" s="177">
        <v>72</v>
      </c>
      <c r="I58" s="219">
        <f t="shared" si="5"/>
        <v>72</v>
      </c>
      <c r="J58" s="24"/>
      <c r="K58" s="22" t="s">
        <v>45</v>
      </c>
      <c r="L58" s="129" t="s">
        <v>180</v>
      </c>
      <c r="M58" s="227" t="s">
        <v>275</v>
      </c>
      <c r="N58" s="226">
        <v>45413</v>
      </c>
      <c r="O58" s="25"/>
      <c r="P58" s="27">
        <v>45432</v>
      </c>
      <c r="Q58" s="38">
        <v>45433</v>
      </c>
      <c r="R58" s="26">
        <v>45433</v>
      </c>
    </row>
    <row r="59" spans="1:18" s="3" customFormat="1" ht="19.7" customHeight="1" x14ac:dyDescent="0.15">
      <c r="A59" s="65" t="s">
        <v>32</v>
      </c>
      <c r="B59" s="48">
        <v>19</v>
      </c>
      <c r="C59" s="190">
        <f t="shared" ref="C59:C63" si="6">+C58+1</f>
        <v>30</v>
      </c>
      <c r="D59" s="35" t="s">
        <v>182</v>
      </c>
      <c r="E59" s="25" t="s">
        <v>183</v>
      </c>
      <c r="F59" s="175" t="s">
        <v>281</v>
      </c>
      <c r="G59" s="202">
        <v>4</v>
      </c>
      <c r="H59" s="176">
        <v>55</v>
      </c>
      <c r="I59" s="221">
        <f t="shared" si="5"/>
        <v>220</v>
      </c>
      <c r="J59" s="130"/>
      <c r="K59" s="79" t="s">
        <v>272</v>
      </c>
      <c r="L59" s="129" t="s">
        <v>181</v>
      </c>
      <c r="M59" s="227" t="s">
        <v>275</v>
      </c>
      <c r="N59" s="226">
        <v>45413</v>
      </c>
      <c r="O59" s="25"/>
      <c r="P59" s="27">
        <v>45432</v>
      </c>
      <c r="Q59" s="38">
        <v>45433</v>
      </c>
      <c r="R59" s="26"/>
    </row>
    <row r="60" spans="1:18" s="3" customFormat="1" ht="19.7" customHeight="1" x14ac:dyDescent="0.15">
      <c r="A60" s="65" t="s">
        <v>32</v>
      </c>
      <c r="B60" s="48">
        <v>19</v>
      </c>
      <c r="C60" s="190">
        <f t="shared" si="6"/>
        <v>31</v>
      </c>
      <c r="D60" s="256" t="s">
        <v>182</v>
      </c>
      <c r="E60" s="257" t="s">
        <v>183</v>
      </c>
      <c r="F60" s="258" t="s">
        <v>282</v>
      </c>
      <c r="G60" s="259">
        <v>2</v>
      </c>
      <c r="H60" s="260">
        <v>183</v>
      </c>
      <c r="I60" s="261">
        <f t="shared" si="5"/>
        <v>366</v>
      </c>
      <c r="J60" s="130"/>
      <c r="K60" s="79" t="s">
        <v>272</v>
      </c>
      <c r="L60" s="129"/>
      <c r="M60" s="262" t="s">
        <v>283</v>
      </c>
      <c r="N60" s="226">
        <v>45454</v>
      </c>
      <c r="O60" s="25"/>
      <c r="P60" s="27">
        <v>45455</v>
      </c>
      <c r="Q60" s="38">
        <v>45456</v>
      </c>
      <c r="R60" s="26">
        <v>45456</v>
      </c>
    </row>
    <row r="61" spans="1:18" s="3" customFormat="1" ht="19.7" customHeight="1" x14ac:dyDescent="0.15">
      <c r="A61" s="65" t="s">
        <v>32</v>
      </c>
      <c r="B61" s="48">
        <v>19</v>
      </c>
      <c r="C61" s="190">
        <f t="shared" si="6"/>
        <v>32</v>
      </c>
      <c r="D61" s="25" t="s">
        <v>182</v>
      </c>
      <c r="E61" s="25" t="s">
        <v>183</v>
      </c>
      <c r="F61" s="175" t="s">
        <v>250</v>
      </c>
      <c r="G61" s="202">
        <v>4</v>
      </c>
      <c r="H61" s="176">
        <v>36</v>
      </c>
      <c r="I61" s="221">
        <f t="shared" si="5"/>
        <v>144</v>
      </c>
      <c r="J61" s="130"/>
      <c r="K61" s="79" t="s">
        <v>273</v>
      </c>
      <c r="L61" s="129" t="s">
        <v>180</v>
      </c>
      <c r="M61" s="227" t="s">
        <v>275</v>
      </c>
      <c r="N61" s="226">
        <v>45413</v>
      </c>
      <c r="O61" s="25"/>
      <c r="P61" s="27">
        <v>45432</v>
      </c>
      <c r="Q61" s="38">
        <v>45433</v>
      </c>
      <c r="R61" s="26">
        <v>45433</v>
      </c>
    </row>
    <row r="62" spans="1:18" s="3" customFormat="1" ht="19.7" customHeight="1" x14ac:dyDescent="0.15">
      <c r="A62" s="65" t="s">
        <v>32</v>
      </c>
      <c r="B62" s="48">
        <v>19</v>
      </c>
      <c r="C62" s="190">
        <f t="shared" si="6"/>
        <v>33</v>
      </c>
      <c r="D62" s="25" t="s">
        <v>183</v>
      </c>
      <c r="E62" s="25" t="s">
        <v>183</v>
      </c>
      <c r="F62" s="175" t="s">
        <v>184</v>
      </c>
      <c r="G62" s="202">
        <v>2</v>
      </c>
      <c r="H62" s="176">
        <v>51</v>
      </c>
      <c r="I62" s="221">
        <f t="shared" si="5"/>
        <v>102</v>
      </c>
      <c r="J62" s="130"/>
      <c r="K62" s="79" t="s">
        <v>185</v>
      </c>
      <c r="L62" s="129" t="s">
        <v>181</v>
      </c>
      <c r="M62" s="227" t="s">
        <v>275</v>
      </c>
      <c r="N62" s="226">
        <v>45413</v>
      </c>
      <c r="O62" s="25"/>
      <c r="P62" s="27">
        <v>45432</v>
      </c>
      <c r="Q62" s="38">
        <v>45433</v>
      </c>
      <c r="R62" s="26">
        <v>45433</v>
      </c>
    </row>
    <row r="63" spans="1:18" s="3" customFormat="1" ht="19.7" customHeight="1" x14ac:dyDescent="0.15">
      <c r="A63" s="65" t="s">
        <v>32</v>
      </c>
      <c r="B63" s="48">
        <v>19</v>
      </c>
      <c r="C63" s="190">
        <f t="shared" si="6"/>
        <v>34</v>
      </c>
      <c r="D63" s="25" t="s">
        <v>183</v>
      </c>
      <c r="E63" s="25" t="s">
        <v>183</v>
      </c>
      <c r="F63" s="175" t="s">
        <v>186</v>
      </c>
      <c r="G63" s="202">
        <v>1</v>
      </c>
      <c r="H63" s="176">
        <v>5500</v>
      </c>
      <c r="I63" s="221">
        <f t="shared" si="5"/>
        <v>5500</v>
      </c>
      <c r="J63" s="130"/>
      <c r="K63" s="79" t="s">
        <v>187</v>
      </c>
      <c r="L63" s="129" t="s">
        <v>180</v>
      </c>
      <c r="M63" s="227" t="s">
        <v>275</v>
      </c>
      <c r="N63" s="226">
        <v>45413</v>
      </c>
      <c r="O63" s="25"/>
      <c r="P63" s="27">
        <v>45432</v>
      </c>
      <c r="Q63" s="38">
        <v>45433</v>
      </c>
      <c r="R63" s="26">
        <v>45433</v>
      </c>
    </row>
    <row r="64" spans="1:18" s="3" customFormat="1" ht="19.7" customHeight="1" x14ac:dyDescent="0.15">
      <c r="A64" s="65" t="s">
        <v>32</v>
      </c>
      <c r="B64" s="48">
        <v>19</v>
      </c>
      <c r="C64" s="190">
        <f>+C63+1</f>
        <v>35</v>
      </c>
      <c r="D64" s="25" t="s">
        <v>30</v>
      </c>
      <c r="E64" s="25" t="s">
        <v>30</v>
      </c>
      <c r="F64" s="100" t="s">
        <v>51</v>
      </c>
      <c r="G64" s="48">
        <v>1</v>
      </c>
      <c r="H64" s="177">
        <v>31</v>
      </c>
      <c r="I64" s="219">
        <f t="shared" si="5"/>
        <v>31</v>
      </c>
      <c r="J64" s="24"/>
      <c r="K64" s="22" t="s">
        <v>52</v>
      </c>
      <c r="L64" s="129" t="s">
        <v>181</v>
      </c>
      <c r="M64" s="227" t="s">
        <v>275</v>
      </c>
      <c r="N64" s="226">
        <v>45413</v>
      </c>
      <c r="O64" s="25"/>
      <c r="P64" s="27">
        <v>45432</v>
      </c>
      <c r="Q64" s="38">
        <v>45433</v>
      </c>
      <c r="R64" s="26">
        <v>45433</v>
      </c>
    </row>
    <row r="65" spans="1:18" s="3" customFormat="1" ht="19.7" customHeight="1" x14ac:dyDescent="0.15">
      <c r="A65" s="65" t="s">
        <v>33</v>
      </c>
      <c r="B65" s="48">
        <v>19</v>
      </c>
      <c r="C65" s="190">
        <f t="shared" ref="C65:C66" si="7">+C64+1</f>
        <v>36</v>
      </c>
      <c r="D65" s="25" t="s">
        <v>39</v>
      </c>
      <c r="E65" s="25" t="s">
        <v>30</v>
      </c>
      <c r="F65" s="178" t="s">
        <v>247</v>
      </c>
      <c r="G65" s="203">
        <v>1</v>
      </c>
      <c r="H65" s="62">
        <v>3130</v>
      </c>
      <c r="I65" s="219">
        <f t="shared" si="5"/>
        <v>3130</v>
      </c>
      <c r="J65" s="24"/>
      <c r="K65" s="53" t="s">
        <v>246</v>
      </c>
      <c r="L65" s="129" t="s">
        <v>181</v>
      </c>
      <c r="M65" s="227" t="s">
        <v>275</v>
      </c>
      <c r="N65" s="226">
        <v>45413</v>
      </c>
      <c r="O65" s="25"/>
      <c r="P65" s="27">
        <v>45432</v>
      </c>
      <c r="Q65" s="38">
        <v>45433</v>
      </c>
      <c r="R65" s="26">
        <v>45433</v>
      </c>
    </row>
    <row r="66" spans="1:18" s="3" customFormat="1" ht="19.7" customHeight="1" x14ac:dyDescent="0.15">
      <c r="A66" s="65" t="s">
        <v>33</v>
      </c>
      <c r="B66" s="48">
        <v>19</v>
      </c>
      <c r="C66" s="190">
        <f t="shared" si="7"/>
        <v>37</v>
      </c>
      <c r="D66" s="25" t="s">
        <v>39</v>
      </c>
      <c r="E66" s="25" t="s">
        <v>30</v>
      </c>
      <c r="F66" s="97" t="s">
        <v>248</v>
      </c>
      <c r="G66" s="204">
        <v>1</v>
      </c>
      <c r="H66" s="139">
        <v>3130</v>
      </c>
      <c r="I66" s="219">
        <f t="shared" si="5"/>
        <v>3130</v>
      </c>
      <c r="J66" s="24"/>
      <c r="K66" s="53" t="s">
        <v>249</v>
      </c>
      <c r="L66" s="129" t="s">
        <v>181</v>
      </c>
      <c r="M66" s="227" t="s">
        <v>275</v>
      </c>
      <c r="N66" s="226">
        <v>45413</v>
      </c>
      <c r="O66" s="25"/>
      <c r="P66" s="27">
        <v>45432</v>
      </c>
      <c r="Q66" s="38">
        <v>45433</v>
      </c>
      <c r="R66" s="26">
        <v>45433</v>
      </c>
    </row>
    <row r="67" spans="1:18" s="3" customFormat="1" ht="19.7" customHeight="1" x14ac:dyDescent="0.15">
      <c r="A67" s="23"/>
      <c r="B67" s="23"/>
      <c r="C67" s="25"/>
      <c r="D67" s="131"/>
      <c r="E67" s="131"/>
      <c r="F67" s="50"/>
      <c r="G67" s="23"/>
      <c r="H67" s="45"/>
      <c r="I67" s="45"/>
      <c r="J67" s="56"/>
      <c r="K67" s="79"/>
      <c r="L67" s="132"/>
      <c r="M67" s="23"/>
      <c r="N67" s="38"/>
      <c r="O67" s="25"/>
      <c r="P67" s="23"/>
      <c r="Q67" s="38"/>
      <c r="R67" s="26"/>
    </row>
    <row r="68" spans="1:18" s="3" customFormat="1" ht="19.7" customHeight="1" x14ac:dyDescent="0.15">
      <c r="A68" s="23"/>
      <c r="B68" s="23"/>
      <c r="C68" s="25"/>
      <c r="D68" s="60"/>
      <c r="E68" s="60"/>
      <c r="F68" s="87">
        <f>SUM(I57:I67)</f>
        <v>14775</v>
      </c>
      <c r="G68" s="133"/>
      <c r="H68" s="132"/>
      <c r="I68" s="45"/>
      <c r="J68" s="134"/>
      <c r="K68" s="135"/>
      <c r="L68" s="132"/>
      <c r="M68" s="23"/>
      <c r="N68" s="38"/>
      <c r="O68" s="25"/>
      <c r="P68" s="23"/>
      <c r="Q68" s="38"/>
      <c r="R68" s="26"/>
    </row>
    <row r="69" spans="1:18" s="3" customFormat="1" ht="19.5" customHeight="1" x14ac:dyDescent="0.15">
      <c r="A69" s="23"/>
      <c r="B69" s="23"/>
      <c r="C69" s="25"/>
      <c r="D69" s="25"/>
      <c r="E69" s="25"/>
      <c r="F69" s="34"/>
      <c r="G69" s="33"/>
      <c r="H69" s="18"/>
      <c r="I69" s="18"/>
      <c r="J69" s="13"/>
      <c r="K69" s="19"/>
      <c r="L69" s="1"/>
      <c r="M69" s="1"/>
      <c r="N69" s="14"/>
      <c r="O69" s="4"/>
      <c r="P69" s="2"/>
      <c r="Q69" s="38"/>
      <c r="R69" s="26"/>
    </row>
    <row r="70" spans="1:18" s="3" customFormat="1" ht="19.5" customHeight="1" x14ac:dyDescent="0.15">
      <c r="A70" s="23"/>
      <c r="B70" s="23"/>
      <c r="C70" s="25"/>
      <c r="D70" s="25"/>
      <c r="E70" s="25"/>
      <c r="F70" s="34"/>
      <c r="G70" s="33"/>
      <c r="H70" s="18"/>
      <c r="I70" s="18"/>
      <c r="J70" s="13"/>
      <c r="K70" s="19"/>
      <c r="L70" s="1"/>
      <c r="M70" s="1"/>
      <c r="N70" s="14"/>
      <c r="O70" s="4"/>
      <c r="P70" s="2"/>
      <c r="Q70" s="38"/>
      <c r="R70" s="26"/>
    </row>
    <row r="71" spans="1:18" s="3" customFormat="1" ht="19.5" customHeight="1" x14ac:dyDescent="0.15">
      <c r="A71" s="23"/>
      <c r="B71" s="23"/>
      <c r="C71" s="25"/>
      <c r="D71" s="25"/>
      <c r="E71" s="25"/>
      <c r="F71" s="34"/>
      <c r="G71" s="33"/>
      <c r="H71" s="18"/>
      <c r="I71" s="18"/>
      <c r="J71" s="13"/>
      <c r="K71" s="19"/>
      <c r="L71" s="1"/>
      <c r="M71" s="1"/>
      <c r="N71" s="14"/>
      <c r="O71" s="4"/>
      <c r="P71" s="2"/>
      <c r="Q71" s="38"/>
      <c r="R71" s="26"/>
    </row>
    <row r="72" spans="1:18" s="3" customFormat="1" ht="19.7" customHeight="1" x14ac:dyDescent="0.15">
      <c r="A72" s="23"/>
      <c r="B72" s="23"/>
      <c r="C72" s="25"/>
      <c r="D72" s="276" t="s">
        <v>200</v>
      </c>
      <c r="E72" s="277"/>
      <c r="F72" s="278"/>
      <c r="G72" s="29"/>
      <c r="H72" s="29"/>
      <c r="I72" s="45"/>
      <c r="J72" s="56"/>
      <c r="K72" s="61"/>
      <c r="L72" s="23"/>
      <c r="M72" s="23"/>
      <c r="N72" s="38"/>
      <c r="O72" s="25"/>
      <c r="P72" s="23"/>
      <c r="Q72" s="38"/>
      <c r="R72" s="26"/>
    </row>
    <row r="73" spans="1:18" s="3" customFormat="1" ht="19.7" customHeight="1" x14ac:dyDescent="0.15">
      <c r="A73" s="23" t="s">
        <v>201</v>
      </c>
      <c r="B73" s="197">
        <v>15</v>
      </c>
      <c r="C73" s="190">
        <f>+C66+1</f>
        <v>38</v>
      </c>
      <c r="D73" s="25" t="s">
        <v>182</v>
      </c>
      <c r="E73" s="25" t="s">
        <v>30</v>
      </c>
      <c r="F73" s="137" t="s">
        <v>202</v>
      </c>
      <c r="G73" s="200">
        <v>4</v>
      </c>
      <c r="H73" s="164">
        <v>69</v>
      </c>
      <c r="I73" s="210">
        <f t="shared" ref="I73:I87" si="8">G73*H73</f>
        <v>276</v>
      </c>
      <c r="J73" s="88"/>
      <c r="K73" s="154" t="s">
        <v>203</v>
      </c>
      <c r="L73" s="50" t="s">
        <v>204</v>
      </c>
      <c r="M73" s="227" t="s">
        <v>275</v>
      </c>
      <c r="N73" s="226">
        <v>45413</v>
      </c>
      <c r="O73" s="25"/>
      <c r="P73" s="27">
        <v>45432</v>
      </c>
      <c r="Q73" s="38">
        <v>45433</v>
      </c>
      <c r="R73" s="26">
        <v>45433</v>
      </c>
    </row>
    <row r="74" spans="1:18" s="3" customFormat="1" ht="19.7" customHeight="1" x14ac:dyDescent="0.15">
      <c r="A74" s="23" t="s">
        <v>205</v>
      </c>
      <c r="B74" s="197">
        <v>15</v>
      </c>
      <c r="C74" s="190">
        <f>+C73+1</f>
        <v>39</v>
      </c>
      <c r="D74" s="25" t="s">
        <v>182</v>
      </c>
      <c r="E74" s="25" t="s">
        <v>30</v>
      </c>
      <c r="F74" s="137" t="s">
        <v>206</v>
      </c>
      <c r="G74" s="200">
        <v>4</v>
      </c>
      <c r="H74" s="164">
        <v>116</v>
      </c>
      <c r="I74" s="210">
        <f t="shared" si="8"/>
        <v>464</v>
      </c>
      <c r="J74" s="88"/>
      <c r="K74" s="154" t="s">
        <v>207</v>
      </c>
      <c r="L74" s="50" t="s">
        <v>208</v>
      </c>
      <c r="M74" s="227" t="s">
        <v>275</v>
      </c>
      <c r="N74" s="226">
        <v>45413</v>
      </c>
      <c r="O74" s="25"/>
      <c r="P74" s="27">
        <v>45432</v>
      </c>
      <c r="Q74" s="38">
        <v>45433</v>
      </c>
      <c r="R74" s="26">
        <v>45433</v>
      </c>
    </row>
    <row r="75" spans="1:18" s="3" customFormat="1" ht="19.7" customHeight="1" x14ac:dyDescent="0.15">
      <c r="A75" s="23" t="s">
        <v>209</v>
      </c>
      <c r="B75" s="197">
        <v>15</v>
      </c>
      <c r="C75" s="190">
        <f t="shared" ref="C75:C87" si="9">+C74+1</f>
        <v>40</v>
      </c>
      <c r="D75" s="131" t="s">
        <v>30</v>
      </c>
      <c r="E75" s="131" t="s">
        <v>30</v>
      </c>
      <c r="F75" s="161" t="s">
        <v>210</v>
      </c>
      <c r="G75" s="204">
        <v>3</v>
      </c>
      <c r="H75" s="65">
        <v>680</v>
      </c>
      <c r="I75" s="222">
        <f t="shared" si="8"/>
        <v>2040</v>
      </c>
      <c r="J75" s="155"/>
      <c r="K75" s="156" t="s">
        <v>211</v>
      </c>
      <c r="L75" s="23"/>
      <c r="M75" s="227" t="s">
        <v>275</v>
      </c>
      <c r="N75" s="226">
        <v>45413</v>
      </c>
      <c r="O75" s="25"/>
      <c r="P75" s="27">
        <v>45432</v>
      </c>
      <c r="Q75" s="38">
        <v>45433</v>
      </c>
      <c r="R75" s="26">
        <v>45433</v>
      </c>
    </row>
    <row r="76" spans="1:18" s="3" customFormat="1" ht="19.7" customHeight="1" x14ac:dyDescent="0.15">
      <c r="A76" s="23" t="s">
        <v>205</v>
      </c>
      <c r="B76" s="197">
        <v>15</v>
      </c>
      <c r="C76" s="190">
        <f t="shared" si="9"/>
        <v>41</v>
      </c>
      <c r="D76" s="84" t="s">
        <v>30</v>
      </c>
      <c r="E76" s="84" t="s">
        <v>30</v>
      </c>
      <c r="F76" s="137" t="s">
        <v>188</v>
      </c>
      <c r="G76" s="200">
        <v>10</v>
      </c>
      <c r="H76" s="136">
        <v>35</v>
      </c>
      <c r="I76" s="216">
        <f t="shared" si="8"/>
        <v>350</v>
      </c>
      <c r="J76" s="113"/>
      <c r="K76" s="53" t="s">
        <v>212</v>
      </c>
      <c r="L76" s="23" t="s">
        <v>213</v>
      </c>
      <c r="M76" s="227" t="s">
        <v>275</v>
      </c>
      <c r="N76" s="226">
        <v>45413</v>
      </c>
      <c r="O76" s="25"/>
      <c r="P76" s="27">
        <v>45432</v>
      </c>
      <c r="Q76" s="38">
        <v>45433</v>
      </c>
      <c r="R76" s="26">
        <v>45433</v>
      </c>
    </row>
    <row r="77" spans="1:18" s="3" customFormat="1" ht="19.7" customHeight="1" x14ac:dyDescent="0.15">
      <c r="A77" s="23" t="s">
        <v>214</v>
      </c>
      <c r="B77" s="197">
        <v>15</v>
      </c>
      <c r="C77" s="190">
        <f t="shared" si="9"/>
        <v>42</v>
      </c>
      <c r="D77" s="25" t="s">
        <v>39</v>
      </c>
      <c r="E77" s="25" t="s">
        <v>30</v>
      </c>
      <c r="F77" s="161" t="s">
        <v>215</v>
      </c>
      <c r="G77" s="204">
        <v>1</v>
      </c>
      <c r="H77" s="65">
        <v>3690</v>
      </c>
      <c r="I77" s="206">
        <f t="shared" si="8"/>
        <v>3690</v>
      </c>
      <c r="J77" s="155"/>
      <c r="K77" s="72" t="s">
        <v>216</v>
      </c>
      <c r="L77" s="23"/>
      <c r="M77" s="227" t="s">
        <v>275</v>
      </c>
      <c r="N77" s="226">
        <v>45413</v>
      </c>
      <c r="O77" s="25"/>
      <c r="P77" s="27">
        <v>45432</v>
      </c>
      <c r="Q77" s="38">
        <v>45433</v>
      </c>
      <c r="R77" s="26">
        <v>45433</v>
      </c>
    </row>
    <row r="78" spans="1:18" s="3" customFormat="1" ht="19.7" customHeight="1" x14ac:dyDescent="0.15">
      <c r="A78" s="23" t="s">
        <v>214</v>
      </c>
      <c r="B78" s="197">
        <v>15</v>
      </c>
      <c r="C78" s="190">
        <f t="shared" si="9"/>
        <v>43</v>
      </c>
      <c r="D78" s="25" t="s">
        <v>39</v>
      </c>
      <c r="E78" s="25" t="s">
        <v>30</v>
      </c>
      <c r="F78" s="161" t="s">
        <v>217</v>
      </c>
      <c r="G78" s="204">
        <v>1</v>
      </c>
      <c r="H78" s="65">
        <v>2150</v>
      </c>
      <c r="I78" s="206">
        <f t="shared" si="8"/>
        <v>2150</v>
      </c>
      <c r="J78" s="155"/>
      <c r="K78" s="72" t="s">
        <v>218</v>
      </c>
      <c r="L78" s="23"/>
      <c r="M78" s="227" t="s">
        <v>275</v>
      </c>
      <c r="N78" s="226">
        <v>45413</v>
      </c>
      <c r="O78" s="25"/>
      <c r="P78" s="27">
        <v>45432</v>
      </c>
      <c r="Q78" s="38">
        <v>45433</v>
      </c>
      <c r="R78" s="26">
        <v>45433</v>
      </c>
    </row>
    <row r="79" spans="1:18" s="3" customFormat="1" ht="19.7" customHeight="1" x14ac:dyDescent="0.15">
      <c r="A79" s="23" t="s">
        <v>214</v>
      </c>
      <c r="B79" s="197">
        <v>15</v>
      </c>
      <c r="C79" s="190">
        <f t="shared" si="9"/>
        <v>44</v>
      </c>
      <c r="D79" s="25" t="s">
        <v>39</v>
      </c>
      <c r="E79" s="25" t="s">
        <v>30</v>
      </c>
      <c r="F79" s="161" t="s">
        <v>219</v>
      </c>
      <c r="G79" s="204">
        <v>1</v>
      </c>
      <c r="H79" s="65">
        <v>2150</v>
      </c>
      <c r="I79" s="206">
        <f t="shared" si="8"/>
        <v>2150</v>
      </c>
      <c r="J79" s="155"/>
      <c r="K79" s="72" t="s">
        <v>220</v>
      </c>
      <c r="L79" s="23"/>
      <c r="M79" s="227" t="s">
        <v>275</v>
      </c>
      <c r="N79" s="226">
        <v>45413</v>
      </c>
      <c r="O79" s="25"/>
      <c r="P79" s="27">
        <v>45432</v>
      </c>
      <c r="Q79" s="38">
        <v>45433</v>
      </c>
      <c r="R79" s="26">
        <v>45433</v>
      </c>
    </row>
    <row r="80" spans="1:18" s="3" customFormat="1" ht="19.7" customHeight="1" x14ac:dyDescent="0.15">
      <c r="A80" s="23" t="s">
        <v>214</v>
      </c>
      <c r="B80" s="197">
        <v>15</v>
      </c>
      <c r="C80" s="190">
        <f t="shared" si="9"/>
        <v>45</v>
      </c>
      <c r="D80" s="74" t="s">
        <v>30</v>
      </c>
      <c r="E80" s="74" t="s">
        <v>30</v>
      </c>
      <c r="F80" s="162" t="s">
        <v>280</v>
      </c>
      <c r="G80" s="204">
        <v>1</v>
      </c>
      <c r="H80" s="65">
        <v>4660</v>
      </c>
      <c r="I80" s="206">
        <f t="shared" si="8"/>
        <v>4660</v>
      </c>
      <c r="J80" s="157"/>
      <c r="K80" s="72" t="s">
        <v>221</v>
      </c>
      <c r="L80" s="23"/>
      <c r="M80" s="227" t="s">
        <v>275</v>
      </c>
      <c r="N80" s="226">
        <v>45413</v>
      </c>
      <c r="O80" s="25"/>
      <c r="P80" s="27">
        <v>45432</v>
      </c>
      <c r="Q80" s="38">
        <v>45433</v>
      </c>
      <c r="R80" s="26">
        <v>45433</v>
      </c>
    </row>
    <row r="81" spans="1:18" s="3" customFormat="1" ht="19.7" customHeight="1" x14ac:dyDescent="0.15">
      <c r="A81" s="23" t="s">
        <v>214</v>
      </c>
      <c r="B81" s="197">
        <v>15</v>
      </c>
      <c r="C81" s="190">
        <f t="shared" si="9"/>
        <v>46</v>
      </c>
      <c r="D81" s="250" t="s">
        <v>30</v>
      </c>
      <c r="E81" s="250" t="s">
        <v>30</v>
      </c>
      <c r="F81" s="251" t="s">
        <v>277</v>
      </c>
      <c r="G81" s="252">
        <v>1</v>
      </c>
      <c r="H81" s="253">
        <v>5713</v>
      </c>
      <c r="I81" s="254">
        <f t="shared" si="8"/>
        <v>5713</v>
      </c>
      <c r="J81" s="157"/>
      <c r="K81" s="72" t="s">
        <v>278</v>
      </c>
      <c r="L81" s="23"/>
      <c r="M81" s="255" t="s">
        <v>279</v>
      </c>
      <c r="N81" s="226">
        <v>45454</v>
      </c>
      <c r="O81" s="25"/>
      <c r="P81" s="27">
        <v>45457</v>
      </c>
      <c r="Q81" s="38">
        <v>45458</v>
      </c>
      <c r="R81" s="26">
        <v>45460</v>
      </c>
    </row>
    <row r="82" spans="1:18" s="3" customFormat="1" ht="19.7" customHeight="1" x14ac:dyDescent="0.15">
      <c r="A82" s="23" t="s">
        <v>205</v>
      </c>
      <c r="B82" s="197">
        <v>15</v>
      </c>
      <c r="C82" s="190">
        <f t="shared" si="9"/>
        <v>47</v>
      </c>
      <c r="D82" s="23" t="s">
        <v>30</v>
      </c>
      <c r="E82" s="23" t="s">
        <v>30</v>
      </c>
      <c r="F82" s="152" t="s">
        <v>222</v>
      </c>
      <c r="G82" s="205">
        <v>4</v>
      </c>
      <c r="H82" s="65">
        <v>96</v>
      </c>
      <c r="I82" s="48">
        <f t="shared" si="8"/>
        <v>384</v>
      </c>
      <c r="J82" s="155"/>
      <c r="K82" s="22" t="s">
        <v>223</v>
      </c>
      <c r="L82" s="23"/>
      <c r="M82" s="227" t="s">
        <v>275</v>
      </c>
      <c r="N82" s="226">
        <v>45413</v>
      </c>
      <c r="O82" s="25"/>
      <c r="P82" s="27">
        <v>45432</v>
      </c>
      <c r="Q82" s="38">
        <v>45433</v>
      </c>
      <c r="R82" s="26">
        <v>45433</v>
      </c>
    </row>
    <row r="83" spans="1:18" s="3" customFormat="1" ht="19.7" customHeight="1" x14ac:dyDescent="0.15">
      <c r="A83" s="23" t="s">
        <v>205</v>
      </c>
      <c r="B83" s="197">
        <v>15</v>
      </c>
      <c r="C83" s="190">
        <f t="shared" si="9"/>
        <v>48</v>
      </c>
      <c r="D83" s="74" t="s">
        <v>30</v>
      </c>
      <c r="E83" s="74" t="s">
        <v>30</v>
      </c>
      <c r="F83" s="163" t="s">
        <v>224</v>
      </c>
      <c r="G83" s="206">
        <v>1</v>
      </c>
      <c r="H83" s="63">
        <v>5930</v>
      </c>
      <c r="I83" s="206">
        <f t="shared" si="8"/>
        <v>5930</v>
      </c>
      <c r="J83" s="159"/>
      <c r="K83" s="158" t="s">
        <v>225</v>
      </c>
      <c r="L83" s="23"/>
      <c r="M83" s="227" t="s">
        <v>275</v>
      </c>
      <c r="N83" s="226">
        <v>45413</v>
      </c>
      <c r="O83" s="25"/>
      <c r="P83" s="27">
        <v>45432</v>
      </c>
      <c r="Q83" s="38">
        <v>45433</v>
      </c>
      <c r="R83" s="26">
        <v>45433</v>
      </c>
    </row>
    <row r="84" spans="1:18" s="3" customFormat="1" ht="19.7" customHeight="1" x14ac:dyDescent="0.15">
      <c r="A84" s="23" t="s">
        <v>205</v>
      </c>
      <c r="B84" s="197">
        <v>15</v>
      </c>
      <c r="C84" s="190">
        <f t="shared" si="9"/>
        <v>49</v>
      </c>
      <c r="D84" s="25" t="s">
        <v>30</v>
      </c>
      <c r="E84" s="25" t="s">
        <v>30</v>
      </c>
      <c r="F84" s="97" t="s">
        <v>226</v>
      </c>
      <c r="G84" s="205">
        <v>4</v>
      </c>
      <c r="H84" s="62">
        <v>76</v>
      </c>
      <c r="I84" s="48">
        <f t="shared" si="8"/>
        <v>304</v>
      </c>
      <c r="J84" s="155"/>
      <c r="K84" s="22" t="s">
        <v>227</v>
      </c>
      <c r="L84" s="23"/>
      <c r="M84" s="227" t="s">
        <v>275</v>
      </c>
      <c r="N84" s="226">
        <v>45413</v>
      </c>
      <c r="O84" s="25"/>
      <c r="P84" s="27">
        <v>45432</v>
      </c>
      <c r="Q84" s="38">
        <v>45433</v>
      </c>
      <c r="R84" s="26">
        <v>45433</v>
      </c>
    </row>
    <row r="85" spans="1:18" s="3" customFormat="1" ht="19.7" customHeight="1" x14ac:dyDescent="0.15">
      <c r="A85" s="23" t="s">
        <v>205</v>
      </c>
      <c r="B85" s="197">
        <v>15</v>
      </c>
      <c r="C85" s="190">
        <f t="shared" si="9"/>
        <v>50</v>
      </c>
      <c r="D85" s="131" t="s">
        <v>117</v>
      </c>
      <c r="E85" s="131" t="s">
        <v>117</v>
      </c>
      <c r="F85" s="104" t="s">
        <v>228</v>
      </c>
      <c r="G85" s="203">
        <v>6</v>
      </c>
      <c r="H85" s="65">
        <v>29</v>
      </c>
      <c r="I85" s="210">
        <f t="shared" si="8"/>
        <v>174</v>
      </c>
      <c r="J85" s="155"/>
      <c r="K85" s="44" t="s">
        <v>262</v>
      </c>
      <c r="L85" s="44" t="s">
        <v>263</v>
      </c>
      <c r="M85" s="227" t="s">
        <v>275</v>
      </c>
      <c r="N85" s="226">
        <v>45413</v>
      </c>
      <c r="O85" s="25"/>
      <c r="P85" s="27">
        <v>45432</v>
      </c>
      <c r="Q85" s="38">
        <v>45433</v>
      </c>
      <c r="R85" s="26">
        <v>45433</v>
      </c>
    </row>
    <row r="86" spans="1:18" s="3" customFormat="1" ht="19.7" customHeight="1" x14ac:dyDescent="0.15">
      <c r="A86" s="23" t="s">
        <v>205</v>
      </c>
      <c r="B86" s="197">
        <v>15</v>
      </c>
      <c r="C86" s="190">
        <f t="shared" si="9"/>
        <v>51</v>
      </c>
      <c r="D86" s="25" t="s">
        <v>30</v>
      </c>
      <c r="E86" s="25" t="s">
        <v>30</v>
      </c>
      <c r="F86" s="137" t="s">
        <v>229</v>
      </c>
      <c r="G86" s="200">
        <v>6</v>
      </c>
      <c r="H86" s="164">
        <v>92</v>
      </c>
      <c r="I86" s="210">
        <f t="shared" si="8"/>
        <v>552</v>
      </c>
      <c r="J86" s="88"/>
      <c r="K86" s="50" t="s">
        <v>230</v>
      </c>
      <c r="L86" s="50" t="s">
        <v>208</v>
      </c>
      <c r="M86" s="227" t="s">
        <v>275</v>
      </c>
      <c r="N86" s="226">
        <v>45413</v>
      </c>
      <c r="O86" s="25"/>
      <c r="P86" s="27">
        <v>45432</v>
      </c>
      <c r="Q86" s="38">
        <v>45433</v>
      </c>
      <c r="R86" s="26">
        <v>45433</v>
      </c>
    </row>
    <row r="87" spans="1:18" s="3" customFormat="1" ht="19.7" customHeight="1" x14ac:dyDescent="0.15">
      <c r="A87" s="23" t="s">
        <v>205</v>
      </c>
      <c r="B87" s="197">
        <v>15</v>
      </c>
      <c r="C87" s="190">
        <f t="shared" si="9"/>
        <v>52</v>
      </c>
      <c r="D87" s="25" t="s">
        <v>30</v>
      </c>
      <c r="E87" s="25" t="s">
        <v>30</v>
      </c>
      <c r="F87" s="98" t="s">
        <v>231</v>
      </c>
      <c r="G87" s="199">
        <v>4</v>
      </c>
      <c r="H87" s="136">
        <v>76</v>
      </c>
      <c r="I87" s="216">
        <f t="shared" si="8"/>
        <v>304</v>
      </c>
      <c r="J87" s="113"/>
      <c r="K87" s="72" t="s">
        <v>232</v>
      </c>
      <c r="L87" s="50" t="s">
        <v>208</v>
      </c>
      <c r="M87" s="227" t="s">
        <v>275</v>
      </c>
      <c r="N87" s="226">
        <v>45413</v>
      </c>
      <c r="O87" s="25"/>
      <c r="P87" s="27">
        <v>45432</v>
      </c>
      <c r="Q87" s="38">
        <v>45433</v>
      </c>
      <c r="R87" s="26">
        <v>45433</v>
      </c>
    </row>
    <row r="88" spans="1:18" s="3" customFormat="1" ht="19.7" customHeight="1" x14ac:dyDescent="0.15">
      <c r="A88" s="23"/>
      <c r="B88" s="112"/>
      <c r="C88" s="25"/>
      <c r="D88" s="25"/>
      <c r="E88" s="25"/>
      <c r="F88" s="50"/>
      <c r="G88" s="160"/>
      <c r="H88" s="45"/>
      <c r="I88" s="45"/>
      <c r="J88" s="102"/>
      <c r="K88" s="50"/>
      <c r="L88" s="23"/>
      <c r="M88" s="23"/>
      <c r="N88" s="38"/>
      <c r="O88" s="25"/>
      <c r="P88" s="23"/>
      <c r="Q88" s="38"/>
      <c r="R88" s="26"/>
    </row>
    <row r="89" spans="1:18" s="3" customFormat="1" ht="19.7" customHeight="1" x14ac:dyDescent="0.15">
      <c r="A89" s="23" t="s">
        <v>214</v>
      </c>
      <c r="B89" s="197">
        <v>15</v>
      </c>
      <c r="C89" s="190">
        <f>+C87+1</f>
        <v>53</v>
      </c>
      <c r="D89" s="25" t="s">
        <v>39</v>
      </c>
      <c r="E89" s="25" t="s">
        <v>30</v>
      </c>
      <c r="F89" s="104" t="s">
        <v>266</v>
      </c>
      <c r="G89" s="204">
        <v>1</v>
      </c>
      <c r="H89" s="65">
        <v>2550</v>
      </c>
      <c r="I89" s="219">
        <f t="shared" ref="I89" si="10">G89*H89</f>
        <v>2550</v>
      </c>
      <c r="J89" s="102"/>
      <c r="K89" s="44" t="s">
        <v>261</v>
      </c>
      <c r="L89" s="23"/>
      <c r="M89" s="227" t="s">
        <v>275</v>
      </c>
      <c r="N89" s="226">
        <v>45413</v>
      </c>
      <c r="O89" s="25"/>
      <c r="P89" s="27">
        <v>45432</v>
      </c>
      <c r="Q89" s="38">
        <v>45433</v>
      </c>
      <c r="R89" s="26">
        <v>45433</v>
      </c>
    </row>
    <row r="90" spans="1:18" s="3" customFormat="1" ht="19.7" customHeight="1" x14ac:dyDescent="0.15">
      <c r="A90" s="65" t="s">
        <v>32</v>
      </c>
      <c r="B90" s="197">
        <v>15</v>
      </c>
      <c r="C90" s="190">
        <f>+C89+1</f>
        <v>54</v>
      </c>
      <c r="D90" s="74" t="s">
        <v>30</v>
      </c>
      <c r="E90" s="74" t="s">
        <v>30</v>
      </c>
      <c r="F90" s="137" t="s">
        <v>264</v>
      </c>
      <c r="G90" s="200">
        <v>10</v>
      </c>
      <c r="H90" s="136">
        <v>25</v>
      </c>
      <c r="I90" s="216">
        <f t="shared" ref="I90:I91" si="11">G90*H90</f>
        <v>250</v>
      </c>
      <c r="J90" s="113"/>
      <c r="K90" s="113" t="s">
        <v>265</v>
      </c>
      <c r="L90" s="23"/>
      <c r="M90" s="227" t="s">
        <v>275</v>
      </c>
      <c r="N90" s="226">
        <v>45413</v>
      </c>
      <c r="O90" s="25"/>
      <c r="P90" s="27">
        <v>45432</v>
      </c>
      <c r="Q90" s="38">
        <v>45433</v>
      </c>
      <c r="R90" s="26">
        <v>45433</v>
      </c>
    </row>
    <row r="91" spans="1:18" s="3" customFormat="1" ht="19.7" customHeight="1" x14ac:dyDescent="0.15">
      <c r="A91" s="23" t="s">
        <v>32</v>
      </c>
      <c r="B91" s="197">
        <v>15</v>
      </c>
      <c r="C91" s="190">
        <f>+C90+1</f>
        <v>55</v>
      </c>
      <c r="D91" s="230" t="s">
        <v>268</v>
      </c>
      <c r="E91" s="230" t="s">
        <v>177</v>
      </c>
      <c r="F91" s="235" t="s">
        <v>267</v>
      </c>
      <c r="G91" s="236">
        <v>10</v>
      </c>
      <c r="H91" s="237">
        <v>158</v>
      </c>
      <c r="I91" s="238">
        <f t="shared" si="11"/>
        <v>1580</v>
      </c>
      <c r="J91" s="119"/>
      <c r="K91" s="44" t="s">
        <v>269</v>
      </c>
      <c r="L91" s="23"/>
      <c r="M91" s="23"/>
      <c r="N91" s="38">
        <v>45419</v>
      </c>
      <c r="O91" s="25"/>
      <c r="P91" s="27">
        <v>45435</v>
      </c>
      <c r="Q91" s="38"/>
      <c r="R91" s="26">
        <v>45426</v>
      </c>
    </row>
    <row r="92" spans="1:18" s="3" customFormat="1" ht="19.7" customHeight="1" x14ac:dyDescent="0.15">
      <c r="A92" s="23"/>
      <c r="B92" s="23"/>
      <c r="C92" s="25"/>
      <c r="D92" s="25"/>
      <c r="E92" s="25"/>
      <c r="F92" s="50"/>
      <c r="G92" s="160"/>
      <c r="H92" s="45"/>
      <c r="I92" s="45"/>
      <c r="J92" s="102"/>
      <c r="K92" s="50"/>
      <c r="L92" s="23"/>
      <c r="M92" s="23"/>
      <c r="N92" s="38"/>
      <c r="O92" s="25"/>
      <c r="P92" s="23"/>
      <c r="Q92" s="38"/>
      <c r="R92" s="26"/>
    </row>
    <row r="93" spans="1:18" s="3" customFormat="1" ht="19.7" customHeight="1" x14ac:dyDescent="0.15">
      <c r="A93" s="23"/>
      <c r="B93" s="23"/>
      <c r="C93" s="25"/>
      <c r="D93" s="25"/>
      <c r="E93" s="25"/>
      <c r="F93" s="87">
        <f>SUM(I73:I87)</f>
        <v>29141</v>
      </c>
      <c r="G93" s="23"/>
      <c r="H93" s="45"/>
      <c r="I93" s="45"/>
      <c r="J93" s="102"/>
      <c r="K93" s="22"/>
      <c r="L93" s="23"/>
      <c r="M93" s="23"/>
      <c r="N93" s="38"/>
      <c r="O93" s="25"/>
      <c r="P93" s="23"/>
      <c r="Q93" s="38"/>
      <c r="R93" s="26"/>
    </row>
    <row r="94" spans="1:18" s="3" customFormat="1" ht="19.5" customHeight="1" x14ac:dyDescent="0.15">
      <c r="B94" s="23"/>
      <c r="C94" s="25"/>
      <c r="D94" s="25"/>
      <c r="E94" s="25"/>
      <c r="F94" s="34"/>
      <c r="G94" s="33"/>
      <c r="H94" s="18"/>
      <c r="I94" s="18"/>
      <c r="J94" s="13"/>
      <c r="K94" s="19"/>
      <c r="L94" s="1"/>
      <c r="M94" s="1"/>
      <c r="N94" s="14"/>
      <c r="O94" s="4"/>
      <c r="P94" s="2"/>
      <c r="Q94" s="38"/>
      <c r="R94" s="26"/>
    </row>
    <row r="95" spans="1:18" s="3" customFormat="1" ht="19.5" customHeight="1" x14ac:dyDescent="0.15">
      <c r="B95" s="23"/>
      <c r="C95" s="25"/>
      <c r="D95" s="25"/>
      <c r="E95" s="25"/>
      <c r="F95" s="34"/>
      <c r="G95" s="33"/>
      <c r="H95" s="18"/>
      <c r="I95" s="18"/>
      <c r="J95" s="13"/>
      <c r="K95" s="19"/>
      <c r="L95" s="1"/>
      <c r="M95" s="1"/>
      <c r="N95" s="14"/>
      <c r="O95" s="4"/>
      <c r="P95" s="2"/>
      <c r="Q95" s="38"/>
      <c r="R95" s="26"/>
    </row>
    <row r="96" spans="1:18" s="3" customFormat="1" ht="19.5" customHeight="1" x14ac:dyDescent="0.15">
      <c r="B96" s="23"/>
      <c r="C96" s="25"/>
      <c r="D96" s="25"/>
      <c r="E96" s="25"/>
      <c r="F96" s="34"/>
      <c r="G96" s="33"/>
      <c r="H96" s="18"/>
      <c r="I96" s="18"/>
      <c r="J96" s="13"/>
      <c r="K96" s="19"/>
      <c r="L96" s="1"/>
      <c r="M96" s="1"/>
      <c r="N96" s="14"/>
      <c r="O96" s="4"/>
      <c r="P96" s="2"/>
      <c r="Q96" s="38"/>
      <c r="R96" s="26"/>
    </row>
    <row r="97" spans="1:18" s="3" customFormat="1" ht="19.5" customHeight="1" x14ac:dyDescent="0.15">
      <c r="B97" s="23"/>
      <c r="C97" s="25"/>
      <c r="D97" s="276" t="s">
        <v>38</v>
      </c>
      <c r="E97" s="277"/>
      <c r="F97" s="278"/>
      <c r="G97" s="70"/>
      <c r="H97" s="55"/>
      <c r="I97" s="64"/>
      <c r="J97" s="71"/>
      <c r="K97" s="72"/>
      <c r="L97" s="1"/>
      <c r="M97" s="1"/>
      <c r="N97" s="14"/>
      <c r="O97" s="4"/>
      <c r="P97" s="2"/>
      <c r="Q97" s="38"/>
      <c r="R97" s="26"/>
    </row>
    <row r="98" spans="1:18" s="3" customFormat="1" ht="19.5" customHeight="1" x14ac:dyDescent="0.15">
      <c r="A98" s="89" t="s">
        <v>33</v>
      </c>
      <c r="B98" s="126">
        <v>14</v>
      </c>
      <c r="C98" s="190">
        <f>+C91+1</f>
        <v>56</v>
      </c>
      <c r="D98" s="57" t="s">
        <v>39</v>
      </c>
      <c r="E98" s="25" t="s">
        <v>30</v>
      </c>
      <c r="F98" s="104" t="s">
        <v>40</v>
      </c>
      <c r="G98" s="48">
        <v>1</v>
      </c>
      <c r="H98" s="23">
        <v>2320</v>
      </c>
      <c r="I98" s="210">
        <f t="shared" ref="I98:I107" si="12">G98*H98</f>
        <v>2320</v>
      </c>
      <c r="J98" s="56"/>
      <c r="K98" s="50" t="s">
        <v>41</v>
      </c>
      <c r="L98" s="1"/>
      <c r="M98" s="227" t="s">
        <v>275</v>
      </c>
      <c r="N98" s="226">
        <v>45413</v>
      </c>
      <c r="O98" s="25"/>
      <c r="P98" s="27">
        <v>45432</v>
      </c>
      <c r="Q98" s="38">
        <v>45433</v>
      </c>
      <c r="R98" s="26">
        <v>45433</v>
      </c>
    </row>
    <row r="99" spans="1:18" s="3" customFormat="1" ht="19.5" customHeight="1" x14ac:dyDescent="0.15">
      <c r="A99" s="65" t="s">
        <v>32</v>
      </c>
      <c r="B99" s="126">
        <v>14</v>
      </c>
      <c r="C99" s="190">
        <f t="shared" ref="C99:C108" si="13">+C98+1</f>
        <v>57</v>
      </c>
      <c r="D99" s="23" t="s">
        <v>30</v>
      </c>
      <c r="E99" s="23" t="s">
        <v>30</v>
      </c>
      <c r="F99" s="152" t="s">
        <v>42</v>
      </c>
      <c r="G99" s="48">
        <v>1</v>
      </c>
      <c r="H99" s="23">
        <v>990</v>
      </c>
      <c r="I99" s="223">
        <f>G99*H99</f>
        <v>990</v>
      </c>
      <c r="J99" s="50"/>
      <c r="K99" s="22" t="s">
        <v>43</v>
      </c>
      <c r="L99" s="1"/>
      <c r="M99" s="227" t="s">
        <v>275</v>
      </c>
      <c r="N99" s="226">
        <v>45413</v>
      </c>
      <c r="O99" s="25"/>
      <c r="P99" s="27">
        <v>45432</v>
      </c>
      <c r="Q99" s="38">
        <v>45433</v>
      </c>
      <c r="R99" s="26">
        <v>45433</v>
      </c>
    </row>
    <row r="100" spans="1:18" s="3" customFormat="1" ht="19.5" customHeight="1" x14ac:dyDescent="0.15">
      <c r="A100" s="65" t="s">
        <v>32</v>
      </c>
      <c r="B100" s="126">
        <v>14</v>
      </c>
      <c r="C100" s="190">
        <f t="shared" si="13"/>
        <v>58</v>
      </c>
      <c r="D100" s="25" t="s">
        <v>30</v>
      </c>
      <c r="E100" s="25" t="s">
        <v>30</v>
      </c>
      <c r="F100" s="100" t="s">
        <v>44</v>
      </c>
      <c r="G100" s="48">
        <v>2</v>
      </c>
      <c r="H100" s="73">
        <v>72</v>
      </c>
      <c r="I100" s="219">
        <f t="shared" si="12"/>
        <v>144</v>
      </c>
      <c r="J100" s="56"/>
      <c r="K100" s="22" t="s">
        <v>45</v>
      </c>
      <c r="L100" s="1"/>
      <c r="M100" s="227" t="s">
        <v>275</v>
      </c>
      <c r="N100" s="226">
        <v>45413</v>
      </c>
      <c r="O100" s="25"/>
      <c r="P100" s="27">
        <v>45432</v>
      </c>
      <c r="Q100" s="38">
        <v>45433</v>
      </c>
      <c r="R100" s="26">
        <v>45433</v>
      </c>
    </row>
    <row r="101" spans="1:18" s="3" customFormat="1" ht="19.5" customHeight="1" x14ac:dyDescent="0.15">
      <c r="A101" s="65" t="s">
        <v>26</v>
      </c>
      <c r="B101" s="126">
        <v>14</v>
      </c>
      <c r="C101" s="190">
        <f t="shared" si="13"/>
        <v>59</v>
      </c>
      <c r="D101" s="239" t="s">
        <v>46</v>
      </c>
      <c r="E101" s="240" t="s">
        <v>47</v>
      </c>
      <c r="F101" s="241" t="s">
        <v>198</v>
      </c>
      <c r="G101" s="239">
        <v>1</v>
      </c>
      <c r="H101" s="242">
        <v>10610</v>
      </c>
      <c r="I101" s="243">
        <f>G101*H101</f>
        <v>10610</v>
      </c>
      <c r="J101" s="77"/>
      <c r="K101" s="75" t="s">
        <v>199</v>
      </c>
      <c r="L101" s="1"/>
      <c r="M101" s="1"/>
      <c r="N101" s="14">
        <v>45419</v>
      </c>
      <c r="O101" s="4"/>
      <c r="P101" s="244">
        <v>45435</v>
      </c>
      <c r="Q101" s="38">
        <v>45434</v>
      </c>
      <c r="R101" s="26">
        <v>45433</v>
      </c>
    </row>
    <row r="102" spans="1:18" s="3" customFormat="1" ht="19.5" customHeight="1" x14ac:dyDescent="0.15">
      <c r="A102" s="65" t="s">
        <v>32</v>
      </c>
      <c r="B102" s="126">
        <v>14</v>
      </c>
      <c r="C102" s="190">
        <f t="shared" si="13"/>
        <v>60</v>
      </c>
      <c r="D102" s="78" t="s">
        <v>48</v>
      </c>
      <c r="E102" s="25" t="s">
        <v>30</v>
      </c>
      <c r="F102" s="153" t="s">
        <v>49</v>
      </c>
      <c r="G102" s="202">
        <v>1</v>
      </c>
      <c r="H102" s="76">
        <v>149</v>
      </c>
      <c r="I102" s="224">
        <f>G102*H102</f>
        <v>149</v>
      </c>
      <c r="J102" s="77"/>
      <c r="K102" s="79" t="s">
        <v>50</v>
      </c>
      <c r="L102" s="1"/>
      <c r="M102" s="227" t="s">
        <v>275</v>
      </c>
      <c r="N102" s="226">
        <v>45413</v>
      </c>
      <c r="O102" s="25"/>
      <c r="P102" s="27">
        <v>45432</v>
      </c>
      <c r="Q102" s="38">
        <v>45433</v>
      </c>
      <c r="R102" s="26">
        <v>45433</v>
      </c>
    </row>
    <row r="103" spans="1:18" s="3" customFormat="1" ht="19.5" customHeight="1" x14ac:dyDescent="0.15">
      <c r="A103" s="65" t="s">
        <v>32</v>
      </c>
      <c r="B103" s="126">
        <v>14</v>
      </c>
      <c r="C103" s="190">
        <f t="shared" si="13"/>
        <v>61</v>
      </c>
      <c r="D103" s="25" t="s">
        <v>30</v>
      </c>
      <c r="E103" s="25" t="s">
        <v>30</v>
      </c>
      <c r="F103" s="100" t="s">
        <v>51</v>
      </c>
      <c r="G103" s="48">
        <v>2</v>
      </c>
      <c r="H103" s="73">
        <v>31</v>
      </c>
      <c r="I103" s="219">
        <f t="shared" si="12"/>
        <v>62</v>
      </c>
      <c r="J103" s="56"/>
      <c r="K103" s="22" t="s">
        <v>52</v>
      </c>
      <c r="L103" s="1"/>
      <c r="M103" s="227" t="s">
        <v>275</v>
      </c>
      <c r="N103" s="226">
        <v>45413</v>
      </c>
      <c r="O103" s="25"/>
      <c r="P103" s="27">
        <v>45432</v>
      </c>
      <c r="Q103" s="38">
        <v>45433</v>
      </c>
      <c r="R103" s="26">
        <v>45433</v>
      </c>
    </row>
    <row r="104" spans="1:18" s="3" customFormat="1" ht="19.5" customHeight="1" x14ac:dyDescent="0.15">
      <c r="A104" s="65" t="s">
        <v>32</v>
      </c>
      <c r="B104" s="126">
        <v>14</v>
      </c>
      <c r="C104" s="190">
        <f t="shared" si="13"/>
        <v>62</v>
      </c>
      <c r="D104" s="80" t="s">
        <v>30</v>
      </c>
      <c r="E104" s="80" t="s">
        <v>30</v>
      </c>
      <c r="F104" s="61" t="s">
        <v>53</v>
      </c>
      <c r="G104" s="207">
        <v>3</v>
      </c>
      <c r="H104" s="29">
        <v>270</v>
      </c>
      <c r="I104" s="210">
        <f t="shared" si="12"/>
        <v>810</v>
      </c>
      <c r="J104" s="81"/>
      <c r="K104" s="61" t="s">
        <v>54</v>
      </c>
      <c r="L104" s="1"/>
      <c r="M104" s="227" t="s">
        <v>275</v>
      </c>
      <c r="N104" s="226">
        <v>45413</v>
      </c>
      <c r="O104" s="25"/>
      <c r="P104" s="27">
        <v>45432</v>
      </c>
      <c r="Q104" s="38">
        <v>45433</v>
      </c>
      <c r="R104" s="26">
        <v>45433</v>
      </c>
    </row>
    <row r="105" spans="1:18" s="3" customFormat="1" ht="19.5" customHeight="1" x14ac:dyDescent="0.15">
      <c r="A105" s="65" t="s">
        <v>32</v>
      </c>
      <c r="B105" s="126">
        <v>14</v>
      </c>
      <c r="C105" s="190">
        <f t="shared" si="13"/>
        <v>63</v>
      </c>
      <c r="D105" s="74" t="s">
        <v>30</v>
      </c>
      <c r="E105" s="74" t="s">
        <v>30</v>
      </c>
      <c r="F105" s="22" t="s">
        <v>55</v>
      </c>
      <c r="G105" s="48">
        <v>1</v>
      </c>
      <c r="H105" s="23">
        <v>290</v>
      </c>
      <c r="I105" s="206">
        <f t="shared" si="12"/>
        <v>290</v>
      </c>
      <c r="J105" s="82"/>
      <c r="K105" s="83" t="s">
        <v>56</v>
      </c>
      <c r="L105" s="1"/>
      <c r="M105" s="227" t="s">
        <v>275</v>
      </c>
      <c r="N105" s="226">
        <v>45413</v>
      </c>
      <c r="O105" s="25"/>
      <c r="P105" s="27">
        <v>45432</v>
      </c>
      <c r="Q105" s="38">
        <v>45433</v>
      </c>
      <c r="R105" s="26">
        <v>45433</v>
      </c>
    </row>
    <row r="106" spans="1:18" s="3" customFormat="1" ht="19.5" customHeight="1" x14ac:dyDescent="0.15">
      <c r="A106" s="65" t="s">
        <v>32</v>
      </c>
      <c r="B106" s="126">
        <v>14</v>
      </c>
      <c r="C106" s="190">
        <f t="shared" si="13"/>
        <v>64</v>
      </c>
      <c r="D106" s="80" t="s">
        <v>30</v>
      </c>
      <c r="E106" s="80" t="s">
        <v>30</v>
      </c>
      <c r="F106" s="61" t="s">
        <v>57</v>
      </c>
      <c r="G106" s="207">
        <v>3</v>
      </c>
      <c r="H106" s="29">
        <v>210</v>
      </c>
      <c r="I106" s="210">
        <f t="shared" si="12"/>
        <v>630</v>
      </c>
      <c r="J106" s="81"/>
      <c r="K106" s="61" t="s">
        <v>58</v>
      </c>
      <c r="L106" s="1"/>
      <c r="M106" s="227" t="s">
        <v>275</v>
      </c>
      <c r="N106" s="226">
        <v>45413</v>
      </c>
      <c r="O106" s="25"/>
      <c r="P106" s="27">
        <v>45432</v>
      </c>
      <c r="Q106" s="38">
        <v>45433</v>
      </c>
      <c r="R106" s="26">
        <v>45433</v>
      </c>
    </row>
    <row r="107" spans="1:18" s="3" customFormat="1" ht="19.5" customHeight="1" x14ac:dyDescent="0.15">
      <c r="A107" s="65" t="s">
        <v>32</v>
      </c>
      <c r="B107" s="126">
        <v>14</v>
      </c>
      <c r="C107" s="190">
        <f t="shared" si="13"/>
        <v>65</v>
      </c>
      <c r="D107" s="80" t="s">
        <v>30</v>
      </c>
      <c r="E107" s="84" t="s">
        <v>30</v>
      </c>
      <c r="F107" s="85" t="s">
        <v>59</v>
      </c>
      <c r="G107" s="208">
        <v>1</v>
      </c>
      <c r="H107" s="76">
        <v>130</v>
      </c>
      <c r="I107" s="223">
        <f t="shared" si="12"/>
        <v>130</v>
      </c>
      <c r="J107" s="77"/>
      <c r="K107" s="75" t="s">
        <v>60</v>
      </c>
      <c r="L107" s="1"/>
      <c r="M107" s="227" t="s">
        <v>275</v>
      </c>
      <c r="N107" s="226">
        <v>45413</v>
      </c>
      <c r="O107" s="25"/>
      <c r="P107" s="27">
        <v>45432</v>
      </c>
      <c r="Q107" s="38">
        <v>45433</v>
      </c>
      <c r="R107" s="26">
        <v>45433</v>
      </c>
    </row>
    <row r="108" spans="1:18" s="3" customFormat="1" ht="19.5" customHeight="1" x14ac:dyDescent="0.15">
      <c r="A108" s="65" t="s">
        <v>32</v>
      </c>
      <c r="B108" s="126">
        <v>14</v>
      </c>
      <c r="C108" s="190">
        <f t="shared" si="13"/>
        <v>66</v>
      </c>
      <c r="D108" s="84" t="s">
        <v>30</v>
      </c>
      <c r="E108" s="84" t="s">
        <v>30</v>
      </c>
      <c r="F108" s="94" t="s">
        <v>61</v>
      </c>
      <c r="G108" s="201">
        <v>10</v>
      </c>
      <c r="H108" s="55">
        <v>25</v>
      </c>
      <c r="I108" s="217">
        <f>G108*H108</f>
        <v>250</v>
      </c>
      <c r="J108" s="86"/>
      <c r="K108" s="72" t="s">
        <v>62</v>
      </c>
      <c r="L108" s="1"/>
      <c r="M108" s="227" t="s">
        <v>275</v>
      </c>
      <c r="N108" s="226">
        <v>45413</v>
      </c>
      <c r="O108" s="25"/>
      <c r="P108" s="27">
        <v>45432</v>
      </c>
      <c r="Q108" s="38">
        <v>45433</v>
      </c>
      <c r="R108" s="26">
        <v>45433</v>
      </c>
    </row>
    <row r="109" spans="1:18" s="3" customFormat="1" ht="19.5" customHeight="1" x14ac:dyDescent="0.15">
      <c r="B109" s="23"/>
      <c r="C109" s="25"/>
      <c r="D109" s="84"/>
      <c r="E109" s="84"/>
      <c r="F109" s="50"/>
      <c r="G109" s="54"/>
      <c r="H109" s="23"/>
      <c r="I109" s="45"/>
      <c r="J109" s="56"/>
      <c r="K109" s="72"/>
      <c r="L109" s="1"/>
      <c r="M109" s="1"/>
      <c r="N109" s="14"/>
      <c r="O109" s="4"/>
      <c r="P109" s="2"/>
      <c r="Q109" s="38"/>
      <c r="R109" s="26"/>
    </row>
    <row r="110" spans="1:18" s="3" customFormat="1" ht="19.5" customHeight="1" x14ac:dyDescent="0.15">
      <c r="B110" s="23"/>
      <c r="C110" s="25"/>
      <c r="D110" s="84"/>
      <c r="E110" s="84"/>
      <c r="F110" s="50"/>
      <c r="G110" s="54"/>
      <c r="H110" s="23"/>
      <c r="I110" s="45"/>
      <c r="J110" s="56"/>
      <c r="K110" s="53"/>
      <c r="L110" s="1"/>
      <c r="M110" s="1"/>
      <c r="N110" s="14"/>
      <c r="O110" s="4"/>
      <c r="P110" s="2"/>
      <c r="Q110" s="38"/>
      <c r="R110" s="26"/>
    </row>
    <row r="111" spans="1:18" s="3" customFormat="1" ht="19.5" customHeight="1" x14ac:dyDescent="0.15">
      <c r="B111" s="23"/>
      <c r="C111" s="25"/>
      <c r="D111" s="25"/>
      <c r="E111" s="25"/>
      <c r="F111" s="87">
        <f>SUM(I98:I109)</f>
        <v>16385</v>
      </c>
      <c r="G111" s="68"/>
      <c r="H111" s="68"/>
      <c r="I111" s="68"/>
      <c r="J111" s="88"/>
      <c r="K111" s="22"/>
      <c r="L111" s="1"/>
      <c r="M111" s="1"/>
      <c r="N111" s="14"/>
      <c r="O111" s="4"/>
      <c r="P111" s="2"/>
      <c r="Q111" s="38"/>
      <c r="R111" s="26"/>
    </row>
    <row r="112" spans="1:18" s="3" customFormat="1" ht="19.5" customHeight="1" x14ac:dyDescent="0.15">
      <c r="B112" s="23"/>
      <c r="C112" s="25"/>
      <c r="D112" s="25"/>
      <c r="E112" s="25"/>
      <c r="F112" s="34"/>
      <c r="G112" s="33"/>
      <c r="H112" s="18"/>
      <c r="I112" s="18"/>
      <c r="J112" s="13"/>
      <c r="K112" s="19"/>
      <c r="L112" s="1"/>
      <c r="M112" s="1"/>
      <c r="N112" s="14"/>
      <c r="O112" s="4"/>
      <c r="P112" s="2"/>
      <c r="Q112" s="38"/>
      <c r="R112" s="26"/>
    </row>
    <row r="113" spans="1:18" s="3" customFormat="1" ht="19.5" customHeight="1" x14ac:dyDescent="0.15">
      <c r="B113" s="23"/>
      <c r="C113" s="25"/>
      <c r="D113" s="25"/>
      <c r="E113" s="25"/>
      <c r="F113" s="34"/>
      <c r="G113" s="33"/>
      <c r="H113" s="18"/>
      <c r="I113" s="18"/>
      <c r="J113" s="13"/>
      <c r="K113" s="19"/>
      <c r="L113" s="1"/>
      <c r="M113" s="1"/>
      <c r="N113" s="14"/>
      <c r="O113" s="4"/>
      <c r="P113" s="2"/>
      <c r="Q113" s="38"/>
      <c r="R113" s="26"/>
    </row>
    <row r="114" spans="1:18" s="3" customFormat="1" ht="19.5" customHeight="1" x14ac:dyDescent="0.15">
      <c r="B114" s="23"/>
      <c r="C114" s="25"/>
      <c r="D114" s="276" t="s">
        <v>251</v>
      </c>
      <c r="E114" s="277"/>
      <c r="F114" s="278"/>
      <c r="G114" s="33"/>
      <c r="H114" s="18"/>
      <c r="I114" s="18"/>
      <c r="J114" s="13"/>
      <c r="K114" s="19"/>
      <c r="L114" s="1"/>
      <c r="M114" s="1"/>
      <c r="N114" s="14"/>
      <c r="O114" s="4"/>
      <c r="P114" s="2"/>
      <c r="Q114" s="38"/>
      <c r="R114" s="26"/>
    </row>
    <row r="115" spans="1:18" s="3" customFormat="1" ht="19.5" customHeight="1" x14ac:dyDescent="0.15">
      <c r="A115" s="188" t="s">
        <v>37</v>
      </c>
      <c r="B115" s="195">
        <v>18</v>
      </c>
      <c r="C115" s="190">
        <f>+C108+1</f>
        <v>67</v>
      </c>
      <c r="D115" s="57" t="s">
        <v>39</v>
      </c>
      <c r="E115" s="57" t="s">
        <v>30</v>
      </c>
      <c r="F115" s="187" t="s">
        <v>254</v>
      </c>
      <c r="G115" s="209">
        <v>1</v>
      </c>
      <c r="H115" s="18">
        <v>34650</v>
      </c>
      <c r="I115" s="217">
        <f t="shared" ref="I115:I117" si="14">G115*H115</f>
        <v>34650</v>
      </c>
      <c r="J115" s="13"/>
      <c r="K115" s="186" t="s">
        <v>255</v>
      </c>
      <c r="L115" s="1"/>
      <c r="M115" s="227" t="s">
        <v>275</v>
      </c>
      <c r="N115" s="226">
        <v>45413</v>
      </c>
      <c r="O115" s="25"/>
      <c r="P115" s="27">
        <v>45432</v>
      </c>
      <c r="Q115" s="38">
        <v>45433</v>
      </c>
      <c r="R115" s="26">
        <v>45433</v>
      </c>
    </row>
    <row r="116" spans="1:18" s="3" customFormat="1" ht="19.5" customHeight="1" x14ac:dyDescent="0.15">
      <c r="A116" s="188" t="s">
        <v>253</v>
      </c>
      <c r="B116" s="195">
        <v>18</v>
      </c>
      <c r="C116" s="190">
        <f t="shared" ref="C116:C117" si="15">+C115+1</f>
        <v>68</v>
      </c>
      <c r="D116" s="93" t="s">
        <v>30</v>
      </c>
      <c r="E116" s="93" t="s">
        <v>30</v>
      </c>
      <c r="F116" s="187" t="s">
        <v>285</v>
      </c>
      <c r="G116" s="209">
        <v>4</v>
      </c>
      <c r="H116" s="18">
        <v>930</v>
      </c>
      <c r="I116" s="217">
        <f t="shared" si="14"/>
        <v>3720</v>
      </c>
      <c r="J116" s="13"/>
      <c r="K116" s="186" t="s">
        <v>252</v>
      </c>
      <c r="L116" s="1"/>
      <c r="M116" s="227" t="s">
        <v>275</v>
      </c>
      <c r="N116" s="226">
        <v>45413</v>
      </c>
      <c r="O116" s="25"/>
      <c r="P116" s="27">
        <v>45432</v>
      </c>
      <c r="Q116" s="38">
        <v>45433</v>
      </c>
      <c r="R116" s="43"/>
    </row>
    <row r="117" spans="1:18" s="3" customFormat="1" ht="19.5" customHeight="1" x14ac:dyDescent="0.15">
      <c r="A117" s="188" t="s">
        <v>253</v>
      </c>
      <c r="B117" s="195">
        <v>18</v>
      </c>
      <c r="C117" s="190">
        <f t="shared" si="15"/>
        <v>69</v>
      </c>
      <c r="D117" s="263" t="s">
        <v>30</v>
      </c>
      <c r="E117" s="263" t="s">
        <v>30</v>
      </c>
      <c r="F117" s="264" t="s">
        <v>286</v>
      </c>
      <c r="G117" s="265">
        <v>4</v>
      </c>
      <c r="H117" s="265">
        <v>930</v>
      </c>
      <c r="I117" s="217">
        <f t="shared" si="14"/>
        <v>3720</v>
      </c>
      <c r="J117" s="266"/>
      <c r="K117" s="186" t="s">
        <v>252</v>
      </c>
      <c r="L117" s="1"/>
      <c r="M117" s="267" t="s">
        <v>287</v>
      </c>
      <c r="N117" s="226">
        <v>45455</v>
      </c>
      <c r="O117" s="25"/>
      <c r="P117" s="27">
        <v>45458</v>
      </c>
      <c r="Q117" s="38">
        <v>45460</v>
      </c>
      <c r="R117" s="26">
        <v>45460</v>
      </c>
    </row>
    <row r="118" spans="1:18" s="3" customFormat="1" ht="19.5" customHeight="1" x14ac:dyDescent="0.15">
      <c r="A118" s="65" t="s">
        <v>32</v>
      </c>
      <c r="B118" s="195">
        <v>18</v>
      </c>
      <c r="C118" s="190">
        <f>+C116+1</f>
        <v>69</v>
      </c>
      <c r="D118" s="93" t="s">
        <v>30</v>
      </c>
      <c r="E118" s="93" t="s">
        <v>30</v>
      </c>
      <c r="F118" s="94" t="s">
        <v>256</v>
      </c>
      <c r="G118" s="201">
        <v>10</v>
      </c>
      <c r="H118" s="55">
        <v>25</v>
      </c>
      <c r="I118" s="217">
        <f>G118*H118</f>
        <v>250</v>
      </c>
      <c r="J118" s="86"/>
      <c r="K118" s="72" t="s">
        <v>259</v>
      </c>
      <c r="L118" s="1"/>
      <c r="M118" s="227" t="s">
        <v>275</v>
      </c>
      <c r="N118" s="226">
        <v>45413</v>
      </c>
      <c r="O118" s="25"/>
      <c r="P118" s="27">
        <v>45432</v>
      </c>
      <c r="Q118" s="38">
        <v>45433</v>
      </c>
      <c r="R118" s="26">
        <v>45433</v>
      </c>
    </row>
    <row r="119" spans="1:18" s="3" customFormat="1" ht="19.5" customHeight="1" x14ac:dyDescent="0.15">
      <c r="A119" s="65" t="s">
        <v>34</v>
      </c>
      <c r="B119" s="195">
        <v>18</v>
      </c>
      <c r="C119" s="190">
        <f t="shared" ref="C119" si="16">+C118+1</f>
        <v>70</v>
      </c>
      <c r="D119" s="93" t="s">
        <v>30</v>
      </c>
      <c r="E119" s="93" t="s">
        <v>30</v>
      </c>
      <c r="F119" s="187" t="s">
        <v>257</v>
      </c>
      <c r="G119" s="209">
        <v>2</v>
      </c>
      <c r="H119" s="18">
        <v>1330</v>
      </c>
      <c r="I119" s="217">
        <f>G119*H119</f>
        <v>2660</v>
      </c>
      <c r="J119" s="13"/>
      <c r="K119" s="186" t="s">
        <v>258</v>
      </c>
      <c r="L119" s="1"/>
      <c r="M119" s="227" t="s">
        <v>275</v>
      </c>
      <c r="N119" s="226">
        <v>45413</v>
      </c>
      <c r="O119" s="25"/>
      <c r="P119" s="27">
        <v>45432</v>
      </c>
      <c r="Q119" s="38">
        <v>45433</v>
      </c>
      <c r="R119" s="26">
        <v>45433</v>
      </c>
    </row>
    <row r="120" spans="1:18" s="3" customFormat="1" ht="19.5" customHeight="1" x14ac:dyDescent="0.15">
      <c r="B120" s="23"/>
      <c r="C120" s="25"/>
      <c r="D120" s="25"/>
      <c r="E120" s="25"/>
      <c r="F120" s="34"/>
      <c r="G120" s="33"/>
      <c r="H120" s="18"/>
      <c r="I120" s="18"/>
      <c r="J120" s="13"/>
      <c r="K120" s="19"/>
      <c r="L120" s="1"/>
      <c r="M120" s="1"/>
      <c r="N120" s="14"/>
      <c r="O120" s="4"/>
      <c r="P120" s="2"/>
      <c r="Q120" s="38"/>
      <c r="R120" s="26"/>
    </row>
    <row r="121" spans="1:18" s="3" customFormat="1" ht="19.5" customHeight="1" x14ac:dyDescent="0.15">
      <c r="B121" s="23"/>
      <c r="C121" s="25"/>
      <c r="D121" s="25"/>
      <c r="E121" s="25"/>
      <c r="F121" s="87">
        <f>SUM(I115:I120)</f>
        <v>45000</v>
      </c>
      <c r="G121" s="33"/>
      <c r="H121" s="18"/>
      <c r="I121" s="18"/>
      <c r="J121" s="13"/>
      <c r="K121" s="19"/>
      <c r="L121" s="1"/>
      <c r="M121" s="1"/>
      <c r="N121" s="14"/>
      <c r="O121" s="4"/>
      <c r="P121" s="2"/>
      <c r="Q121" s="38"/>
      <c r="R121" s="26"/>
    </row>
    <row r="122" spans="1:18" s="3" customFormat="1" ht="19.5" customHeight="1" x14ac:dyDescent="0.15">
      <c r="B122" s="23"/>
      <c r="C122" s="25"/>
      <c r="D122" s="25"/>
      <c r="E122" s="25"/>
      <c r="F122" s="34"/>
      <c r="G122" s="33"/>
      <c r="H122" s="18"/>
      <c r="I122" s="18"/>
      <c r="J122" s="13"/>
      <c r="K122" s="19"/>
      <c r="L122" s="1"/>
      <c r="M122" s="1"/>
      <c r="N122" s="14"/>
      <c r="O122" s="4"/>
      <c r="P122" s="2"/>
      <c r="Q122" s="38"/>
      <c r="R122" s="26"/>
    </row>
    <row r="123" spans="1:18" s="3" customFormat="1" ht="19.5" customHeight="1" x14ac:dyDescent="0.15">
      <c r="B123" s="23"/>
      <c r="C123" s="25"/>
      <c r="D123" s="25"/>
      <c r="E123" s="25"/>
      <c r="F123" s="34"/>
      <c r="G123" s="33"/>
      <c r="H123" s="18"/>
      <c r="I123" s="18"/>
      <c r="J123" s="13"/>
      <c r="K123" s="19"/>
      <c r="L123" s="1"/>
      <c r="M123" s="1"/>
      <c r="N123" s="14"/>
      <c r="O123" s="4"/>
      <c r="P123" s="2"/>
      <c r="Q123" s="38"/>
      <c r="R123" s="26"/>
    </row>
    <row r="124" spans="1:18" s="3" customFormat="1" ht="19.5" customHeight="1" x14ac:dyDescent="0.15">
      <c r="B124" s="23"/>
      <c r="C124" s="25"/>
      <c r="D124" s="25"/>
      <c r="E124" s="25"/>
      <c r="F124" s="34"/>
      <c r="G124" s="33"/>
      <c r="H124" s="18"/>
      <c r="I124" s="18"/>
      <c r="J124" s="13"/>
      <c r="K124" s="19"/>
      <c r="L124" s="1"/>
      <c r="M124" s="1"/>
      <c r="N124" s="14"/>
      <c r="O124" s="4"/>
      <c r="P124" s="2"/>
      <c r="Q124" s="38"/>
      <c r="R124" s="26"/>
    </row>
    <row r="125" spans="1:18" s="3" customFormat="1" ht="19.5" customHeight="1" x14ac:dyDescent="0.15">
      <c r="B125" s="23"/>
      <c r="C125" s="25"/>
      <c r="D125" s="25"/>
      <c r="E125" s="25"/>
      <c r="F125" s="34"/>
      <c r="G125" s="33"/>
      <c r="H125" s="18"/>
      <c r="I125" s="18"/>
      <c r="J125" s="13"/>
      <c r="K125" s="19"/>
      <c r="L125" s="1"/>
      <c r="M125" s="1"/>
      <c r="N125" s="14"/>
      <c r="O125" s="4"/>
      <c r="P125" s="2"/>
      <c r="Q125" s="38"/>
      <c r="R125" s="26"/>
    </row>
    <row r="126" spans="1:18" s="3" customFormat="1" ht="19.5" customHeight="1" x14ac:dyDescent="0.15">
      <c r="B126" s="23"/>
      <c r="C126" s="60"/>
      <c r="D126" s="276" t="s">
        <v>31</v>
      </c>
      <c r="E126" s="277"/>
      <c r="F126" s="278"/>
      <c r="G126" s="29"/>
      <c r="H126" s="29"/>
      <c r="I126" s="45"/>
      <c r="J126" s="24"/>
      <c r="K126" s="61"/>
      <c r="L126" s="1"/>
      <c r="M126" s="1"/>
      <c r="N126" s="14"/>
      <c r="O126" s="4"/>
      <c r="P126" s="2"/>
      <c r="Q126" s="38"/>
      <c r="R126" s="26"/>
    </row>
    <row r="127" spans="1:18" s="3" customFormat="1" ht="19.5" customHeight="1" x14ac:dyDescent="0.15">
      <c r="B127" s="23"/>
      <c r="C127" s="60"/>
      <c r="D127" s="25"/>
      <c r="E127" s="25"/>
      <c r="F127" s="66"/>
      <c r="G127" s="51"/>
      <c r="H127" s="55"/>
      <c r="I127" s="52"/>
      <c r="J127" s="24"/>
      <c r="K127" s="22"/>
      <c r="L127" s="1"/>
      <c r="M127" s="1"/>
      <c r="N127" s="14"/>
      <c r="O127" s="4"/>
      <c r="P127" s="2"/>
      <c r="Q127" s="38"/>
      <c r="R127" s="26"/>
    </row>
    <row r="128" spans="1:18" s="3" customFormat="1" ht="19.5" customHeight="1" x14ac:dyDescent="0.15">
      <c r="A128" s="65" t="s">
        <v>135</v>
      </c>
      <c r="B128" s="196">
        <v>17</v>
      </c>
      <c r="C128" s="190">
        <f>+C119+1</f>
        <v>71</v>
      </c>
      <c r="D128" s="90" t="s">
        <v>30</v>
      </c>
      <c r="E128" s="90" t="s">
        <v>30</v>
      </c>
      <c r="F128" s="91" t="s">
        <v>63</v>
      </c>
      <c r="G128" s="210">
        <v>1</v>
      </c>
      <c r="H128" s="164">
        <v>1989</v>
      </c>
      <c r="I128" s="210">
        <f t="shared" ref="I128:I159" si="17">G128*H128</f>
        <v>1989</v>
      </c>
      <c r="J128" s="30"/>
      <c r="K128" s="92" t="s">
        <v>64</v>
      </c>
      <c r="L128" s="1"/>
      <c r="M128" s="227" t="s">
        <v>275</v>
      </c>
      <c r="N128" s="226">
        <v>45413</v>
      </c>
      <c r="O128" s="25"/>
      <c r="P128" s="27">
        <v>45432</v>
      </c>
      <c r="Q128" s="38">
        <v>45433</v>
      </c>
      <c r="R128" s="26">
        <v>45433</v>
      </c>
    </row>
    <row r="129" spans="1:18" s="3" customFormat="1" ht="19.5" customHeight="1" x14ac:dyDescent="0.15">
      <c r="A129" s="65" t="s">
        <v>135</v>
      </c>
      <c r="B129" s="196">
        <v>17</v>
      </c>
      <c r="C129" s="190">
        <f t="shared" ref="C129:C138" si="18">+C128+1</f>
        <v>72</v>
      </c>
      <c r="D129" s="93" t="s">
        <v>65</v>
      </c>
      <c r="E129" s="93" t="s">
        <v>30</v>
      </c>
      <c r="F129" s="94" t="s">
        <v>66</v>
      </c>
      <c r="G129" s="48">
        <v>1</v>
      </c>
      <c r="H129" s="138">
        <v>1443</v>
      </c>
      <c r="I129" s="216">
        <f t="shared" si="17"/>
        <v>1443</v>
      </c>
      <c r="J129" s="71"/>
      <c r="K129" s="72" t="s">
        <v>67</v>
      </c>
      <c r="L129" s="1"/>
      <c r="M129" s="227" t="s">
        <v>275</v>
      </c>
      <c r="N129" s="226">
        <v>45413</v>
      </c>
      <c r="O129" s="25"/>
      <c r="P129" s="27">
        <v>45432</v>
      </c>
      <c r="Q129" s="38">
        <v>45433</v>
      </c>
      <c r="R129" s="26">
        <v>45433</v>
      </c>
    </row>
    <row r="130" spans="1:18" s="3" customFormat="1" ht="19.5" customHeight="1" x14ac:dyDescent="0.15">
      <c r="A130" s="65" t="s">
        <v>136</v>
      </c>
      <c r="B130" s="196">
        <v>17</v>
      </c>
      <c r="C130" s="190">
        <f t="shared" si="18"/>
        <v>73</v>
      </c>
      <c r="D130" s="60" t="s">
        <v>68</v>
      </c>
      <c r="E130" s="60" t="s">
        <v>69</v>
      </c>
      <c r="F130" s="245" t="s">
        <v>70</v>
      </c>
      <c r="G130" s="132">
        <v>1</v>
      </c>
      <c r="H130" s="246">
        <v>1820</v>
      </c>
      <c r="I130" s="246">
        <f t="shared" si="17"/>
        <v>1820</v>
      </c>
      <c r="J130" s="24"/>
      <c r="K130" s="22" t="s">
        <v>71</v>
      </c>
      <c r="L130" s="166" t="s">
        <v>271</v>
      </c>
      <c r="M130" s="1"/>
      <c r="N130" s="14">
        <v>45419</v>
      </c>
      <c r="O130" s="4"/>
      <c r="P130" s="244">
        <v>45435</v>
      </c>
      <c r="Q130" s="38">
        <v>45434</v>
      </c>
      <c r="R130" s="26">
        <v>45433</v>
      </c>
    </row>
    <row r="131" spans="1:18" s="3" customFormat="1" ht="19.5" customHeight="1" x14ac:dyDescent="0.15">
      <c r="A131" s="65" t="s">
        <v>136</v>
      </c>
      <c r="B131" s="196">
        <v>17</v>
      </c>
      <c r="C131" s="190">
        <f t="shared" si="18"/>
        <v>74</v>
      </c>
      <c r="D131" s="60" t="s">
        <v>68</v>
      </c>
      <c r="E131" s="60" t="s">
        <v>69</v>
      </c>
      <c r="F131" s="245" t="s">
        <v>72</v>
      </c>
      <c r="G131" s="132">
        <v>1</v>
      </c>
      <c r="H131" s="246">
        <v>1820</v>
      </c>
      <c r="I131" s="246">
        <f t="shared" si="17"/>
        <v>1820</v>
      </c>
      <c r="J131" s="24"/>
      <c r="K131" s="22" t="s">
        <v>71</v>
      </c>
      <c r="L131" s="166" t="s">
        <v>271</v>
      </c>
      <c r="M131" s="1"/>
      <c r="N131" s="14">
        <v>45419</v>
      </c>
      <c r="O131" s="4"/>
      <c r="P131" s="244">
        <v>45435</v>
      </c>
      <c r="Q131" s="38">
        <v>45434</v>
      </c>
      <c r="R131" s="26">
        <v>45433</v>
      </c>
    </row>
    <row r="132" spans="1:18" s="3" customFormat="1" ht="19.5" customHeight="1" x14ac:dyDescent="0.15">
      <c r="A132" s="65" t="s">
        <v>35</v>
      </c>
      <c r="B132" s="196">
        <v>17</v>
      </c>
      <c r="C132" s="190">
        <f t="shared" si="18"/>
        <v>75</v>
      </c>
      <c r="D132" s="239" t="s">
        <v>68</v>
      </c>
      <c r="E132" s="60" t="s">
        <v>69</v>
      </c>
      <c r="F132" s="83" t="s">
        <v>73</v>
      </c>
      <c r="G132" s="132">
        <v>1</v>
      </c>
      <c r="H132" s="132">
        <v>850</v>
      </c>
      <c r="I132" s="247">
        <f t="shared" si="17"/>
        <v>850</v>
      </c>
      <c r="J132" s="95"/>
      <c r="K132" s="22" t="s">
        <v>74</v>
      </c>
      <c r="L132" s="166" t="s">
        <v>271</v>
      </c>
      <c r="M132" s="1"/>
      <c r="N132" s="14">
        <v>45419</v>
      </c>
      <c r="O132" s="4"/>
      <c r="P132" s="244">
        <v>45435</v>
      </c>
      <c r="Q132" s="38">
        <v>45434</v>
      </c>
      <c r="R132" s="26">
        <v>45433</v>
      </c>
    </row>
    <row r="133" spans="1:18" s="3" customFormat="1" ht="19.5" customHeight="1" x14ac:dyDescent="0.15">
      <c r="A133" s="65" t="s">
        <v>135</v>
      </c>
      <c r="B133" s="196">
        <v>17</v>
      </c>
      <c r="C133" s="190">
        <f t="shared" si="18"/>
        <v>76</v>
      </c>
      <c r="D133" s="57" t="s">
        <v>30</v>
      </c>
      <c r="E133" s="57" t="s">
        <v>30</v>
      </c>
      <c r="F133" s="96" t="s">
        <v>75</v>
      </c>
      <c r="G133" s="48">
        <v>1</v>
      </c>
      <c r="H133" s="164">
        <v>6070</v>
      </c>
      <c r="I133" s="210">
        <f t="shared" si="17"/>
        <v>6070</v>
      </c>
      <c r="J133" s="24"/>
      <c r="K133" s="50" t="s">
        <v>76</v>
      </c>
      <c r="L133" s="1"/>
      <c r="M133" s="227" t="s">
        <v>275</v>
      </c>
      <c r="N133" s="226">
        <v>45413</v>
      </c>
      <c r="O133" s="25"/>
      <c r="P133" s="27">
        <v>45432</v>
      </c>
      <c r="Q133" s="38">
        <v>45433</v>
      </c>
      <c r="R133" s="26">
        <v>45433</v>
      </c>
    </row>
    <row r="134" spans="1:18" s="3" customFormat="1" ht="19.5" customHeight="1" x14ac:dyDescent="0.15">
      <c r="A134" s="65" t="s">
        <v>135</v>
      </c>
      <c r="B134" s="196">
        <v>17</v>
      </c>
      <c r="C134" s="190">
        <f t="shared" si="18"/>
        <v>77</v>
      </c>
      <c r="D134" s="93" t="s">
        <v>30</v>
      </c>
      <c r="E134" s="93" t="s">
        <v>30</v>
      </c>
      <c r="F134" s="97" t="s">
        <v>77</v>
      </c>
      <c r="G134" s="199">
        <v>1</v>
      </c>
      <c r="H134" s="139">
        <v>237</v>
      </c>
      <c r="I134" s="216">
        <f t="shared" si="17"/>
        <v>237</v>
      </c>
      <c r="J134" s="86"/>
      <c r="K134" s="72" t="s">
        <v>78</v>
      </c>
      <c r="L134" s="1"/>
      <c r="M134" s="227" t="s">
        <v>275</v>
      </c>
      <c r="N134" s="226">
        <v>45413</v>
      </c>
      <c r="O134" s="25"/>
      <c r="P134" s="27">
        <v>45432</v>
      </c>
      <c r="Q134" s="38">
        <v>45433</v>
      </c>
      <c r="R134" s="26">
        <v>45433</v>
      </c>
    </row>
    <row r="135" spans="1:18" s="3" customFormat="1" ht="19.5" customHeight="1" x14ac:dyDescent="0.15">
      <c r="A135" s="65" t="s">
        <v>135</v>
      </c>
      <c r="B135" s="196">
        <v>17</v>
      </c>
      <c r="C135" s="190">
        <f t="shared" si="18"/>
        <v>78</v>
      </c>
      <c r="D135" s="57" t="s">
        <v>30</v>
      </c>
      <c r="E135" s="57" t="s">
        <v>30</v>
      </c>
      <c r="F135" s="98" t="s">
        <v>79</v>
      </c>
      <c r="G135" s="199">
        <v>1</v>
      </c>
      <c r="H135" s="136">
        <v>839</v>
      </c>
      <c r="I135" s="219">
        <f t="shared" si="17"/>
        <v>839</v>
      </c>
      <c r="J135" s="99"/>
      <c r="K135" s="72" t="s">
        <v>80</v>
      </c>
      <c r="L135" s="1"/>
      <c r="M135" s="227" t="s">
        <v>275</v>
      </c>
      <c r="N135" s="226">
        <v>45413</v>
      </c>
      <c r="O135" s="25"/>
      <c r="P135" s="27">
        <v>45432</v>
      </c>
      <c r="Q135" s="38">
        <v>45433</v>
      </c>
      <c r="R135" s="26">
        <v>45433</v>
      </c>
    </row>
    <row r="136" spans="1:18" s="3" customFormat="1" ht="19.5" customHeight="1" x14ac:dyDescent="0.15">
      <c r="A136" s="65" t="s">
        <v>135</v>
      </c>
      <c r="B136" s="196">
        <v>17</v>
      </c>
      <c r="C136" s="190">
        <f t="shared" si="18"/>
        <v>79</v>
      </c>
      <c r="D136" s="57" t="s">
        <v>30</v>
      </c>
      <c r="E136" s="57" t="s">
        <v>30</v>
      </c>
      <c r="F136" s="100" t="s">
        <v>81</v>
      </c>
      <c r="G136" s="203">
        <v>1</v>
      </c>
      <c r="H136" s="62">
        <v>4724</v>
      </c>
      <c r="I136" s="219">
        <f t="shared" si="17"/>
        <v>4724</v>
      </c>
      <c r="J136" s="56"/>
      <c r="K136" s="50" t="s">
        <v>82</v>
      </c>
      <c r="L136" s="1"/>
      <c r="M136" s="227" t="s">
        <v>275</v>
      </c>
      <c r="N136" s="226">
        <v>45413</v>
      </c>
      <c r="O136" s="25"/>
      <c r="P136" s="27">
        <v>45432</v>
      </c>
      <c r="Q136" s="38">
        <v>45433</v>
      </c>
      <c r="R136" s="26">
        <v>45433</v>
      </c>
    </row>
    <row r="137" spans="1:18" s="3" customFormat="1" ht="19.5" customHeight="1" x14ac:dyDescent="0.15">
      <c r="A137" s="65" t="s">
        <v>135</v>
      </c>
      <c r="B137" s="196">
        <v>17</v>
      </c>
      <c r="C137" s="190">
        <f t="shared" si="18"/>
        <v>80</v>
      </c>
      <c r="D137" s="57" t="s">
        <v>30</v>
      </c>
      <c r="E137" s="57" t="s">
        <v>30</v>
      </c>
      <c r="F137" s="100" t="s">
        <v>83</v>
      </c>
      <c r="G137" s="203">
        <v>1</v>
      </c>
      <c r="H137" s="62">
        <v>5117</v>
      </c>
      <c r="I137" s="219">
        <f t="shared" si="17"/>
        <v>5117</v>
      </c>
      <c r="J137" s="56"/>
      <c r="K137" s="50" t="s">
        <v>84</v>
      </c>
      <c r="L137" s="1"/>
      <c r="M137" s="227" t="s">
        <v>275</v>
      </c>
      <c r="N137" s="226">
        <v>45413</v>
      </c>
      <c r="O137" s="25"/>
      <c r="P137" s="27">
        <v>45432</v>
      </c>
      <c r="Q137" s="38">
        <v>45433</v>
      </c>
      <c r="R137" s="26">
        <v>45433</v>
      </c>
    </row>
    <row r="138" spans="1:18" s="3" customFormat="1" ht="19.5" customHeight="1" x14ac:dyDescent="0.15">
      <c r="A138" s="65" t="s">
        <v>136</v>
      </c>
      <c r="B138" s="196">
        <v>17</v>
      </c>
      <c r="C138" s="190">
        <f t="shared" si="18"/>
        <v>81</v>
      </c>
      <c r="D138" s="60" t="s">
        <v>85</v>
      </c>
      <c r="E138" s="60" t="s">
        <v>86</v>
      </c>
      <c r="F138" s="245" t="s">
        <v>87</v>
      </c>
      <c r="G138" s="132">
        <v>1</v>
      </c>
      <c r="H138" s="246">
        <v>9580</v>
      </c>
      <c r="I138" s="246">
        <f t="shared" si="17"/>
        <v>9580</v>
      </c>
      <c r="J138" s="24"/>
      <c r="K138" s="22" t="s">
        <v>88</v>
      </c>
      <c r="L138" s="166" t="s">
        <v>271</v>
      </c>
      <c r="M138" s="1"/>
      <c r="N138" s="14">
        <v>45419</v>
      </c>
      <c r="O138" s="4"/>
      <c r="P138" s="244">
        <v>45435</v>
      </c>
      <c r="Q138" s="38">
        <v>45434</v>
      </c>
      <c r="R138" s="26">
        <v>45433</v>
      </c>
    </row>
    <row r="139" spans="1:18" s="3" customFormat="1" ht="19.5" customHeight="1" x14ac:dyDescent="0.15">
      <c r="A139" s="65" t="s">
        <v>32</v>
      </c>
      <c r="B139" s="196">
        <v>17</v>
      </c>
      <c r="C139" s="190">
        <f>+C138+1</f>
        <v>82</v>
      </c>
      <c r="D139" s="93" t="s">
        <v>30</v>
      </c>
      <c r="E139" s="93" t="s">
        <v>30</v>
      </c>
      <c r="F139" s="97" t="s">
        <v>89</v>
      </c>
      <c r="G139" s="199">
        <v>1</v>
      </c>
      <c r="H139" s="139">
        <v>894</v>
      </c>
      <c r="I139" s="217">
        <f t="shared" si="17"/>
        <v>894</v>
      </c>
      <c r="J139" s="86"/>
      <c r="K139" s="72" t="s">
        <v>90</v>
      </c>
      <c r="L139" s="1"/>
      <c r="M139" s="227" t="s">
        <v>275</v>
      </c>
      <c r="N139" s="226">
        <v>45413</v>
      </c>
      <c r="O139" s="25"/>
      <c r="P139" s="27">
        <v>45432</v>
      </c>
      <c r="Q139" s="38">
        <v>45433</v>
      </c>
      <c r="R139" s="26">
        <v>45433</v>
      </c>
    </row>
    <row r="140" spans="1:18" s="3" customFormat="1" ht="19.5" customHeight="1" x14ac:dyDescent="0.15">
      <c r="A140" s="65" t="s">
        <v>33</v>
      </c>
      <c r="B140" s="196">
        <v>17</v>
      </c>
      <c r="C140" s="190">
        <f t="shared" ref="C140:C159" si="19">+C139+1</f>
        <v>83</v>
      </c>
      <c r="D140" s="57" t="s">
        <v>30</v>
      </c>
      <c r="E140" s="57" t="s">
        <v>30</v>
      </c>
      <c r="F140" s="101" t="s">
        <v>91</v>
      </c>
      <c r="G140" s="48">
        <v>2</v>
      </c>
      <c r="H140" s="63">
        <v>1474</v>
      </c>
      <c r="I140" s="210">
        <f t="shared" si="17"/>
        <v>2948</v>
      </c>
      <c r="J140" s="102"/>
      <c r="K140" s="22" t="s">
        <v>92</v>
      </c>
      <c r="L140" s="1"/>
      <c r="M140" s="227" t="s">
        <v>275</v>
      </c>
      <c r="N140" s="226">
        <v>45413</v>
      </c>
      <c r="O140" s="25"/>
      <c r="P140" s="27">
        <v>45432</v>
      </c>
      <c r="Q140" s="38">
        <v>45433</v>
      </c>
      <c r="R140" s="26">
        <v>45433</v>
      </c>
    </row>
    <row r="141" spans="1:18" s="3" customFormat="1" ht="19.5" customHeight="1" x14ac:dyDescent="0.15">
      <c r="A141" s="65" t="s">
        <v>135</v>
      </c>
      <c r="B141" s="196">
        <v>17</v>
      </c>
      <c r="C141" s="190">
        <f>+C140+1</f>
        <v>84</v>
      </c>
      <c r="D141" s="212" t="s">
        <v>93</v>
      </c>
      <c r="E141" s="57" t="s">
        <v>30</v>
      </c>
      <c r="F141" s="103" t="s">
        <v>94</v>
      </c>
      <c r="G141" s="48">
        <v>1</v>
      </c>
      <c r="H141" s="138">
        <v>2380</v>
      </c>
      <c r="I141" s="210">
        <f t="shared" si="17"/>
        <v>2380</v>
      </c>
      <c r="J141" s="102"/>
      <c r="K141" s="22" t="s">
        <v>95</v>
      </c>
      <c r="L141" s="1"/>
      <c r="M141" s="227" t="s">
        <v>275</v>
      </c>
      <c r="N141" s="226">
        <v>45413</v>
      </c>
      <c r="O141" s="25"/>
      <c r="P141" s="27">
        <v>45432</v>
      </c>
      <c r="Q141" s="38">
        <v>45433</v>
      </c>
      <c r="R141" s="26">
        <v>45433</v>
      </c>
    </row>
    <row r="142" spans="1:18" s="3" customFormat="1" ht="19.5" customHeight="1" x14ac:dyDescent="0.15">
      <c r="A142" s="65" t="s">
        <v>135</v>
      </c>
      <c r="B142" s="196">
        <v>17</v>
      </c>
      <c r="C142" s="190">
        <f t="shared" si="19"/>
        <v>85</v>
      </c>
      <c r="D142" s="57" t="s">
        <v>93</v>
      </c>
      <c r="E142" s="57" t="s">
        <v>30</v>
      </c>
      <c r="F142" s="104" t="s">
        <v>96</v>
      </c>
      <c r="G142" s="203">
        <v>1</v>
      </c>
      <c r="H142" s="138">
        <v>2700</v>
      </c>
      <c r="I142" s="210">
        <f t="shared" si="17"/>
        <v>2700</v>
      </c>
      <c r="J142" s="102"/>
      <c r="K142" s="22" t="s">
        <v>97</v>
      </c>
      <c r="L142" s="1"/>
      <c r="M142" s="227" t="s">
        <v>275</v>
      </c>
      <c r="N142" s="226">
        <v>45413</v>
      </c>
      <c r="O142" s="25"/>
      <c r="P142" s="27">
        <v>45432</v>
      </c>
      <c r="Q142" s="38">
        <v>45433</v>
      </c>
      <c r="R142" s="26">
        <v>45433</v>
      </c>
    </row>
    <row r="143" spans="1:18" s="3" customFormat="1" ht="19.5" customHeight="1" x14ac:dyDescent="0.15">
      <c r="A143" s="65" t="s">
        <v>135</v>
      </c>
      <c r="B143" s="196">
        <v>17</v>
      </c>
      <c r="C143" s="190">
        <f t="shared" si="19"/>
        <v>86</v>
      </c>
      <c r="D143" s="57" t="s">
        <v>93</v>
      </c>
      <c r="E143" s="57" t="s">
        <v>30</v>
      </c>
      <c r="F143" s="104" t="s">
        <v>98</v>
      </c>
      <c r="G143" s="203">
        <v>1</v>
      </c>
      <c r="H143" s="138">
        <v>2700</v>
      </c>
      <c r="I143" s="210">
        <f t="shared" si="17"/>
        <v>2700</v>
      </c>
      <c r="J143" s="102"/>
      <c r="K143" s="22" t="s">
        <v>99</v>
      </c>
      <c r="L143" s="1"/>
      <c r="M143" s="227" t="s">
        <v>275</v>
      </c>
      <c r="N143" s="226">
        <v>45413</v>
      </c>
      <c r="O143" s="25"/>
      <c r="P143" s="27">
        <v>45432</v>
      </c>
      <c r="Q143" s="38">
        <v>45433</v>
      </c>
      <c r="R143" s="26">
        <v>45433</v>
      </c>
    </row>
    <row r="144" spans="1:18" s="3" customFormat="1" ht="19.5" customHeight="1" x14ac:dyDescent="0.15">
      <c r="A144" s="65" t="s">
        <v>135</v>
      </c>
      <c r="B144" s="196">
        <v>17</v>
      </c>
      <c r="C144" s="190">
        <f t="shared" si="19"/>
        <v>87</v>
      </c>
      <c r="D144" s="57" t="s">
        <v>93</v>
      </c>
      <c r="E144" s="57" t="s">
        <v>30</v>
      </c>
      <c r="F144" s="104" t="s">
        <v>100</v>
      </c>
      <c r="G144" s="48">
        <v>1</v>
      </c>
      <c r="H144" s="138">
        <v>2700</v>
      </c>
      <c r="I144" s="210">
        <f t="shared" si="17"/>
        <v>2700</v>
      </c>
      <c r="J144" s="102"/>
      <c r="K144" s="22" t="s">
        <v>101</v>
      </c>
      <c r="L144" s="1"/>
      <c r="M144" s="227" t="s">
        <v>275</v>
      </c>
      <c r="N144" s="226">
        <v>45413</v>
      </c>
      <c r="O144" s="25"/>
      <c r="P144" s="27">
        <v>45432</v>
      </c>
      <c r="Q144" s="38">
        <v>45433</v>
      </c>
      <c r="R144" s="26">
        <v>45433</v>
      </c>
    </row>
    <row r="145" spans="1:18" s="3" customFormat="1" ht="19.5" customHeight="1" x14ac:dyDescent="0.15">
      <c r="A145" s="65" t="s">
        <v>135</v>
      </c>
      <c r="B145" s="196">
        <v>17</v>
      </c>
      <c r="C145" s="190">
        <f t="shared" si="19"/>
        <v>88</v>
      </c>
      <c r="D145" s="57" t="s">
        <v>93</v>
      </c>
      <c r="E145" s="57" t="s">
        <v>30</v>
      </c>
      <c r="F145" s="104" t="s">
        <v>102</v>
      </c>
      <c r="G145" s="48">
        <v>1</v>
      </c>
      <c r="H145" s="138">
        <v>2700</v>
      </c>
      <c r="I145" s="210">
        <f>G145*H145</f>
        <v>2700</v>
      </c>
      <c r="J145" s="102"/>
      <c r="K145" s="22" t="s">
        <v>103</v>
      </c>
      <c r="L145" s="1"/>
      <c r="M145" s="227" t="s">
        <v>275</v>
      </c>
      <c r="N145" s="226">
        <v>45413</v>
      </c>
      <c r="O145" s="25"/>
      <c r="P145" s="27">
        <v>45432</v>
      </c>
      <c r="Q145" s="38">
        <v>45433</v>
      </c>
      <c r="R145" s="26">
        <v>45433</v>
      </c>
    </row>
    <row r="146" spans="1:18" s="3" customFormat="1" ht="19.5" customHeight="1" x14ac:dyDescent="0.15">
      <c r="A146" s="65" t="s">
        <v>135</v>
      </c>
      <c r="B146" s="196">
        <v>17</v>
      </c>
      <c r="C146" s="190">
        <f t="shared" si="19"/>
        <v>89</v>
      </c>
      <c r="D146" s="57" t="s">
        <v>93</v>
      </c>
      <c r="E146" s="57" t="s">
        <v>30</v>
      </c>
      <c r="F146" s="104" t="s">
        <v>104</v>
      </c>
      <c r="G146" s="48">
        <v>1</v>
      </c>
      <c r="H146" s="138">
        <v>3650</v>
      </c>
      <c r="I146" s="210">
        <f>G146*H146</f>
        <v>3650</v>
      </c>
      <c r="J146" s="102"/>
      <c r="K146" s="22" t="s">
        <v>105</v>
      </c>
      <c r="L146" s="1"/>
      <c r="M146" s="227" t="s">
        <v>275</v>
      </c>
      <c r="N146" s="226">
        <v>45413</v>
      </c>
      <c r="O146" s="25"/>
      <c r="P146" s="27">
        <v>45432</v>
      </c>
      <c r="Q146" s="38">
        <v>45433</v>
      </c>
      <c r="R146" s="26">
        <v>45433</v>
      </c>
    </row>
    <row r="147" spans="1:18" s="3" customFormat="1" ht="19.5" customHeight="1" x14ac:dyDescent="0.15">
      <c r="A147" s="65" t="s">
        <v>135</v>
      </c>
      <c r="B147" s="196">
        <v>17</v>
      </c>
      <c r="C147" s="190">
        <f t="shared" si="19"/>
        <v>90</v>
      </c>
      <c r="D147" s="57" t="s">
        <v>93</v>
      </c>
      <c r="E147" s="57" t="s">
        <v>30</v>
      </c>
      <c r="F147" s="104" t="s">
        <v>106</v>
      </c>
      <c r="G147" s="48">
        <v>1</v>
      </c>
      <c r="H147" s="138">
        <v>3650</v>
      </c>
      <c r="I147" s="210">
        <f>G147*H147</f>
        <v>3650</v>
      </c>
      <c r="J147" s="102"/>
      <c r="K147" s="22" t="s">
        <v>107</v>
      </c>
      <c r="L147" s="1"/>
      <c r="M147" s="227" t="s">
        <v>275</v>
      </c>
      <c r="N147" s="226">
        <v>45413</v>
      </c>
      <c r="O147" s="25"/>
      <c r="P147" s="27">
        <v>45432</v>
      </c>
      <c r="Q147" s="38">
        <v>45433</v>
      </c>
      <c r="R147" s="26">
        <v>45433</v>
      </c>
    </row>
    <row r="148" spans="1:18" s="3" customFormat="1" ht="19.5" customHeight="1" x14ac:dyDescent="0.15">
      <c r="A148" s="65" t="s">
        <v>135</v>
      </c>
      <c r="B148" s="196">
        <v>17</v>
      </c>
      <c r="C148" s="190">
        <f>+C147+1</f>
        <v>91</v>
      </c>
      <c r="D148" s="57" t="s">
        <v>30</v>
      </c>
      <c r="E148" s="57" t="s">
        <v>30</v>
      </c>
      <c r="F148" s="105" t="s">
        <v>108</v>
      </c>
      <c r="G148" s="48">
        <v>1</v>
      </c>
      <c r="H148" s="164">
        <v>12895</v>
      </c>
      <c r="I148" s="210">
        <f t="shared" si="17"/>
        <v>12895</v>
      </c>
      <c r="J148" s="56"/>
      <c r="K148" s="50" t="s">
        <v>109</v>
      </c>
      <c r="L148" s="1"/>
      <c r="M148" s="227" t="s">
        <v>275</v>
      </c>
      <c r="N148" s="226">
        <v>45413</v>
      </c>
      <c r="O148" s="25"/>
      <c r="P148" s="27">
        <v>45432</v>
      </c>
      <c r="Q148" s="38">
        <v>45433</v>
      </c>
      <c r="R148" s="26">
        <v>45433</v>
      </c>
    </row>
    <row r="149" spans="1:18" s="3" customFormat="1" ht="19.5" customHeight="1" x14ac:dyDescent="0.15">
      <c r="A149" s="65" t="s">
        <v>137</v>
      </c>
      <c r="B149" s="196">
        <v>17</v>
      </c>
      <c r="C149" s="190">
        <f>+C148+1</f>
        <v>92</v>
      </c>
      <c r="D149" s="57" t="s">
        <v>30</v>
      </c>
      <c r="E149" s="57" t="s">
        <v>30</v>
      </c>
      <c r="F149" s="94" t="s">
        <v>110</v>
      </c>
      <c r="G149" s="48">
        <v>1</v>
      </c>
      <c r="H149" s="164">
        <v>23549</v>
      </c>
      <c r="I149" s="210">
        <f t="shared" si="17"/>
        <v>23549</v>
      </c>
      <c r="J149" s="24"/>
      <c r="K149" s="50" t="s">
        <v>111</v>
      </c>
      <c r="L149" s="1"/>
      <c r="M149" s="227" t="s">
        <v>275</v>
      </c>
      <c r="N149" s="226">
        <v>45413</v>
      </c>
      <c r="O149" s="25"/>
      <c r="P149" s="27">
        <v>45432</v>
      </c>
      <c r="Q149" s="38">
        <v>45433</v>
      </c>
      <c r="R149" s="249">
        <v>45433</v>
      </c>
    </row>
    <row r="150" spans="1:18" s="3" customFormat="1" ht="19.5" customHeight="1" x14ac:dyDescent="0.15">
      <c r="A150" s="65" t="s">
        <v>135</v>
      </c>
      <c r="B150" s="196">
        <v>17</v>
      </c>
      <c r="C150" s="190">
        <f t="shared" si="19"/>
        <v>93</v>
      </c>
      <c r="D150" s="93" t="s">
        <v>112</v>
      </c>
      <c r="E150" s="93" t="s">
        <v>30</v>
      </c>
      <c r="F150" s="97" t="s">
        <v>113</v>
      </c>
      <c r="G150" s="199">
        <v>5</v>
      </c>
      <c r="H150" s="139">
        <v>177</v>
      </c>
      <c r="I150" s="217">
        <f t="shared" si="17"/>
        <v>885</v>
      </c>
      <c r="J150" s="86"/>
      <c r="K150" s="72" t="s">
        <v>114</v>
      </c>
      <c r="L150" s="1"/>
      <c r="M150" s="227" t="s">
        <v>275</v>
      </c>
      <c r="N150" s="226">
        <v>45413</v>
      </c>
      <c r="O150" s="25"/>
      <c r="P150" s="27">
        <v>45432</v>
      </c>
      <c r="Q150" s="38">
        <v>45433</v>
      </c>
      <c r="R150" s="26">
        <v>45433</v>
      </c>
    </row>
    <row r="151" spans="1:18" s="3" customFormat="1" ht="19.5" customHeight="1" x14ac:dyDescent="0.15">
      <c r="A151" s="65" t="s">
        <v>33</v>
      </c>
      <c r="B151" s="196">
        <v>17</v>
      </c>
      <c r="C151" s="190">
        <f t="shared" si="19"/>
        <v>94</v>
      </c>
      <c r="D151" s="57" t="s">
        <v>30</v>
      </c>
      <c r="E151" s="57" t="s">
        <v>30</v>
      </c>
      <c r="F151" s="100" t="s">
        <v>115</v>
      </c>
      <c r="G151" s="48">
        <v>4</v>
      </c>
      <c r="H151" s="62">
        <v>280</v>
      </c>
      <c r="I151" s="219">
        <f t="shared" si="17"/>
        <v>1120</v>
      </c>
      <c r="J151" s="24"/>
      <c r="K151" s="22" t="s">
        <v>116</v>
      </c>
      <c r="L151" s="1"/>
      <c r="M151" s="227" t="s">
        <v>275</v>
      </c>
      <c r="N151" s="226">
        <v>45413</v>
      </c>
      <c r="O151" s="25"/>
      <c r="P151" s="27">
        <v>45432</v>
      </c>
      <c r="Q151" s="38">
        <v>45433</v>
      </c>
      <c r="R151" s="26">
        <v>45433</v>
      </c>
    </row>
    <row r="152" spans="1:18" s="3" customFormat="1" ht="19.5" customHeight="1" x14ac:dyDescent="0.15">
      <c r="A152" s="65" t="s">
        <v>32</v>
      </c>
      <c r="B152" s="196">
        <v>17</v>
      </c>
      <c r="C152" s="190">
        <f t="shared" si="19"/>
        <v>95</v>
      </c>
      <c r="D152" s="183" t="s">
        <v>117</v>
      </c>
      <c r="E152" s="183" t="s">
        <v>117</v>
      </c>
      <c r="F152" s="184" t="s">
        <v>118</v>
      </c>
      <c r="G152" s="213">
        <v>10</v>
      </c>
      <c r="H152" s="185">
        <v>25</v>
      </c>
      <c r="I152" s="225">
        <f t="shared" si="17"/>
        <v>250</v>
      </c>
      <c r="J152" s="182"/>
      <c r="K152" s="181" t="s">
        <v>119</v>
      </c>
      <c r="L152" s="1"/>
      <c r="M152" s="227" t="s">
        <v>275</v>
      </c>
      <c r="N152" s="226">
        <v>45413</v>
      </c>
      <c r="O152" s="25"/>
      <c r="P152" s="27">
        <v>45432</v>
      </c>
      <c r="Q152" s="38">
        <v>45433</v>
      </c>
      <c r="R152" s="26">
        <v>45433</v>
      </c>
    </row>
    <row r="153" spans="1:18" s="3" customFormat="1" ht="19.5" customHeight="1" x14ac:dyDescent="0.15">
      <c r="A153" s="65" t="s">
        <v>135</v>
      </c>
      <c r="B153" s="196">
        <v>17</v>
      </c>
      <c r="C153" s="190">
        <f t="shared" si="19"/>
        <v>96</v>
      </c>
      <c r="D153" s="212" t="s">
        <v>120</v>
      </c>
      <c r="E153" s="57" t="s">
        <v>117</v>
      </c>
      <c r="F153" s="101" t="s">
        <v>121</v>
      </c>
      <c r="G153" s="48">
        <v>16</v>
      </c>
      <c r="H153" s="65">
        <v>119</v>
      </c>
      <c r="I153" s="219">
        <f>G153*H153</f>
        <v>1904</v>
      </c>
      <c r="J153" s="56"/>
      <c r="K153" s="50" t="s">
        <v>122</v>
      </c>
      <c r="L153" s="1"/>
      <c r="M153" s="227" t="s">
        <v>275</v>
      </c>
      <c r="N153" s="226">
        <v>45413</v>
      </c>
      <c r="O153" s="25"/>
      <c r="P153" s="27">
        <v>45432</v>
      </c>
      <c r="Q153" s="38">
        <v>45433</v>
      </c>
      <c r="R153" s="26">
        <v>45433</v>
      </c>
    </row>
    <row r="154" spans="1:18" s="3" customFormat="1" ht="19.5" customHeight="1" x14ac:dyDescent="0.15">
      <c r="A154" s="65" t="s">
        <v>135</v>
      </c>
      <c r="B154" s="196">
        <v>17</v>
      </c>
      <c r="C154" s="190">
        <f t="shared" si="19"/>
        <v>97</v>
      </c>
      <c r="D154" s="57" t="s">
        <v>120</v>
      </c>
      <c r="E154" s="57" t="s">
        <v>117</v>
      </c>
      <c r="F154" s="101" t="s">
        <v>123</v>
      </c>
      <c r="G154" s="48">
        <v>4</v>
      </c>
      <c r="H154" s="65">
        <v>50</v>
      </c>
      <c r="I154" s="219">
        <f>G154*H154</f>
        <v>200</v>
      </c>
      <c r="J154" s="23"/>
      <c r="K154" s="50" t="s">
        <v>124</v>
      </c>
      <c r="L154" s="1"/>
      <c r="M154" s="227" t="s">
        <v>275</v>
      </c>
      <c r="N154" s="226">
        <v>45413</v>
      </c>
      <c r="O154" s="25"/>
      <c r="P154" s="27">
        <v>45432</v>
      </c>
      <c r="Q154" s="38">
        <v>45433</v>
      </c>
      <c r="R154" s="26">
        <v>45433</v>
      </c>
    </row>
    <row r="155" spans="1:18" s="3" customFormat="1" ht="19.5" customHeight="1" x14ac:dyDescent="0.15">
      <c r="A155" s="65" t="s">
        <v>135</v>
      </c>
      <c r="B155" s="196">
        <v>17</v>
      </c>
      <c r="C155" s="190">
        <f t="shared" si="19"/>
        <v>98</v>
      </c>
      <c r="D155" s="57" t="s">
        <v>120</v>
      </c>
      <c r="E155" s="57" t="s">
        <v>117</v>
      </c>
      <c r="F155" s="101" t="s">
        <v>125</v>
      </c>
      <c r="G155" s="48">
        <v>4</v>
      </c>
      <c r="H155" s="65">
        <v>177</v>
      </c>
      <c r="I155" s="219">
        <f>G155*H155</f>
        <v>708</v>
      </c>
      <c r="J155" s="56"/>
      <c r="K155" s="50" t="s">
        <v>126</v>
      </c>
      <c r="L155" s="1"/>
      <c r="M155" s="227" t="s">
        <v>275</v>
      </c>
      <c r="N155" s="226">
        <v>45413</v>
      </c>
      <c r="O155" s="25"/>
      <c r="P155" s="27">
        <v>45432</v>
      </c>
      <c r="Q155" s="38">
        <v>45433</v>
      </c>
      <c r="R155" s="26">
        <v>45433</v>
      </c>
    </row>
    <row r="156" spans="1:18" s="3" customFormat="1" ht="19.5" customHeight="1" x14ac:dyDescent="0.15">
      <c r="A156" s="65" t="s">
        <v>135</v>
      </c>
      <c r="B156" s="196">
        <v>17</v>
      </c>
      <c r="C156" s="190">
        <f t="shared" si="19"/>
        <v>99</v>
      </c>
      <c r="D156" s="57" t="s">
        <v>120</v>
      </c>
      <c r="E156" s="57" t="s">
        <v>117</v>
      </c>
      <c r="F156" s="101" t="s">
        <v>127</v>
      </c>
      <c r="G156" s="48">
        <v>6</v>
      </c>
      <c r="H156" s="65">
        <v>166</v>
      </c>
      <c r="I156" s="219">
        <f t="shared" si="17"/>
        <v>996</v>
      </c>
      <c r="J156" s="23"/>
      <c r="K156" s="50" t="s">
        <v>128</v>
      </c>
      <c r="L156" s="1"/>
      <c r="M156" s="227" t="s">
        <v>275</v>
      </c>
      <c r="N156" s="226">
        <v>45413</v>
      </c>
      <c r="O156" s="25"/>
      <c r="P156" s="27">
        <v>45432</v>
      </c>
      <c r="Q156" s="38">
        <v>45433</v>
      </c>
      <c r="R156" s="26">
        <v>45433</v>
      </c>
    </row>
    <row r="157" spans="1:18" s="3" customFormat="1" ht="19.5" customHeight="1" x14ac:dyDescent="0.15">
      <c r="A157" s="65" t="s">
        <v>135</v>
      </c>
      <c r="B157" s="196">
        <v>17</v>
      </c>
      <c r="C157" s="190">
        <f t="shared" si="19"/>
        <v>100</v>
      </c>
      <c r="D157" s="57" t="s">
        <v>120</v>
      </c>
      <c r="E157" s="57" t="s">
        <v>117</v>
      </c>
      <c r="F157" s="101" t="s">
        <v>129</v>
      </c>
      <c r="G157" s="48">
        <v>3</v>
      </c>
      <c r="H157" s="65">
        <v>574</v>
      </c>
      <c r="I157" s="219">
        <f t="shared" si="17"/>
        <v>1722</v>
      </c>
      <c r="J157" s="23"/>
      <c r="K157" s="50" t="s">
        <v>130</v>
      </c>
      <c r="L157" s="1"/>
      <c r="M157" s="227" t="s">
        <v>275</v>
      </c>
      <c r="N157" s="226">
        <v>45413</v>
      </c>
      <c r="O157" s="25"/>
      <c r="P157" s="27">
        <v>45432</v>
      </c>
      <c r="Q157" s="38">
        <v>45433</v>
      </c>
      <c r="R157" s="26">
        <v>45433</v>
      </c>
    </row>
    <row r="158" spans="1:18" s="3" customFormat="1" ht="19.5" customHeight="1" x14ac:dyDescent="0.15">
      <c r="A158" s="65" t="s">
        <v>135</v>
      </c>
      <c r="B158" s="196">
        <v>17</v>
      </c>
      <c r="C158" s="190">
        <f t="shared" si="19"/>
        <v>101</v>
      </c>
      <c r="D158" s="57" t="s">
        <v>120</v>
      </c>
      <c r="E158" s="57" t="s">
        <v>117</v>
      </c>
      <c r="F158" s="101" t="s">
        <v>131</v>
      </c>
      <c r="G158" s="48">
        <v>5</v>
      </c>
      <c r="H158" s="65">
        <v>130</v>
      </c>
      <c r="I158" s="219">
        <f t="shared" si="17"/>
        <v>650</v>
      </c>
      <c r="J158" s="23"/>
      <c r="K158" s="50" t="s">
        <v>132</v>
      </c>
      <c r="L158" s="1"/>
      <c r="M158" s="227" t="s">
        <v>275</v>
      </c>
      <c r="N158" s="226">
        <v>45413</v>
      </c>
      <c r="O158" s="25"/>
      <c r="P158" s="27">
        <v>45432</v>
      </c>
      <c r="Q158" s="38">
        <v>45433</v>
      </c>
      <c r="R158" s="26">
        <v>45433</v>
      </c>
    </row>
    <row r="159" spans="1:18" s="3" customFormat="1" ht="19.5" customHeight="1" x14ac:dyDescent="0.15">
      <c r="A159" s="65" t="s">
        <v>135</v>
      </c>
      <c r="B159" s="196">
        <v>17</v>
      </c>
      <c r="C159" s="190">
        <f t="shared" si="19"/>
        <v>102</v>
      </c>
      <c r="D159" s="57" t="s">
        <v>120</v>
      </c>
      <c r="E159" s="57" t="s">
        <v>117</v>
      </c>
      <c r="F159" s="101" t="s">
        <v>133</v>
      </c>
      <c r="G159" s="48">
        <v>5</v>
      </c>
      <c r="H159" s="65">
        <v>95</v>
      </c>
      <c r="I159" s="219">
        <f t="shared" si="17"/>
        <v>475</v>
      </c>
      <c r="J159" s="23"/>
      <c r="K159" s="50" t="s">
        <v>134</v>
      </c>
      <c r="L159" s="1"/>
      <c r="M159" s="227" t="s">
        <v>275</v>
      </c>
      <c r="N159" s="226">
        <v>45413</v>
      </c>
      <c r="O159" s="25"/>
      <c r="P159" s="27">
        <v>45432</v>
      </c>
      <c r="Q159" s="38">
        <v>45433</v>
      </c>
      <c r="R159" s="26">
        <v>45433</v>
      </c>
    </row>
    <row r="160" spans="1:18" s="3" customFormat="1" ht="19.5" customHeight="1" x14ac:dyDescent="0.15">
      <c r="B160" s="23"/>
      <c r="C160" s="60"/>
      <c r="D160" s="25"/>
      <c r="E160" s="25"/>
      <c r="F160" s="66"/>
      <c r="G160" s="51"/>
      <c r="H160" s="55"/>
      <c r="I160" s="52"/>
      <c r="J160" s="24"/>
      <c r="K160" s="22"/>
      <c r="L160" s="1"/>
      <c r="M160" s="1"/>
      <c r="N160" s="14"/>
      <c r="O160" s="4"/>
      <c r="P160" s="2"/>
      <c r="Q160" s="38"/>
      <c r="R160" s="26"/>
    </row>
    <row r="161" spans="2:18" s="3" customFormat="1" ht="19.5" customHeight="1" x14ac:dyDescent="0.15">
      <c r="B161" s="23"/>
      <c r="C161" s="60"/>
      <c r="D161" s="25"/>
      <c r="E161" s="25"/>
      <c r="F161" s="66"/>
      <c r="G161" s="51"/>
      <c r="H161" s="55"/>
      <c r="I161" s="52"/>
      <c r="J161" s="24"/>
      <c r="K161" s="22"/>
      <c r="L161" s="1"/>
      <c r="M161" s="1"/>
      <c r="N161" s="14"/>
      <c r="O161" s="4"/>
      <c r="P161" s="2"/>
      <c r="Q161" s="38"/>
      <c r="R161" s="26"/>
    </row>
    <row r="162" spans="2:18" s="3" customFormat="1" ht="19.5" customHeight="1" x14ac:dyDescent="0.15">
      <c r="B162" s="23"/>
      <c r="C162" s="60"/>
      <c r="D162" s="25"/>
      <c r="E162" s="25"/>
      <c r="F162" s="66"/>
      <c r="G162" s="51"/>
      <c r="H162" s="55"/>
      <c r="I162" s="52"/>
      <c r="J162" s="24"/>
      <c r="K162" s="22"/>
      <c r="L162" s="1"/>
      <c r="M162" s="1"/>
      <c r="N162" s="14"/>
      <c r="O162" s="4"/>
      <c r="P162" s="2"/>
      <c r="Q162" s="38"/>
      <c r="R162" s="26"/>
    </row>
    <row r="163" spans="2:18" s="3" customFormat="1" ht="19.5" customHeight="1" x14ac:dyDescent="0.15">
      <c r="B163" s="23"/>
      <c r="C163" s="60"/>
      <c r="D163" s="25"/>
      <c r="E163" s="25"/>
      <c r="F163" s="66"/>
      <c r="G163" s="51"/>
      <c r="H163" s="55"/>
      <c r="I163" s="52"/>
      <c r="J163" s="24"/>
      <c r="K163" s="22"/>
      <c r="L163" s="1"/>
      <c r="M163" s="1"/>
      <c r="N163" s="14"/>
      <c r="O163" s="4"/>
      <c r="P163" s="2"/>
      <c r="Q163" s="38"/>
      <c r="R163" s="26"/>
    </row>
    <row r="164" spans="2:18" s="3" customFormat="1" ht="19.5" customHeight="1" x14ac:dyDescent="0.15">
      <c r="B164" s="23"/>
      <c r="C164" s="60"/>
      <c r="D164" s="25"/>
      <c r="E164" s="25"/>
      <c r="F164" s="67">
        <f>SUM(I127:I161)</f>
        <v>104165</v>
      </c>
      <c r="G164" s="68"/>
      <c r="H164" s="68"/>
      <c r="I164" s="68"/>
      <c r="J164" s="45"/>
      <c r="K164" s="22"/>
      <c r="L164" s="1"/>
      <c r="M164" s="1"/>
      <c r="N164" s="14"/>
      <c r="O164" s="4"/>
      <c r="P164" s="2"/>
      <c r="Q164" s="38"/>
      <c r="R164" s="26"/>
    </row>
    <row r="165" spans="2:18" s="3" customFormat="1" ht="19.5" customHeight="1" x14ac:dyDescent="0.15">
      <c r="B165" s="23"/>
      <c r="C165" s="25"/>
      <c r="D165" s="25"/>
      <c r="E165" s="25"/>
      <c r="F165" s="34"/>
      <c r="G165" s="33"/>
      <c r="H165" s="18"/>
      <c r="I165" s="18"/>
      <c r="J165" s="13"/>
      <c r="K165" s="19"/>
      <c r="L165" s="1"/>
      <c r="M165" s="1"/>
      <c r="N165" s="14"/>
      <c r="O165" s="4"/>
      <c r="P165" s="2"/>
      <c r="Q165" s="38"/>
      <c r="R165" s="26"/>
    </row>
    <row r="166" spans="2:18" s="3" customFormat="1" ht="19.5" customHeight="1" x14ac:dyDescent="0.15">
      <c r="B166" s="23"/>
      <c r="C166" s="25"/>
      <c r="D166" s="25"/>
      <c r="E166" s="25"/>
      <c r="F166" s="34"/>
      <c r="G166" s="33"/>
      <c r="H166" s="18"/>
      <c r="I166" s="18"/>
      <c r="J166" s="13"/>
      <c r="K166" s="19"/>
      <c r="L166" s="1"/>
      <c r="M166" s="1"/>
      <c r="N166" s="14"/>
      <c r="O166" s="4"/>
      <c r="P166" s="2"/>
      <c r="Q166" s="38"/>
      <c r="R166" s="26"/>
    </row>
    <row r="167" spans="2:18" s="3" customFormat="1" ht="19.5" customHeight="1" x14ac:dyDescent="0.15">
      <c r="B167" s="23"/>
      <c r="C167" s="25"/>
      <c r="D167" s="25"/>
      <c r="E167" s="25"/>
      <c r="F167" s="34"/>
      <c r="G167" s="33"/>
      <c r="H167" s="18"/>
      <c r="I167" s="18"/>
      <c r="J167" s="13"/>
      <c r="K167" s="19"/>
      <c r="L167" s="1"/>
      <c r="M167" s="1"/>
      <c r="N167" s="14"/>
      <c r="O167" s="4"/>
      <c r="P167" s="2"/>
      <c r="Q167" s="38"/>
      <c r="R167" s="26"/>
    </row>
    <row r="168" spans="2:18" s="3" customFormat="1" ht="19.5" customHeight="1" x14ac:dyDescent="0.15">
      <c r="B168" s="23"/>
      <c r="C168" s="25"/>
      <c r="D168" s="25"/>
      <c r="E168" s="25"/>
      <c r="F168" s="34"/>
      <c r="G168" s="33"/>
      <c r="H168" s="18"/>
      <c r="I168" s="18"/>
      <c r="J168" s="13"/>
      <c r="K168" s="19"/>
      <c r="L168" s="1"/>
      <c r="M168" s="1"/>
      <c r="N168" s="14"/>
      <c r="O168" s="4"/>
      <c r="P168" s="2"/>
      <c r="Q168" s="38"/>
      <c r="R168" s="26"/>
    </row>
    <row r="169" spans="2:18" s="3" customFormat="1" ht="19.5" customHeight="1" x14ac:dyDescent="0.15">
      <c r="B169" s="23"/>
      <c r="C169" s="25"/>
      <c r="D169" s="25"/>
      <c r="E169" s="25"/>
      <c r="F169" s="34"/>
      <c r="G169" s="33"/>
      <c r="H169" s="18"/>
      <c r="I169" s="18"/>
      <c r="J169" s="13"/>
      <c r="K169" s="19"/>
      <c r="L169" s="1"/>
      <c r="M169" s="1"/>
      <c r="N169" s="14"/>
      <c r="O169" s="4"/>
      <c r="P169" s="2"/>
      <c r="Q169" s="38"/>
      <c r="R169" s="26"/>
    </row>
    <row r="170" spans="2:18" s="3" customFormat="1" ht="19.5" customHeight="1" x14ac:dyDescent="0.15">
      <c r="B170" s="23"/>
      <c r="C170" s="25"/>
      <c r="D170" s="25"/>
      <c r="E170" s="25"/>
      <c r="F170" s="34"/>
      <c r="G170" s="33"/>
      <c r="H170" s="18"/>
      <c r="I170" s="18"/>
      <c r="J170" s="13"/>
      <c r="K170" s="19"/>
      <c r="L170" s="1"/>
      <c r="M170" s="1"/>
      <c r="N170" s="14"/>
      <c r="O170" s="4"/>
      <c r="P170" s="2"/>
      <c r="Q170" s="38"/>
      <c r="R170" s="26"/>
    </row>
    <row r="171" spans="2:18" s="3" customFormat="1" ht="19.5" customHeight="1" x14ac:dyDescent="0.15">
      <c r="B171" s="23"/>
      <c r="C171" s="25"/>
      <c r="D171" s="25"/>
      <c r="E171" s="25"/>
      <c r="F171" s="34"/>
      <c r="G171" s="33"/>
      <c r="H171" s="18"/>
      <c r="I171" s="18"/>
      <c r="J171" s="13"/>
      <c r="K171" s="19"/>
      <c r="L171" s="1"/>
      <c r="M171" s="1"/>
      <c r="N171" s="14"/>
      <c r="O171" s="4"/>
      <c r="P171" s="2"/>
      <c r="Q171" s="38"/>
      <c r="R171" s="26"/>
    </row>
    <row r="172" spans="2:18" s="3" customFormat="1" ht="19.5" customHeight="1" x14ac:dyDescent="0.15">
      <c r="B172" s="23"/>
      <c r="C172" s="25"/>
      <c r="D172" s="25"/>
      <c r="E172" s="25"/>
      <c r="F172" s="34"/>
      <c r="G172" s="33"/>
      <c r="H172" s="18"/>
      <c r="I172" s="18"/>
      <c r="J172" s="13"/>
      <c r="K172" s="19"/>
      <c r="L172" s="1"/>
      <c r="M172" s="1"/>
      <c r="N172" s="14"/>
      <c r="O172" s="4"/>
      <c r="P172" s="2"/>
      <c r="Q172" s="38"/>
      <c r="R172" s="26"/>
    </row>
    <row r="173" spans="2:18" s="3" customFormat="1" ht="19.5" customHeight="1" x14ac:dyDescent="0.15">
      <c r="B173" s="23"/>
      <c r="C173" s="25"/>
      <c r="D173" s="25"/>
      <c r="E173" s="25"/>
      <c r="F173" s="34"/>
      <c r="G173" s="33"/>
      <c r="H173" s="18"/>
      <c r="I173" s="18"/>
      <c r="J173" s="13"/>
      <c r="K173" s="19"/>
      <c r="L173" s="1"/>
      <c r="M173" s="1"/>
      <c r="N173" s="14"/>
      <c r="O173" s="4"/>
      <c r="P173" s="2"/>
      <c r="Q173" s="38"/>
      <c r="R173" s="26"/>
    </row>
    <row r="174" spans="2:18" s="3" customFormat="1" ht="19.5" customHeight="1" x14ac:dyDescent="0.15">
      <c r="B174" s="23"/>
      <c r="C174" s="25"/>
      <c r="D174" s="25"/>
      <c r="E174" s="25"/>
      <c r="F174" s="34"/>
      <c r="G174" s="33"/>
      <c r="H174" s="18"/>
      <c r="I174" s="18"/>
      <c r="J174" s="13"/>
      <c r="K174" s="19"/>
      <c r="L174" s="1"/>
      <c r="M174" s="1"/>
      <c r="N174" s="14"/>
      <c r="O174" s="4"/>
      <c r="P174" s="2"/>
      <c r="Q174" s="38"/>
      <c r="R174" s="26"/>
    </row>
    <row r="175" spans="2:18" s="3" customFormat="1" ht="19.5" customHeight="1" x14ac:dyDescent="0.15">
      <c r="B175" s="23"/>
      <c r="C175" s="25"/>
      <c r="D175" s="25"/>
      <c r="E175" s="25"/>
      <c r="F175" s="34"/>
      <c r="G175" s="33"/>
      <c r="H175" s="18"/>
      <c r="I175" s="18"/>
      <c r="J175" s="13"/>
      <c r="K175" s="19"/>
      <c r="L175" s="1"/>
      <c r="M175" s="1"/>
      <c r="N175" s="14"/>
      <c r="O175" s="4"/>
      <c r="P175" s="2"/>
      <c r="Q175" s="38"/>
      <c r="R175" s="26"/>
    </row>
    <row r="176" spans="2:18" s="3" customFormat="1" ht="19.5" customHeight="1" x14ac:dyDescent="0.15">
      <c r="B176" s="23"/>
      <c r="C176" s="25"/>
      <c r="D176" s="25"/>
      <c r="E176" s="25"/>
      <c r="F176" s="34"/>
      <c r="G176" s="33"/>
      <c r="H176" s="18"/>
      <c r="I176" s="18"/>
      <c r="J176" s="13"/>
      <c r="K176" s="19"/>
      <c r="L176" s="1"/>
      <c r="M176" s="1"/>
      <c r="N176" s="14"/>
      <c r="O176" s="4"/>
      <c r="P176" s="2"/>
      <c r="Q176" s="38"/>
      <c r="R176" s="26"/>
    </row>
    <row r="177" spans="2:18" s="3" customFormat="1" ht="19.5" customHeight="1" x14ac:dyDescent="0.15">
      <c r="B177" s="23"/>
      <c r="C177" s="25"/>
      <c r="D177" s="25"/>
      <c r="E177" s="25"/>
      <c r="F177" s="34"/>
      <c r="G177" s="33"/>
      <c r="H177" s="18"/>
      <c r="I177" s="18"/>
      <c r="J177" s="13"/>
      <c r="K177" s="19"/>
      <c r="L177" s="1"/>
      <c r="M177" s="1"/>
      <c r="N177" s="14"/>
      <c r="O177" s="4"/>
      <c r="P177" s="2"/>
      <c r="Q177" s="38"/>
      <c r="R177" s="26"/>
    </row>
    <row r="178" spans="2:18" s="3" customFormat="1" ht="19.5" customHeight="1" x14ac:dyDescent="0.15">
      <c r="B178" s="23"/>
      <c r="C178" s="25"/>
      <c r="D178" s="25"/>
      <c r="E178" s="25"/>
      <c r="F178" s="34"/>
      <c r="G178" s="33"/>
      <c r="H178" s="18"/>
      <c r="I178" s="18"/>
      <c r="J178" s="13"/>
      <c r="K178" s="19"/>
      <c r="L178" s="1"/>
      <c r="M178" s="1"/>
      <c r="N178" s="14"/>
      <c r="O178" s="4"/>
      <c r="P178" s="2"/>
      <c r="Q178" s="38"/>
      <c r="R178" s="26"/>
    </row>
    <row r="179" spans="2:18" s="3" customFormat="1" ht="19.5" customHeight="1" x14ac:dyDescent="0.15">
      <c r="B179" s="23"/>
      <c r="C179" s="25"/>
      <c r="D179" s="25"/>
      <c r="E179" s="25"/>
      <c r="F179" s="34"/>
      <c r="G179" s="33"/>
      <c r="H179" s="18"/>
      <c r="I179" s="18"/>
      <c r="J179" s="13"/>
      <c r="K179" s="19"/>
      <c r="L179" s="1"/>
      <c r="M179" s="1"/>
      <c r="N179" s="14"/>
      <c r="O179" s="4"/>
      <c r="P179" s="2"/>
      <c r="Q179" s="38"/>
      <c r="R179" s="26"/>
    </row>
    <row r="180" spans="2:18" s="3" customFormat="1" ht="19.5" customHeight="1" x14ac:dyDescent="0.15">
      <c r="B180" s="23"/>
      <c r="C180" s="25"/>
      <c r="D180" s="25"/>
      <c r="E180" s="25"/>
      <c r="F180" s="34"/>
      <c r="G180" s="33"/>
      <c r="H180" s="18"/>
      <c r="I180" s="18"/>
      <c r="J180" s="13"/>
      <c r="K180" s="19"/>
      <c r="L180" s="1"/>
      <c r="M180" s="1"/>
      <c r="N180" s="14"/>
      <c r="O180" s="4"/>
      <c r="P180" s="2"/>
      <c r="Q180" s="38"/>
      <c r="R180" s="26"/>
    </row>
    <row r="181" spans="2:18" s="3" customFormat="1" ht="19.5" customHeight="1" x14ac:dyDescent="0.15">
      <c r="B181" s="23"/>
      <c r="C181" s="25"/>
      <c r="D181" s="25"/>
      <c r="E181" s="25"/>
      <c r="F181" s="34"/>
      <c r="G181" s="33"/>
      <c r="H181" s="18"/>
      <c r="I181" s="18"/>
      <c r="J181" s="13"/>
      <c r="K181" s="19"/>
      <c r="L181" s="1"/>
      <c r="M181" s="1"/>
      <c r="N181" s="14"/>
      <c r="O181" s="4"/>
      <c r="P181" s="2"/>
      <c r="Q181" s="38"/>
      <c r="R181" s="26"/>
    </row>
    <row r="182" spans="2:18" s="3" customFormat="1" ht="19.5" customHeight="1" x14ac:dyDescent="0.15">
      <c r="B182" s="23"/>
      <c r="C182" s="25"/>
      <c r="D182" s="25"/>
      <c r="E182" s="25"/>
      <c r="F182" s="34"/>
      <c r="G182" s="33"/>
      <c r="H182" s="18"/>
      <c r="I182" s="18"/>
      <c r="J182" s="13"/>
      <c r="K182" s="19"/>
      <c r="L182" s="1"/>
      <c r="M182" s="1"/>
      <c r="N182" s="14"/>
      <c r="O182" s="4"/>
      <c r="P182" s="2"/>
      <c r="Q182" s="38"/>
      <c r="R182" s="26"/>
    </row>
    <row r="183" spans="2:18" s="3" customFormat="1" ht="19.5" customHeight="1" x14ac:dyDescent="0.15">
      <c r="B183" s="23"/>
      <c r="C183" s="25"/>
      <c r="D183" s="25"/>
      <c r="E183" s="25"/>
      <c r="F183" s="34"/>
      <c r="G183" s="33"/>
      <c r="H183" s="18"/>
      <c r="I183" s="18"/>
      <c r="J183" s="13"/>
      <c r="K183" s="19"/>
      <c r="L183" s="1"/>
      <c r="M183" s="1"/>
      <c r="N183" s="14"/>
      <c r="O183" s="4"/>
      <c r="P183" s="2"/>
      <c r="Q183" s="38"/>
      <c r="R183" s="26"/>
    </row>
    <row r="184" spans="2:18" s="3" customFormat="1" ht="19.5" customHeight="1" x14ac:dyDescent="0.15">
      <c r="B184" s="23"/>
      <c r="C184" s="25"/>
      <c r="D184" s="25"/>
      <c r="E184" s="25"/>
      <c r="F184" s="34"/>
      <c r="G184" s="33"/>
      <c r="H184" s="18"/>
      <c r="I184" s="18"/>
      <c r="J184" s="13"/>
      <c r="K184" s="19"/>
      <c r="L184" s="1"/>
      <c r="M184" s="1"/>
      <c r="N184" s="14"/>
      <c r="O184" s="4"/>
      <c r="P184" s="2"/>
      <c r="Q184" s="38"/>
      <c r="R184" s="26"/>
    </row>
    <row r="185" spans="2:18" s="3" customFormat="1" ht="19.5" customHeight="1" x14ac:dyDescent="0.15">
      <c r="B185" s="23"/>
      <c r="C185" s="25"/>
      <c r="D185" s="25"/>
      <c r="E185" s="25"/>
      <c r="F185" s="34"/>
      <c r="G185" s="33"/>
      <c r="H185" s="18"/>
      <c r="I185" s="18"/>
      <c r="J185" s="13"/>
      <c r="K185" s="19"/>
      <c r="L185" s="1"/>
      <c r="M185" s="1"/>
      <c r="N185" s="14"/>
      <c r="O185" s="4"/>
      <c r="P185" s="2"/>
      <c r="Q185" s="38"/>
      <c r="R185" s="26"/>
    </row>
    <row r="186" spans="2:18" s="3" customFormat="1" ht="19.5" customHeight="1" x14ac:dyDescent="0.15">
      <c r="B186" s="23"/>
      <c r="C186" s="25"/>
      <c r="D186" s="25"/>
      <c r="E186" s="25"/>
      <c r="F186" s="34"/>
      <c r="G186" s="33"/>
      <c r="H186" s="18"/>
      <c r="I186" s="18"/>
      <c r="J186" s="13"/>
      <c r="K186" s="19"/>
      <c r="L186" s="1"/>
      <c r="M186" s="1"/>
      <c r="N186" s="14"/>
      <c r="O186" s="4"/>
      <c r="P186" s="2"/>
      <c r="Q186" s="38"/>
      <c r="R186" s="26"/>
    </row>
    <row r="187" spans="2:18" s="3" customFormat="1" ht="19.5" customHeight="1" x14ac:dyDescent="0.15">
      <c r="B187" s="23"/>
      <c r="C187" s="25"/>
      <c r="D187" s="25"/>
      <c r="E187" s="25"/>
      <c r="F187" s="34"/>
      <c r="G187" s="33"/>
      <c r="H187" s="18"/>
      <c r="I187" s="18"/>
      <c r="J187" s="13"/>
      <c r="K187" s="19"/>
      <c r="L187" s="1"/>
      <c r="M187" s="1"/>
      <c r="N187" s="14"/>
      <c r="O187" s="4"/>
      <c r="P187" s="2"/>
      <c r="Q187" s="38"/>
      <c r="R187" s="26"/>
    </row>
    <row r="188" spans="2:18" s="3" customFormat="1" ht="19.5" customHeight="1" x14ac:dyDescent="0.15">
      <c r="B188" s="23"/>
      <c r="C188" s="25"/>
      <c r="D188" s="25"/>
      <c r="E188" s="25"/>
      <c r="F188" s="34"/>
      <c r="G188" s="33"/>
      <c r="H188" s="18"/>
      <c r="I188" s="18"/>
      <c r="J188" s="13"/>
      <c r="K188" s="19"/>
      <c r="L188" s="1"/>
      <c r="M188" s="1"/>
      <c r="N188" s="14"/>
      <c r="O188" s="4"/>
      <c r="P188" s="2"/>
      <c r="Q188" s="38"/>
      <c r="R188" s="26"/>
    </row>
    <row r="189" spans="2:18" s="3" customFormat="1" ht="19.5" customHeight="1" x14ac:dyDescent="0.15">
      <c r="B189" s="23"/>
      <c r="C189" s="25"/>
      <c r="D189" s="25"/>
      <c r="E189" s="25"/>
      <c r="F189" s="34"/>
      <c r="G189" s="33"/>
      <c r="H189" s="18"/>
      <c r="I189" s="18"/>
      <c r="J189" s="13"/>
      <c r="K189" s="19"/>
      <c r="L189" s="1"/>
      <c r="M189" s="1"/>
      <c r="N189" s="14"/>
      <c r="O189" s="4"/>
      <c r="P189" s="2"/>
      <c r="Q189" s="38"/>
      <c r="R189" s="26"/>
    </row>
    <row r="190" spans="2:18" s="3" customFormat="1" ht="19.5" customHeight="1" x14ac:dyDescent="0.15">
      <c r="B190" s="23"/>
      <c r="C190" s="25"/>
      <c r="D190" s="25"/>
      <c r="E190" s="25"/>
      <c r="F190" s="34"/>
      <c r="G190" s="33"/>
      <c r="H190" s="18"/>
      <c r="I190" s="18"/>
      <c r="J190" s="13"/>
      <c r="K190" s="19"/>
      <c r="L190" s="1"/>
      <c r="M190" s="1"/>
      <c r="N190" s="14"/>
      <c r="O190" s="4"/>
      <c r="P190" s="2"/>
      <c r="Q190" s="38"/>
      <c r="R190" s="26"/>
    </row>
    <row r="191" spans="2:18" s="3" customFormat="1" ht="19.5" customHeight="1" x14ac:dyDescent="0.15">
      <c r="B191" s="23"/>
      <c r="C191" s="25"/>
      <c r="D191" s="25"/>
      <c r="E191" s="25"/>
      <c r="F191" s="34"/>
      <c r="G191" s="33"/>
      <c r="H191" s="18"/>
      <c r="I191" s="18"/>
      <c r="J191" s="13"/>
      <c r="K191" s="19"/>
      <c r="L191" s="1"/>
      <c r="M191" s="1"/>
      <c r="N191" s="14"/>
      <c r="O191" s="4"/>
      <c r="P191" s="2"/>
      <c r="Q191" s="38"/>
      <c r="R191" s="26"/>
    </row>
    <row r="192" spans="2:18" s="3" customFormat="1" ht="19.5" customHeight="1" x14ac:dyDescent="0.15">
      <c r="B192" s="23"/>
      <c r="C192" s="25"/>
      <c r="D192" s="25"/>
      <c r="E192" s="25"/>
      <c r="F192" s="34"/>
      <c r="G192" s="33"/>
      <c r="H192" s="18"/>
      <c r="I192" s="18"/>
      <c r="J192" s="13"/>
      <c r="K192" s="19"/>
      <c r="L192" s="1"/>
      <c r="M192" s="1"/>
      <c r="N192" s="14"/>
      <c r="O192" s="4"/>
      <c r="P192" s="2"/>
      <c r="Q192" s="38"/>
      <c r="R192" s="26"/>
    </row>
    <row r="193" spans="2:18" s="3" customFormat="1" ht="19.5" customHeight="1" x14ac:dyDescent="0.15">
      <c r="B193" s="23"/>
      <c r="C193" s="25"/>
      <c r="D193" s="25"/>
      <c r="E193" s="25"/>
      <c r="F193" s="34"/>
      <c r="G193" s="33"/>
      <c r="H193" s="18"/>
      <c r="I193" s="18"/>
      <c r="J193" s="13"/>
      <c r="K193" s="19"/>
      <c r="L193" s="1"/>
      <c r="M193" s="1"/>
      <c r="N193" s="14"/>
      <c r="O193" s="4"/>
      <c r="P193" s="2"/>
      <c r="Q193" s="38"/>
      <c r="R193" s="26"/>
    </row>
    <row r="194" spans="2:18" s="3" customFormat="1" ht="19.5" customHeight="1" x14ac:dyDescent="0.15">
      <c r="B194" s="23"/>
      <c r="C194" s="25"/>
      <c r="D194" s="25"/>
      <c r="E194" s="25"/>
      <c r="F194" s="34"/>
      <c r="G194" s="33"/>
      <c r="H194" s="18"/>
      <c r="I194" s="18"/>
      <c r="J194" s="13"/>
      <c r="K194" s="19"/>
      <c r="L194" s="1"/>
      <c r="M194" s="1"/>
      <c r="N194" s="14"/>
      <c r="O194" s="4"/>
      <c r="P194" s="2"/>
      <c r="Q194" s="38"/>
      <c r="R194" s="26"/>
    </row>
    <row r="195" spans="2:18" ht="18" customHeight="1" x14ac:dyDescent="0.15">
      <c r="B195" s="23"/>
      <c r="C195" s="1"/>
      <c r="D195" s="4"/>
      <c r="E195" s="4"/>
      <c r="F195" s="15"/>
      <c r="G195" s="16"/>
      <c r="H195" s="16"/>
      <c r="I195" s="18"/>
      <c r="J195" s="2"/>
      <c r="K195" s="15"/>
      <c r="L195" s="6"/>
      <c r="M195" s="1"/>
      <c r="N195" s="14"/>
      <c r="O195" s="20"/>
      <c r="P195" s="2"/>
      <c r="Q195" s="38"/>
      <c r="R195" s="26"/>
    </row>
    <row r="196" spans="2:18" ht="18" customHeight="1" x14ac:dyDescent="0.15">
      <c r="B196" s="23"/>
      <c r="C196" s="1"/>
      <c r="D196" s="1"/>
      <c r="E196" s="1"/>
      <c r="F196" s="6" t="s">
        <v>22</v>
      </c>
      <c r="G196" s="18"/>
      <c r="H196" s="18"/>
      <c r="I196" s="18">
        <f>G196*H196</f>
        <v>0</v>
      </c>
      <c r="J196" s="13"/>
      <c r="K196" s="15" t="s">
        <v>23</v>
      </c>
      <c r="L196" s="20"/>
      <c r="M196" s="1"/>
      <c r="N196" s="14"/>
      <c r="O196" s="20"/>
      <c r="P196" s="2"/>
      <c r="Q196" s="38"/>
      <c r="R196" s="43"/>
    </row>
    <row r="197" spans="2:18" ht="18" customHeight="1" x14ac:dyDescent="0.15">
      <c r="B197" s="23"/>
      <c r="C197" s="1"/>
      <c r="D197" s="4"/>
      <c r="E197" s="4"/>
      <c r="F197" s="6" t="s">
        <v>23</v>
      </c>
      <c r="G197" s="18"/>
      <c r="H197" s="18">
        <v>5000</v>
      </c>
      <c r="I197" s="18">
        <f>G197*H197</f>
        <v>0</v>
      </c>
      <c r="J197" s="13"/>
      <c r="K197" s="15" t="s">
        <v>24</v>
      </c>
      <c r="L197" s="20"/>
      <c r="M197" s="1"/>
      <c r="N197" s="1"/>
      <c r="O197" s="20"/>
      <c r="P197" s="2"/>
      <c r="Q197" s="43"/>
      <c r="R197" s="43"/>
    </row>
    <row r="198" spans="2:18" ht="18" customHeight="1" x14ac:dyDescent="0.15">
      <c r="B198" s="23"/>
      <c r="C198" s="1"/>
      <c r="D198" s="4"/>
      <c r="E198" s="4"/>
      <c r="F198" s="6" t="s">
        <v>24</v>
      </c>
      <c r="G198" s="18"/>
      <c r="H198" s="18"/>
      <c r="I198" s="18">
        <f>G198*H198</f>
        <v>0</v>
      </c>
      <c r="J198" s="13"/>
      <c r="K198" s="5"/>
      <c r="L198" s="20"/>
      <c r="M198" s="1"/>
      <c r="N198" s="1"/>
      <c r="O198" s="20"/>
      <c r="P198" s="2"/>
      <c r="Q198" s="43"/>
      <c r="R198" s="43"/>
    </row>
    <row r="199" spans="2:18" ht="18" customHeight="1" x14ac:dyDescent="0.15">
      <c r="B199" s="23"/>
      <c r="C199" s="1"/>
      <c r="D199" s="4"/>
      <c r="E199" s="4"/>
      <c r="F199" s="268"/>
      <c r="G199" s="269"/>
      <c r="H199" s="269"/>
      <c r="I199" s="270"/>
      <c r="J199" s="7"/>
      <c r="K199" s="17"/>
      <c r="L199" s="20"/>
      <c r="M199" s="1"/>
      <c r="N199" s="1"/>
      <c r="O199" s="20"/>
      <c r="P199" s="2"/>
      <c r="Q199" s="43"/>
      <c r="R199" s="43"/>
    </row>
    <row r="200" spans="2:18" ht="18" customHeight="1" x14ac:dyDescent="0.15"/>
    <row r="201" spans="2:18" ht="18" customHeight="1" x14ac:dyDescent="0.15"/>
  </sheetData>
  <autoFilter ref="C10:P201" xr:uid="{00000000-0009-0000-0000-000003000000}"/>
  <mergeCells count="16">
    <mergeCell ref="F199:I199"/>
    <mergeCell ref="C6:E6"/>
    <mergeCell ref="C2:E2"/>
    <mergeCell ref="H2:J2"/>
    <mergeCell ref="C3:E3"/>
    <mergeCell ref="C4:E4"/>
    <mergeCell ref="H4:K5"/>
    <mergeCell ref="C5:E5"/>
    <mergeCell ref="D126:F126"/>
    <mergeCell ref="G5:G6"/>
    <mergeCell ref="D41:F41"/>
    <mergeCell ref="D114:F114"/>
    <mergeCell ref="D97:F97"/>
    <mergeCell ref="D72:F72"/>
    <mergeCell ref="D56:F56"/>
    <mergeCell ref="K7:L7"/>
  </mergeCells>
  <phoneticPr fontId="10"/>
  <dataValidations count="1">
    <dataValidation imeMode="hiragana" allowBlank="1" showInputMessage="1" showErrorMessage="1" sqref="L31:L33 JH31:JH33 TD31:TD33 ACZ31:ACZ33 AMV31:AMV33 AWR31:AWR33 BGN31:BGN33 BQJ31:BQJ33 CAF31:CAF33 CKB31:CKB33 CTX31:CTX33 DDT31:DDT33 DNP31:DNP33 DXL31:DXL33 EHH31:EHH33 ERD31:ERD33 FAZ31:FAZ33 FKV31:FKV33 FUR31:FUR33 GEN31:GEN33 GOJ31:GOJ33 GYF31:GYF33 HIB31:HIB33 HRX31:HRX33 IBT31:IBT33 ILP31:ILP33 IVL31:IVL33 JFH31:JFH33 JPD31:JPD33 JYZ31:JYZ33 KIV31:KIV33 KSR31:KSR33 LCN31:LCN33 LMJ31:LMJ33 LWF31:LWF33 MGB31:MGB33 MPX31:MPX33 MZT31:MZT33 NJP31:NJP33 NTL31:NTL33 ODH31:ODH33 OND31:OND33 OWZ31:OWZ33 PGV31:PGV33 PQR31:PQR33 QAN31:QAN33 QKJ31:QKJ33 QUF31:QUF33 REB31:REB33 RNX31:RNX33 RXT31:RXT33 SHP31:SHP33 SRL31:SRL33 TBH31:TBH33 TLD31:TLD33 TUZ31:TUZ33 UEV31:UEV33 UOR31:UOR33 UYN31:UYN33 VIJ31:VIJ33 VSF31:VSF33 WCB31:WCB33 WLX31:WLX33 WVT31:WVT33 L36 JH36 TD36 ACZ36 AMV36 AWR36 BGN36 BQJ36 CAF36 CKB36 CTX36 DDT36 DNP36 DXL36 EHH36 ERD36 FAZ36 FKV36 FUR36 GEN36 GOJ36 GYF36 HIB36 HRX36 IBT36 ILP36 IVL36 JFH36 JPD36 JYZ36 KIV36 KSR36 LCN36 LMJ36 LWF36 MGB36 MPX36 MZT36 NJP36 NTL36 ODH36 OND36 OWZ36 PGV36 PQR36 QAN36 QKJ36 QUF36 REB36 RNX36 RXT36 SHP36 SRL36 TBH36 TLD36 TUZ36 UEV36 UOR36 UYN36 VIJ36 VSF36 WCB36 WLX36 WVT36 K73:K74 JG73:JG74 TC73:TC74 ACY73:ACY74 AMU73:AMU74 AWQ73:AWQ74 BGM73:BGM74 BQI73:BQI74 CAE73:CAE74 CKA73:CKA74 CTW73:CTW74 DDS73:DDS74 DNO73:DNO74 DXK73:DXK74 EHG73:EHG74 ERC73:ERC74 FAY73:FAY74 FKU73:FKU74 FUQ73:FUQ74 GEM73:GEM74 GOI73:GOI74 GYE73:GYE74 HIA73:HIA74 HRW73:HRW74 IBS73:IBS74 ILO73:ILO74 IVK73:IVK74 JFG73:JFG74 JPC73:JPC74 JYY73:JYY74 KIU73:KIU74 KSQ73:KSQ74 LCM73:LCM74 LMI73:LMI74 LWE73:LWE74 MGA73:MGA74 MPW73:MPW74 MZS73:MZS74 NJO73:NJO74 NTK73:NTK74 ODG73:ODG74 ONC73:ONC74 OWY73:OWY74 PGU73:PGU74 PQQ73:PQQ74 QAM73:QAM74 QKI73:QKI74 QUE73:QUE74 REA73:REA74 RNW73:RNW74 RXS73:RXS74 SHO73:SHO74 SRK73:SRK74 TBG73:TBG74 TLC73:TLC74 TUY73:TUY74 UEU73:UEU74 UOQ73:UOQ74 UYM73:UYM74 VII73:VII74 VSE73:VSE74 WCA73:WCA74 WLW73:WLW74 WVS73:WVS74 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6 JG86 TC86 ACY86 AMU86 AWQ86 BGM86 BQI86 CAE86 CKA86 CTW86 DDS86 DNO86 DXK86 EHG86 ERC86 FAY86 FKU86 FUQ86 GEM86 GOI86 GYE86 HIA86 HRW86 IBS86 ILO86 IVK86 JFG86 JPC86 JYY86 KIU86 KSQ86 LCM86 LMI86 LWE86 MGA86 MPW86 MZS86 NJO86 NTK86 ODG86 ONC86 OWY86 PGU86 PQQ86 QAM86 QKI86 QUE86 REA86 RNW86 RXS86 SHO86 SRK86 TBG86 TLC86 TUY86 UEU86 UOQ86 UYM86 VII86 VSE86 WCA86 WLW86 WVS86 K91" xr:uid="{ACC76432-6B2F-461D-9427-E0FF277C05C3}"/>
  </dataValidations>
  <printOptions gridLines="1"/>
  <pageMargins left="0.2" right="0.2" top="0.75" bottom="0.75" header="0.3" footer="0.3"/>
  <pageSetup orientation="landscape" r:id="rId1"/>
  <headerFooter>
    <oddHeader>&amp;L&amp;C&amp;R</oddHeader>
    <oddFooter>&amp;L&amp;C&amp;R</oddFooter>
    <evenHeader>&amp;L&amp;C&amp;R</evenHeader>
    <evenFooter>&amp;L&amp;C&amp;R</even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0D593-9FB6-409E-B65F-766E11A67462}">
  <dimension ref="A1"/>
  <sheetViews>
    <sheetView workbookViewId="0"/>
  </sheetViews>
  <sheetFormatPr defaultRowHeight="13.5" x14ac:dyDescent="0.15"/>
  <sheetData/>
  <phoneticPr fontId="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D7" sqref="D7"/>
    </sheetView>
  </sheetViews>
  <sheetFormatPr defaultColWidth="11.875" defaultRowHeight="13.5" customHeight="1" x14ac:dyDescent="0.15"/>
  <sheetData/>
  <phoneticPr fontId="10"/>
  <printOptions gridLines="1"/>
  <pageMargins left="0.7" right="0.7" top="0.75" bottom="0.75" header="0.3" footer="0.3"/>
  <pageSetup orientation="landscape"/>
  <headerFooter>
    <oddHeader>&amp;L&amp;C&amp;R</oddHeader>
    <oddFooter>&amp;L&amp;C&amp;R</oddFooter>
    <evenHeader>&amp;L&amp;C&amp;R</evenHeader>
    <evenFooter>&amp;L&amp;C&amp;R</even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1.875" defaultRowHeight="13.5" customHeight="1" x14ac:dyDescent="0.15"/>
  <sheetData/>
  <phoneticPr fontId="10"/>
  <printOptions gridLines="1"/>
  <pageMargins left="0.7" right="0.7" top="0.75" bottom="0.75" header="0.3" footer="0.3"/>
  <pageSetup orientation="landscape"/>
  <headerFooter>
    <oddHeader>&amp;L&amp;C&amp;R</oddHeader>
    <oddFooter>&amp;L&amp;C&amp;R</oddFooter>
    <evenHeader>&amp;L&amp;C&amp;R</evenHeader>
    <evenFooter>&amp;L&amp;C&amp;R</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発注 (20240425) </vt:lpstr>
      <vt:lpstr>Sheet1</vt:lpstr>
      <vt:lpstr>Sheet2</vt:lpstr>
      <vt:lpstr>Sheet3</vt:lpstr>
      <vt:lpstr>'発注 (20240425) '!_FilterDatabase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h-saito</dc:creator>
  <cp:lastModifiedBy>shinohara</cp:lastModifiedBy>
  <dcterms:created xsi:type="dcterms:W3CDTF">2016-05-16T08:05:24Z</dcterms:created>
  <dcterms:modified xsi:type="dcterms:W3CDTF">2024-06-24T04:41:40Z</dcterms:modified>
</cp:coreProperties>
</file>