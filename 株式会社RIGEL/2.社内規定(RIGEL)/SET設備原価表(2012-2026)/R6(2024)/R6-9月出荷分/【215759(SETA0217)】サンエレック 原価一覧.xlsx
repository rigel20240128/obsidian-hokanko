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3998F410-1D2D-4F50-8E29-579CC2EF1B22}" xr6:coauthVersionLast="47" xr6:coauthVersionMax="47" xr10:uidLastSave="{00000000-0000-0000-0000-000000000000}"/>
  <bookViews>
    <workbookView xWindow="-120" yWindow="-120" windowWidth="29040" windowHeight="15840" xr2:uid="{8BB87D5E-A9B8-4A3F-9997-B4B972EF253B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Sheet1!$B$8:$O$22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J2" i="1" l="1"/>
</calcChain>
</file>

<file path=xl/sharedStrings.xml><?xml version="1.0" encoding="utf-8"?>
<sst xmlns="http://schemas.openxmlformats.org/spreadsheetml/2006/main" count="129" uniqueCount="76">
  <si>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</si>
  <si>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</si>
  <si>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</si>
  <si>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</si>
  <si>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</si>
  <si>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</si>
  <si>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</si>
  <si>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</si>
  <si>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</si>
  <si>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</si>
  <si>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</si>
  <si>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</si>
  <si>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</si>
  <si>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</si>
  <si>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</si>
  <si>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</si>
  <si>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</si>
  <si>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</si>
  <si>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</si>
  <si>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</si>
  <si>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</si>
  <si>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</si>
  <si>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田中（佐藤）</t>
    <rPh sb="0" eb="2">
      <t>タナカ</t>
    </rPh>
    <rPh sb="3" eb="5">
      <t>サトウ</t>
    </rPh>
    <phoneticPr fontId="1"/>
  </si>
  <si>
    <t>設計費</t>
    <rPh sb="0" eb="2">
      <t>セッケイ</t>
    </rPh>
    <rPh sb="2" eb="3">
      <t>ヒ</t>
    </rPh>
    <phoneticPr fontId="1"/>
  </si>
  <si>
    <t>組立費</t>
    <rPh sb="0" eb="2">
      <t>クミタテ</t>
    </rPh>
    <rPh sb="2" eb="3">
      <t>ヒ</t>
    </rPh>
    <phoneticPr fontId="1"/>
  </si>
  <si>
    <t>SET</t>
    <phoneticPr fontId="1"/>
  </si>
  <si>
    <t>MISUMI</t>
    <phoneticPr fontId="1"/>
  </si>
  <si>
    <t>AXA300-HV</t>
    <phoneticPr fontId="1"/>
  </si>
  <si>
    <t>3
漬け置き捨て打ち治具</t>
    <rPh sb="3" eb="4">
      <t>ツ</t>
    </rPh>
    <rPh sb="5" eb="6">
      <t>オ</t>
    </rPh>
    <rPh sb="7" eb="8">
      <t>ス</t>
    </rPh>
    <rPh sb="9" eb="10">
      <t>ウ</t>
    </rPh>
    <rPh sb="11" eb="13">
      <t>ジグ</t>
    </rPh>
    <phoneticPr fontId="1"/>
  </si>
  <si>
    <t>サンエレック</t>
    <phoneticPr fontId="1"/>
  </si>
  <si>
    <t>■SETA0217-Z01-1(ｶｯﾌﾟﾍﾞｰｽ)</t>
    <phoneticPr fontId="1"/>
  </si>
  <si>
    <t>■SETA0217-Z02-1(ﾌﾟﾚｰﾄ)</t>
    <phoneticPr fontId="1"/>
  </si>
  <si>
    <t>■SETA0217-Z03-1(ﾍﾞｰｽﾌﾟﾚｰﾄ)</t>
    <phoneticPr fontId="1"/>
  </si>
  <si>
    <t>■SETA0217-Z04-1(ｶｯﾌﾟﾌﾟﾚｰﾄ)</t>
    <phoneticPr fontId="1"/>
  </si>
  <si>
    <t>MVSHM-3N02050-3TX-P7BJL</t>
  </si>
  <si>
    <t>MVSHM-3N01000-3TX-H7HAS</t>
  </si>
  <si>
    <t>MVSHM-3N01000-3TX-KNS3B</t>
  </si>
  <si>
    <t>MVBLK-AMW-3TX-BT11G</t>
  </si>
  <si>
    <t>SLSBWRK7-20</t>
  </si>
  <si>
    <t>ﾐﾆｶｯﾌﾟ(10ml)</t>
    <phoneticPr fontId="1"/>
  </si>
  <si>
    <t>5-079-02</t>
  </si>
  <si>
    <t>MISUMI</t>
    <phoneticPr fontId="1"/>
  </si>
  <si>
    <t>石鍋</t>
    <rPh sb="0" eb="2">
      <t>イシナベ</t>
    </rPh>
    <phoneticPr fontId="1"/>
  </si>
  <si>
    <t>マルエム</t>
    <phoneticPr fontId="1"/>
  </si>
  <si>
    <t>MVSHM-3N02050-3TX-4967N</t>
  </si>
  <si>
    <t>■RPR-A(ﾚｷﾞｭｰﾚｰﾀｰﾌﾟﾚｰﾄ_ｱﾅﾛｸﾞ用)</t>
  </si>
  <si>
    <t>ARP20-01H-1</t>
  </si>
  <si>
    <t>G46E-2-01M-C2</t>
  </si>
  <si>
    <t>SMC</t>
    <phoneticPr fontId="1"/>
  </si>
  <si>
    <t>制御機材</t>
    <rPh sb="0" eb="2">
      <t>セイギョ</t>
    </rPh>
    <rPh sb="2" eb="4">
      <t>キザイ</t>
    </rPh>
    <phoneticPr fontId="1"/>
  </si>
  <si>
    <t>MNCN4-M5</t>
  </si>
  <si>
    <t>MSCNL6-M5</t>
  </si>
  <si>
    <t>MSELL4-1</t>
  </si>
  <si>
    <t>MSELL4-M5</t>
  </si>
  <si>
    <t>MSHRT3</t>
  </si>
  <si>
    <t>MSTEL4-1</t>
  </si>
  <si>
    <t>USYL6</t>
  </si>
  <si>
    <t>ﾚｷﾞｭﾚｰﾀｰ</t>
    <phoneticPr fontId="1"/>
  </si>
  <si>
    <t>圧力計</t>
    <rPh sb="0" eb="2">
      <t>アツリョク</t>
    </rPh>
    <phoneticPr fontId="1"/>
  </si>
  <si>
    <t>14　 設計費</t>
    <rPh sb="4" eb="6">
      <t>セッケイ</t>
    </rPh>
    <rPh sb="6" eb="7">
      <t>ヒ</t>
    </rPh>
    <phoneticPr fontId="1"/>
  </si>
  <si>
    <t>14　 組立費</t>
    <rPh sb="4" eb="6">
      <t>クミタテ</t>
    </rPh>
    <rPh sb="6" eb="7">
      <t>ヒ</t>
    </rPh>
    <phoneticPr fontId="1"/>
  </si>
  <si>
    <t>発注願います</t>
    <rPh sb="0" eb="2">
      <t>ハッチュウ</t>
    </rPh>
    <rPh sb="2" eb="3">
      <t>ネガ</t>
    </rPh>
    <phoneticPr fontId="1"/>
  </si>
  <si>
    <t>WEB発注済</t>
    <rPh sb="3" eb="6">
      <t>ハッチュウスミ</t>
    </rPh>
    <phoneticPr fontId="1"/>
  </si>
  <si>
    <t>在庫品</t>
    <rPh sb="0" eb="2">
      <t>ザイコ</t>
    </rPh>
    <rPh sb="2" eb="3">
      <t>ヒン</t>
    </rPh>
    <phoneticPr fontId="1"/>
  </si>
  <si>
    <t>NEDUL-PT-JS-9-3</t>
  </si>
  <si>
    <t>I/Oｹｰﾌﾞﾙ 
※該当項目なし</t>
    <rPh sb="11" eb="13">
      <t>ガイトウ</t>
    </rPh>
    <rPh sb="13" eb="15">
      <t>コウモク</t>
    </rPh>
    <phoneticPr fontId="1"/>
  </si>
  <si>
    <t>液剤加圧
※該当項目なし</t>
    <rPh sb="0" eb="2">
      <t>エキザイ</t>
    </rPh>
    <rPh sb="2" eb="4">
      <t>カアツ</t>
    </rPh>
    <rPh sb="7" eb="11">
      <t>ガイトウコウモク</t>
    </rPh>
    <phoneticPr fontId="1"/>
  </si>
  <si>
    <t>SLSBWRK7-45</t>
  </si>
  <si>
    <t>ﾛｯｶｸｼﾁｭｳ SLSBWRK</t>
  </si>
  <si>
    <t>ﾜﾝﾀｯﾁﾂｷﾞﾃ(USYL)</t>
  </si>
  <si>
    <t>ﾜﾝﾀｯﾁﾂｷﾞﾃ(MSTEL)</t>
  </si>
  <si>
    <t>ｼｭﾄﾞｳｷﾘｶｴﾍﾞﾝ(MSHRT)</t>
  </si>
  <si>
    <t>ﾜﾝﾀｯﾁﾂｷﾞﾃ(MSELL)</t>
  </si>
  <si>
    <t>ﾜﾝﾀｯﾁﾂｷﾞﾃ(MSCNL)</t>
  </si>
  <si>
    <t>ﾐﾆﾁｭｱﾜﾝﾀｯﾁﾂｷﾞﾃ (MNCN)</t>
  </si>
  <si>
    <t>Dｻﾌﾞﾊｰﾈｽ(ﾏﾙ)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</si>
</sst>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9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1" xfId="0" applyBorder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38" fontId="0" fillId="0" borderId="1" xfId="0" applyNumberFormat="1" applyBorder="1">
      <alignment vertical="center"/>
    </xf>
    <xf numFmtId="56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8" fontId="7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left" vertical="center" shrinkToFit="1"/>
    </xf>
    <xf numFmtId="3" fontId="0" fillId="0" borderId="3" xfId="0" applyNumberFormat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38" fontId="0" fillId="4" borderId="1" xfId="0" applyNumberFormat="1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79" fontId="0" fillId="4" borderId="1" xfId="0" applyNumberFormat="1" applyFill="1" applyBorder="1" applyAlignment="1">
      <alignment horizontal="center" vertical="center"/>
    </xf>
    <xf numFmtId="56" fontId="6" fillId="4" borderId="1" xfId="0" applyNumberFormat="1" applyFon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F46E-B438-4D05-B82A-9A06F4E4FA83}">
  <dimension ref="B2:Q29"/>
  <sheetViews>
    <sheetView tabSelected="1" zoomScale="85" zoomScaleNormal="85" workbookViewId="0">
      <pane xSplit="10" ySplit="8" topLeftCell="K9" activePane="bottomRight" state="frozen"/>
      <selection pane="topRight" activeCell="K1" sqref="K1"/>
      <selection pane="bottomLeft" activeCell="A9" sqref="A9"/>
      <selection pane="bottomRight" activeCell="Q27" sqref="Q27"/>
    </sheetView>
  </sheetViews>
  <sheetFormatPr defaultRowHeight="13.5" x14ac:dyDescent="0.15"/>
  <cols>
    <col min="1" max="1" width="2.625" customWidth="1"/>
    <col min="2" max="2" width="22" style="3" customWidth="1"/>
    <col min="3" max="4" width="20.625" customWidth="1"/>
    <col min="5" max="5" width="40.625" customWidth="1"/>
    <col min="6" max="6" width="6.25" style="3" customWidth="1"/>
    <col min="7" max="8" width="9.875" bestFit="1" customWidth="1"/>
    <col min="9" max="9" width="13.5" style="8" bestFit="1" customWidth="1"/>
    <col min="10" max="10" width="29.5" customWidth="1"/>
    <col min="11" max="11" width="11.375" customWidth="1"/>
    <col min="12" max="12" width="20.625" style="3" customWidth="1"/>
    <col min="13" max="13" width="13.75" style="11" customWidth="1"/>
    <col min="14" max="14" width="6.375" customWidth="1"/>
    <col min="15" max="15" width="13.25" style="8" customWidth="1"/>
    <col min="16" max="16" width="14.5" style="13" customWidth="1"/>
    <col min="17" max="17" width="15.625" style="14" customWidth="1"/>
  </cols>
  <sheetData>
    <row r="2" spans="2:17" ht="20.100000000000001" customHeight="1" x14ac:dyDescent="0.15">
      <c r="B2" s="41" t="s">
        <v>11</v>
      </c>
      <c r="C2" s="41"/>
      <c r="D2" s="41"/>
      <c r="E2" s="9" t="s">
        <v>29</v>
      </c>
      <c r="G2" s="42" t="s">
        <v>15</v>
      </c>
      <c r="H2" s="43"/>
      <c r="I2" s="44"/>
      <c r="J2" s="7">
        <f>SUM(H:H)</f>
        <v>198057</v>
      </c>
    </row>
    <row r="3" spans="2:17" ht="20.100000000000001" customHeight="1" x14ac:dyDescent="0.15">
      <c r="B3" s="41" t="s">
        <v>10</v>
      </c>
      <c r="C3" s="41"/>
      <c r="D3" s="41"/>
      <c r="E3" s="5" t="s">
        <v>22</v>
      </c>
    </row>
    <row r="4" spans="2:17" ht="20.100000000000001" customHeight="1" x14ac:dyDescent="0.15">
      <c r="B4" s="41" t="s">
        <v>12</v>
      </c>
      <c r="C4" s="41"/>
      <c r="D4" s="41"/>
      <c r="E4" s="5">
        <v>215759</v>
      </c>
    </row>
    <row r="5" spans="2:17" ht="20.100000000000001" customHeight="1" x14ac:dyDescent="0.15">
      <c r="B5" s="41" t="s">
        <v>13</v>
      </c>
      <c r="C5" s="41"/>
      <c r="D5" s="41"/>
      <c r="E5" s="6">
        <v>45485</v>
      </c>
    </row>
    <row r="6" spans="2:17" ht="20.100000000000001" customHeight="1" x14ac:dyDescent="0.15">
      <c r="B6" s="41" t="s">
        <v>14</v>
      </c>
      <c r="C6" s="41"/>
      <c r="D6" s="41"/>
      <c r="E6" s="6">
        <v>45541</v>
      </c>
    </row>
    <row r="8" spans="2:17" s="3" customFormat="1" ht="19.7" customHeight="1" x14ac:dyDescent="0.15">
      <c r="B8" s="4" t="s">
        <v>4</v>
      </c>
      <c r="C8" s="4" t="s">
        <v>9</v>
      </c>
      <c r="D8" s="4" t="s">
        <v>5</v>
      </c>
      <c r="E8" s="1" t="s">
        <v>8</v>
      </c>
      <c r="F8" s="1" t="s">
        <v>0</v>
      </c>
      <c r="G8" s="1" t="s">
        <v>1</v>
      </c>
      <c r="H8" s="2" t="s">
        <v>2</v>
      </c>
      <c r="I8" s="2" t="s">
        <v>18</v>
      </c>
      <c r="J8" s="1" t="s">
        <v>3</v>
      </c>
      <c r="K8" s="1" t="s">
        <v>17</v>
      </c>
      <c r="L8" s="1" t="s">
        <v>16</v>
      </c>
      <c r="M8" s="12" t="s">
        <v>6</v>
      </c>
      <c r="N8" s="4" t="s">
        <v>19</v>
      </c>
      <c r="O8" s="1" t="s">
        <v>7</v>
      </c>
      <c r="P8" s="12" t="s">
        <v>20</v>
      </c>
      <c r="Q8" s="15" t="s">
        <v>21</v>
      </c>
    </row>
    <row r="9" spans="2:17" s="3" customFormat="1" ht="19.7" customHeight="1" x14ac:dyDescent="0.15">
      <c r="B9" s="4">
        <v>1</v>
      </c>
      <c r="C9" s="4" t="s">
        <v>25</v>
      </c>
      <c r="D9" s="4" t="s">
        <v>25</v>
      </c>
      <c r="E9" s="10" t="s">
        <v>27</v>
      </c>
      <c r="F9" s="1">
        <v>1</v>
      </c>
      <c r="G9" s="17"/>
      <c r="H9" s="18">
        <f t="shared" ref="H9:H29" si="0">F9*G9</f>
        <v>0</v>
      </c>
      <c r="I9" s="2"/>
      <c r="J9" s="1"/>
      <c r="K9" s="22"/>
      <c r="L9" s="1" t="s">
        <v>63</v>
      </c>
      <c r="M9" s="12"/>
      <c r="N9" s="4"/>
      <c r="O9" s="19"/>
      <c r="P9" s="12"/>
      <c r="Q9" s="15"/>
    </row>
    <row r="10" spans="2:17" s="3" customFormat="1" ht="19.7" customHeight="1" x14ac:dyDescent="0.15">
      <c r="B10" s="38" t="s">
        <v>28</v>
      </c>
      <c r="C10" s="4" t="s">
        <v>41</v>
      </c>
      <c r="D10" s="4" t="s">
        <v>41</v>
      </c>
      <c r="E10" s="10" t="s">
        <v>37</v>
      </c>
      <c r="F10" s="1">
        <v>1</v>
      </c>
      <c r="G10" s="10">
        <v>9481</v>
      </c>
      <c r="H10" s="18">
        <f t="shared" si="0"/>
        <v>9481</v>
      </c>
      <c r="I10" s="2"/>
      <c r="J10" s="24" t="s">
        <v>30</v>
      </c>
      <c r="K10" s="22"/>
      <c r="L10" s="1" t="s">
        <v>62</v>
      </c>
      <c r="M10" s="12"/>
      <c r="N10" s="4"/>
      <c r="O10" s="19"/>
      <c r="P10" s="12"/>
      <c r="Q10" s="15">
        <v>45475</v>
      </c>
    </row>
    <row r="11" spans="2:17" s="3" customFormat="1" ht="19.7" customHeight="1" x14ac:dyDescent="0.15">
      <c r="B11" s="45"/>
      <c r="C11" s="4" t="s">
        <v>41</v>
      </c>
      <c r="D11" s="4" t="s">
        <v>41</v>
      </c>
      <c r="E11" s="10" t="s">
        <v>34</v>
      </c>
      <c r="F11" s="1">
        <v>1</v>
      </c>
      <c r="G11" s="10">
        <v>2170</v>
      </c>
      <c r="H11" s="18">
        <f t="shared" si="0"/>
        <v>2170</v>
      </c>
      <c r="I11" s="2"/>
      <c r="J11" s="24" t="s">
        <v>31</v>
      </c>
      <c r="K11" s="22"/>
      <c r="L11" s="1" t="s">
        <v>62</v>
      </c>
      <c r="M11" s="12"/>
      <c r="N11" s="4"/>
      <c r="O11" s="19"/>
      <c r="P11" s="12"/>
      <c r="Q11" s="15">
        <v>45475</v>
      </c>
    </row>
    <row r="12" spans="2:17" s="3" customFormat="1" ht="19.7" customHeight="1" x14ac:dyDescent="0.15">
      <c r="B12" s="45"/>
      <c r="C12" s="4" t="s">
        <v>41</v>
      </c>
      <c r="D12" s="4" t="s">
        <v>41</v>
      </c>
      <c r="E12" s="10" t="s">
        <v>35</v>
      </c>
      <c r="F12" s="1">
        <v>1</v>
      </c>
      <c r="G12" s="10">
        <v>1771</v>
      </c>
      <c r="H12" s="18">
        <f t="shared" si="0"/>
        <v>1771</v>
      </c>
      <c r="I12" s="2"/>
      <c r="J12" s="24" t="s">
        <v>32</v>
      </c>
      <c r="K12" s="22"/>
      <c r="L12" s="1" t="s">
        <v>62</v>
      </c>
      <c r="M12" s="12"/>
      <c r="N12" s="4"/>
      <c r="O12" s="19"/>
      <c r="P12" s="12"/>
      <c r="Q12" s="15">
        <v>45475</v>
      </c>
    </row>
    <row r="13" spans="2:17" s="3" customFormat="1" ht="19.7" customHeight="1" x14ac:dyDescent="0.15">
      <c r="B13" s="45"/>
      <c r="C13" s="4" t="s">
        <v>41</v>
      </c>
      <c r="D13" s="4" t="s">
        <v>41</v>
      </c>
      <c r="E13" s="10" t="s">
        <v>36</v>
      </c>
      <c r="F13" s="1">
        <v>1</v>
      </c>
      <c r="G13" s="10">
        <v>2019</v>
      </c>
      <c r="H13" s="18">
        <f t="shared" si="0"/>
        <v>2019</v>
      </c>
      <c r="I13" s="2"/>
      <c r="J13" s="24" t="s">
        <v>33</v>
      </c>
      <c r="K13" s="22"/>
      <c r="L13" s="1" t="s">
        <v>62</v>
      </c>
      <c r="M13" s="12"/>
      <c r="N13" s="4"/>
      <c r="O13" s="19"/>
      <c r="P13" s="12"/>
      <c r="Q13" s="15">
        <v>45475</v>
      </c>
    </row>
    <row r="14" spans="2:17" s="3" customFormat="1" ht="19.7" customHeight="1" x14ac:dyDescent="0.15">
      <c r="B14" s="45"/>
      <c r="C14" s="4" t="s">
        <v>41</v>
      </c>
      <c r="D14" s="4" t="s">
        <v>41</v>
      </c>
      <c r="E14" s="10" t="s">
        <v>38</v>
      </c>
      <c r="F14" s="1">
        <v>4</v>
      </c>
      <c r="G14" s="10">
        <v>500</v>
      </c>
      <c r="H14" s="18">
        <f t="shared" si="0"/>
        <v>2000</v>
      </c>
      <c r="I14" s="2"/>
      <c r="J14" s="10" t="s">
        <v>68</v>
      </c>
      <c r="K14" s="22"/>
      <c r="L14" s="1" t="s">
        <v>62</v>
      </c>
      <c r="M14" s="12"/>
      <c r="N14" s="4"/>
      <c r="O14" s="19"/>
      <c r="P14" s="12"/>
      <c r="Q14" s="15">
        <v>45475</v>
      </c>
    </row>
    <row r="15" spans="2:17" s="3" customFormat="1" ht="19.7" customHeight="1" x14ac:dyDescent="0.15">
      <c r="B15" s="45"/>
      <c r="C15" s="4" t="s">
        <v>41</v>
      </c>
      <c r="D15" s="4" t="s">
        <v>41</v>
      </c>
      <c r="E15" s="10" t="s">
        <v>67</v>
      </c>
      <c r="F15" s="1">
        <v>4</v>
      </c>
      <c r="G15" s="10">
        <v>500</v>
      </c>
      <c r="H15" s="18">
        <f t="shared" si="0"/>
        <v>2000</v>
      </c>
      <c r="I15" s="2"/>
      <c r="J15" s="10" t="s">
        <v>68</v>
      </c>
      <c r="K15" s="22"/>
      <c r="L15" s="1" t="s">
        <v>62</v>
      </c>
      <c r="M15" s="12"/>
      <c r="N15" s="4"/>
      <c r="O15" s="19"/>
      <c r="P15" s="12"/>
      <c r="Q15" s="15">
        <v>45475</v>
      </c>
    </row>
    <row r="16" spans="2:17" s="36" customFormat="1" ht="19.7" customHeight="1" x14ac:dyDescent="0.15">
      <c r="B16" s="46"/>
      <c r="C16" s="26" t="s">
        <v>43</v>
      </c>
      <c r="D16" s="26" t="s">
        <v>42</v>
      </c>
      <c r="E16" s="27" t="s">
        <v>40</v>
      </c>
      <c r="F16" s="28">
        <v>1</v>
      </c>
      <c r="G16" s="29">
        <v>1280</v>
      </c>
      <c r="H16" s="30">
        <f t="shared" si="0"/>
        <v>1280</v>
      </c>
      <c r="I16" s="31"/>
      <c r="J16" s="27" t="s">
        <v>39</v>
      </c>
      <c r="K16" s="32"/>
      <c r="L16" s="37" t="s">
        <v>61</v>
      </c>
      <c r="M16" s="33">
        <v>45462</v>
      </c>
      <c r="N16" s="26"/>
      <c r="O16" s="34"/>
      <c r="P16" s="33"/>
      <c r="Q16" s="35">
        <v>45467</v>
      </c>
    </row>
    <row r="17" spans="2:17" s="3" customFormat="1" ht="19.7" customHeight="1" x14ac:dyDescent="0.15">
      <c r="B17" s="38" t="s">
        <v>66</v>
      </c>
      <c r="C17" s="4" t="s">
        <v>26</v>
      </c>
      <c r="D17" s="4" t="s">
        <v>26</v>
      </c>
      <c r="E17" s="10" t="s">
        <v>44</v>
      </c>
      <c r="F17" s="1">
        <v>1</v>
      </c>
      <c r="G17" s="10">
        <v>3726</v>
      </c>
      <c r="H17" s="18">
        <f t="shared" si="0"/>
        <v>3726</v>
      </c>
      <c r="I17" s="2"/>
      <c r="J17" s="10" t="s">
        <v>45</v>
      </c>
      <c r="K17" s="22"/>
      <c r="L17" s="1" t="s">
        <v>62</v>
      </c>
      <c r="M17" s="12"/>
      <c r="N17" s="4"/>
      <c r="O17" s="19"/>
      <c r="P17" s="12"/>
      <c r="Q17" s="15">
        <v>45475</v>
      </c>
    </row>
    <row r="18" spans="2:17" s="3" customFormat="1" ht="19.7" customHeight="1" x14ac:dyDescent="0.15">
      <c r="B18" s="39"/>
      <c r="C18" s="4" t="s">
        <v>26</v>
      </c>
      <c r="D18" s="4" t="s">
        <v>26</v>
      </c>
      <c r="E18" s="10" t="s">
        <v>50</v>
      </c>
      <c r="F18" s="1">
        <v>1</v>
      </c>
      <c r="G18" s="10">
        <v>220</v>
      </c>
      <c r="H18" s="18">
        <f t="shared" si="0"/>
        <v>220</v>
      </c>
      <c r="I18" s="2"/>
      <c r="J18" s="10" t="s">
        <v>74</v>
      </c>
      <c r="K18" s="22"/>
      <c r="L18" s="1" t="s">
        <v>62</v>
      </c>
      <c r="M18" s="12"/>
      <c r="N18" s="4"/>
      <c r="O18" s="19"/>
      <c r="P18" s="12"/>
      <c r="Q18" s="15">
        <v>45475</v>
      </c>
    </row>
    <row r="19" spans="2:17" s="3" customFormat="1" ht="19.7" customHeight="1" x14ac:dyDescent="0.15">
      <c r="B19" s="39"/>
      <c r="C19" s="4" t="s">
        <v>26</v>
      </c>
      <c r="D19" s="4" t="s">
        <v>26</v>
      </c>
      <c r="E19" s="10" t="s">
        <v>51</v>
      </c>
      <c r="F19" s="1">
        <v>1</v>
      </c>
      <c r="G19" s="10">
        <v>170</v>
      </c>
      <c r="H19" s="18">
        <f t="shared" si="0"/>
        <v>170</v>
      </c>
      <c r="I19" s="2"/>
      <c r="J19" s="10" t="s">
        <v>73</v>
      </c>
      <c r="K19" s="22"/>
      <c r="L19" s="1" t="s">
        <v>62</v>
      </c>
      <c r="M19" s="12"/>
      <c r="N19" s="4"/>
      <c r="O19" s="19"/>
      <c r="P19" s="12"/>
      <c r="Q19" s="15">
        <v>45475</v>
      </c>
    </row>
    <row r="20" spans="2:17" s="3" customFormat="1" ht="19.7" customHeight="1" x14ac:dyDescent="0.15">
      <c r="B20" s="39"/>
      <c r="C20" s="4" t="s">
        <v>26</v>
      </c>
      <c r="D20" s="4" t="s">
        <v>26</v>
      </c>
      <c r="E20" s="10" t="s">
        <v>52</v>
      </c>
      <c r="F20" s="1">
        <v>1</v>
      </c>
      <c r="G20" s="10">
        <v>180</v>
      </c>
      <c r="H20" s="18">
        <f t="shared" si="0"/>
        <v>180</v>
      </c>
      <c r="I20" s="2"/>
      <c r="J20" s="10" t="s">
        <v>72</v>
      </c>
      <c r="K20" s="22"/>
      <c r="L20" s="1" t="s">
        <v>62</v>
      </c>
      <c r="M20" s="12"/>
      <c r="N20" s="4"/>
      <c r="O20" s="19"/>
      <c r="P20" s="12"/>
      <c r="Q20" s="15">
        <v>45475</v>
      </c>
    </row>
    <row r="21" spans="2:17" s="3" customFormat="1" ht="19.7" customHeight="1" x14ac:dyDescent="0.15">
      <c r="B21" s="39"/>
      <c r="C21" s="4" t="s">
        <v>26</v>
      </c>
      <c r="D21" s="4" t="s">
        <v>26</v>
      </c>
      <c r="E21" s="10" t="s">
        <v>53</v>
      </c>
      <c r="F21" s="1">
        <v>1</v>
      </c>
      <c r="G21" s="10">
        <v>220</v>
      </c>
      <c r="H21" s="18">
        <f t="shared" si="0"/>
        <v>220</v>
      </c>
      <c r="I21" s="2"/>
      <c r="J21" s="10" t="s">
        <v>72</v>
      </c>
      <c r="K21" s="22"/>
      <c r="L21" s="1" t="s">
        <v>62</v>
      </c>
      <c r="M21" s="12"/>
      <c r="N21" s="4"/>
      <c r="O21" s="19"/>
      <c r="P21" s="12"/>
      <c r="Q21" s="15">
        <v>45475</v>
      </c>
    </row>
    <row r="22" spans="2:17" s="3" customFormat="1" ht="19.7" customHeight="1" x14ac:dyDescent="0.15">
      <c r="B22" s="39"/>
      <c r="C22" s="4" t="s">
        <v>26</v>
      </c>
      <c r="D22" s="4" t="s">
        <v>26</v>
      </c>
      <c r="E22" s="10" t="s">
        <v>54</v>
      </c>
      <c r="F22" s="1">
        <v>1</v>
      </c>
      <c r="G22" s="10">
        <v>2970</v>
      </c>
      <c r="H22" s="18">
        <f t="shared" si="0"/>
        <v>2970</v>
      </c>
      <c r="I22" s="2"/>
      <c r="J22" s="10" t="s">
        <v>71</v>
      </c>
      <c r="K22" s="1"/>
      <c r="L22" s="1" t="s">
        <v>62</v>
      </c>
      <c r="M22" s="12"/>
      <c r="N22" s="4"/>
      <c r="O22" s="1"/>
      <c r="P22" s="12"/>
      <c r="Q22" s="15">
        <v>45475</v>
      </c>
    </row>
    <row r="23" spans="2:17" s="3" customFormat="1" ht="19.7" customHeight="1" x14ac:dyDescent="0.15">
      <c r="B23" s="39"/>
      <c r="C23" s="4" t="s">
        <v>26</v>
      </c>
      <c r="D23" s="4" t="s">
        <v>26</v>
      </c>
      <c r="E23" s="10" t="s">
        <v>55</v>
      </c>
      <c r="F23" s="1">
        <v>1</v>
      </c>
      <c r="G23" s="10">
        <v>270</v>
      </c>
      <c r="H23" s="18">
        <f t="shared" si="0"/>
        <v>270</v>
      </c>
      <c r="I23" s="2"/>
      <c r="J23" s="10" t="s">
        <v>70</v>
      </c>
      <c r="K23" s="1"/>
      <c r="L23" s="1" t="s">
        <v>62</v>
      </c>
      <c r="M23" s="12"/>
      <c r="N23" s="4"/>
      <c r="O23" s="1"/>
      <c r="P23" s="12"/>
      <c r="Q23" s="15">
        <v>45475</v>
      </c>
    </row>
    <row r="24" spans="2:17" s="3" customFormat="1" ht="19.7" customHeight="1" x14ac:dyDescent="0.15">
      <c r="B24" s="39"/>
      <c r="C24" s="4" t="s">
        <v>26</v>
      </c>
      <c r="D24" s="4" t="s">
        <v>26</v>
      </c>
      <c r="E24" s="10" t="s">
        <v>56</v>
      </c>
      <c r="F24" s="1">
        <v>1</v>
      </c>
      <c r="G24" s="10">
        <v>290</v>
      </c>
      <c r="H24" s="18">
        <f t="shared" si="0"/>
        <v>290</v>
      </c>
      <c r="I24" s="2"/>
      <c r="J24" s="10" t="s">
        <v>69</v>
      </c>
      <c r="K24" s="22"/>
      <c r="L24" s="1" t="s">
        <v>62</v>
      </c>
      <c r="M24" s="12"/>
      <c r="N24" s="4"/>
      <c r="O24" s="19"/>
      <c r="P24" s="12"/>
      <c r="Q24" s="15">
        <v>45475</v>
      </c>
    </row>
    <row r="25" spans="2:17" s="36" customFormat="1" ht="19.7" customHeight="1" x14ac:dyDescent="0.15">
      <c r="B25" s="39"/>
      <c r="C25" s="26" t="s">
        <v>48</v>
      </c>
      <c r="D25" s="26" t="s">
        <v>49</v>
      </c>
      <c r="E25" s="27" t="s">
        <v>46</v>
      </c>
      <c r="F25" s="28">
        <v>1</v>
      </c>
      <c r="G25" s="27">
        <v>4080</v>
      </c>
      <c r="H25" s="30">
        <f t="shared" si="0"/>
        <v>4080</v>
      </c>
      <c r="I25" s="31"/>
      <c r="J25" s="27" t="s">
        <v>57</v>
      </c>
      <c r="K25" s="32"/>
      <c r="L25" s="37" t="s">
        <v>61</v>
      </c>
      <c r="M25" s="33">
        <v>45462</v>
      </c>
      <c r="N25" s="26"/>
      <c r="O25" s="34"/>
      <c r="P25" s="33">
        <v>45476</v>
      </c>
      <c r="Q25" s="35">
        <v>45475</v>
      </c>
    </row>
    <row r="26" spans="2:17" s="36" customFormat="1" ht="19.7" customHeight="1" x14ac:dyDescent="0.15">
      <c r="B26" s="40"/>
      <c r="C26" s="26" t="s">
        <v>48</v>
      </c>
      <c r="D26" s="26" t="s">
        <v>49</v>
      </c>
      <c r="E26" s="27" t="s">
        <v>47</v>
      </c>
      <c r="F26" s="28">
        <v>1</v>
      </c>
      <c r="G26" s="27">
        <v>2140</v>
      </c>
      <c r="H26" s="30">
        <f t="shared" si="0"/>
        <v>2140</v>
      </c>
      <c r="I26" s="28"/>
      <c r="J26" s="27" t="s">
        <v>58</v>
      </c>
      <c r="K26" s="32"/>
      <c r="L26" s="37" t="s">
        <v>61</v>
      </c>
      <c r="M26" s="33">
        <v>45462</v>
      </c>
      <c r="N26" s="26"/>
      <c r="O26" s="34"/>
      <c r="P26" s="33">
        <v>45476</v>
      </c>
      <c r="Q26" s="35">
        <v>45475</v>
      </c>
    </row>
    <row r="27" spans="2:17" s="3" customFormat="1" ht="27" x14ac:dyDescent="0.15">
      <c r="B27" s="25" t="s">
        <v>65</v>
      </c>
      <c r="C27" s="4" t="s">
        <v>26</v>
      </c>
      <c r="D27" s="4" t="s">
        <v>26</v>
      </c>
      <c r="E27" s="10" t="s">
        <v>64</v>
      </c>
      <c r="F27" s="1">
        <v>1</v>
      </c>
      <c r="G27" s="10">
        <v>3070</v>
      </c>
      <c r="H27" s="18">
        <f t="shared" si="0"/>
        <v>3070</v>
      </c>
      <c r="I27" s="1"/>
      <c r="J27" s="10" t="s">
        <v>75</v>
      </c>
      <c r="K27" s="22"/>
      <c r="L27" s="1" t="s">
        <v>62</v>
      </c>
      <c r="M27" s="12"/>
      <c r="N27" s="4"/>
      <c r="O27" s="19"/>
      <c r="P27" s="12"/>
      <c r="Q27" s="15">
        <v>45475</v>
      </c>
    </row>
    <row r="28" spans="2:17" s="3" customFormat="1" ht="19.7" customHeight="1" x14ac:dyDescent="0.15">
      <c r="B28" s="4" t="s">
        <v>59</v>
      </c>
      <c r="C28" s="4" t="s">
        <v>25</v>
      </c>
      <c r="D28" s="4" t="s">
        <v>25</v>
      </c>
      <c r="E28" s="4" t="s">
        <v>23</v>
      </c>
      <c r="F28" s="20">
        <v>20</v>
      </c>
      <c r="G28" s="21">
        <v>5000</v>
      </c>
      <c r="H28" s="18">
        <f t="shared" si="0"/>
        <v>100000</v>
      </c>
      <c r="I28" s="2"/>
      <c r="J28" s="20"/>
      <c r="K28" s="22"/>
      <c r="L28" s="23"/>
      <c r="M28" s="12"/>
      <c r="N28" s="4"/>
      <c r="O28" s="19"/>
      <c r="P28" s="12"/>
      <c r="Q28" s="15"/>
    </row>
    <row r="29" spans="2:17" s="3" customFormat="1" ht="19.7" customHeight="1" x14ac:dyDescent="0.15">
      <c r="B29" s="4" t="s">
        <v>60</v>
      </c>
      <c r="C29" s="4" t="s">
        <v>25</v>
      </c>
      <c r="D29" s="4" t="s">
        <v>25</v>
      </c>
      <c r="E29" s="4" t="s">
        <v>24</v>
      </c>
      <c r="F29" s="1">
        <v>12</v>
      </c>
      <c r="G29" s="16">
        <v>5000</v>
      </c>
      <c r="H29" s="18">
        <f t="shared" si="0"/>
        <v>60000</v>
      </c>
      <c r="I29" s="2"/>
      <c r="J29" s="10"/>
      <c r="K29" s="1"/>
      <c r="L29" s="1"/>
      <c r="M29" s="12"/>
      <c r="N29" s="4"/>
      <c r="O29" s="1"/>
      <c r="P29" s="12"/>
      <c r="Q29" s="15"/>
    </row>
  </sheetData>
  <autoFilter ref="B8:O22" xr:uid="{5445119D-ED0C-46E2-9EF8-E1C0F6663E51}"/>
  <mergeCells count="8">
    <mergeCell ref="B17:B26"/>
    <mergeCell ref="B6:D6"/>
    <mergeCell ref="G2:I2"/>
    <mergeCell ref="B2:D2"/>
    <mergeCell ref="B3:D3"/>
    <mergeCell ref="B4:D4"/>
    <mergeCell ref="B5:D5"/>
    <mergeCell ref="B10:B16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20D8-C2AF-4F99-BE7A-37361DF21D07}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15BA-4A34-416C-A11B-69381202487B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2012-01-12T04:44:33Z</cp:lastPrinted>
  <dcterms:created xsi:type="dcterms:W3CDTF">2011-12-13T06:48:43Z</dcterms:created>
  <dcterms:modified xsi:type="dcterms:W3CDTF">2024-07-02T07:33:51Z</dcterms:modified>
</cp:coreProperties>
</file>