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128"/>
  <workbookPr defaultThemeVersion="124226"/>
  <mc:AlternateContent xmlns:mc="http://schemas.openxmlformats.org/markup-compatibility/2006">
    <mc:Choice Requires="x15">
      <x15ac:absPath xmlns:x15ac="http://schemas.microsoft.com/office/spreadsheetml/2010/11/ac" url="\\sv-ap\DATA\製品管理部(機材)出荷管理課・資材調達課\機材・資材調達課(ﾛﾎﾞｯﾄ部品手配)\"/>
    </mc:Choice>
  </mc:AlternateContent>
  <xr:revisionPtr revIDLastSave="0" documentId="13_ncr:1_{F8A1FF63-6A4D-4A55-92D1-9795D8D254FE}" xr6:coauthVersionLast="47" xr6:coauthVersionMax="47" xr10:uidLastSave="{00000000-0000-0000-0000-000000000000}"/>
  <bookViews>
    <workbookView xWindow="-108" yWindow="-108" windowWidth="23256" windowHeight="14016" xr2:uid="{00000000-000D-0000-FFFF-FFFF00000000}"/>
  </bookViews>
  <sheets>
    <sheet name="218250　原価表  20241001 ②" sheetId="8" r:id="rId1"/>
  </sheets>
  <definedNames>
    <definedName name="_xlnm._FilterDatabase" localSheetId="0" hidden="1">'218250　原価表  20241001 ②'!$D$9:$Q$111</definedName>
  </definedNames>
  <calcPr calcId="191029"/>
  <fileRecoveryPr autoRecover="0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J77" i="8" l="1"/>
  <c r="J76" i="8"/>
  <c r="J75" i="8"/>
  <c r="J74" i="8"/>
  <c r="J73" i="8"/>
  <c r="J72" i="8"/>
  <c r="J71" i="8"/>
  <c r="D71" i="8"/>
  <c r="D72" i="8" s="1"/>
  <c r="D73" i="8" s="1"/>
  <c r="D74" i="8" s="1"/>
  <c r="D75" i="8" s="1"/>
  <c r="D76" i="8" s="1"/>
  <c r="D77" i="8" s="1"/>
  <c r="J107" i="8"/>
  <c r="J106" i="8"/>
  <c r="J133" i="8"/>
  <c r="J132" i="8"/>
  <c r="J131" i="8"/>
  <c r="J130" i="8"/>
  <c r="J129" i="8"/>
  <c r="J128" i="8"/>
  <c r="J105" i="8"/>
  <c r="J104" i="8"/>
  <c r="J103" i="8"/>
  <c r="J102" i="8"/>
  <c r="J101" i="8"/>
  <c r="J100" i="8"/>
  <c r="J99" i="8"/>
  <c r="J98" i="8"/>
  <c r="J97" i="8"/>
  <c r="J96" i="8"/>
  <c r="J95" i="8"/>
  <c r="J94" i="8"/>
  <c r="J93" i="8"/>
  <c r="J92" i="8"/>
  <c r="J91" i="8"/>
  <c r="J90" i="8"/>
  <c r="J89" i="8"/>
  <c r="J88" i="8"/>
  <c r="J87" i="8"/>
  <c r="J86" i="8"/>
  <c r="J85" i="8"/>
  <c r="J84" i="8"/>
  <c r="J65" i="8"/>
  <c r="J64" i="8"/>
  <c r="J63" i="8"/>
  <c r="J62" i="8"/>
  <c r="J61" i="8"/>
  <c r="J60" i="8"/>
  <c r="J53" i="8"/>
  <c r="J52" i="8"/>
  <c r="J51" i="8"/>
  <c r="J50" i="8"/>
  <c r="J49" i="8"/>
  <c r="J48" i="8"/>
  <c r="J47" i="8"/>
  <c r="J46" i="8"/>
  <c r="J45" i="8"/>
  <c r="J44" i="8"/>
  <c r="J37" i="8"/>
  <c r="J36" i="8"/>
  <c r="J35" i="8"/>
  <c r="J34" i="8"/>
  <c r="J33" i="8"/>
  <c r="J32" i="8"/>
  <c r="J31" i="8"/>
  <c r="J30" i="8"/>
  <c r="J29" i="8"/>
  <c r="J22" i="8"/>
  <c r="J21" i="8"/>
  <c r="J20" i="8"/>
  <c r="J19" i="8"/>
  <c r="J18" i="8"/>
  <c r="J17" i="8"/>
  <c r="J16" i="8"/>
  <c r="J15" i="8"/>
  <c r="J14" i="8"/>
  <c r="J13" i="8"/>
  <c r="D13" i="8"/>
  <c r="D14" i="8" s="1"/>
  <c r="D15" i="8" s="1"/>
  <c r="D16" i="8" s="1"/>
  <c r="D17" i="8" s="1"/>
  <c r="D18" i="8" s="1"/>
  <c r="D19" i="8" s="1"/>
  <c r="D20" i="8" s="1"/>
  <c r="D21" i="8" s="1"/>
  <c r="D22" i="8" s="1"/>
  <c r="D29" i="8" s="1"/>
  <c r="J12" i="8"/>
  <c r="G80" i="8" l="1"/>
  <c r="G109" i="8"/>
  <c r="G55" i="8"/>
  <c r="G67" i="8"/>
  <c r="G39" i="8"/>
  <c r="L2" i="8"/>
  <c r="G24" i="8"/>
  <c r="D30" i="8"/>
  <c r="D31" i="8" s="1"/>
  <c r="D32" i="8" s="1"/>
  <c r="D33" i="8" s="1"/>
  <c r="D34" i="8" s="1"/>
  <c r="D35" i="8" s="1"/>
  <c r="D36" i="8" s="1"/>
  <c r="D37" i="8" s="1"/>
  <c r="D44" i="8" s="1"/>
  <c r="D45" i="8" s="1"/>
  <c r="D46" i="8" s="1"/>
  <c r="D47" i="8" l="1"/>
  <c r="D48" i="8" s="1"/>
  <c r="D49" i="8" s="1"/>
  <c r="D50" i="8" s="1"/>
  <c r="D51" i="8" s="1"/>
  <c r="D52" i="8" s="1"/>
  <c r="D53" i="8" s="1"/>
  <c r="D60" i="8" s="1"/>
  <c r="D61" i="8" s="1"/>
  <c r="D62" i="8" s="1"/>
  <c r="D63" i="8" s="1"/>
  <c r="D64" i="8" s="1"/>
  <c r="D65" i="8" s="1"/>
  <c r="D84" i="8" l="1"/>
  <c r="D85" i="8" s="1"/>
  <c r="D86" i="8" s="1"/>
  <c r="D87" i="8" s="1"/>
  <c r="D88" i="8" s="1"/>
  <c r="D89" i="8" s="1"/>
  <c r="D90" i="8" s="1"/>
  <c r="D91" i="8" s="1"/>
  <c r="D92" i="8" s="1"/>
  <c r="D93" i="8" s="1"/>
  <c r="D94" i="8" s="1"/>
  <c r="D95" i="8" s="1"/>
  <c r="D96" i="8" s="1"/>
  <c r="D97" i="8" s="1"/>
  <c r="D98" i="8" s="1"/>
  <c r="D99" i="8" s="1"/>
  <c r="D100" i="8" s="1"/>
  <c r="D101" i="8" s="1"/>
  <c r="D102" i="8" s="1"/>
  <c r="D103" i="8" s="1"/>
  <c r="D104" i="8" s="1"/>
  <c r="D105" i="8" s="1"/>
  <c r="D106" i="8" s="1"/>
  <c r="D107" i="8" s="1"/>
</calcChain>
</file>

<file path=xl/sharedStrings.xml><?xml version="1.0" encoding="utf-8"?>
<sst xmlns="http://schemas.openxmlformats.org/spreadsheetml/2006/main" count="436" uniqueCount="176">
  <si>
    <t>数量</t>
  </si>
  <si>
    <t>単価</t>
  </si>
  <si>
    <t>金額</t>
  </si>
  <si>
    <t>詳細</t>
    <rPh sb="0" eb="2">
      <t>ショウサイ</t>
    </rPh>
    <phoneticPr fontId="3"/>
  </si>
  <si>
    <t>見積り分類</t>
    <rPh sb="0" eb="2">
      <t>ミツモ</t>
    </rPh>
    <rPh sb="3" eb="5">
      <t>ブンルイ</t>
    </rPh>
    <phoneticPr fontId="2"/>
  </si>
  <si>
    <t>仕入先</t>
    <rPh sb="0" eb="2">
      <t>シイレ</t>
    </rPh>
    <rPh sb="2" eb="3">
      <t>サキ</t>
    </rPh>
    <phoneticPr fontId="2"/>
  </si>
  <si>
    <t>発注日</t>
    <rPh sb="0" eb="2">
      <t>ハッチュウ</t>
    </rPh>
    <rPh sb="2" eb="3">
      <t>ヒ</t>
    </rPh>
    <phoneticPr fontId="2"/>
  </si>
  <si>
    <t>納期</t>
    <rPh sb="0" eb="2">
      <t>ノウ</t>
    </rPh>
    <phoneticPr fontId="2"/>
  </si>
  <si>
    <t>品名 / 型式</t>
    <rPh sb="0" eb="2">
      <t>ヒンメイ</t>
    </rPh>
    <rPh sb="5" eb="7">
      <t>カタシキ</t>
    </rPh>
    <phoneticPr fontId="3"/>
  </si>
  <si>
    <t>メーカー</t>
    <phoneticPr fontId="2"/>
  </si>
  <si>
    <t>担当営業</t>
    <rPh sb="0" eb="2">
      <t>タントウ</t>
    </rPh>
    <rPh sb="2" eb="4">
      <t>エイギョウ</t>
    </rPh>
    <phoneticPr fontId="2"/>
  </si>
  <si>
    <t>お客先名</t>
    <rPh sb="1" eb="3">
      <t>キャクサキ</t>
    </rPh>
    <rPh sb="3" eb="4">
      <t>メイ</t>
    </rPh>
    <phoneticPr fontId="2"/>
  </si>
  <si>
    <t>受注番号</t>
    <rPh sb="0" eb="2">
      <t>ジュチュウ</t>
    </rPh>
    <rPh sb="2" eb="4">
      <t>バンゴウ</t>
    </rPh>
    <phoneticPr fontId="2"/>
  </si>
  <si>
    <t>希望納期</t>
    <rPh sb="0" eb="2">
      <t>キボウ</t>
    </rPh>
    <rPh sb="2" eb="4">
      <t>ノウ</t>
    </rPh>
    <phoneticPr fontId="2"/>
  </si>
  <si>
    <t>最終納品</t>
    <rPh sb="0" eb="2">
      <t>サイシュウ</t>
    </rPh>
    <rPh sb="2" eb="4">
      <t>ノウヒン</t>
    </rPh>
    <phoneticPr fontId="2"/>
  </si>
  <si>
    <t>合計金額</t>
    <rPh sb="0" eb="2">
      <t>ゴウケイ</t>
    </rPh>
    <rPh sb="2" eb="4">
      <t>キンガク</t>
    </rPh>
    <phoneticPr fontId="2"/>
  </si>
  <si>
    <t>技術分類</t>
    <rPh sb="0" eb="2">
      <t>ギジュツ</t>
    </rPh>
    <rPh sb="2" eb="4">
      <t>ブンルイ</t>
    </rPh>
    <phoneticPr fontId="2"/>
  </si>
  <si>
    <t>備考</t>
    <rPh sb="0" eb="2">
      <t>ビコウ</t>
    </rPh>
    <phoneticPr fontId="2"/>
  </si>
  <si>
    <t>分類合計</t>
    <rPh sb="0" eb="2">
      <t>ブンルイ</t>
    </rPh>
    <rPh sb="2" eb="4">
      <t>ゴウケイ</t>
    </rPh>
    <phoneticPr fontId="2"/>
  </si>
  <si>
    <t>発注</t>
    <rPh sb="0" eb="2">
      <t>ハッチュウ</t>
    </rPh>
    <phoneticPr fontId="2"/>
  </si>
  <si>
    <t>入荷予定日</t>
    <rPh sb="0" eb="2">
      <t>ニュウカ</t>
    </rPh>
    <rPh sb="2" eb="4">
      <t>ヨテイ</t>
    </rPh>
    <rPh sb="4" eb="5">
      <t>ヒ</t>
    </rPh>
    <phoneticPr fontId="2"/>
  </si>
  <si>
    <t>入荷日</t>
    <rPh sb="0" eb="2">
      <t>ニュウカ</t>
    </rPh>
    <rPh sb="2" eb="3">
      <t>ビ</t>
    </rPh>
    <phoneticPr fontId="2"/>
  </si>
  <si>
    <t>ミスミ</t>
    <phoneticPr fontId="2"/>
  </si>
  <si>
    <t>MWS-DS37A-HT37</t>
    <phoneticPr fontId="2"/>
  </si>
  <si>
    <t>DINレール</t>
    <phoneticPr fontId="2"/>
  </si>
  <si>
    <t>BVHVU6-3</t>
    <phoneticPr fontId="2"/>
  </si>
  <si>
    <t>ミスミ</t>
  </si>
  <si>
    <t>コモン端子台</t>
    <rPh sb="3" eb="5">
      <t>タンシ</t>
    </rPh>
    <rPh sb="5" eb="6">
      <t>ダイ</t>
    </rPh>
    <phoneticPr fontId="2"/>
  </si>
  <si>
    <t>Dsubコネクタハーネス</t>
    <phoneticPr fontId="2"/>
  </si>
  <si>
    <t>2日目</t>
    <rPh sb="1" eb="2">
      <t>ヒ</t>
    </rPh>
    <rPh sb="2" eb="3">
      <t>メ</t>
    </rPh>
    <phoneticPr fontId="10"/>
  </si>
  <si>
    <t>1日目</t>
    <rPh sb="1" eb="2">
      <t>ヒ</t>
    </rPh>
    <rPh sb="2" eb="3">
      <t>メ</t>
    </rPh>
    <phoneticPr fontId="10"/>
  </si>
  <si>
    <t>meviy</t>
    <phoneticPr fontId="2"/>
  </si>
  <si>
    <t>Dsubコネクタ端子台</t>
    <rPh sb="8" eb="10">
      <t>タンシ</t>
    </rPh>
    <rPh sb="10" eb="11">
      <t>ダイ</t>
    </rPh>
    <phoneticPr fontId="2"/>
  </si>
  <si>
    <t>ハンドバルブ　φ6</t>
    <phoneticPr fontId="2"/>
  </si>
  <si>
    <t>MKS9L-10P</t>
    <phoneticPr fontId="11"/>
  </si>
  <si>
    <t>MKBシリーズ　止め金具【10個入り】</t>
    <phoneticPr fontId="11"/>
  </si>
  <si>
    <t>カッチンダクト</t>
    <phoneticPr fontId="2"/>
  </si>
  <si>
    <t>ADR-341-JP</t>
    <phoneticPr fontId="2"/>
  </si>
  <si>
    <t>ＪＡＰＰY</t>
    <phoneticPr fontId="2"/>
  </si>
  <si>
    <t>MNCNL6-M5</t>
    <phoneticPr fontId="11"/>
  </si>
  <si>
    <t>ミニチュアワンタッチ継手　エルボ</t>
    <phoneticPr fontId="11"/>
  </si>
  <si>
    <t>3日目</t>
    <rPh sb="1" eb="2">
      <t>ヒ</t>
    </rPh>
    <rPh sb="2" eb="3">
      <t>メ</t>
    </rPh>
    <phoneticPr fontId="11"/>
  </si>
  <si>
    <t>1日目</t>
    <rPh sb="1" eb="2">
      <t>ヒ</t>
    </rPh>
    <rPh sb="2" eb="3">
      <t>メ</t>
    </rPh>
    <phoneticPr fontId="11"/>
  </si>
  <si>
    <t>BCBFB4-6</t>
    <phoneticPr fontId="11"/>
  </si>
  <si>
    <t>NCLA5-10-10</t>
    <phoneticPr fontId="11"/>
  </si>
  <si>
    <t>SCB4-5</t>
    <phoneticPr fontId="11"/>
  </si>
  <si>
    <t>金属カラー　　並級</t>
    <phoneticPr fontId="11"/>
  </si>
  <si>
    <t>六角穴付ボタンボルト　フランジ付タイプ</t>
    <phoneticPr fontId="11"/>
  </si>
  <si>
    <t>2日目</t>
    <rPh sb="1" eb="2">
      <t>ヒ</t>
    </rPh>
    <rPh sb="2" eb="3">
      <t>メ</t>
    </rPh>
    <phoneticPr fontId="11"/>
  </si>
  <si>
    <t>Dsub9　オス　コネクタハーネス　#4-40ショートねじ</t>
    <phoneticPr fontId="2"/>
  </si>
  <si>
    <t>ワンタッチ継手　ブラインドプラグ</t>
    <phoneticPr fontId="2"/>
  </si>
  <si>
    <t>出荷依頼項目NO.</t>
    <rPh sb="0" eb="2">
      <t>シュッカ</t>
    </rPh>
    <rPh sb="2" eb="4">
      <t>イライ</t>
    </rPh>
    <rPh sb="4" eb="6">
      <t>コウモク</t>
    </rPh>
    <phoneticPr fontId="11"/>
  </si>
  <si>
    <t>PUT4-10-B</t>
    <phoneticPr fontId="2"/>
  </si>
  <si>
    <t>エアチューブ</t>
    <phoneticPr fontId="2"/>
  </si>
  <si>
    <t>PUT6-10-B</t>
    <phoneticPr fontId="2"/>
  </si>
  <si>
    <t>1日目</t>
    <rPh sb="1" eb="2">
      <t>ヒ</t>
    </rPh>
    <rPh sb="2" eb="3">
      <t>メ</t>
    </rPh>
    <phoneticPr fontId="2"/>
  </si>
  <si>
    <t>5日目</t>
    <rPh sb="1" eb="2">
      <t>ヒ</t>
    </rPh>
    <rPh sb="2" eb="3">
      <t>メ</t>
    </rPh>
    <phoneticPr fontId="2"/>
  </si>
  <si>
    <t>2日目</t>
    <rPh sb="1" eb="2">
      <t>ヒ</t>
    </rPh>
    <rPh sb="2" eb="3">
      <t>メ</t>
    </rPh>
    <phoneticPr fontId="2"/>
  </si>
  <si>
    <t>3日目</t>
    <rPh sb="1" eb="2">
      <t>ヒ</t>
    </rPh>
    <rPh sb="2" eb="3">
      <t>メ</t>
    </rPh>
    <phoneticPr fontId="2"/>
  </si>
  <si>
    <t>5日目</t>
    <rPh sb="1" eb="2">
      <t>ヒ</t>
    </rPh>
    <rPh sb="2" eb="3">
      <t>メ</t>
    </rPh>
    <phoneticPr fontId="11"/>
  </si>
  <si>
    <t>六角支柱－片端おねじ片端めねじ</t>
    <phoneticPr fontId="11"/>
  </si>
  <si>
    <t>六角穴付ボルト－ステンレス　2本</t>
    <rPh sb="15" eb="16">
      <t>ホン</t>
    </rPh>
    <phoneticPr fontId="11"/>
  </si>
  <si>
    <t>SCB5-18</t>
    <phoneticPr fontId="11"/>
  </si>
  <si>
    <t>MVSHM-3N03002-3DD-41Y7L</t>
    <phoneticPr fontId="11"/>
  </si>
  <si>
    <t>MWI-COM-P10N10</t>
    <phoneticPr fontId="2"/>
  </si>
  <si>
    <t xml:space="preserve">SPWF4 </t>
    <phoneticPr fontId="2"/>
  </si>
  <si>
    <t>チェリック</t>
    <phoneticPr fontId="2"/>
  </si>
  <si>
    <t>CNYW6-6</t>
    <phoneticPr fontId="2"/>
  </si>
  <si>
    <t>ワンタッチ継手 R（PT）付二重Y型 CNYW</t>
    <phoneticPr fontId="2"/>
  </si>
  <si>
    <t>BSLG6</t>
    <phoneticPr fontId="2"/>
  </si>
  <si>
    <t>SETB0150-Z03 電磁弁+レギュラーﾕﾆｯﾄ取付板金</t>
    <phoneticPr fontId="11"/>
  </si>
  <si>
    <t>UJDST4-W</t>
    <phoneticPr fontId="2"/>
  </si>
  <si>
    <t>ﾜﾝﾀｯﾁ継手異径ﾕﾆｵﾝｽﾄﾚｰﾄ</t>
    <rPh sb="5" eb="7">
      <t>ツギテ</t>
    </rPh>
    <rPh sb="7" eb="8">
      <t>イ</t>
    </rPh>
    <rPh sb="8" eb="9">
      <t>ケイ</t>
    </rPh>
    <phoneticPr fontId="2"/>
  </si>
  <si>
    <t>USSTL4</t>
    <phoneticPr fontId="2"/>
  </si>
  <si>
    <t>ﾜﾝﾀｯﾁ継手ﾕﾆｵﾝｽﾄﾚｰﾄ</t>
    <rPh sb="5" eb="7">
      <t>ツギテ</t>
    </rPh>
    <phoneticPr fontId="2"/>
  </si>
  <si>
    <t>岸(齋藤）</t>
    <rPh sb="0" eb="1">
      <t>キシ</t>
    </rPh>
    <rPh sb="2" eb="4">
      <t>サイトウ</t>
    </rPh>
    <phoneticPr fontId="2"/>
  </si>
  <si>
    <t>MVSHM-3N02052005020-2D1-AN79X</t>
    <phoneticPr fontId="2"/>
  </si>
  <si>
    <t>CHNS4</t>
    <phoneticPr fontId="2"/>
  </si>
  <si>
    <t>蝶ﾅｯﾄ</t>
    <phoneticPr fontId="2"/>
  </si>
  <si>
    <t>RSCB4-15</t>
    <phoneticPr fontId="2"/>
  </si>
  <si>
    <t>六角ﾎﾞﾙﾄ</t>
    <phoneticPr fontId="2"/>
  </si>
  <si>
    <t>SCB4-6</t>
    <phoneticPr fontId="2"/>
  </si>
  <si>
    <t>配電ﾕﾆｯﾄ</t>
    <phoneticPr fontId="11"/>
  </si>
  <si>
    <t>8日目</t>
    <rPh sb="1" eb="2">
      <t>ヒ</t>
    </rPh>
    <rPh sb="2" eb="3">
      <t>メ</t>
    </rPh>
    <phoneticPr fontId="2"/>
  </si>
  <si>
    <t>浸け置きﾕﾆｯﾄ　</t>
    <rPh sb="0" eb="1">
      <t>ツ</t>
    </rPh>
    <rPh sb="2" eb="3">
      <t>オ</t>
    </rPh>
    <phoneticPr fontId="2"/>
  </si>
  <si>
    <t>MVSHM-3N02050006016-2LF-1RSEZ</t>
    <phoneticPr fontId="2"/>
  </si>
  <si>
    <t>SETB-0055-Z04　ｶｯﾌﾟﾎﾙﾀﾞｰＬ字ﾌﾞﾗｹｯﾄ</t>
    <phoneticPr fontId="2"/>
  </si>
  <si>
    <t>CRKB4-8</t>
    <phoneticPr fontId="2"/>
  </si>
  <si>
    <t>樹脂付ローレットボルト</t>
    <rPh sb="0" eb="2">
      <t>ジュシ</t>
    </rPh>
    <rPh sb="2" eb="3">
      <t>ツキ</t>
    </rPh>
    <phoneticPr fontId="2"/>
  </si>
  <si>
    <t>ＭＳ2-8</t>
    <phoneticPr fontId="2"/>
  </si>
  <si>
    <t>ﾉｯｸﾋﾟﾝφ2-8mm</t>
    <phoneticPr fontId="2"/>
  </si>
  <si>
    <t>ツ－ル治具部分　兵神P1034737ﾓｰﾉﾎﾟﾝﾌﾟ</t>
    <rPh sb="8" eb="10">
      <t>ヘイシン</t>
    </rPh>
    <phoneticPr fontId="11"/>
  </si>
  <si>
    <t>富士通ｾﾞﾈﾗﾙ様</t>
    <rPh sb="0" eb="3">
      <t>フジツウ</t>
    </rPh>
    <rPh sb="8" eb="9">
      <t>サマ</t>
    </rPh>
    <phoneticPr fontId="2"/>
  </si>
  <si>
    <t>8日間</t>
    <rPh sb="1" eb="2">
      <t>ヒ</t>
    </rPh>
    <rPh sb="2" eb="3">
      <t>カン</t>
    </rPh>
    <phoneticPr fontId="2"/>
  </si>
  <si>
    <t>MVBLK-AMW-3T4-397RR</t>
    <phoneticPr fontId="2"/>
  </si>
  <si>
    <t>SETB0214-Y01　兵神とAXAﾂｰﾙ治具ﾍﾞｰｽ</t>
  </si>
  <si>
    <t>AJPNGB4-P5.95-B6.0-G1-GC</t>
    <phoneticPr fontId="2"/>
  </si>
  <si>
    <t>位置決めピン 高硬度ステンレス</t>
    <phoneticPr fontId="2"/>
  </si>
  <si>
    <t xml:space="preserve">SCB4-10 </t>
    <phoneticPr fontId="2"/>
  </si>
  <si>
    <t>六角穴付ボルト－ステンレス　2本+2本</t>
    <rPh sb="15" eb="16">
      <t>ホン</t>
    </rPh>
    <rPh sb="18" eb="19">
      <t>ホン</t>
    </rPh>
    <phoneticPr fontId="2"/>
  </si>
  <si>
    <t>MVBLK-AMW-3T4-U7L9S</t>
    <phoneticPr fontId="2"/>
  </si>
  <si>
    <t>SETB0214-Y02　兵神とAXAﾂｰﾙ治具変換</t>
    <phoneticPr fontId="2"/>
  </si>
  <si>
    <t xml:space="preserve">MS3-10 </t>
    <phoneticPr fontId="2"/>
  </si>
  <si>
    <t>ノックピン　　　2本</t>
    <rPh sb="9" eb="10">
      <t>ホン</t>
    </rPh>
    <phoneticPr fontId="2"/>
  </si>
  <si>
    <t xml:space="preserve">SCB4-8 </t>
    <phoneticPr fontId="2"/>
  </si>
  <si>
    <t>六角穴付ボルト　　2本</t>
    <rPh sb="10" eb="11">
      <t>ホン</t>
    </rPh>
    <phoneticPr fontId="2"/>
  </si>
  <si>
    <t>MS2-6</t>
    <phoneticPr fontId="2"/>
  </si>
  <si>
    <t>六角穴付きﾎﾞﾙﾄ　 (M3×5)　　2本</t>
    <rPh sb="20" eb="21">
      <t>ホン</t>
    </rPh>
    <phoneticPr fontId="2"/>
  </si>
  <si>
    <t>SCB3-5</t>
    <phoneticPr fontId="2"/>
  </si>
  <si>
    <t>SCB4-14</t>
    <phoneticPr fontId="2"/>
  </si>
  <si>
    <t>SETB0181-Z04 ｶｯﾌﾟﾎﾙﾀﾞｰﾍﾞｰｽＬ字ﾌﾞﾗｹｯﾄ</t>
    <phoneticPr fontId="11"/>
  </si>
  <si>
    <t>MVSHM-3N02052-3JK-7S3MG</t>
    <phoneticPr fontId="2"/>
  </si>
  <si>
    <t>4日目</t>
    <rPh sb="1" eb="2">
      <t>ヒ</t>
    </rPh>
    <rPh sb="2" eb="3">
      <t>メ</t>
    </rPh>
    <phoneticPr fontId="2"/>
  </si>
  <si>
    <t>ｼﾘﾝｼﾞレギュレーター</t>
    <phoneticPr fontId="2"/>
  </si>
  <si>
    <t>158930－Z001　レギュレーター取付板金</t>
    <phoneticPr fontId="2"/>
  </si>
  <si>
    <t>BVHV6-1-3-A</t>
    <phoneticPr fontId="2"/>
  </si>
  <si>
    <t>ハンドバルブ</t>
    <phoneticPr fontId="2"/>
  </si>
  <si>
    <t>エアタック</t>
    <phoneticPr fontId="2"/>
  </si>
  <si>
    <t>PC401</t>
    <phoneticPr fontId="2"/>
  </si>
  <si>
    <t>ﾜﾝﾀｯﾁﾂｷﾞﾃ PCｼﾘｰｽﾞ</t>
    <phoneticPr fontId="23"/>
  </si>
  <si>
    <t xml:space="preserve">USYL6 </t>
    <phoneticPr fontId="2"/>
  </si>
  <si>
    <t>ワンタッチ継手　Ｙタイプ</t>
    <phoneticPr fontId="2"/>
  </si>
  <si>
    <t>ワンタッチ継手　ブラインドプラグ</t>
  </si>
  <si>
    <t>六角穴付きﾎﾞﾙﾄ　M4×6mm　　　　2本</t>
    <rPh sb="21" eb="22">
      <t>ホン</t>
    </rPh>
    <phoneticPr fontId="2"/>
  </si>
  <si>
    <t>MVSHM-ZZ99000000000-JPA226D52111AB</t>
    <phoneticPr fontId="2"/>
  </si>
  <si>
    <t>SETB-0004-Z03　ｶｯﾌﾟﾎﾙﾀﾞｰ</t>
    <phoneticPr fontId="2"/>
  </si>
  <si>
    <t>六角穴付ボルト－ステンレス　6本</t>
    <rPh sb="15" eb="16">
      <t>ホン</t>
    </rPh>
    <phoneticPr fontId="11"/>
  </si>
  <si>
    <t>ﾊｲﾄｾﾝｻｰｱﾝﾌﾟ固定ﾌﾞﾗｹｯﾄ</t>
    <rPh sb="11" eb="13">
      <t>コテイ</t>
    </rPh>
    <phoneticPr fontId="2"/>
  </si>
  <si>
    <t>158930-Z001　レギュレータ取付板金</t>
    <rPh sb="18" eb="20">
      <t>トリツケ</t>
    </rPh>
    <rPh sb="20" eb="22">
      <t>バンキン</t>
    </rPh>
    <phoneticPr fontId="2"/>
  </si>
  <si>
    <t>MRB-75</t>
    <phoneticPr fontId="2"/>
  </si>
  <si>
    <t>DINレール(アルミタイプ) 取付穴 4．5×25長穴</t>
    <phoneticPr fontId="2"/>
  </si>
  <si>
    <t>RS232C ｹｰﾌﾞﾙ</t>
    <phoneticPr fontId="2"/>
  </si>
  <si>
    <t>SCB4-5</t>
    <phoneticPr fontId="2"/>
  </si>
  <si>
    <t>六角穴付ボルト－ステンレス</t>
    <phoneticPr fontId="2"/>
  </si>
  <si>
    <r>
      <t>SETB0229-Y01</t>
    </r>
    <r>
      <rPr>
        <b/>
        <sz val="11"/>
        <color rgb="FFFF0000"/>
        <rFont val="ＭＳ Ｐゴシック"/>
        <family val="3"/>
        <charset val="128"/>
      </rPr>
      <t>-1</t>
    </r>
    <r>
      <rPr>
        <sz val="11"/>
        <rFont val="ＭＳ Ｐゴシック"/>
        <family val="3"/>
        <charset val="128"/>
      </rPr>
      <t>　AXAﾂｰﾙ治具 iIL-S100ﾌﾞﾗｹｯﾄ</t>
    </r>
    <phoneticPr fontId="11"/>
  </si>
  <si>
    <t>ALSBG8-28-M4-N4</t>
    <phoneticPr fontId="11"/>
  </si>
  <si>
    <t>ﾉｯｸﾋﾟﾝ　φ2mm-8mm　　7本</t>
    <rPh sb="18" eb="19">
      <t>ホン</t>
    </rPh>
    <phoneticPr fontId="2"/>
  </si>
  <si>
    <t>六角穴付ボルト　　2本+3本</t>
    <rPh sb="10" eb="11">
      <t>ホン</t>
    </rPh>
    <rPh sb="13" eb="14">
      <t>ホン</t>
    </rPh>
    <phoneticPr fontId="2"/>
  </si>
  <si>
    <t>MVSHM-3N02052-3YA-GBLHX</t>
    <phoneticPr fontId="11"/>
  </si>
  <si>
    <t>PDDU-PT-MS-9-1.5</t>
    <phoneticPr fontId="2"/>
  </si>
  <si>
    <t>PDDJ-PS-JS-37-1.5</t>
    <phoneticPr fontId="2"/>
  </si>
  <si>
    <t>MRB-350</t>
    <phoneticPr fontId="2"/>
  </si>
  <si>
    <t>SS300UCR UL/CE対応（シールド有(３芯）</t>
    <rPh sb="24" eb="25">
      <t>シン</t>
    </rPh>
    <phoneticPr fontId="2"/>
  </si>
  <si>
    <t>SS300UCRSB-23-3-8</t>
    <phoneticPr fontId="2"/>
  </si>
  <si>
    <t>SCB4-10</t>
    <phoneticPr fontId="11"/>
  </si>
  <si>
    <r>
      <t>平座金－単品販売－　M4用　10</t>
    </r>
    <r>
      <rPr>
        <b/>
        <sz val="11"/>
        <rFont val="ＭＳ Ｐゴシック"/>
        <family val="3"/>
        <charset val="128"/>
      </rPr>
      <t>個</t>
    </r>
    <r>
      <rPr>
        <sz val="11"/>
        <rFont val="ＭＳ Ｐゴシック"/>
        <family val="3"/>
        <charset val="128"/>
      </rPr>
      <t>　</t>
    </r>
    <rPh sb="12" eb="13">
      <t>ヨウ</t>
    </rPh>
    <rPh sb="16" eb="17">
      <t>コ</t>
    </rPh>
    <phoneticPr fontId="2"/>
  </si>
  <si>
    <t xml:space="preserve">SLBNR4 </t>
    <phoneticPr fontId="11"/>
  </si>
  <si>
    <t>ナット</t>
    <phoneticPr fontId="11"/>
  </si>
  <si>
    <t>218250</t>
    <phoneticPr fontId="2"/>
  </si>
  <si>
    <t>SETB0229-A01　　AXA300-HV+ecoPEN300+ﾊｲﾄｾﾝｻｰ+捨て射ち+ﾜｰｸ治具ﾋｰﾀｰﾕﾆｯﾄ+配電盤背中　原価一覧　20240724</t>
    <phoneticPr fontId="2"/>
  </si>
  <si>
    <t>C06-09F-09F-906</t>
    <phoneticPr fontId="2"/>
  </si>
  <si>
    <t>②</t>
    <phoneticPr fontId="11"/>
  </si>
  <si>
    <t xml:space="preserve">
AB23BAGF44</t>
    <phoneticPr fontId="23"/>
  </si>
  <si>
    <t>7日目</t>
    <rPh sb="1" eb="2">
      <t>ヒ</t>
    </rPh>
    <rPh sb="2" eb="3">
      <t>メ</t>
    </rPh>
    <phoneticPr fontId="2"/>
  </si>
  <si>
    <t>SHPT-HT-A-50-2.5</t>
    <phoneticPr fontId="23"/>
  </si>
  <si>
    <t>IEEE1284ハーフピッチ（MDR）コネクタ付ケーブル EMI対策タイプ</t>
    <phoneticPr fontId="23"/>
  </si>
  <si>
    <t xml:space="preserve">
AB23BC1752</t>
    <phoneticPr fontId="23"/>
  </si>
  <si>
    <t>BHHPT-PT-B-50-2.5</t>
    <phoneticPr fontId="23"/>
  </si>
  <si>
    <t>IEEE1284ハーフピッチ（MDR）コネクタ付ケーブル バラ線フード付 (3M製コネクタ使用)</t>
    <phoneticPr fontId="23"/>
  </si>
  <si>
    <t xml:space="preserve">
AB23BCG12C</t>
    <phoneticPr fontId="23"/>
  </si>
  <si>
    <t>ｹｰﾌﾞﾙﾍﾞｱﾌﾞﾗｹｯﾄ</t>
    <phoneticPr fontId="2"/>
  </si>
  <si>
    <t>MVSHM-3N03052-3YG-NNPUR</t>
  </si>
  <si>
    <t>SETB0229-X13 ｹｰﾌﾞﾙﾍﾞｱ　ﾜｰｸ治具側L字ﾌﾞﾗｹｯﾄ:1</t>
    <phoneticPr fontId="2"/>
  </si>
  <si>
    <t>AB23BE1483</t>
    <phoneticPr fontId="23"/>
  </si>
  <si>
    <t>MVBLK-AMW-3YG-2B428</t>
    <phoneticPr fontId="23"/>
  </si>
  <si>
    <t>SETB0229-X12 ｹｰﾌﾞﾙﾍﾞｱ柱側ﾌﾞﾗｹｯﾄ　</t>
    <phoneticPr fontId="23"/>
  </si>
  <si>
    <t>MS3-10</t>
  </si>
  <si>
    <t>ノックピン</t>
    <phoneticPr fontId="2"/>
  </si>
  <si>
    <t>SFB4-15</t>
  </si>
  <si>
    <t>六角皿ﾎﾞﾙﾄ</t>
    <rPh sb="2" eb="3">
      <t>サラ</t>
    </rPh>
    <phoneticPr fontId="2"/>
  </si>
  <si>
    <t>SKNTR4</t>
    <phoneticPr fontId="2"/>
  </si>
  <si>
    <t>ﾅｯﾄ</t>
    <phoneticPr fontId="2"/>
  </si>
  <si>
    <t>SZ08F-40-038-24</t>
    <phoneticPr fontId="2"/>
  </si>
  <si>
    <t>ｹｰﾌﾞﾙﾍﾞｱ</t>
    <phoneticPr fontId="2"/>
  </si>
  <si>
    <t>SFB3-8</t>
    <phoneticPr fontId="23"/>
  </si>
  <si>
    <r>
      <t xml:space="preserve">AB23BE1483⇒
</t>
    </r>
    <r>
      <rPr>
        <b/>
        <sz val="10"/>
        <color theme="2" tint="-0.499984740745262"/>
        <rFont val="ＭＳ Ｐゴシック"/>
        <family val="3"/>
        <charset val="128"/>
        <scheme val="minor"/>
      </rPr>
      <t>AB23C33B3F</t>
    </r>
    <phoneticPr fontId="23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</si>
</sst>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0">
    <numFmt numFmtId="5" formatCode="&quot;¥&quot;#,##0;&quot;¥&quot;\-#,##0"/>
    <numFmt numFmtId="176" formatCode="#,##0_);[Red]\(#,##0\)"/>
    <numFmt numFmtId="177" formatCode="yyyy&quot;年&quot;m&quot;月&quot;d&quot;日&quot;;@"/>
    <numFmt numFmtId="178" formatCode="m/d;@"/>
    <numFmt numFmtId="179" formatCode="m&quot;月&quot;d&quot;日&quot;;@"/>
    <numFmt numFmtId="180" formatCode="0_);[Red]\(0\)"/>
    <numFmt numFmtId="181" formatCode="0_ ;[Red]\-0\ "/>
    <numFmt numFmtId="182" formatCode="#,##0_ "/>
    <numFmt numFmtId="183" formatCode="0_ "/>
    <numFmt numFmtId="184" formatCode="&quot;¥&quot;#,##0_);[Red]\(&quot;¥&quot;#,##0\)"/>
  </numFmts>
  <fonts count="31" x14ac:knownFonts="1">
    <font>
      <sz val="11"/>
      <color theme="1"/>
      <name val="ＭＳ Ｐゴシック"/>
      <family val="3"/>
      <charset val="128"/>
      <scheme val="minor"/>
    </font>
    <font>
      <sz val="11"/>
      <color indexed="8"/>
      <name val="ＭＳ Ｐゴシック"/>
      <family val="3"/>
      <charset val="128"/>
    </font>
    <font>
      <sz val="6"/>
      <name val="ＭＳ Ｐゴシック"/>
      <family val="3"/>
      <charset val="128"/>
    </font>
    <font>
      <sz val="6"/>
      <name val="ＭＳ Ｐゴシック"/>
      <family val="3"/>
      <charset val="128"/>
    </font>
    <font>
      <b/>
      <sz val="11"/>
      <color indexed="8"/>
      <name val="ＭＳ Ｐゴシック"/>
      <family val="3"/>
      <charset val="128"/>
    </font>
    <font>
      <b/>
      <sz val="14"/>
      <color indexed="8"/>
      <name val="ＭＳ Ｐゴシック"/>
      <family val="3"/>
      <charset val="128"/>
    </font>
    <font>
      <sz val="11"/>
      <name val="ＭＳ Ｐゴシック"/>
      <family val="3"/>
      <charset val="128"/>
    </font>
    <font>
      <sz val="10"/>
      <color indexed="8"/>
      <name val="ＭＳ Ｐゴシック"/>
      <family val="3"/>
      <charset val="128"/>
    </font>
    <font>
      <b/>
      <sz val="14"/>
      <name val="ＭＳ Ｐゴシック"/>
      <family val="3"/>
      <charset val="128"/>
    </font>
    <font>
      <sz val="10"/>
      <name val="ＭＳ Ｐゴシック"/>
      <family val="3"/>
      <charset val="128"/>
    </font>
    <font>
      <sz val="6"/>
      <name val="ＭＳ Ｐゴシック"/>
      <family val="3"/>
      <charset val="128"/>
    </font>
    <font>
      <sz val="6"/>
      <name val="ＭＳ Ｐゴシック"/>
      <family val="3"/>
      <charset val="128"/>
    </font>
    <font>
      <sz val="11"/>
      <color rgb="FFFF0000"/>
      <name val="ＭＳ Ｐゴシック"/>
      <family val="3"/>
      <charset val="128"/>
      <scheme val="minor"/>
    </font>
    <font>
      <b/>
      <sz val="11"/>
      <color theme="1"/>
      <name val="ＭＳ Ｐゴシック"/>
      <family val="3"/>
      <charset val="128"/>
      <scheme val="minor"/>
    </font>
    <font>
      <sz val="11"/>
      <color theme="1"/>
      <name val="ＭＳ Ｐゴシック"/>
      <family val="3"/>
      <charset val="128"/>
    </font>
    <font>
      <b/>
      <sz val="14"/>
      <color theme="1"/>
      <name val="ＭＳ Ｐゴシック"/>
      <family val="3"/>
      <charset val="128"/>
      <scheme val="minor"/>
    </font>
    <font>
      <sz val="11"/>
      <name val="ＭＳ Ｐゴシック"/>
      <family val="3"/>
      <charset val="128"/>
      <scheme val="minor"/>
    </font>
    <font>
      <b/>
      <sz val="18"/>
      <color theme="1"/>
      <name val="ＭＳ Ｐゴシック"/>
      <family val="3"/>
      <charset val="128"/>
      <scheme val="minor"/>
    </font>
    <font>
      <sz val="11"/>
      <color rgb="FF000000"/>
      <name val="ＭＳ Ｐゴシック"/>
      <family val="3"/>
      <charset val="128"/>
    </font>
    <font>
      <b/>
      <sz val="16"/>
      <color theme="1"/>
      <name val="ＭＳ Ｐゴシック"/>
      <family val="3"/>
      <charset val="128"/>
      <scheme val="minor"/>
    </font>
    <font>
      <b/>
      <sz val="11"/>
      <color rgb="FFFF0000"/>
      <name val="ＭＳ Ｐゴシック"/>
      <family val="3"/>
      <charset val="128"/>
    </font>
    <font>
      <sz val="22"/>
      <color theme="1"/>
      <name val="ＭＳ Ｐゴシック"/>
      <family val="3"/>
      <charset val="128"/>
      <scheme val="minor"/>
    </font>
    <font>
      <sz val="11"/>
      <color theme="1"/>
      <name val="ＭＳ Ｐゴシック"/>
      <family val="3"/>
      <charset val="128"/>
      <scheme val="minor"/>
    </font>
    <font>
      <sz val="6"/>
      <name val="ＭＳ Ｐゴシック"/>
      <family val="3"/>
      <charset val="128"/>
      <scheme val="minor"/>
    </font>
    <font>
      <b/>
      <sz val="11"/>
      <name val="ＭＳ Ｐゴシック"/>
      <family val="3"/>
      <charset val="128"/>
    </font>
    <font>
      <b/>
      <sz val="14"/>
      <color theme="9" tint="-0.249977111117893"/>
      <name val="ＭＳ Ｐゴシック"/>
      <family val="3"/>
      <charset val="128"/>
      <scheme val="minor"/>
    </font>
    <font>
      <b/>
      <sz val="14"/>
      <color rgb="FF00B050"/>
      <name val="ＭＳ Ｐゴシック"/>
      <family val="3"/>
      <charset val="128"/>
      <scheme val="minor"/>
    </font>
    <font>
      <b/>
      <sz val="14"/>
      <color rgb="FF7030A0"/>
      <name val="ＭＳ Ｐゴシック"/>
      <family val="3"/>
      <charset val="128"/>
      <scheme val="minor"/>
    </font>
    <font>
      <b/>
      <sz val="14"/>
      <color theme="2" tint="-0.499984740745262"/>
      <name val="ＭＳ Ｐゴシック"/>
      <family val="3"/>
      <charset val="128"/>
      <scheme val="minor"/>
    </font>
    <font>
      <sz val="10"/>
      <color theme="2" tint="-0.499984740745262"/>
      <name val="ＭＳ Ｐゴシック"/>
      <family val="3"/>
      <charset val="128"/>
      <scheme val="minor"/>
    </font>
    <font>
      <b/>
      <sz val="10"/>
      <color theme="2" tint="-0.499984740745262"/>
      <name val="ＭＳ Ｐゴシック"/>
      <family val="3"/>
      <charset val="128"/>
      <scheme val="minor"/>
    </font>
  </fonts>
  <fills count="15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9" tint="0.39997558519241921"/>
        <bgColor indexed="64"/>
      </patternFill>
    </fill>
  </fills>
  <borders count="1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hair">
        <color indexed="64"/>
      </top>
      <bottom style="hair">
        <color indexed="64"/>
      </bottom>
      <diagonal/>
    </border>
  </borders>
  <cellStyleXfs count="3">
    <xf numFmtId="0" fontId="0" fillId="0" borderId="0">
      <alignment vertical="center"/>
    </xf>
    <xf numFmtId="0" fontId="6" fillId="0" borderId="0"/>
    <xf numFmtId="0" fontId="22" fillId="0" borderId="0">
      <alignment vertical="center"/>
    </xf>
  </cellStyleXfs>
  <cellXfs count="233">
    <xf numFmtId="0" fontId="0" fillId="0" borderId="0" xfId="0">
      <alignment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3" fontId="0" fillId="0" borderId="1" xfId="0" applyNumberForma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177" fontId="5" fillId="0" borderId="1" xfId="0" applyNumberFormat="1" applyFont="1" applyBorder="1" applyAlignment="1">
      <alignment horizontal="center" vertical="center"/>
    </xf>
    <xf numFmtId="176" fontId="4" fillId="0" borderId="1" xfId="0" applyNumberFormat="1" applyFont="1" applyBorder="1">
      <alignment vertical="center"/>
    </xf>
    <xf numFmtId="0" fontId="0" fillId="0" borderId="0" xfId="0" applyAlignment="1">
      <alignment horizontal="right" vertical="center"/>
    </xf>
    <xf numFmtId="0" fontId="5" fillId="0" borderId="1" xfId="0" applyFont="1" applyBorder="1" applyAlignment="1">
      <alignment horizontal="center" vertical="center" shrinkToFit="1"/>
    </xf>
    <xf numFmtId="179" fontId="0" fillId="0" borderId="0" xfId="0" applyNumberFormat="1" applyAlignment="1">
      <alignment horizontal="center" vertical="center"/>
    </xf>
    <xf numFmtId="179" fontId="0" fillId="0" borderId="1" xfId="0" applyNumberFormat="1" applyBorder="1" applyAlignment="1">
      <alignment horizontal="center" vertical="center"/>
    </xf>
    <xf numFmtId="179" fontId="0" fillId="0" borderId="0" xfId="0" applyNumberFormat="1">
      <alignment vertical="center"/>
    </xf>
    <xf numFmtId="178" fontId="0" fillId="0" borderId="0" xfId="0" applyNumberFormat="1">
      <alignment vertical="center"/>
    </xf>
    <xf numFmtId="178" fontId="0" fillId="0" borderId="1" xfId="0" applyNumberFormat="1" applyBorder="1" applyAlignment="1">
      <alignment horizontal="center" vertical="center"/>
    </xf>
    <xf numFmtId="38" fontId="0" fillId="0" borderId="0" xfId="0" applyNumberFormat="1">
      <alignment vertical="center"/>
    </xf>
    <xf numFmtId="177" fontId="5" fillId="0" borderId="0" xfId="0" applyNumberFormat="1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181" fontId="0" fillId="0" borderId="0" xfId="0" applyNumberFormat="1" applyAlignment="1">
      <alignment horizontal="center" vertical="center"/>
    </xf>
    <xf numFmtId="56" fontId="0" fillId="0" borderId="1" xfId="0" applyNumberFormat="1" applyBorder="1" applyAlignment="1">
      <alignment horizontal="center" vertical="center"/>
    </xf>
    <xf numFmtId="3" fontId="0" fillId="0" borderId="0" xfId="0" applyNumberFormat="1">
      <alignment vertical="center"/>
    </xf>
    <xf numFmtId="38" fontId="0" fillId="0" borderId="1" xfId="0" applyNumberFormat="1" applyBorder="1" applyAlignment="1">
      <alignment horizontal="right" vertical="center"/>
    </xf>
    <xf numFmtId="38" fontId="0" fillId="0" borderId="1" xfId="0" applyNumberFormat="1" applyBorder="1">
      <alignment vertical="center"/>
    </xf>
    <xf numFmtId="0" fontId="14" fillId="0" borderId="1" xfId="0" applyFont="1" applyBorder="1">
      <alignment vertical="center"/>
    </xf>
    <xf numFmtId="0" fontId="0" fillId="0" borderId="1" xfId="0" applyBorder="1" applyAlignment="1">
      <alignment horizontal="left" vertical="center"/>
    </xf>
    <xf numFmtId="0" fontId="0" fillId="0" borderId="1" xfId="0" applyBorder="1">
      <alignment vertical="center"/>
    </xf>
    <xf numFmtId="49" fontId="0" fillId="0" borderId="1" xfId="0" applyNumberFormat="1" applyBorder="1" applyAlignment="1">
      <alignment horizontal="left" vertical="center"/>
    </xf>
    <xf numFmtId="176" fontId="0" fillId="0" borderId="2" xfId="0" applyNumberFormat="1" applyBorder="1">
      <alignment vertical="center"/>
    </xf>
    <xf numFmtId="0" fontId="0" fillId="0" borderId="1" xfId="0" applyBorder="1" applyAlignment="1">
      <alignment horizontal="right" vertical="center"/>
    </xf>
    <xf numFmtId="56" fontId="12" fillId="0" borderId="1" xfId="0" applyNumberFormat="1" applyFont="1" applyBorder="1" applyAlignment="1">
      <alignment horizontal="center" vertical="center"/>
    </xf>
    <xf numFmtId="0" fontId="6" fillId="0" borderId="1" xfId="1" applyBorder="1" applyAlignment="1">
      <alignment vertical="center"/>
    </xf>
    <xf numFmtId="0" fontId="9" fillId="0" borderId="1" xfId="1" applyFont="1" applyBorder="1" applyAlignment="1">
      <alignment horizontal="center" vertical="center"/>
    </xf>
    <xf numFmtId="0" fontId="6" fillId="0" borderId="1" xfId="1" applyBorder="1" applyAlignment="1">
      <alignment horizontal="center" vertical="center"/>
    </xf>
    <xf numFmtId="176" fontId="0" fillId="0" borderId="1" xfId="0" applyNumberFormat="1" applyBorder="1">
      <alignment vertical="center"/>
    </xf>
    <xf numFmtId="0" fontId="7" fillId="0" borderId="1" xfId="0" applyFont="1" applyBorder="1" applyAlignment="1">
      <alignment horizontal="center" vertical="center"/>
    </xf>
    <xf numFmtId="176" fontId="15" fillId="3" borderId="1" xfId="0" applyNumberFormat="1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6" fillId="0" borderId="1" xfId="0" applyFont="1" applyBorder="1">
      <alignment vertical="center"/>
    </xf>
    <xf numFmtId="0" fontId="8" fillId="0" borderId="1" xfId="1" applyFont="1" applyBorder="1" applyAlignment="1">
      <alignment vertical="center"/>
    </xf>
    <xf numFmtId="176" fontId="0" fillId="0" borderId="2" xfId="0" applyNumberFormat="1" applyBorder="1" applyAlignment="1"/>
    <xf numFmtId="0" fontId="6" fillId="0" borderId="1" xfId="1" applyBorder="1" applyAlignment="1">
      <alignment horizontal="left" vertical="center"/>
    </xf>
    <xf numFmtId="176" fontId="0" fillId="0" borderId="1" xfId="0" applyNumberFormat="1" applyBorder="1" applyAlignment="1">
      <alignment horizontal="center" vertical="center"/>
    </xf>
    <xf numFmtId="0" fontId="16" fillId="0" borderId="1" xfId="0" applyFont="1" applyBorder="1" applyAlignment="1">
      <alignment horizontal="center" vertical="center"/>
    </xf>
    <xf numFmtId="0" fontId="16" fillId="0" borderId="1" xfId="0" applyFont="1" applyBorder="1" applyAlignment="1">
      <alignment horizontal="left" vertical="center"/>
    </xf>
    <xf numFmtId="0" fontId="0" fillId="0" borderId="1" xfId="0" applyBorder="1" applyAlignment="1">
      <alignment vertical="center" wrapText="1"/>
    </xf>
    <xf numFmtId="0" fontId="14" fillId="0" borderId="1" xfId="0" applyFont="1" applyBorder="1" applyAlignment="1">
      <alignment horizontal="center" vertical="center"/>
    </xf>
    <xf numFmtId="3" fontId="6" fillId="0" borderId="1" xfId="0" applyNumberFormat="1" applyFont="1" applyBorder="1" applyAlignment="1">
      <alignment horizontal="center" vertical="center"/>
    </xf>
    <xf numFmtId="0" fontId="14" fillId="0" borderId="3" xfId="0" applyFont="1" applyBorder="1" applyAlignment="1">
      <alignment horizontal="center" vertical="center"/>
    </xf>
    <xf numFmtId="176" fontId="14" fillId="0" borderId="4" xfId="0" applyNumberFormat="1" applyFont="1" applyBorder="1">
      <alignment vertical="center"/>
    </xf>
    <xf numFmtId="0" fontId="0" fillId="0" borderId="3" xfId="0" applyBorder="1">
      <alignment vertical="center"/>
    </xf>
    <xf numFmtId="176" fontId="15" fillId="0" borderId="1" xfId="0" applyNumberFormat="1" applyFont="1" applyBorder="1" applyAlignment="1">
      <alignment horizontal="center" vertical="center"/>
    </xf>
    <xf numFmtId="0" fontId="0" fillId="0" borderId="1" xfId="0" applyBorder="1" applyAlignment="1">
      <alignment horizontal="left" vertical="center" shrinkToFit="1"/>
    </xf>
    <xf numFmtId="176" fontId="6" fillId="0" borderId="1" xfId="0" applyNumberFormat="1" applyFont="1" applyBorder="1" applyAlignment="1"/>
    <xf numFmtId="0" fontId="16" fillId="0" borderId="2" xfId="0" applyFont="1" applyBorder="1" applyAlignment="1">
      <alignment horizontal="center" vertical="center"/>
    </xf>
    <xf numFmtId="176" fontId="0" fillId="0" borderId="1" xfId="0" applyNumberFormat="1" applyBorder="1" applyAlignment="1">
      <alignment horizontal="right"/>
    </xf>
    <xf numFmtId="176" fontId="0" fillId="0" borderId="1" xfId="0" applyNumberFormat="1" applyBorder="1" applyAlignment="1"/>
    <xf numFmtId="3" fontId="6" fillId="0" borderId="5" xfId="0" applyNumberFormat="1" applyFont="1" applyBorder="1" applyAlignment="1">
      <alignment horizontal="center" vertical="center"/>
    </xf>
    <xf numFmtId="180" fontId="1" fillId="0" borderId="1" xfId="0" applyNumberFormat="1" applyFont="1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6" fillId="0" borderId="1" xfId="0" applyFont="1" applyBorder="1">
      <alignment vertical="center"/>
    </xf>
    <xf numFmtId="49" fontId="5" fillId="0" borderId="1" xfId="0" applyNumberFormat="1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0" fillId="0" borderId="2" xfId="0" applyBorder="1">
      <alignment vertical="center"/>
    </xf>
    <xf numFmtId="176" fontId="6" fillId="0" borderId="2" xfId="0" applyNumberFormat="1" applyFont="1" applyBorder="1">
      <alignment vertical="center"/>
    </xf>
    <xf numFmtId="0" fontId="6" fillId="0" borderId="2" xfId="0" applyFont="1" applyBorder="1">
      <alignment vertical="center"/>
    </xf>
    <xf numFmtId="176" fontId="16" fillId="0" borderId="2" xfId="0" applyNumberFormat="1" applyFont="1" applyBorder="1" applyAlignment="1">
      <alignment horizontal="center" vertical="center"/>
    </xf>
    <xf numFmtId="56" fontId="0" fillId="0" borderId="0" xfId="0" applyNumberFormat="1" applyAlignment="1">
      <alignment horizontal="right" vertical="center"/>
    </xf>
    <xf numFmtId="0" fontId="0" fillId="0" borderId="2" xfId="0" applyBorder="1" applyAlignment="1">
      <alignment horizontal="right" vertical="center"/>
    </xf>
    <xf numFmtId="182" fontId="0" fillId="0" borderId="1" xfId="0" applyNumberFormat="1" applyBorder="1" applyAlignment="1">
      <alignment horizontal="right" vertical="center"/>
    </xf>
    <xf numFmtId="176" fontId="0" fillId="0" borderId="1" xfId="0" applyNumberFormat="1" applyBorder="1" applyAlignment="1">
      <alignment horizontal="right" vertical="center"/>
    </xf>
    <xf numFmtId="176" fontId="6" fillId="0" borderId="1" xfId="1" applyNumberFormat="1" applyBorder="1" applyAlignment="1">
      <alignment horizontal="right" vertical="center"/>
    </xf>
    <xf numFmtId="176" fontId="14" fillId="0" borderId="3" xfId="0" applyNumberFormat="1" applyFont="1" applyBorder="1" applyAlignment="1">
      <alignment horizontal="right" vertical="center"/>
    </xf>
    <xf numFmtId="176" fontId="0" fillId="0" borderId="0" xfId="0" applyNumberFormat="1" applyAlignment="1">
      <alignment horizontal="right" vertical="center"/>
    </xf>
    <xf numFmtId="176" fontId="1" fillId="0" borderId="1" xfId="0" applyNumberFormat="1" applyFont="1" applyBorder="1">
      <alignment vertical="center"/>
    </xf>
    <xf numFmtId="0" fontId="6" fillId="0" borderId="1" xfId="1" applyBorder="1" applyAlignment="1">
      <alignment horizontal="left"/>
    </xf>
    <xf numFmtId="5" fontId="15" fillId="0" borderId="1" xfId="0" applyNumberFormat="1" applyFont="1" applyBorder="1" applyAlignment="1">
      <alignment horizontal="right" vertical="center"/>
    </xf>
    <xf numFmtId="0" fontId="0" fillId="5" borderId="6" xfId="0" applyFill="1" applyBorder="1" applyAlignment="1">
      <alignment horizontal="center" vertical="center"/>
    </xf>
    <xf numFmtId="176" fontId="0" fillId="0" borderId="14" xfId="0" applyNumberFormat="1" applyBorder="1" applyAlignment="1">
      <alignment horizontal="center" vertical="center"/>
    </xf>
    <xf numFmtId="0" fontId="0" fillId="0" borderId="2" xfId="0" applyBorder="1" applyAlignment="1">
      <alignment horizontal="left" vertical="center"/>
    </xf>
    <xf numFmtId="0" fontId="12" fillId="0" borderId="1" xfId="0" applyFont="1" applyBorder="1" applyAlignment="1">
      <alignment horizontal="left" vertical="center"/>
    </xf>
    <xf numFmtId="3" fontId="0" fillId="0" borderId="2" xfId="0" applyNumberFormat="1" applyBorder="1" applyAlignment="1">
      <alignment horizontal="center" vertical="center"/>
    </xf>
    <xf numFmtId="3" fontId="0" fillId="0" borderId="9" xfId="0" applyNumberFormat="1" applyBorder="1" applyAlignment="1">
      <alignment horizontal="center" vertical="center"/>
    </xf>
    <xf numFmtId="49" fontId="0" fillId="0" borderId="10" xfId="0" applyNumberFormat="1" applyBorder="1" applyAlignment="1">
      <alignment horizontal="left" vertical="center"/>
    </xf>
    <xf numFmtId="38" fontId="16" fillId="0" borderId="11" xfId="0" applyNumberFormat="1" applyFont="1" applyBorder="1">
      <alignment vertical="center"/>
    </xf>
    <xf numFmtId="0" fontId="16" fillId="0" borderId="11" xfId="0" applyFont="1" applyBorder="1" applyAlignment="1">
      <alignment horizontal="center" vertical="center"/>
    </xf>
    <xf numFmtId="3" fontId="0" fillId="4" borderId="1" xfId="0" applyNumberFormat="1" applyFill="1" applyBorder="1" applyAlignment="1">
      <alignment horizontal="center" vertical="center"/>
    </xf>
    <xf numFmtId="38" fontId="0" fillId="0" borderId="1" xfId="0" applyNumberFormat="1" applyBorder="1" applyAlignment="1">
      <alignment horizontal="center" vertical="center"/>
    </xf>
    <xf numFmtId="182" fontId="0" fillId="0" borderId="1" xfId="0" applyNumberFormat="1" applyBorder="1" applyAlignment="1">
      <alignment horizontal="center" vertical="center"/>
    </xf>
    <xf numFmtId="0" fontId="0" fillId="5" borderId="1" xfId="0" applyFill="1" applyBorder="1" applyAlignment="1">
      <alignment horizontal="center" vertical="center"/>
    </xf>
    <xf numFmtId="0" fontId="0" fillId="5" borderId="0" xfId="0" applyFill="1" applyAlignment="1">
      <alignment horizontal="center" vertical="center"/>
    </xf>
    <xf numFmtId="3" fontId="0" fillId="5" borderId="1" xfId="0" applyNumberFormat="1" applyFill="1" applyBorder="1" applyAlignment="1">
      <alignment horizontal="center" vertical="center"/>
    </xf>
    <xf numFmtId="0" fontId="8" fillId="0" borderId="2" xfId="1" applyFont="1" applyBorder="1" applyAlignment="1">
      <alignment vertical="center"/>
    </xf>
    <xf numFmtId="0" fontId="8" fillId="0" borderId="4" xfId="1" applyFont="1" applyBorder="1" applyAlignment="1">
      <alignment vertical="center"/>
    </xf>
    <xf numFmtId="0" fontId="6" fillId="0" borderId="1" xfId="1" applyBorder="1" applyAlignment="1">
      <alignment horizontal="right" vertical="center"/>
    </xf>
    <xf numFmtId="3" fontId="16" fillId="0" borderId="1" xfId="0" applyNumberFormat="1" applyFont="1" applyBorder="1" applyAlignment="1">
      <alignment horizontal="center" vertical="center"/>
    </xf>
    <xf numFmtId="181" fontId="0" fillId="0" borderId="1" xfId="0" applyNumberFormat="1" applyBorder="1" applyAlignment="1">
      <alignment horizontal="center" vertical="center"/>
    </xf>
    <xf numFmtId="176" fontId="1" fillId="0" borderId="1" xfId="0" applyNumberFormat="1" applyFont="1" applyBorder="1" applyAlignment="1">
      <alignment horizontal="center" vertical="center"/>
    </xf>
    <xf numFmtId="0" fontId="6" fillId="0" borderId="1" xfId="0" applyFont="1" applyBorder="1" applyAlignment="1">
      <alignment horizontal="left" vertical="center"/>
    </xf>
    <xf numFmtId="180" fontId="6" fillId="0" borderId="1" xfId="0" applyNumberFormat="1" applyFont="1" applyBorder="1" applyAlignment="1">
      <alignment horizontal="center" vertical="center"/>
    </xf>
    <xf numFmtId="0" fontId="1" fillId="0" borderId="1" xfId="0" applyFont="1" applyBorder="1" applyAlignment="1">
      <alignment horizontal="left" vertical="center"/>
    </xf>
    <xf numFmtId="176" fontId="6" fillId="0" borderId="1" xfId="0" applyNumberFormat="1" applyFont="1" applyBorder="1" applyAlignment="1">
      <alignment horizontal="right" vertical="center"/>
    </xf>
    <xf numFmtId="176" fontId="0" fillId="0" borderId="14" xfId="0" applyNumberFormat="1" applyBorder="1" applyAlignment="1">
      <alignment horizontal="right" vertical="center"/>
    </xf>
    <xf numFmtId="176" fontId="16" fillId="0" borderId="14" xfId="0" applyNumberFormat="1" applyFont="1" applyBorder="1" applyAlignment="1">
      <alignment horizontal="right" vertical="center"/>
    </xf>
    <xf numFmtId="0" fontId="16" fillId="0" borderId="1" xfId="0" applyFont="1" applyBorder="1" applyAlignment="1">
      <alignment vertical="center" wrapText="1"/>
    </xf>
    <xf numFmtId="3" fontId="1" fillId="0" borderId="1" xfId="0" applyNumberFormat="1" applyFont="1" applyBorder="1" applyAlignment="1">
      <alignment horizontal="center" vertical="center"/>
    </xf>
    <xf numFmtId="176" fontId="9" fillId="0" borderId="1" xfId="0" applyNumberFormat="1" applyFont="1" applyBorder="1">
      <alignment vertical="center"/>
    </xf>
    <xf numFmtId="176" fontId="1" fillId="0" borderId="2" xfId="0" applyNumberFormat="1" applyFont="1" applyBorder="1" applyAlignment="1">
      <alignment horizontal="left" vertical="center"/>
    </xf>
    <xf numFmtId="176" fontId="14" fillId="0" borderId="2" xfId="0" applyNumberFormat="1" applyFont="1" applyBorder="1">
      <alignment vertical="center"/>
    </xf>
    <xf numFmtId="176" fontId="14" fillId="0" borderId="1" xfId="0" applyNumberFormat="1" applyFont="1" applyBorder="1" applyAlignment="1">
      <alignment horizontal="center" vertical="center"/>
    </xf>
    <xf numFmtId="176" fontId="6" fillId="0" borderId="1" xfId="0" applyNumberFormat="1" applyFont="1" applyBorder="1" applyAlignment="1">
      <alignment horizontal="left"/>
    </xf>
    <xf numFmtId="0" fontId="0" fillId="0" borderId="8" xfId="0" applyBorder="1" applyAlignment="1">
      <alignment horizontal="center" vertical="center"/>
    </xf>
    <xf numFmtId="3" fontId="0" fillId="9" borderId="1" xfId="0" applyNumberFormat="1" applyFill="1" applyBorder="1" applyAlignment="1">
      <alignment horizontal="center" vertical="center"/>
    </xf>
    <xf numFmtId="3" fontId="6" fillId="0" borderId="3" xfId="0" applyNumberFormat="1" applyFont="1" applyBorder="1" applyAlignment="1">
      <alignment horizontal="center" vertical="center"/>
    </xf>
    <xf numFmtId="0" fontId="0" fillId="0" borderId="3" xfId="0" applyBorder="1" applyAlignment="1">
      <alignment horizontal="left" vertical="center"/>
    </xf>
    <xf numFmtId="183" fontId="0" fillId="0" borderId="3" xfId="0" applyNumberFormat="1" applyBorder="1">
      <alignment vertical="center"/>
    </xf>
    <xf numFmtId="0" fontId="0" fillId="0" borderId="3" xfId="0" applyBorder="1" applyAlignment="1">
      <alignment horizontal="center" vertical="center"/>
    </xf>
    <xf numFmtId="0" fontId="16" fillId="0" borderId="3" xfId="0" applyFont="1" applyBorder="1" applyAlignment="1">
      <alignment horizontal="left" vertical="center"/>
    </xf>
    <xf numFmtId="183" fontId="16" fillId="0" borderId="3" xfId="0" applyNumberFormat="1" applyFont="1" applyBorder="1">
      <alignment vertical="center"/>
    </xf>
    <xf numFmtId="0" fontId="16" fillId="0" borderId="3" xfId="0" applyFont="1" applyBorder="1" applyAlignment="1">
      <alignment horizontal="center" vertical="center"/>
    </xf>
    <xf numFmtId="176" fontId="16" fillId="0" borderId="1" xfId="0" applyNumberFormat="1" applyFont="1" applyBorder="1">
      <alignment vertical="center"/>
    </xf>
    <xf numFmtId="0" fontId="9" fillId="0" borderId="1" xfId="0" applyFont="1" applyBorder="1" applyAlignment="1">
      <alignment horizontal="center" vertical="center"/>
    </xf>
    <xf numFmtId="176" fontId="17" fillId="3" borderId="1" xfId="0" applyNumberFormat="1" applyFont="1" applyFill="1" applyBorder="1" applyAlignment="1">
      <alignment horizontal="center" vertical="center"/>
    </xf>
    <xf numFmtId="182" fontId="17" fillId="3" borderId="1" xfId="0" applyNumberFormat="1" applyFont="1" applyFill="1" applyBorder="1" applyAlignment="1">
      <alignment horizontal="center" vertical="center"/>
    </xf>
    <xf numFmtId="176" fontId="14" fillId="0" borderId="1" xfId="0" applyNumberFormat="1" applyFont="1" applyBorder="1">
      <alignment vertical="center"/>
    </xf>
    <xf numFmtId="184" fontId="17" fillId="3" borderId="1" xfId="0" applyNumberFormat="1" applyFont="1" applyFill="1" applyBorder="1" applyAlignment="1">
      <alignment horizontal="center" vertical="center"/>
    </xf>
    <xf numFmtId="38" fontId="16" fillId="0" borderId="1" xfId="0" applyNumberFormat="1" applyFont="1" applyBorder="1" applyAlignment="1">
      <alignment horizontal="center" vertical="center"/>
    </xf>
    <xf numFmtId="0" fontId="16" fillId="0" borderId="2" xfId="0" applyFont="1" applyBorder="1" applyAlignment="1">
      <alignment horizontal="left" vertical="center"/>
    </xf>
    <xf numFmtId="180" fontId="16" fillId="0" borderId="1" xfId="0" applyNumberFormat="1" applyFont="1" applyBorder="1" applyAlignment="1">
      <alignment horizontal="center" vertical="center"/>
    </xf>
    <xf numFmtId="183" fontId="1" fillId="0" borderId="1" xfId="0" applyNumberFormat="1" applyFont="1" applyBorder="1" applyAlignment="1">
      <alignment horizontal="center" vertical="center"/>
    </xf>
    <xf numFmtId="176" fontId="0" fillId="0" borderId="2" xfId="0" applyNumberFormat="1" applyBorder="1" applyAlignment="1">
      <alignment horizontal="left"/>
    </xf>
    <xf numFmtId="0" fontId="0" fillId="8" borderId="1" xfId="0" applyFill="1" applyBorder="1" applyAlignment="1">
      <alignment horizontal="left" vertical="center"/>
    </xf>
    <xf numFmtId="183" fontId="16" fillId="0" borderId="1" xfId="0" applyNumberFormat="1" applyFont="1" applyBorder="1" applyAlignment="1">
      <alignment horizontal="center" vertical="center"/>
    </xf>
    <xf numFmtId="176" fontId="0" fillId="0" borderId="1" xfId="0" applyNumberFormat="1" applyBorder="1" applyAlignment="1">
      <alignment horizontal="left" vertical="center"/>
    </xf>
    <xf numFmtId="3" fontId="13" fillId="0" borderId="1" xfId="0" applyNumberFormat="1" applyFont="1" applyBorder="1" applyAlignment="1">
      <alignment horizontal="center" vertical="center"/>
    </xf>
    <xf numFmtId="0" fontId="13" fillId="0" borderId="1" xfId="0" applyFont="1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176" fontId="7" fillId="0" borderId="1" xfId="0" applyNumberFormat="1" applyFont="1" applyBorder="1" applyAlignment="1">
      <alignment horizontal="center" vertical="center"/>
    </xf>
    <xf numFmtId="180" fontId="6" fillId="0" borderId="1" xfId="0" applyNumberFormat="1" applyFont="1" applyBorder="1">
      <alignment vertical="center"/>
    </xf>
    <xf numFmtId="176" fontId="6" fillId="0" borderId="1" xfId="0" applyNumberFormat="1" applyFont="1" applyBorder="1" applyAlignment="1">
      <alignment horizontal="center" vertical="center"/>
    </xf>
    <xf numFmtId="3" fontId="18" fillId="9" borderId="15" xfId="0" applyNumberFormat="1" applyFont="1" applyFill="1" applyBorder="1" applyAlignment="1">
      <alignment horizontal="center" vertical="center"/>
    </xf>
    <xf numFmtId="0" fontId="0" fillId="5" borderId="1" xfId="0" applyFill="1" applyBorder="1" applyAlignment="1">
      <alignment horizontal="left" vertical="center" shrinkToFit="1"/>
    </xf>
    <xf numFmtId="49" fontId="0" fillId="5" borderId="1" xfId="0" applyNumberFormat="1" applyFill="1" applyBorder="1" applyAlignment="1">
      <alignment horizontal="left" vertical="center"/>
    </xf>
    <xf numFmtId="0" fontId="6" fillId="5" borderId="1" xfId="1" applyFill="1" applyBorder="1" applyAlignment="1">
      <alignment vertical="center"/>
    </xf>
    <xf numFmtId="0" fontId="14" fillId="5" borderId="1" xfId="0" applyFont="1" applyFill="1" applyBorder="1">
      <alignment vertical="center"/>
    </xf>
    <xf numFmtId="0" fontId="0" fillId="5" borderId="1" xfId="0" applyFill="1" applyBorder="1">
      <alignment vertical="center"/>
    </xf>
    <xf numFmtId="0" fontId="6" fillId="5" borderId="1" xfId="0" applyFont="1" applyFill="1" applyBorder="1" applyAlignment="1">
      <alignment horizontal="left" vertical="center" shrinkToFit="1"/>
    </xf>
    <xf numFmtId="0" fontId="0" fillId="5" borderId="8" xfId="0" applyFill="1" applyBorder="1" applyAlignment="1">
      <alignment horizontal="center" vertical="center"/>
    </xf>
    <xf numFmtId="0" fontId="0" fillId="5" borderId="1" xfId="0" applyFill="1" applyBorder="1" applyAlignment="1">
      <alignment horizontal="left" vertical="center"/>
    </xf>
    <xf numFmtId="0" fontId="1" fillId="5" borderId="1" xfId="0" applyFont="1" applyFill="1" applyBorder="1" applyAlignment="1">
      <alignment horizontal="left" vertical="center"/>
    </xf>
    <xf numFmtId="0" fontId="16" fillId="5" borderId="1" xfId="0" applyFont="1" applyFill="1" applyBorder="1">
      <alignment vertical="center"/>
    </xf>
    <xf numFmtId="0" fontId="6" fillId="5" borderId="1" xfId="1" applyFill="1" applyBorder="1" applyAlignment="1">
      <alignment horizontal="left" vertical="center"/>
    </xf>
    <xf numFmtId="0" fontId="1" fillId="5" borderId="1" xfId="0" applyFont="1" applyFill="1" applyBorder="1">
      <alignment vertical="center"/>
    </xf>
    <xf numFmtId="0" fontId="0" fillId="5" borderId="1" xfId="0" applyFill="1" applyBorder="1" applyAlignment="1">
      <alignment vertical="center" wrapText="1"/>
    </xf>
    <xf numFmtId="3" fontId="6" fillId="7" borderId="1" xfId="0" applyNumberFormat="1" applyFont="1" applyFill="1" applyBorder="1" applyAlignment="1">
      <alignment horizontal="center" vertical="center"/>
    </xf>
    <xf numFmtId="49" fontId="16" fillId="7" borderId="1" xfId="0" applyNumberFormat="1" applyFont="1" applyFill="1" applyBorder="1" applyAlignment="1">
      <alignment horizontal="left" vertical="center"/>
    </xf>
    <xf numFmtId="0" fontId="16" fillId="7" borderId="1" xfId="0" applyFont="1" applyFill="1" applyBorder="1" applyAlignment="1">
      <alignment horizontal="center" vertical="center"/>
    </xf>
    <xf numFmtId="38" fontId="16" fillId="7" borderId="1" xfId="0" applyNumberFormat="1" applyFont="1" applyFill="1" applyBorder="1" applyAlignment="1">
      <alignment horizontal="right" vertical="center"/>
    </xf>
    <xf numFmtId="38" fontId="16" fillId="0" borderId="1" xfId="0" applyNumberFormat="1" applyFont="1" applyBorder="1" applyAlignment="1">
      <alignment horizontal="right" vertical="center"/>
    </xf>
    <xf numFmtId="181" fontId="0" fillId="5" borderId="1" xfId="0" applyNumberFormat="1" applyFill="1" applyBorder="1" applyAlignment="1">
      <alignment horizontal="center" vertical="center"/>
    </xf>
    <xf numFmtId="0" fontId="6" fillId="5" borderId="1" xfId="0" applyFont="1" applyFill="1" applyBorder="1" applyAlignment="1">
      <alignment horizontal="left" vertical="center"/>
    </xf>
    <xf numFmtId="0" fontId="16" fillId="5" borderId="1" xfId="0" applyFont="1" applyFill="1" applyBorder="1" applyAlignment="1">
      <alignment horizontal="center" vertical="center"/>
    </xf>
    <xf numFmtId="3" fontId="16" fillId="5" borderId="11" xfId="0" applyNumberFormat="1" applyFont="1" applyFill="1" applyBorder="1" applyAlignment="1">
      <alignment horizontal="center" vertical="center"/>
    </xf>
    <xf numFmtId="49" fontId="16" fillId="5" borderId="11" xfId="0" applyNumberFormat="1" applyFont="1" applyFill="1" applyBorder="1" applyAlignment="1">
      <alignment horizontal="left" vertical="center"/>
    </xf>
    <xf numFmtId="0" fontId="16" fillId="5" borderId="11" xfId="0" applyFont="1" applyFill="1" applyBorder="1" applyAlignment="1">
      <alignment horizontal="center" vertical="center"/>
    </xf>
    <xf numFmtId="38" fontId="16" fillId="5" borderId="11" xfId="0" applyNumberFormat="1" applyFont="1" applyFill="1" applyBorder="1" applyAlignment="1">
      <alignment horizontal="right" vertical="center"/>
    </xf>
    <xf numFmtId="3" fontId="16" fillId="5" borderId="2" xfId="0" applyNumberFormat="1" applyFont="1" applyFill="1" applyBorder="1" applyAlignment="1">
      <alignment horizontal="center" vertical="center"/>
    </xf>
    <xf numFmtId="3" fontId="16" fillId="5" borderId="1" xfId="0" applyNumberFormat="1" applyFont="1" applyFill="1" applyBorder="1" applyAlignment="1">
      <alignment horizontal="center" vertical="center"/>
    </xf>
    <xf numFmtId="49" fontId="16" fillId="5" borderId="1" xfId="0" applyNumberFormat="1" applyFont="1" applyFill="1" applyBorder="1" applyAlignment="1">
      <alignment horizontal="left" vertical="center"/>
    </xf>
    <xf numFmtId="0" fontId="16" fillId="4" borderId="1" xfId="0" applyFont="1" applyFill="1" applyBorder="1" applyAlignment="1">
      <alignment horizontal="center" vertical="center"/>
    </xf>
    <xf numFmtId="0" fontId="16" fillId="5" borderId="11" xfId="0" applyFont="1" applyFill="1" applyBorder="1">
      <alignment vertical="center"/>
    </xf>
    <xf numFmtId="0" fontId="16" fillId="5" borderId="1" xfId="0" applyFont="1" applyFill="1" applyBorder="1" applyAlignment="1">
      <alignment horizontal="left" vertical="center"/>
    </xf>
    <xf numFmtId="0" fontId="6" fillId="5" borderId="1" xfId="1" applyFill="1" applyBorder="1" applyAlignment="1">
      <alignment horizontal="left"/>
    </xf>
    <xf numFmtId="0" fontId="0" fillId="5" borderId="16" xfId="0" applyFill="1" applyBorder="1" applyAlignment="1">
      <alignment horizontal="center" vertical="center"/>
    </xf>
    <xf numFmtId="0" fontId="0" fillId="5" borderId="1" xfId="0" applyFill="1" applyBorder="1" applyAlignment="1">
      <alignment vertical="center" shrinkToFit="1"/>
    </xf>
    <xf numFmtId="176" fontId="16" fillId="0" borderId="1" xfId="0" applyNumberFormat="1" applyFont="1" applyBorder="1" applyAlignment="1">
      <alignment horizontal="left" vertical="center"/>
    </xf>
    <xf numFmtId="176" fontId="16" fillId="0" borderId="2" xfId="0" applyNumberFormat="1" applyFont="1" applyBorder="1" applyAlignment="1">
      <alignment horizontal="left" vertical="center"/>
    </xf>
    <xf numFmtId="0" fontId="6" fillId="5" borderId="2" xfId="0" applyFont="1" applyFill="1" applyBorder="1">
      <alignment vertical="center"/>
    </xf>
    <xf numFmtId="0" fontId="6" fillId="5" borderId="2" xfId="0" applyFont="1" applyFill="1" applyBorder="1" applyAlignment="1">
      <alignment horizontal="left" vertical="center" shrinkToFit="1"/>
    </xf>
    <xf numFmtId="3" fontId="16" fillId="4" borderId="1" xfId="0" applyNumberFormat="1" applyFont="1" applyFill="1" applyBorder="1" applyAlignment="1">
      <alignment horizontal="center" vertical="center"/>
    </xf>
    <xf numFmtId="3" fontId="6" fillId="4" borderId="1" xfId="0" applyNumberFormat="1" applyFont="1" applyFill="1" applyBorder="1" applyAlignment="1">
      <alignment horizontal="center" vertical="center"/>
    </xf>
    <xf numFmtId="49" fontId="0" fillId="0" borderId="1" xfId="0" applyNumberFormat="1" applyBorder="1" applyAlignment="1">
      <alignment horizontal="left" vertical="center" shrinkToFit="1"/>
    </xf>
    <xf numFmtId="0" fontId="22" fillId="0" borderId="2" xfId="0" applyFont="1" applyBorder="1">
      <alignment vertical="center"/>
    </xf>
    <xf numFmtId="0" fontId="9" fillId="12" borderId="1" xfId="1" applyFont="1" applyFill="1" applyBorder="1" applyAlignment="1">
      <alignment horizontal="center" vertical="center"/>
    </xf>
    <xf numFmtId="176" fontId="16" fillId="12" borderId="1" xfId="0" applyNumberFormat="1" applyFont="1" applyFill="1" applyBorder="1" applyAlignment="1">
      <alignment horizontal="center" vertical="center"/>
    </xf>
    <xf numFmtId="0" fontId="16" fillId="12" borderId="3" xfId="0" applyFont="1" applyFill="1" applyBorder="1" applyAlignment="1">
      <alignment horizontal="center" vertical="center"/>
    </xf>
    <xf numFmtId="176" fontId="0" fillId="12" borderId="1" xfId="0" applyNumberFormat="1" applyFill="1" applyBorder="1" applyAlignment="1">
      <alignment horizontal="center" vertical="center"/>
    </xf>
    <xf numFmtId="181" fontId="0" fillId="12" borderId="1" xfId="0" applyNumberFormat="1" applyFill="1" applyBorder="1" applyAlignment="1">
      <alignment horizontal="center" vertical="center"/>
    </xf>
    <xf numFmtId="176" fontId="6" fillId="12" borderId="1" xfId="0" applyNumberFormat="1" applyFont="1" applyFill="1" applyBorder="1" applyAlignment="1">
      <alignment horizontal="center" vertical="center"/>
    </xf>
    <xf numFmtId="176" fontId="1" fillId="12" borderId="1" xfId="0" applyNumberFormat="1" applyFont="1" applyFill="1" applyBorder="1" applyAlignment="1">
      <alignment horizontal="center" vertical="center"/>
    </xf>
    <xf numFmtId="38" fontId="16" fillId="12" borderId="1" xfId="0" applyNumberFormat="1" applyFont="1" applyFill="1" applyBorder="1" applyAlignment="1">
      <alignment horizontal="center" vertical="center"/>
    </xf>
    <xf numFmtId="38" fontId="16" fillId="12" borderId="1" xfId="0" applyNumberFormat="1" applyFont="1" applyFill="1" applyBorder="1" applyAlignment="1">
      <alignment horizontal="right" vertical="center"/>
    </xf>
    <xf numFmtId="38" fontId="0" fillId="12" borderId="1" xfId="0" applyNumberFormat="1" applyFill="1" applyBorder="1" applyAlignment="1">
      <alignment horizontal="right" vertical="center"/>
    </xf>
    <xf numFmtId="176" fontId="16" fillId="12" borderId="1" xfId="0" applyNumberFormat="1" applyFont="1" applyFill="1" applyBorder="1">
      <alignment vertical="center"/>
    </xf>
    <xf numFmtId="0" fontId="6" fillId="12" borderId="1" xfId="1" applyFill="1" applyBorder="1" applyAlignment="1">
      <alignment horizontal="right" vertical="center"/>
    </xf>
    <xf numFmtId="176" fontId="6" fillId="12" borderId="1" xfId="0" applyNumberFormat="1" applyFont="1" applyFill="1" applyBorder="1" applyAlignment="1">
      <alignment horizontal="right" vertical="center"/>
    </xf>
    <xf numFmtId="176" fontId="16" fillId="12" borderId="1" xfId="0" applyNumberFormat="1" applyFont="1" applyFill="1" applyBorder="1" applyAlignment="1">
      <alignment horizontal="right" vertical="center"/>
    </xf>
    <xf numFmtId="0" fontId="0" fillId="12" borderId="1" xfId="0" applyFill="1" applyBorder="1" applyAlignment="1">
      <alignment horizontal="right" vertical="center"/>
    </xf>
    <xf numFmtId="0" fontId="0" fillId="12" borderId="1" xfId="0" applyFill="1" applyBorder="1" applyAlignment="1">
      <alignment horizontal="center" vertical="center"/>
    </xf>
    <xf numFmtId="0" fontId="6" fillId="12" borderId="1" xfId="1" applyFill="1" applyBorder="1" applyAlignment="1">
      <alignment horizontal="center" vertical="center"/>
    </xf>
    <xf numFmtId="3" fontId="25" fillId="0" borderId="1" xfId="0" applyNumberFormat="1" applyFont="1" applyBorder="1" applyAlignment="1">
      <alignment horizontal="center" vertical="center"/>
    </xf>
    <xf numFmtId="3" fontId="0" fillId="13" borderId="1" xfId="0" applyNumberFormat="1" applyFill="1" applyBorder="1" applyAlignment="1">
      <alignment horizontal="center" vertical="center"/>
    </xf>
    <xf numFmtId="0" fontId="0" fillId="13" borderId="1" xfId="0" applyFill="1" applyBorder="1" applyAlignment="1">
      <alignment horizontal="left" vertical="center"/>
    </xf>
    <xf numFmtId="180" fontId="1" fillId="13" borderId="1" xfId="0" applyNumberFormat="1" applyFont="1" applyFill="1" applyBorder="1" applyAlignment="1">
      <alignment horizontal="center" vertical="center"/>
    </xf>
    <xf numFmtId="176" fontId="6" fillId="13" borderId="1" xfId="1" applyNumberFormat="1" applyFill="1" applyBorder="1" applyAlignment="1">
      <alignment horizontal="right" vertical="center"/>
    </xf>
    <xf numFmtId="176" fontId="0" fillId="13" borderId="1" xfId="0" applyNumberFormat="1" applyFill="1" applyBorder="1" applyAlignment="1">
      <alignment horizontal="center" vertical="center"/>
    </xf>
    <xf numFmtId="0" fontId="6" fillId="13" borderId="1" xfId="1" applyFill="1" applyBorder="1" applyAlignment="1">
      <alignment horizontal="left" vertical="center"/>
    </xf>
    <xf numFmtId="3" fontId="26" fillId="0" borderId="1" xfId="0" applyNumberFormat="1" applyFont="1" applyBorder="1" applyAlignment="1">
      <alignment horizontal="center" vertical="center"/>
    </xf>
    <xf numFmtId="3" fontId="0" fillId="14" borderId="1" xfId="0" applyNumberFormat="1" applyFill="1" applyBorder="1" applyAlignment="1">
      <alignment horizontal="center" vertical="center"/>
    </xf>
    <xf numFmtId="0" fontId="0" fillId="14" borderId="1" xfId="0" applyFill="1" applyBorder="1" applyAlignment="1">
      <alignment horizontal="left" vertical="center"/>
    </xf>
    <xf numFmtId="180" fontId="1" fillId="14" borderId="1" xfId="0" applyNumberFormat="1" applyFont="1" applyFill="1" applyBorder="1" applyAlignment="1">
      <alignment horizontal="center" vertical="center"/>
    </xf>
    <xf numFmtId="176" fontId="6" fillId="14" borderId="1" xfId="1" applyNumberFormat="1" applyFill="1" applyBorder="1" applyAlignment="1">
      <alignment horizontal="right" vertical="center"/>
    </xf>
    <xf numFmtId="176" fontId="0" fillId="14" borderId="1" xfId="0" applyNumberFormat="1" applyFill="1" applyBorder="1" applyAlignment="1">
      <alignment horizontal="center" vertical="center"/>
    </xf>
    <xf numFmtId="0" fontId="6" fillId="14" borderId="1" xfId="1" applyFill="1" applyBorder="1" applyAlignment="1">
      <alignment horizontal="left" vertical="center"/>
    </xf>
    <xf numFmtId="3" fontId="27" fillId="0" borderId="1" xfId="0" applyNumberFormat="1" applyFont="1" applyBorder="1" applyAlignment="1">
      <alignment horizontal="center" vertical="center"/>
    </xf>
    <xf numFmtId="3" fontId="28" fillId="0" borderId="1" xfId="0" applyNumberFormat="1" applyFont="1" applyBorder="1" applyAlignment="1">
      <alignment horizontal="center" vertical="center"/>
    </xf>
    <xf numFmtId="38" fontId="16" fillId="5" borderId="1" xfId="0" applyNumberFormat="1" applyFont="1" applyFill="1" applyBorder="1" applyAlignment="1">
      <alignment horizontal="right" vertical="center"/>
    </xf>
    <xf numFmtId="38" fontId="0" fillId="5" borderId="1" xfId="0" applyNumberFormat="1" applyFill="1" applyBorder="1" applyAlignment="1">
      <alignment horizontal="right" vertical="center"/>
    </xf>
    <xf numFmtId="0" fontId="8" fillId="10" borderId="2" xfId="1" applyFont="1" applyFill="1" applyBorder="1" applyAlignment="1">
      <alignment horizontal="center" vertical="center"/>
    </xf>
    <xf numFmtId="0" fontId="8" fillId="10" borderId="9" xfId="1" applyFont="1" applyFill="1" applyBorder="1" applyAlignment="1">
      <alignment horizontal="center" vertical="center"/>
    </xf>
    <xf numFmtId="0" fontId="8" fillId="10" borderId="10" xfId="1" applyFont="1" applyFill="1" applyBorder="1" applyAlignment="1">
      <alignment horizontal="center" vertical="center"/>
    </xf>
    <xf numFmtId="3" fontId="19" fillId="10" borderId="2" xfId="0" applyNumberFormat="1" applyFont="1" applyFill="1" applyBorder="1" applyAlignment="1">
      <alignment horizontal="center" vertical="center"/>
    </xf>
    <xf numFmtId="3" fontId="19" fillId="10" borderId="9" xfId="0" applyNumberFormat="1" applyFont="1" applyFill="1" applyBorder="1" applyAlignment="1">
      <alignment horizontal="center" vertical="center"/>
    </xf>
    <xf numFmtId="3" fontId="19" fillId="10" borderId="10" xfId="0" applyNumberFormat="1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0" fontId="4" fillId="2" borderId="2" xfId="0" applyFont="1" applyFill="1" applyBorder="1" applyAlignment="1">
      <alignment horizontal="center" vertical="center"/>
    </xf>
    <xf numFmtId="0" fontId="4" fillId="2" borderId="9" xfId="0" applyFont="1" applyFill="1" applyBorder="1" applyAlignment="1">
      <alignment horizontal="center" vertical="center"/>
    </xf>
    <xf numFmtId="0" fontId="4" fillId="2" borderId="10" xfId="0" applyFont="1" applyFill="1" applyBorder="1" applyAlignment="1">
      <alignment horizontal="center" vertical="center"/>
    </xf>
    <xf numFmtId="38" fontId="15" fillId="6" borderId="11" xfId="0" applyNumberFormat="1" applyFont="1" applyFill="1" applyBorder="1" applyAlignment="1">
      <alignment horizontal="left" vertical="center" shrinkToFit="1"/>
    </xf>
    <xf numFmtId="38" fontId="15" fillId="6" borderId="12" xfId="0" applyNumberFormat="1" applyFont="1" applyFill="1" applyBorder="1" applyAlignment="1">
      <alignment horizontal="left" vertical="center" shrinkToFit="1"/>
    </xf>
    <xf numFmtId="38" fontId="15" fillId="6" borderId="4" xfId="0" applyNumberFormat="1" applyFont="1" applyFill="1" applyBorder="1" applyAlignment="1">
      <alignment horizontal="left" vertical="center" shrinkToFit="1"/>
    </xf>
    <xf numFmtId="38" fontId="15" fillId="6" borderId="13" xfId="0" applyNumberFormat="1" applyFont="1" applyFill="1" applyBorder="1" applyAlignment="1">
      <alignment horizontal="left" vertical="center" shrinkToFit="1"/>
    </xf>
    <xf numFmtId="0" fontId="21" fillId="11" borderId="1" xfId="0" applyFont="1" applyFill="1" applyBorder="1" applyAlignment="1">
      <alignment horizontal="center" vertical="center"/>
    </xf>
    <xf numFmtId="3" fontId="29" fillId="0" borderId="1" xfId="0" applyNumberFormat="1" applyFont="1" applyBorder="1" applyAlignment="1">
      <alignment horizontal="left" vertical="center"/>
    </xf>
  </cellXfs>
  <cellStyles count="3">
    <cellStyle name="標準" xfId="0" builtinId="0"/>
    <cellStyle name="標準 3" xfId="2" xr:uid="{DC7DCAA0-6465-40DD-8C0A-A3E444632F39}"/>
    <cellStyle name="標準_発注管理表" xfId="1" xr:uid="{00000000-0005-0000-0000-000002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400999-FEB4-4B6E-8B0A-EACBBE950B38}">
  <sheetPr>
    <tabColor theme="7" tint="0.59999389629810485"/>
  </sheetPr>
  <dimension ref="A2:S134"/>
  <sheetViews>
    <sheetView tabSelected="1" zoomScale="85" zoomScaleNormal="85" workbookViewId="0">
      <pane xSplit="12" ySplit="9" topLeftCell="M61" activePane="bottomRight" state="frozen"/>
      <selection pane="topRight" activeCell="K1" sqref="K1"/>
      <selection pane="bottomLeft" activeCell="A9" sqref="A9"/>
      <selection pane="bottomRight" activeCell="I80" sqref="I80"/>
    </sheetView>
  </sheetViews>
  <sheetFormatPr defaultRowHeight="13.2" x14ac:dyDescent="0.2"/>
  <cols>
    <col min="3" max="3" width="17.21875" customWidth="1"/>
    <col min="4" max="4" width="13.21875" style="3" customWidth="1"/>
    <col min="5" max="5" width="14.33203125" bestFit="1" customWidth="1"/>
    <col min="6" max="6" width="13.109375" bestFit="1" customWidth="1"/>
    <col min="7" max="7" width="52.33203125" customWidth="1"/>
    <col min="8" max="8" width="6.21875" style="3" customWidth="1"/>
    <col min="9" max="10" width="9.88671875" style="8" bestFit="1" customWidth="1"/>
    <col min="11" max="11" width="5.77734375" style="8" customWidth="1"/>
    <col min="12" max="12" width="49" customWidth="1"/>
    <col min="13" max="13" width="28.44140625" customWidth="1"/>
    <col min="14" max="14" width="20.109375" style="3" customWidth="1"/>
    <col min="15" max="15" width="13.77734375" style="10" customWidth="1"/>
    <col min="16" max="16" width="6.33203125" customWidth="1"/>
    <col min="17" max="17" width="13.21875" style="8" customWidth="1"/>
    <col min="18" max="18" width="14.44140625" style="12" customWidth="1"/>
    <col min="19" max="19" width="15.6640625" style="13" customWidth="1"/>
  </cols>
  <sheetData>
    <row r="2" spans="1:19" ht="20.100000000000001" customHeight="1" x14ac:dyDescent="0.2">
      <c r="D2" s="223" t="s">
        <v>11</v>
      </c>
      <c r="E2" s="223"/>
      <c r="F2" s="223"/>
      <c r="G2" s="9" t="s">
        <v>92</v>
      </c>
      <c r="I2" s="224" t="s">
        <v>15</v>
      </c>
      <c r="J2" s="225"/>
      <c r="K2" s="226"/>
      <c r="L2" s="7">
        <f>SUM(J:J)</f>
        <v>121212</v>
      </c>
    </row>
    <row r="3" spans="1:19" ht="20.100000000000001" customHeight="1" x14ac:dyDescent="0.2">
      <c r="D3" s="223" t="s">
        <v>10</v>
      </c>
      <c r="E3" s="223"/>
      <c r="F3" s="223"/>
      <c r="G3" s="5" t="s">
        <v>75</v>
      </c>
    </row>
    <row r="4" spans="1:19" ht="20.100000000000001" customHeight="1" x14ac:dyDescent="0.2">
      <c r="D4" s="223" t="s">
        <v>12</v>
      </c>
      <c r="E4" s="223"/>
      <c r="F4" s="223"/>
      <c r="G4" s="60" t="s">
        <v>148</v>
      </c>
      <c r="J4" s="66"/>
      <c r="L4" s="227" t="s">
        <v>149</v>
      </c>
      <c r="M4" s="228"/>
    </row>
    <row r="5" spans="1:19" ht="20.100000000000001" customHeight="1" x14ac:dyDescent="0.2">
      <c r="D5" s="223" t="s">
        <v>13</v>
      </c>
      <c r="E5" s="223"/>
      <c r="F5" s="223"/>
      <c r="G5" s="6">
        <v>45576</v>
      </c>
      <c r="I5" s="231" t="s">
        <v>151</v>
      </c>
      <c r="L5" s="229"/>
      <c r="M5" s="230"/>
    </row>
    <row r="6" spans="1:19" ht="20.100000000000001" customHeight="1" x14ac:dyDescent="0.2">
      <c r="D6" s="223" t="s">
        <v>14</v>
      </c>
      <c r="E6" s="223"/>
      <c r="F6" s="223"/>
      <c r="G6" s="6">
        <v>45580</v>
      </c>
      <c r="I6" s="231"/>
      <c r="L6" s="15"/>
      <c r="M6" s="20"/>
    </row>
    <row r="7" spans="1:19" ht="20.100000000000001" customHeight="1" x14ac:dyDescent="0.2">
      <c r="D7" s="17"/>
      <c r="E7" s="17"/>
      <c r="F7" s="17"/>
      <c r="G7" s="16"/>
      <c r="L7" s="15"/>
      <c r="M7" s="20"/>
      <c r="N7" s="18"/>
    </row>
    <row r="9" spans="1:19" s="3" customFormat="1" ht="19.649999999999999" customHeight="1" x14ac:dyDescent="0.2">
      <c r="C9" s="1" t="s">
        <v>51</v>
      </c>
      <c r="D9" s="4" t="s">
        <v>4</v>
      </c>
      <c r="E9" s="4" t="s">
        <v>9</v>
      </c>
      <c r="F9" s="4" t="s">
        <v>5</v>
      </c>
      <c r="G9" s="1" t="s">
        <v>8</v>
      </c>
      <c r="H9" s="1" t="s">
        <v>0</v>
      </c>
      <c r="I9" s="28" t="s">
        <v>1</v>
      </c>
      <c r="J9" s="67" t="s">
        <v>2</v>
      </c>
      <c r="K9" s="2" t="s">
        <v>18</v>
      </c>
      <c r="L9" s="1" t="s">
        <v>3</v>
      </c>
      <c r="M9" s="1" t="s">
        <v>17</v>
      </c>
      <c r="N9" s="1" t="s">
        <v>16</v>
      </c>
      <c r="O9" s="11" t="s">
        <v>6</v>
      </c>
      <c r="P9" s="4" t="s">
        <v>19</v>
      </c>
      <c r="Q9" s="1" t="s">
        <v>7</v>
      </c>
      <c r="R9" s="11" t="s">
        <v>20</v>
      </c>
      <c r="S9" s="14" t="s">
        <v>21</v>
      </c>
    </row>
    <row r="10" spans="1:19" s="3" customFormat="1" ht="19.649999999999999" customHeight="1" x14ac:dyDescent="0.2">
      <c r="A10" s="58"/>
      <c r="B10" s="110"/>
      <c r="C10" s="1"/>
      <c r="D10" s="38"/>
      <c r="E10" s="38"/>
      <c r="F10" s="38"/>
      <c r="G10" s="38"/>
      <c r="H10" s="1"/>
      <c r="I10" s="28"/>
      <c r="J10" s="67"/>
      <c r="K10" s="2"/>
      <c r="L10" s="1"/>
      <c r="M10" s="1"/>
      <c r="N10" s="1"/>
      <c r="O10" s="11"/>
      <c r="P10" s="4"/>
      <c r="Q10" s="1"/>
      <c r="R10" s="11"/>
      <c r="S10" s="14"/>
    </row>
    <row r="11" spans="1:19" s="3" customFormat="1" ht="19.649999999999999" customHeight="1" x14ac:dyDescent="0.2">
      <c r="A11" s="58"/>
      <c r="B11" s="110"/>
      <c r="C11" s="1"/>
      <c r="D11" s="91"/>
      <c r="E11" s="217" t="s">
        <v>91</v>
      </c>
      <c r="F11" s="218"/>
      <c r="G11" s="219"/>
      <c r="H11" s="1"/>
      <c r="I11" s="21"/>
      <c r="J11" s="68"/>
      <c r="K11" s="2"/>
      <c r="L11" s="25"/>
      <c r="M11" s="22"/>
      <c r="N11" s="4"/>
      <c r="O11" s="11"/>
      <c r="P11" s="4"/>
      <c r="Q11" s="19"/>
      <c r="R11" s="19"/>
      <c r="S11" s="14"/>
    </row>
    <row r="12" spans="1:19" s="3" customFormat="1" ht="19.649999999999999" customHeight="1" x14ac:dyDescent="0.2">
      <c r="A12" s="88" t="s">
        <v>93</v>
      </c>
      <c r="B12" s="146"/>
      <c r="C12" s="1"/>
      <c r="D12" s="111">
        <v>1</v>
      </c>
      <c r="E12" s="85" t="s">
        <v>31</v>
      </c>
      <c r="F12" s="112" t="s">
        <v>26</v>
      </c>
      <c r="G12" s="113" t="s">
        <v>94</v>
      </c>
      <c r="H12" s="114">
        <v>1</v>
      </c>
      <c r="I12" s="115">
        <v>6143</v>
      </c>
      <c r="J12" s="33">
        <f t="shared" ref="J12:J22" si="0">H12*I12</f>
        <v>6143</v>
      </c>
      <c r="K12" s="2"/>
      <c r="L12" s="147" t="s">
        <v>95</v>
      </c>
      <c r="M12" s="22"/>
      <c r="N12" s="199" t="s">
        <v>152</v>
      </c>
      <c r="O12" s="11">
        <v>45566</v>
      </c>
      <c r="P12" s="4"/>
      <c r="Q12" s="19">
        <v>45576</v>
      </c>
      <c r="R12" s="19">
        <v>45580</v>
      </c>
      <c r="S12" s="14">
        <v>45580</v>
      </c>
    </row>
    <row r="13" spans="1:19" s="3" customFormat="1" ht="19.649999999999999" customHeight="1" x14ac:dyDescent="0.2">
      <c r="A13" s="88" t="s">
        <v>56</v>
      </c>
      <c r="B13" s="146"/>
      <c r="C13" s="1"/>
      <c r="D13" s="111">
        <f>1+D12</f>
        <v>2</v>
      </c>
      <c r="E13" s="4" t="s">
        <v>22</v>
      </c>
      <c r="F13" s="4" t="s">
        <v>22</v>
      </c>
      <c r="G13" s="113" t="s">
        <v>96</v>
      </c>
      <c r="H13" s="114">
        <v>4</v>
      </c>
      <c r="I13" s="115">
        <v>700</v>
      </c>
      <c r="J13" s="33">
        <f t="shared" si="0"/>
        <v>2800</v>
      </c>
      <c r="K13" s="2"/>
      <c r="L13" s="147" t="s">
        <v>97</v>
      </c>
      <c r="M13" s="22"/>
      <c r="N13" s="199" t="s">
        <v>152</v>
      </c>
      <c r="O13" s="11">
        <v>45566</v>
      </c>
      <c r="P13" s="4"/>
      <c r="Q13" s="19">
        <v>45576</v>
      </c>
      <c r="R13" s="19">
        <v>45580</v>
      </c>
      <c r="S13" s="14">
        <v>45580</v>
      </c>
    </row>
    <row r="14" spans="1:19" s="3" customFormat="1" ht="19.649999999999999" customHeight="1" x14ac:dyDescent="0.2">
      <c r="A14" s="88" t="s">
        <v>55</v>
      </c>
      <c r="B14" s="146"/>
      <c r="C14" s="1"/>
      <c r="D14" s="111">
        <f>1+D13</f>
        <v>3</v>
      </c>
      <c r="E14" s="94" t="s">
        <v>22</v>
      </c>
      <c r="F14" s="94" t="s">
        <v>22</v>
      </c>
      <c r="G14" s="116" t="s">
        <v>98</v>
      </c>
      <c r="H14" s="117">
        <v>10</v>
      </c>
      <c r="I14" s="118">
        <v>25</v>
      </c>
      <c r="J14" s="119">
        <f t="shared" si="0"/>
        <v>250</v>
      </c>
      <c r="K14" s="53"/>
      <c r="L14" s="170" t="s">
        <v>99</v>
      </c>
      <c r="M14" s="22"/>
      <c r="N14" s="199" t="s">
        <v>152</v>
      </c>
      <c r="O14" s="11">
        <v>45566</v>
      </c>
      <c r="P14" s="4"/>
      <c r="Q14" s="19">
        <v>45576</v>
      </c>
      <c r="R14" s="19">
        <v>45580</v>
      </c>
      <c r="S14" s="14">
        <v>45580</v>
      </c>
    </row>
    <row r="15" spans="1:19" s="3" customFormat="1" ht="19.649999999999999" customHeight="1" x14ac:dyDescent="0.2">
      <c r="A15" s="88" t="s">
        <v>83</v>
      </c>
      <c r="B15" s="146"/>
      <c r="C15" s="1"/>
      <c r="D15" s="111">
        <f>1+D14</f>
        <v>4</v>
      </c>
      <c r="E15" s="85" t="s">
        <v>31</v>
      </c>
      <c r="F15" s="94" t="s">
        <v>22</v>
      </c>
      <c r="G15" s="116" t="s">
        <v>100</v>
      </c>
      <c r="H15" s="117">
        <v>1</v>
      </c>
      <c r="I15" s="118">
        <v>6850</v>
      </c>
      <c r="J15" s="119">
        <f t="shared" si="0"/>
        <v>6850</v>
      </c>
      <c r="K15" s="53"/>
      <c r="L15" s="170" t="s">
        <v>101</v>
      </c>
      <c r="M15" s="22"/>
      <c r="N15" s="199" t="s">
        <v>152</v>
      </c>
      <c r="O15" s="11">
        <v>45566</v>
      </c>
      <c r="P15" s="4"/>
      <c r="Q15" s="19">
        <v>45576</v>
      </c>
      <c r="R15" s="19">
        <v>45580</v>
      </c>
      <c r="S15" s="14">
        <v>45580</v>
      </c>
    </row>
    <row r="16" spans="1:19" s="3" customFormat="1" ht="19.649999999999999" customHeight="1" x14ac:dyDescent="0.2">
      <c r="A16" s="88" t="s">
        <v>55</v>
      </c>
      <c r="B16" s="146"/>
      <c r="C16" s="1"/>
      <c r="D16" s="111">
        <f>1+D15</f>
        <v>5</v>
      </c>
      <c r="E16" s="94" t="s">
        <v>22</v>
      </c>
      <c r="F16" s="94" t="s">
        <v>22</v>
      </c>
      <c r="G16" s="116" t="s">
        <v>102</v>
      </c>
      <c r="H16" s="117">
        <v>4</v>
      </c>
      <c r="I16" s="118">
        <v>155</v>
      </c>
      <c r="J16" s="119">
        <f t="shared" si="0"/>
        <v>620</v>
      </c>
      <c r="K16" s="53"/>
      <c r="L16" s="170" t="s">
        <v>103</v>
      </c>
      <c r="M16" s="22"/>
      <c r="N16" s="199" t="s">
        <v>152</v>
      </c>
      <c r="O16" s="11">
        <v>45566</v>
      </c>
      <c r="P16" s="4"/>
      <c r="Q16" s="19">
        <v>45576</v>
      </c>
      <c r="R16" s="19">
        <v>45580</v>
      </c>
      <c r="S16" s="14">
        <v>45580</v>
      </c>
    </row>
    <row r="17" spans="1:19" s="3" customFormat="1" ht="19.649999999999999" customHeight="1" x14ac:dyDescent="0.2">
      <c r="A17" s="88" t="s">
        <v>55</v>
      </c>
      <c r="B17" s="146"/>
      <c r="C17" s="1"/>
      <c r="D17" s="111">
        <f>1+D16</f>
        <v>6</v>
      </c>
      <c r="E17" s="94" t="s">
        <v>22</v>
      </c>
      <c r="F17" s="94" t="s">
        <v>22</v>
      </c>
      <c r="G17" s="116" t="s">
        <v>104</v>
      </c>
      <c r="H17" s="117">
        <v>10</v>
      </c>
      <c r="I17" s="118">
        <v>25</v>
      </c>
      <c r="J17" s="119">
        <f t="shared" si="0"/>
        <v>250</v>
      </c>
      <c r="K17" s="53"/>
      <c r="L17" s="170" t="s">
        <v>137</v>
      </c>
      <c r="M17" s="22"/>
      <c r="N17" s="199" t="s">
        <v>152</v>
      </c>
      <c r="O17" s="11">
        <v>45566</v>
      </c>
      <c r="P17" s="4"/>
      <c r="Q17" s="19">
        <v>45576</v>
      </c>
      <c r="R17" s="19">
        <v>45580</v>
      </c>
      <c r="S17" s="14">
        <v>45580</v>
      </c>
    </row>
    <row r="18" spans="1:19" s="3" customFormat="1" ht="19.649999999999999" customHeight="1" x14ac:dyDescent="0.2">
      <c r="A18" s="88" t="s">
        <v>58</v>
      </c>
      <c r="B18" s="146"/>
      <c r="C18" s="1"/>
      <c r="D18" s="111">
        <f t="shared" ref="D18:D21" si="1">1+D17</f>
        <v>7</v>
      </c>
      <c r="E18" s="85" t="s">
        <v>31</v>
      </c>
      <c r="F18" s="31" t="s">
        <v>26</v>
      </c>
      <c r="G18" s="40" t="s">
        <v>138</v>
      </c>
      <c r="H18" s="32">
        <v>1</v>
      </c>
      <c r="I18" s="93">
        <v>2646</v>
      </c>
      <c r="J18" s="69">
        <f t="shared" si="0"/>
        <v>2646</v>
      </c>
      <c r="K18" s="39"/>
      <c r="L18" s="150" t="s">
        <v>134</v>
      </c>
      <c r="M18" s="22"/>
      <c r="N18" s="199" t="s">
        <v>152</v>
      </c>
      <c r="O18" s="11">
        <v>45566</v>
      </c>
      <c r="P18" s="4"/>
      <c r="Q18" s="19">
        <v>45576</v>
      </c>
      <c r="R18" s="19">
        <v>45580</v>
      </c>
      <c r="S18" s="14">
        <v>45580</v>
      </c>
    </row>
    <row r="19" spans="1:19" s="3" customFormat="1" ht="19.649999999999999" customHeight="1" x14ac:dyDescent="0.2">
      <c r="A19" s="88" t="s">
        <v>56</v>
      </c>
      <c r="B19" s="172"/>
      <c r="C19" s="1"/>
      <c r="D19" s="111">
        <f t="shared" si="1"/>
        <v>8</v>
      </c>
      <c r="E19" s="42" t="s">
        <v>22</v>
      </c>
      <c r="F19" s="42" t="s">
        <v>22</v>
      </c>
      <c r="G19" s="40" t="s">
        <v>135</v>
      </c>
      <c r="H19" s="32">
        <v>3</v>
      </c>
      <c r="I19" s="93">
        <v>1030</v>
      </c>
      <c r="J19" s="69">
        <f t="shared" si="0"/>
        <v>3090</v>
      </c>
      <c r="K19" s="39"/>
      <c r="L19" s="150" t="s">
        <v>60</v>
      </c>
      <c r="M19" s="22"/>
      <c r="N19" s="199" t="s">
        <v>152</v>
      </c>
      <c r="O19" s="11">
        <v>45566</v>
      </c>
      <c r="P19" s="4"/>
      <c r="Q19" s="19">
        <v>45576</v>
      </c>
      <c r="R19" s="19">
        <v>45580</v>
      </c>
      <c r="S19" s="14">
        <v>45580</v>
      </c>
    </row>
    <row r="20" spans="1:19" s="3" customFormat="1" ht="19.649999999999999" customHeight="1" x14ac:dyDescent="0.2">
      <c r="A20" s="88" t="s">
        <v>55</v>
      </c>
      <c r="B20" s="172"/>
      <c r="C20" s="1"/>
      <c r="D20" s="111">
        <f t="shared" si="1"/>
        <v>9</v>
      </c>
      <c r="E20" s="42" t="s">
        <v>22</v>
      </c>
      <c r="F20" s="42" t="s">
        <v>22</v>
      </c>
      <c r="G20" s="74" t="s">
        <v>106</v>
      </c>
      <c r="H20" s="120">
        <v>7</v>
      </c>
      <c r="I20" s="182">
        <v>94</v>
      </c>
      <c r="J20" s="105">
        <f t="shared" si="0"/>
        <v>658</v>
      </c>
      <c r="K20" s="53"/>
      <c r="L20" s="171" t="s">
        <v>136</v>
      </c>
      <c r="M20" s="22"/>
      <c r="N20" s="199" t="s">
        <v>152</v>
      </c>
      <c r="O20" s="11">
        <v>45566</v>
      </c>
      <c r="P20" s="4"/>
      <c r="Q20" s="19">
        <v>45576</v>
      </c>
      <c r="R20" s="19">
        <v>45580</v>
      </c>
      <c r="S20" s="14">
        <v>45580</v>
      </c>
    </row>
    <row r="21" spans="1:19" s="3" customFormat="1" ht="19.649999999999999" customHeight="1" x14ac:dyDescent="0.2">
      <c r="A21" s="88" t="s">
        <v>55</v>
      </c>
      <c r="B21" s="172"/>
      <c r="C21" s="1"/>
      <c r="D21" s="111">
        <f t="shared" si="1"/>
        <v>10</v>
      </c>
      <c r="E21" s="94" t="s">
        <v>22</v>
      </c>
      <c r="F21" s="94" t="s">
        <v>22</v>
      </c>
      <c r="G21" s="59" t="s">
        <v>108</v>
      </c>
      <c r="H21" s="61">
        <v>10</v>
      </c>
      <c r="I21" s="183">
        <v>39</v>
      </c>
      <c r="J21" s="119">
        <f t="shared" si="0"/>
        <v>390</v>
      </c>
      <c r="K21" s="119"/>
      <c r="L21" s="170" t="s">
        <v>107</v>
      </c>
      <c r="M21" s="22"/>
      <c r="N21" s="199" t="s">
        <v>152</v>
      </c>
      <c r="O21" s="11">
        <v>45566</v>
      </c>
      <c r="P21" s="4"/>
      <c r="Q21" s="19">
        <v>45576</v>
      </c>
      <c r="R21" s="19">
        <v>45580</v>
      </c>
      <c r="S21" s="14">
        <v>45580</v>
      </c>
    </row>
    <row r="22" spans="1:19" s="3" customFormat="1" ht="19.649999999999999" customHeight="1" x14ac:dyDescent="0.2">
      <c r="A22" s="88" t="s">
        <v>55</v>
      </c>
      <c r="B22" s="146"/>
      <c r="C22" s="1"/>
      <c r="D22" s="111">
        <f>1+D21</f>
        <v>11</v>
      </c>
      <c r="E22" s="94" t="s">
        <v>22</v>
      </c>
      <c r="F22" s="94" t="s">
        <v>22</v>
      </c>
      <c r="G22" s="116" t="s">
        <v>109</v>
      </c>
      <c r="H22" s="117">
        <v>10</v>
      </c>
      <c r="I22" s="184">
        <v>29</v>
      </c>
      <c r="J22" s="119">
        <f t="shared" si="0"/>
        <v>290</v>
      </c>
      <c r="K22" s="53"/>
      <c r="L22" s="170" t="s">
        <v>105</v>
      </c>
      <c r="M22" s="22"/>
      <c r="N22" s="199" t="s">
        <v>152</v>
      </c>
      <c r="O22" s="11">
        <v>45566</v>
      </c>
      <c r="P22" s="4"/>
      <c r="Q22" s="19">
        <v>45576</v>
      </c>
      <c r="R22" s="19">
        <v>45580</v>
      </c>
      <c r="S22" s="14">
        <v>45580</v>
      </c>
    </row>
    <row r="23" spans="1:19" s="3" customFormat="1" ht="19.649999999999999" customHeight="1" x14ac:dyDescent="0.2">
      <c r="A23" s="58"/>
      <c r="B23" s="110"/>
      <c r="C23" s="1"/>
      <c r="D23" s="4"/>
      <c r="E23" s="4"/>
      <c r="F23" s="56"/>
      <c r="G23" s="24"/>
      <c r="H23" s="57"/>
      <c r="I23" s="70"/>
      <c r="J23" s="54"/>
      <c r="K23" s="55"/>
      <c r="L23" s="51"/>
      <c r="M23" s="22"/>
      <c r="N23" s="4"/>
      <c r="O23" s="11"/>
      <c r="P23" s="4"/>
      <c r="Q23" s="19"/>
      <c r="R23" s="19"/>
      <c r="S23" s="14"/>
    </row>
    <row r="24" spans="1:19" s="3" customFormat="1" ht="19.649999999999999" customHeight="1" x14ac:dyDescent="0.2">
      <c r="A24" s="58"/>
      <c r="B24" s="110"/>
      <c r="C24" s="1"/>
      <c r="D24" s="4"/>
      <c r="E24" s="4"/>
      <c r="F24" s="4"/>
      <c r="G24" s="122">
        <f>SUM(J12:J22)</f>
        <v>23987</v>
      </c>
      <c r="H24" s="61"/>
      <c r="I24" s="69"/>
      <c r="J24" s="69"/>
      <c r="K24" s="33"/>
      <c r="L24" s="24"/>
      <c r="M24" s="22"/>
      <c r="N24" s="4"/>
      <c r="O24" s="11"/>
      <c r="P24" s="4"/>
      <c r="Q24" s="19"/>
      <c r="R24" s="19"/>
      <c r="S24" s="14"/>
    </row>
    <row r="25" spans="1:19" s="3" customFormat="1" ht="19.649999999999999" customHeight="1" x14ac:dyDescent="0.2">
      <c r="A25" s="58"/>
      <c r="B25" s="110"/>
      <c r="C25" s="1"/>
      <c r="D25" s="4"/>
      <c r="E25" s="4"/>
      <c r="F25" s="4"/>
      <c r="G25" s="59"/>
      <c r="H25" s="1"/>
      <c r="I25" s="21"/>
      <c r="J25" s="69"/>
      <c r="K25" s="2"/>
      <c r="L25" s="24"/>
      <c r="M25" s="22"/>
      <c r="N25" s="4"/>
      <c r="O25" s="11"/>
      <c r="P25" s="4"/>
      <c r="Q25" s="19"/>
      <c r="R25" s="19"/>
      <c r="S25" s="14"/>
    </row>
    <row r="26" spans="1:19" s="3" customFormat="1" ht="19.649999999999999" customHeight="1" x14ac:dyDescent="0.2">
      <c r="A26" s="58"/>
      <c r="B26" s="110"/>
      <c r="C26" s="1"/>
      <c r="D26" s="4"/>
      <c r="E26" s="4"/>
      <c r="F26" s="4"/>
      <c r="G26" s="59"/>
      <c r="H26" s="1"/>
      <c r="I26" s="21"/>
      <c r="J26" s="69"/>
      <c r="K26" s="2"/>
      <c r="L26" s="24"/>
      <c r="M26" s="22"/>
      <c r="N26" s="4"/>
      <c r="O26" s="11"/>
      <c r="P26" s="4"/>
      <c r="Q26" s="19"/>
      <c r="R26" s="19"/>
      <c r="S26" s="14"/>
    </row>
    <row r="27" spans="1:19" s="3" customFormat="1" ht="19.649999999999999" customHeight="1" x14ac:dyDescent="0.2">
      <c r="A27" s="58"/>
      <c r="B27" s="110"/>
      <c r="C27" s="1"/>
      <c r="D27" s="4"/>
      <c r="E27" s="4"/>
      <c r="F27" s="4"/>
      <c r="G27" s="26"/>
      <c r="H27" s="1"/>
      <c r="I27" s="21"/>
      <c r="J27" s="68"/>
      <c r="K27" s="2"/>
      <c r="L27" s="25"/>
      <c r="M27" s="22"/>
      <c r="N27" s="4"/>
      <c r="O27" s="11"/>
      <c r="P27" s="4"/>
      <c r="Q27" s="19"/>
      <c r="R27" s="19"/>
      <c r="S27" s="14"/>
    </row>
    <row r="28" spans="1:19" s="3" customFormat="1" ht="19.649999999999999" customHeight="1" x14ac:dyDescent="0.2">
      <c r="A28" s="58"/>
      <c r="B28" s="110"/>
      <c r="C28" s="1"/>
      <c r="D28" s="92"/>
      <c r="E28" s="220" t="s">
        <v>84</v>
      </c>
      <c r="F28" s="221"/>
      <c r="G28" s="222"/>
      <c r="H28" s="25"/>
      <c r="I28" s="1"/>
      <c r="J28" s="2"/>
      <c r="K28" s="78"/>
      <c r="L28" s="1"/>
      <c r="M28" s="22"/>
      <c r="N28" s="4"/>
      <c r="O28" s="11"/>
      <c r="P28" s="4"/>
      <c r="Q28" s="19"/>
      <c r="R28" s="19"/>
      <c r="S28" s="14"/>
    </row>
    <row r="29" spans="1:19" s="3" customFormat="1" ht="19.649999999999999" customHeight="1" x14ac:dyDescent="0.2">
      <c r="A29" s="76" t="s">
        <v>58</v>
      </c>
      <c r="B29" s="146"/>
      <c r="C29" s="134"/>
      <c r="D29" s="111">
        <f>+D22+1</f>
        <v>12</v>
      </c>
      <c r="E29" s="85" t="s">
        <v>31</v>
      </c>
      <c r="F29" s="4" t="s">
        <v>22</v>
      </c>
      <c r="G29" s="23" t="s">
        <v>111</v>
      </c>
      <c r="H29" s="45">
        <v>1</v>
      </c>
      <c r="I29" s="33">
        <v>3230</v>
      </c>
      <c r="J29" s="123">
        <f>H29*I29</f>
        <v>3230</v>
      </c>
      <c r="K29" s="107"/>
      <c r="L29" s="140" t="s">
        <v>110</v>
      </c>
      <c r="M29" s="22"/>
      <c r="N29" s="199" t="s">
        <v>152</v>
      </c>
      <c r="O29" s="11">
        <v>45566</v>
      </c>
      <c r="P29" s="4"/>
      <c r="Q29" s="19">
        <v>45576</v>
      </c>
      <c r="R29" s="19">
        <v>45580</v>
      </c>
      <c r="S29" s="14">
        <v>45580</v>
      </c>
    </row>
    <row r="30" spans="1:19" s="3" customFormat="1" ht="19.649999999999999" customHeight="1" x14ac:dyDescent="0.2">
      <c r="A30" s="76" t="s">
        <v>58</v>
      </c>
      <c r="B30" s="146"/>
      <c r="C30" s="134"/>
      <c r="D30" s="111">
        <f t="shared" ref="D30:D31" si="2">+D29+1</f>
        <v>13</v>
      </c>
      <c r="E30" s="85" t="s">
        <v>31</v>
      </c>
      <c r="F30" s="4" t="s">
        <v>22</v>
      </c>
      <c r="G30" s="23" t="s">
        <v>85</v>
      </c>
      <c r="H30" s="45">
        <v>1</v>
      </c>
      <c r="I30" s="33">
        <v>2600</v>
      </c>
      <c r="J30" s="123">
        <f>H30*I30</f>
        <v>2600</v>
      </c>
      <c r="K30" s="107"/>
      <c r="L30" s="140" t="s">
        <v>86</v>
      </c>
      <c r="M30" s="22"/>
      <c r="N30" s="199" t="s">
        <v>152</v>
      </c>
      <c r="O30" s="11">
        <v>45566</v>
      </c>
      <c r="P30" s="4"/>
      <c r="Q30" s="19">
        <v>45576</v>
      </c>
      <c r="R30" s="19">
        <v>45580</v>
      </c>
      <c r="S30" s="14">
        <v>45580</v>
      </c>
    </row>
    <row r="31" spans="1:19" s="3" customFormat="1" ht="19.649999999999999" customHeight="1" x14ac:dyDescent="0.2">
      <c r="A31" s="76" t="s">
        <v>112</v>
      </c>
      <c r="B31" s="146"/>
      <c r="C31" s="134"/>
      <c r="D31" s="111">
        <f t="shared" si="2"/>
        <v>14</v>
      </c>
      <c r="E31" s="85" t="s">
        <v>31</v>
      </c>
      <c r="F31" s="4" t="s">
        <v>22</v>
      </c>
      <c r="G31" s="180" t="s">
        <v>124</v>
      </c>
      <c r="H31" s="32">
        <v>1</v>
      </c>
      <c r="I31" s="41">
        <v>4040</v>
      </c>
      <c r="J31" s="41">
        <f t="shared" ref="J31:J35" si="3">H31*I31</f>
        <v>4040</v>
      </c>
      <c r="K31" s="27"/>
      <c r="L31" s="140" t="s">
        <v>125</v>
      </c>
      <c r="M31" s="22"/>
      <c r="N31" s="199" t="s">
        <v>152</v>
      </c>
      <c r="O31" s="11">
        <v>45566</v>
      </c>
      <c r="P31" s="4"/>
      <c r="Q31" s="19">
        <v>45576</v>
      </c>
      <c r="R31" s="19">
        <v>45580</v>
      </c>
      <c r="S31" s="14">
        <v>45580</v>
      </c>
    </row>
    <row r="32" spans="1:19" s="3" customFormat="1" ht="19.649999999999999" customHeight="1" x14ac:dyDescent="0.2">
      <c r="A32" s="76" t="s">
        <v>57</v>
      </c>
      <c r="B32" s="146"/>
      <c r="C32" s="134"/>
      <c r="D32" s="111">
        <f>+D31+1</f>
        <v>15</v>
      </c>
      <c r="E32" s="1" t="s">
        <v>22</v>
      </c>
      <c r="F32" s="1" t="s">
        <v>22</v>
      </c>
      <c r="G32" s="30" t="s">
        <v>87</v>
      </c>
      <c r="H32" s="34">
        <v>4</v>
      </c>
      <c r="I32" s="31">
        <v>70</v>
      </c>
      <c r="J32" s="136">
        <f t="shared" si="3"/>
        <v>280</v>
      </c>
      <c r="K32" s="2"/>
      <c r="L32" s="142" t="s">
        <v>88</v>
      </c>
      <c r="M32" s="22"/>
      <c r="N32" s="199" t="s">
        <v>152</v>
      </c>
      <c r="O32" s="11">
        <v>45566</v>
      </c>
      <c r="P32" s="4"/>
      <c r="Q32" s="19">
        <v>45576</v>
      </c>
      <c r="R32" s="19">
        <v>45580</v>
      </c>
      <c r="S32" s="14">
        <v>45580</v>
      </c>
    </row>
    <row r="33" spans="1:19" s="3" customFormat="1" ht="19.649999999999999" customHeight="1" x14ac:dyDescent="0.2">
      <c r="A33" s="89" t="s">
        <v>56</v>
      </c>
      <c r="B33" s="146"/>
      <c r="C33" s="134"/>
      <c r="D33" s="111">
        <f>+D32+1</f>
        <v>16</v>
      </c>
      <c r="E33" s="4" t="s">
        <v>22</v>
      </c>
      <c r="F33" s="4" t="s">
        <v>22</v>
      </c>
      <c r="G33" s="23" t="s">
        <v>89</v>
      </c>
      <c r="H33" s="45">
        <v>4</v>
      </c>
      <c r="I33" s="185">
        <v>155</v>
      </c>
      <c r="J33" s="108">
        <f t="shared" si="3"/>
        <v>620</v>
      </c>
      <c r="K33" s="107"/>
      <c r="L33" s="143" t="s">
        <v>90</v>
      </c>
      <c r="M33" s="22"/>
      <c r="N33" s="199" t="s">
        <v>152</v>
      </c>
      <c r="O33" s="11">
        <v>45566</v>
      </c>
      <c r="P33" s="4"/>
      <c r="Q33" s="19">
        <v>45576</v>
      </c>
      <c r="R33" s="19">
        <v>45580</v>
      </c>
      <c r="S33" s="14">
        <v>45580</v>
      </c>
    </row>
    <row r="34" spans="1:19" s="3" customFormat="1" ht="19.649999999999999" customHeight="1" x14ac:dyDescent="0.2">
      <c r="A34" s="76" t="s">
        <v>56</v>
      </c>
      <c r="B34" s="146"/>
      <c r="C34" s="134"/>
      <c r="D34" s="111">
        <f t="shared" ref="D34:D37" si="4">+D33+1</f>
        <v>17</v>
      </c>
      <c r="E34" s="4" t="s">
        <v>22</v>
      </c>
      <c r="F34" s="4" t="s">
        <v>22</v>
      </c>
      <c r="G34" s="26" t="s">
        <v>77</v>
      </c>
      <c r="H34" s="1">
        <v>2</v>
      </c>
      <c r="I34" s="186">
        <v>72</v>
      </c>
      <c r="J34" s="86">
        <f t="shared" si="3"/>
        <v>144</v>
      </c>
      <c r="K34" s="2"/>
      <c r="L34" s="144" t="s">
        <v>78</v>
      </c>
      <c r="M34" s="22"/>
      <c r="N34" s="199" t="s">
        <v>152</v>
      </c>
      <c r="O34" s="11">
        <v>45566</v>
      </c>
      <c r="P34" s="4"/>
      <c r="Q34" s="19">
        <v>45576</v>
      </c>
      <c r="R34" s="19">
        <v>45580</v>
      </c>
      <c r="S34" s="14">
        <v>45580</v>
      </c>
    </row>
    <row r="35" spans="1:19" s="3" customFormat="1" ht="19.649999999999999" customHeight="1" x14ac:dyDescent="0.2">
      <c r="A35" s="76" t="s">
        <v>55</v>
      </c>
      <c r="B35" s="146"/>
      <c r="C35" s="134"/>
      <c r="D35" s="111">
        <f t="shared" si="4"/>
        <v>18</v>
      </c>
      <c r="E35" s="4" t="s">
        <v>22</v>
      </c>
      <c r="F35" s="4" t="s">
        <v>22</v>
      </c>
      <c r="G35" s="26" t="s">
        <v>79</v>
      </c>
      <c r="H35" s="1">
        <v>2</v>
      </c>
      <c r="I35" s="186">
        <v>31</v>
      </c>
      <c r="J35" s="86">
        <f t="shared" si="3"/>
        <v>62</v>
      </c>
      <c r="K35" s="2"/>
      <c r="L35" s="144" t="s">
        <v>80</v>
      </c>
      <c r="M35" s="22"/>
      <c r="N35" s="199" t="s">
        <v>152</v>
      </c>
      <c r="O35" s="11">
        <v>45566</v>
      </c>
      <c r="P35" s="4"/>
      <c r="Q35" s="19">
        <v>45576</v>
      </c>
      <c r="R35" s="19">
        <v>45580</v>
      </c>
      <c r="S35" s="14">
        <v>45580</v>
      </c>
    </row>
    <row r="36" spans="1:19" s="3" customFormat="1" ht="19.649999999999999" customHeight="1" x14ac:dyDescent="0.2">
      <c r="A36" s="76" t="s">
        <v>55</v>
      </c>
      <c r="B36" s="146"/>
      <c r="C36" s="134"/>
      <c r="D36" s="111">
        <f t="shared" si="4"/>
        <v>19</v>
      </c>
      <c r="E36" s="46" t="s">
        <v>22</v>
      </c>
      <c r="F36" s="46" t="s">
        <v>22</v>
      </c>
      <c r="G36" s="59" t="s">
        <v>52</v>
      </c>
      <c r="H36" s="137">
        <v>1</v>
      </c>
      <c r="I36" s="187">
        <v>830</v>
      </c>
      <c r="J36" s="138">
        <f>H36*I36</f>
        <v>830</v>
      </c>
      <c r="K36" s="109"/>
      <c r="L36" s="145" t="s">
        <v>53</v>
      </c>
      <c r="M36" s="22"/>
      <c r="N36" s="199" t="s">
        <v>152</v>
      </c>
      <c r="O36" s="11">
        <v>45566</v>
      </c>
      <c r="P36" s="4"/>
      <c r="Q36" s="19">
        <v>45576</v>
      </c>
      <c r="R36" s="19">
        <v>45580</v>
      </c>
      <c r="S36" s="14">
        <v>45580</v>
      </c>
    </row>
    <row r="37" spans="1:19" s="3" customFormat="1" ht="19.649999999999999" customHeight="1" x14ac:dyDescent="0.2">
      <c r="A37" s="76" t="s">
        <v>55</v>
      </c>
      <c r="B37" s="146"/>
      <c r="C37" s="134"/>
      <c r="D37" s="111">
        <f t="shared" si="4"/>
        <v>20</v>
      </c>
      <c r="E37" s="46" t="s">
        <v>22</v>
      </c>
      <c r="F37" s="46" t="s">
        <v>22</v>
      </c>
      <c r="G37" s="59" t="s">
        <v>54</v>
      </c>
      <c r="H37" s="137">
        <v>1</v>
      </c>
      <c r="I37" s="138">
        <v>1350</v>
      </c>
      <c r="J37" s="138">
        <f>H37*I37</f>
        <v>1350</v>
      </c>
      <c r="K37" s="109"/>
      <c r="L37" s="145" t="s">
        <v>53</v>
      </c>
      <c r="M37" s="79"/>
      <c r="N37" s="199" t="s">
        <v>152</v>
      </c>
      <c r="O37" s="11">
        <v>45566</v>
      </c>
      <c r="P37" s="4"/>
      <c r="Q37" s="19">
        <v>45576</v>
      </c>
      <c r="R37" s="19">
        <v>45580</v>
      </c>
      <c r="S37" s="14">
        <v>45580</v>
      </c>
    </row>
    <row r="38" spans="1:19" s="3" customFormat="1" ht="19.649999999999999" customHeight="1" x14ac:dyDescent="0.2">
      <c r="A38" s="58"/>
      <c r="B38" s="110"/>
      <c r="C38" s="1"/>
      <c r="D38" s="34"/>
      <c r="E38" s="31"/>
      <c r="F38" s="31"/>
      <c r="G38" s="30"/>
      <c r="H38" s="32"/>
      <c r="I38" s="30"/>
      <c r="J38" s="33"/>
      <c r="K38" s="55"/>
      <c r="L38" s="40"/>
      <c r="M38" s="22"/>
      <c r="N38" s="4"/>
      <c r="O38" s="11"/>
      <c r="P38" s="4"/>
      <c r="Q38" s="19"/>
      <c r="R38" s="19"/>
      <c r="S38" s="14"/>
    </row>
    <row r="39" spans="1:19" s="3" customFormat="1" ht="19.649999999999999" customHeight="1" x14ac:dyDescent="0.2">
      <c r="A39" s="58"/>
      <c r="B39" s="110"/>
      <c r="C39" s="1"/>
      <c r="D39" s="34"/>
      <c r="E39" s="31"/>
      <c r="F39" s="133"/>
      <c r="G39" s="124">
        <f>SUM(J29:J38)</f>
        <v>13156</v>
      </c>
      <c r="H39" s="32"/>
      <c r="I39" s="30"/>
      <c r="J39"/>
      <c r="K39" s="55"/>
      <c r="L39" s="40"/>
      <c r="M39" s="22"/>
      <c r="N39" s="4"/>
      <c r="O39" s="11"/>
      <c r="P39" s="4"/>
      <c r="Q39" s="19"/>
      <c r="R39" s="19"/>
      <c r="S39" s="14"/>
    </row>
    <row r="40" spans="1:19" s="3" customFormat="1" ht="19.649999999999999" customHeight="1" x14ac:dyDescent="0.2">
      <c r="A40" s="58"/>
      <c r="B40" s="110"/>
      <c r="C40" s="1"/>
      <c r="D40" s="4"/>
      <c r="E40" s="4"/>
      <c r="F40" s="4"/>
      <c r="G40" s="75"/>
      <c r="H40" s="1"/>
      <c r="I40" s="21"/>
      <c r="J40" s="73"/>
      <c r="K40" s="2"/>
      <c r="L40" s="25"/>
      <c r="M40" s="22"/>
      <c r="N40" s="4"/>
      <c r="O40" s="11"/>
      <c r="P40" s="4"/>
      <c r="Q40" s="19"/>
      <c r="R40" s="19"/>
      <c r="S40" s="14"/>
    </row>
    <row r="41" spans="1:19" s="3" customFormat="1" ht="19.649999999999999" customHeight="1" x14ac:dyDescent="0.2">
      <c r="A41" s="58"/>
      <c r="B41" s="110"/>
      <c r="C41" s="1"/>
      <c r="D41" s="4"/>
      <c r="E41" s="4"/>
      <c r="F41" s="4"/>
      <c r="G41" s="75"/>
      <c r="H41" s="1"/>
      <c r="I41" s="21"/>
      <c r="J41" s="73"/>
      <c r="K41" s="2"/>
      <c r="L41" s="25"/>
      <c r="M41" s="22"/>
      <c r="N41" s="4"/>
      <c r="O41" s="11"/>
      <c r="P41" s="4"/>
      <c r="Q41" s="19"/>
      <c r="R41" s="19"/>
      <c r="S41" s="14"/>
    </row>
    <row r="42" spans="1:19" s="3" customFormat="1" ht="19.649999999999999" customHeight="1" x14ac:dyDescent="0.2">
      <c r="A42" s="58"/>
      <c r="B42" s="110"/>
      <c r="C42" s="1"/>
      <c r="D42" s="4"/>
      <c r="E42" s="4"/>
      <c r="F42" s="4"/>
      <c r="G42" s="26"/>
      <c r="H42" s="1"/>
      <c r="I42" s="21"/>
      <c r="J42" s="68"/>
      <c r="K42" s="2"/>
      <c r="L42" s="25"/>
      <c r="M42" s="22"/>
      <c r="N42" s="4"/>
      <c r="O42" s="11"/>
      <c r="P42" s="4"/>
      <c r="Q42" s="19"/>
      <c r="R42" s="19"/>
      <c r="S42" s="14"/>
    </row>
    <row r="43" spans="1:19" s="3" customFormat="1" ht="19.649999999999999" customHeight="1" x14ac:dyDescent="0.2">
      <c r="A43" s="58"/>
      <c r="B43" s="110"/>
      <c r="C43" s="1"/>
      <c r="D43" s="4"/>
      <c r="E43" s="220" t="s">
        <v>113</v>
      </c>
      <c r="F43" s="221"/>
      <c r="G43" s="222"/>
      <c r="H43" s="127"/>
      <c r="I43" s="125"/>
      <c r="J43" s="33"/>
      <c r="K43" s="126"/>
      <c r="L43" s="37"/>
      <c r="M43" s="22"/>
      <c r="N43" s="4"/>
      <c r="O43" s="11"/>
      <c r="P43" s="4"/>
      <c r="Q43" s="19"/>
      <c r="R43" s="19"/>
      <c r="S43" s="14"/>
    </row>
    <row r="44" spans="1:19" s="3" customFormat="1" ht="19.649999999999999" customHeight="1" x14ac:dyDescent="0.2">
      <c r="A44" s="89" t="s">
        <v>58</v>
      </c>
      <c r="B44" s="146"/>
      <c r="C44" s="1"/>
      <c r="D44" s="111">
        <f>+D37+1</f>
        <v>21</v>
      </c>
      <c r="E44" s="85" t="s">
        <v>31</v>
      </c>
      <c r="F44" s="4" t="s">
        <v>22</v>
      </c>
      <c r="G44" s="24" t="s">
        <v>76</v>
      </c>
      <c r="H44" s="1">
        <v>1</v>
      </c>
      <c r="I44" s="1">
        <v>2320</v>
      </c>
      <c r="J44" s="41">
        <f t="shared" ref="J44:J52" si="5">H44*I44</f>
        <v>2320</v>
      </c>
      <c r="K44" s="78"/>
      <c r="L44" s="147" t="s">
        <v>114</v>
      </c>
      <c r="M44" s="22"/>
      <c r="N44" s="199" t="s">
        <v>152</v>
      </c>
      <c r="O44" s="11">
        <v>45566</v>
      </c>
      <c r="P44" s="4"/>
      <c r="Q44" s="19">
        <v>45576</v>
      </c>
      <c r="R44" s="19">
        <v>45580</v>
      </c>
      <c r="S44" s="14">
        <v>45580</v>
      </c>
    </row>
    <row r="45" spans="1:19" s="3" customFormat="1" ht="19.649999999999999" customHeight="1" x14ac:dyDescent="0.2">
      <c r="A45" s="88" t="s">
        <v>55</v>
      </c>
      <c r="B45" s="146"/>
      <c r="C45" s="1"/>
      <c r="D45" s="111">
        <f>+D44+1</f>
        <v>22</v>
      </c>
      <c r="E45" s="1" t="s">
        <v>22</v>
      </c>
      <c r="F45" s="1" t="s">
        <v>22</v>
      </c>
      <c r="G45" s="25" t="s">
        <v>115</v>
      </c>
      <c r="H45" s="1">
        <v>1</v>
      </c>
      <c r="I45" s="1">
        <v>990</v>
      </c>
      <c r="J45" s="87">
        <f>H45*I45</f>
        <v>990</v>
      </c>
      <c r="K45" s="24"/>
      <c r="L45" s="144" t="s">
        <v>116</v>
      </c>
      <c r="M45" s="22"/>
      <c r="N45" s="199" t="s">
        <v>152</v>
      </c>
      <c r="O45" s="11">
        <v>45566</v>
      </c>
      <c r="P45" s="4"/>
      <c r="Q45" s="19">
        <v>45576</v>
      </c>
      <c r="R45" s="19">
        <v>45580</v>
      </c>
      <c r="S45" s="14">
        <v>45580</v>
      </c>
    </row>
    <row r="46" spans="1:19" s="3" customFormat="1" ht="19.649999999999999" customHeight="1" x14ac:dyDescent="0.2">
      <c r="A46" s="88" t="s">
        <v>55</v>
      </c>
      <c r="B46" s="146"/>
      <c r="C46" s="1"/>
      <c r="D46" s="111">
        <f t="shared" ref="D46:D53" si="6">+D45+1</f>
        <v>23</v>
      </c>
      <c r="E46" s="4" t="s">
        <v>22</v>
      </c>
      <c r="F46" s="4" t="s">
        <v>22</v>
      </c>
      <c r="G46" s="26" t="s">
        <v>77</v>
      </c>
      <c r="H46" s="1">
        <v>2</v>
      </c>
      <c r="I46" s="95">
        <v>72</v>
      </c>
      <c r="J46" s="86">
        <f t="shared" si="5"/>
        <v>144</v>
      </c>
      <c r="K46" s="78"/>
      <c r="L46" s="144" t="s">
        <v>78</v>
      </c>
      <c r="M46" s="22"/>
      <c r="N46" s="199" t="s">
        <v>152</v>
      </c>
      <c r="O46" s="11">
        <v>45566</v>
      </c>
      <c r="P46" s="4"/>
      <c r="Q46" s="19">
        <v>45576</v>
      </c>
      <c r="R46" s="19">
        <v>45580</v>
      </c>
      <c r="S46" s="14">
        <v>45580</v>
      </c>
    </row>
    <row r="47" spans="1:19" s="3" customFormat="1" ht="19.649999999999999" customHeight="1" x14ac:dyDescent="0.2">
      <c r="A47" s="88" t="s">
        <v>55</v>
      </c>
      <c r="B47" s="146"/>
      <c r="C47" s="1"/>
      <c r="D47" s="111">
        <f>+D46+1</f>
        <v>24</v>
      </c>
      <c r="E47" s="104" t="s">
        <v>117</v>
      </c>
      <c r="F47" s="4" t="s">
        <v>22</v>
      </c>
      <c r="G47" s="99" t="s">
        <v>118</v>
      </c>
      <c r="H47" s="128">
        <v>1</v>
      </c>
      <c r="I47" s="188">
        <v>145</v>
      </c>
      <c r="J47" s="108">
        <f>H47*I47</f>
        <v>145</v>
      </c>
      <c r="K47" s="106"/>
      <c r="L47" s="148" t="s">
        <v>119</v>
      </c>
      <c r="M47" s="22"/>
      <c r="N47" s="199" t="s">
        <v>152</v>
      </c>
      <c r="O47" s="11">
        <v>45566</v>
      </c>
      <c r="P47" s="4"/>
      <c r="Q47" s="19">
        <v>45576</v>
      </c>
      <c r="R47" s="19">
        <v>45580</v>
      </c>
      <c r="S47" s="14">
        <v>45580</v>
      </c>
    </row>
    <row r="48" spans="1:19" s="3" customFormat="1" ht="19.649999999999999" customHeight="1" x14ac:dyDescent="0.2">
      <c r="A48" s="88" t="s">
        <v>55</v>
      </c>
      <c r="B48" s="146"/>
      <c r="C48" s="1"/>
      <c r="D48" s="111">
        <f t="shared" si="6"/>
        <v>25</v>
      </c>
      <c r="E48" s="4" t="s">
        <v>22</v>
      </c>
      <c r="F48" s="4" t="s">
        <v>22</v>
      </c>
      <c r="G48" s="26" t="s">
        <v>79</v>
      </c>
      <c r="H48" s="1">
        <v>2</v>
      </c>
      <c r="I48" s="95">
        <v>31</v>
      </c>
      <c r="J48" s="86">
        <f t="shared" si="5"/>
        <v>62</v>
      </c>
      <c r="K48" s="78"/>
      <c r="L48" s="144" t="s">
        <v>80</v>
      </c>
      <c r="M48" s="22"/>
      <c r="N48" s="199" t="s">
        <v>152</v>
      </c>
      <c r="O48" s="11">
        <v>45566</v>
      </c>
      <c r="P48" s="4"/>
      <c r="Q48" s="19">
        <v>45576</v>
      </c>
      <c r="R48" s="19">
        <v>45580</v>
      </c>
      <c r="S48" s="14">
        <v>45580</v>
      </c>
    </row>
    <row r="49" spans="1:19" s="3" customFormat="1" ht="19.649999999999999" customHeight="1" x14ac:dyDescent="0.2">
      <c r="A49" s="88" t="s">
        <v>55</v>
      </c>
      <c r="B49" s="146"/>
      <c r="C49" s="1"/>
      <c r="D49" s="111">
        <f t="shared" si="6"/>
        <v>26</v>
      </c>
      <c r="E49" s="34" t="s">
        <v>22</v>
      </c>
      <c r="F49" s="34" t="s">
        <v>22</v>
      </c>
      <c r="G49" s="40" t="s">
        <v>71</v>
      </c>
      <c r="H49" s="32">
        <v>3</v>
      </c>
      <c r="I49" s="32">
        <v>270</v>
      </c>
      <c r="J49" s="41">
        <f t="shared" si="5"/>
        <v>810</v>
      </c>
      <c r="K49" s="129"/>
      <c r="L49" s="150" t="s">
        <v>72</v>
      </c>
      <c r="M49" s="22"/>
      <c r="N49" s="199" t="s">
        <v>152</v>
      </c>
      <c r="O49" s="11">
        <v>45566</v>
      </c>
      <c r="P49" s="4"/>
      <c r="Q49" s="19">
        <v>45576</v>
      </c>
      <c r="R49" s="19">
        <v>45580</v>
      </c>
      <c r="S49" s="14">
        <v>45580</v>
      </c>
    </row>
    <row r="50" spans="1:19" s="3" customFormat="1" ht="19.649999999999999" customHeight="1" x14ac:dyDescent="0.2">
      <c r="A50" s="88" t="s">
        <v>55</v>
      </c>
      <c r="B50" s="146"/>
      <c r="C50" s="1"/>
      <c r="D50" s="111">
        <f t="shared" si="6"/>
        <v>27</v>
      </c>
      <c r="E50" s="36" t="s">
        <v>22</v>
      </c>
      <c r="F50" s="36" t="s">
        <v>22</v>
      </c>
      <c r="G50" s="25" t="s">
        <v>120</v>
      </c>
      <c r="H50" s="1">
        <v>1</v>
      </c>
      <c r="I50" s="1">
        <v>290</v>
      </c>
      <c r="J50" s="96">
        <f t="shared" si="5"/>
        <v>290</v>
      </c>
      <c r="K50" s="130"/>
      <c r="L50" s="144" t="s">
        <v>121</v>
      </c>
      <c r="M50" s="22"/>
      <c r="N50" s="199" t="s">
        <v>152</v>
      </c>
      <c r="O50" s="11">
        <v>45566</v>
      </c>
      <c r="P50" s="4"/>
      <c r="Q50" s="19">
        <v>45576</v>
      </c>
      <c r="R50" s="19">
        <v>45580</v>
      </c>
      <c r="S50" s="14">
        <v>45580</v>
      </c>
    </row>
    <row r="51" spans="1:19" s="3" customFormat="1" ht="19.649999999999999" customHeight="1" x14ac:dyDescent="0.2">
      <c r="A51" s="88" t="s">
        <v>55</v>
      </c>
      <c r="B51" s="146"/>
      <c r="C51" s="1"/>
      <c r="D51" s="111">
        <f t="shared" si="6"/>
        <v>28</v>
      </c>
      <c r="E51" s="34" t="s">
        <v>22</v>
      </c>
      <c r="F51" s="34" t="s">
        <v>22</v>
      </c>
      <c r="G51" s="40" t="s">
        <v>73</v>
      </c>
      <c r="H51" s="32">
        <v>3</v>
      </c>
      <c r="I51" s="32">
        <v>210</v>
      </c>
      <c r="J51" s="41">
        <f t="shared" si="5"/>
        <v>630</v>
      </c>
      <c r="K51" s="129"/>
      <c r="L51" s="150" t="s">
        <v>74</v>
      </c>
      <c r="M51" s="22"/>
      <c r="N51" s="199" t="s">
        <v>152</v>
      </c>
      <c r="O51" s="11">
        <v>45566</v>
      </c>
      <c r="P51" s="4"/>
      <c r="Q51" s="19">
        <v>45576</v>
      </c>
      <c r="R51" s="19">
        <v>45580</v>
      </c>
      <c r="S51" s="14">
        <v>45580</v>
      </c>
    </row>
    <row r="52" spans="1:19" s="3" customFormat="1" ht="19.649999999999999" customHeight="1" x14ac:dyDescent="0.2">
      <c r="A52" s="88" t="s">
        <v>55</v>
      </c>
      <c r="B52" s="146"/>
      <c r="C52" s="1"/>
      <c r="D52" s="111">
        <f t="shared" si="6"/>
        <v>29</v>
      </c>
      <c r="E52" s="34" t="s">
        <v>22</v>
      </c>
      <c r="F52" s="94" t="s">
        <v>22</v>
      </c>
      <c r="G52" s="64" t="s">
        <v>69</v>
      </c>
      <c r="H52" s="36">
        <v>1</v>
      </c>
      <c r="I52" s="96">
        <v>130</v>
      </c>
      <c r="J52" s="87">
        <f t="shared" si="5"/>
        <v>130</v>
      </c>
      <c r="K52" s="106"/>
      <c r="L52" s="151" t="s">
        <v>122</v>
      </c>
      <c r="M52" s="22"/>
      <c r="N52" s="199" t="s">
        <v>152</v>
      </c>
      <c r="O52" s="11">
        <v>45566</v>
      </c>
      <c r="P52" s="4"/>
      <c r="Q52" s="19">
        <v>45576</v>
      </c>
      <c r="R52" s="19">
        <v>45580</v>
      </c>
      <c r="S52" s="14">
        <v>45580</v>
      </c>
    </row>
    <row r="53" spans="1:19" s="3" customFormat="1" ht="19.649999999999999" customHeight="1" x14ac:dyDescent="0.2">
      <c r="A53" s="88" t="s">
        <v>55</v>
      </c>
      <c r="B53" s="146"/>
      <c r="C53" s="1"/>
      <c r="D53" s="111">
        <f t="shared" si="6"/>
        <v>30</v>
      </c>
      <c r="E53" s="94" t="s">
        <v>22</v>
      </c>
      <c r="F53" s="94" t="s">
        <v>22</v>
      </c>
      <c r="G53" s="37" t="s">
        <v>81</v>
      </c>
      <c r="H53" s="53">
        <v>10</v>
      </c>
      <c r="I53" s="189">
        <v>25</v>
      </c>
      <c r="J53" s="125">
        <f>H53*I53</f>
        <v>250</v>
      </c>
      <c r="K53" s="53"/>
      <c r="L53" s="149" t="s">
        <v>123</v>
      </c>
      <c r="M53" s="22"/>
      <c r="N53" s="199" t="s">
        <v>152</v>
      </c>
      <c r="O53" s="11">
        <v>45566</v>
      </c>
      <c r="P53" s="4"/>
      <c r="Q53" s="19">
        <v>45576</v>
      </c>
      <c r="R53" s="19">
        <v>45580</v>
      </c>
      <c r="S53" s="14">
        <v>45580</v>
      </c>
    </row>
    <row r="54" spans="1:19" s="3" customFormat="1" ht="19.649999999999999" customHeight="1" x14ac:dyDescent="0.2">
      <c r="A54" s="58"/>
      <c r="B54" s="110"/>
      <c r="C54" s="1"/>
      <c r="D54" s="4"/>
      <c r="E54" s="94"/>
      <c r="F54" s="94"/>
      <c r="G54" s="24"/>
      <c r="H54" s="131"/>
      <c r="I54" s="1"/>
      <c r="J54" s="41"/>
      <c r="K54" s="78"/>
      <c r="L54" s="43"/>
      <c r="M54" s="22"/>
      <c r="N54" s="4"/>
      <c r="O54" s="11"/>
      <c r="P54" s="4"/>
      <c r="Q54" s="19"/>
      <c r="R54" s="19"/>
      <c r="S54" s="14"/>
    </row>
    <row r="55" spans="1:19" s="3" customFormat="1" ht="19.649999999999999" customHeight="1" x14ac:dyDescent="0.2">
      <c r="A55" s="58"/>
      <c r="B55" s="110"/>
      <c r="C55" s="1"/>
      <c r="D55" s="4"/>
      <c r="E55" s="4"/>
      <c r="F55" s="4"/>
      <c r="G55" s="121">
        <f>SUM(J44:J53)</f>
        <v>5771</v>
      </c>
      <c r="H55" s="50"/>
      <c r="I55" s="50"/>
      <c r="J55" s="50"/>
      <c r="K55" s="132"/>
      <c r="L55" s="25"/>
      <c r="M55" s="22"/>
      <c r="N55" s="4"/>
      <c r="O55" s="11"/>
      <c r="P55" s="4"/>
      <c r="Q55" s="19"/>
      <c r="R55" s="19"/>
      <c r="S55" s="14"/>
    </row>
    <row r="56" spans="1:19" s="3" customFormat="1" ht="19.649999999999999" customHeight="1" x14ac:dyDescent="0.2">
      <c r="A56" s="58"/>
      <c r="B56" s="110"/>
      <c r="C56" s="1"/>
      <c r="D56" s="4"/>
      <c r="E56" s="4"/>
      <c r="F56" s="4"/>
      <c r="G56" s="26"/>
      <c r="H56" s="1"/>
      <c r="I56" s="21"/>
      <c r="J56" s="68"/>
      <c r="K56" s="2"/>
      <c r="L56" s="25"/>
      <c r="M56" s="22"/>
      <c r="N56" s="4"/>
      <c r="O56" s="11"/>
      <c r="P56" s="4"/>
      <c r="Q56" s="19"/>
      <c r="R56" s="19"/>
      <c r="S56" s="14"/>
    </row>
    <row r="57" spans="1:19" s="3" customFormat="1" ht="19.649999999999999" customHeight="1" x14ac:dyDescent="0.2">
      <c r="A57" s="58"/>
      <c r="B57" s="110"/>
      <c r="C57" s="1"/>
      <c r="D57" s="4"/>
      <c r="E57" s="4"/>
      <c r="F57" s="4"/>
      <c r="G57" s="26"/>
      <c r="H57" s="1"/>
      <c r="I57" s="21"/>
      <c r="J57" s="68"/>
      <c r="K57" s="2"/>
      <c r="L57" s="25"/>
      <c r="M57" s="22"/>
      <c r="N57" s="4"/>
      <c r="O57" s="11"/>
      <c r="P57" s="4"/>
      <c r="Q57" s="19"/>
      <c r="R57" s="19"/>
      <c r="S57" s="14"/>
    </row>
    <row r="58" spans="1:19" s="3" customFormat="1" ht="19.649999999999999" customHeight="1" x14ac:dyDescent="0.2">
      <c r="A58" s="58"/>
      <c r="B58" s="110"/>
      <c r="C58" s="1"/>
      <c r="D58" s="4"/>
      <c r="E58" s="4"/>
      <c r="F58" s="4"/>
      <c r="G58" s="26"/>
      <c r="H58" s="1"/>
      <c r="I58" s="21"/>
      <c r="J58" s="68"/>
      <c r="K58" s="2"/>
      <c r="L58" s="25"/>
      <c r="M58" s="22"/>
      <c r="N58" s="4"/>
      <c r="O58" s="11"/>
      <c r="P58" s="4"/>
      <c r="Q58" s="19"/>
      <c r="R58" s="19"/>
      <c r="S58" s="14"/>
    </row>
    <row r="59" spans="1:19" s="3" customFormat="1" ht="19.649999999999999" customHeight="1" x14ac:dyDescent="0.2">
      <c r="A59" s="58"/>
      <c r="B59" s="110"/>
      <c r="C59" s="1"/>
      <c r="D59" s="80"/>
      <c r="E59" s="220" t="s">
        <v>127</v>
      </c>
      <c r="F59" s="221"/>
      <c r="G59" s="222"/>
      <c r="H59" s="1"/>
      <c r="I59" s="21"/>
      <c r="J59" s="68"/>
      <c r="K59" s="2"/>
      <c r="L59" s="25"/>
      <c r="M59" s="22"/>
      <c r="N59" s="4"/>
      <c r="O59" s="11"/>
      <c r="P59" s="4"/>
      <c r="Q59" s="19"/>
      <c r="R59" s="19"/>
      <c r="S59" s="14"/>
    </row>
    <row r="60" spans="1:19" s="3" customFormat="1" ht="19.649999999999999" customHeight="1" x14ac:dyDescent="0.2">
      <c r="A60" s="89" t="s">
        <v>58</v>
      </c>
      <c r="B60" s="146"/>
      <c r="C60" s="1"/>
      <c r="D60" s="178">
        <f>+D53+1</f>
        <v>31</v>
      </c>
      <c r="E60" s="179" t="s">
        <v>31</v>
      </c>
      <c r="F60" s="153" t="s">
        <v>22</v>
      </c>
      <c r="G60" s="154" t="s">
        <v>76</v>
      </c>
      <c r="H60" s="155">
        <v>1</v>
      </c>
      <c r="I60" s="156">
        <v>2320</v>
      </c>
      <c r="J60" s="157">
        <f t="shared" ref="J60:J63" si="7">H60*I60</f>
        <v>2320</v>
      </c>
      <c r="K60" s="53"/>
      <c r="L60" s="149" t="s">
        <v>128</v>
      </c>
      <c r="M60" s="22"/>
      <c r="N60" s="199" t="s">
        <v>152</v>
      </c>
      <c r="O60" s="11">
        <v>45566</v>
      </c>
      <c r="P60" s="4"/>
      <c r="Q60" s="19">
        <v>45576</v>
      </c>
      <c r="R60" s="19">
        <v>45580</v>
      </c>
      <c r="S60" s="14">
        <v>45580</v>
      </c>
    </row>
    <row r="61" spans="1:19" s="3" customFormat="1" ht="19.649999999999999" customHeight="1" x14ac:dyDescent="0.2">
      <c r="A61" s="76" t="s">
        <v>55</v>
      </c>
      <c r="B61" s="146"/>
      <c r="C61" s="1"/>
      <c r="D61" s="168">
        <f t="shared" ref="D61:D65" si="8">+D60+1</f>
        <v>32</v>
      </c>
      <c r="E61" s="90" t="s">
        <v>22</v>
      </c>
      <c r="F61" s="90" t="s">
        <v>22</v>
      </c>
      <c r="G61" s="141" t="s">
        <v>77</v>
      </c>
      <c r="H61" s="88">
        <v>2</v>
      </c>
      <c r="I61" s="158">
        <v>72</v>
      </c>
      <c r="J61" s="86">
        <f t="shared" si="7"/>
        <v>144</v>
      </c>
      <c r="K61" s="2"/>
      <c r="L61" s="144" t="s">
        <v>78</v>
      </c>
      <c r="M61" s="22"/>
      <c r="N61" s="199" t="s">
        <v>152</v>
      </c>
      <c r="O61" s="11">
        <v>45566</v>
      </c>
      <c r="P61" s="4"/>
      <c r="Q61" s="19">
        <v>45576</v>
      </c>
      <c r="R61" s="19">
        <v>45580</v>
      </c>
      <c r="S61" s="14">
        <v>45580</v>
      </c>
    </row>
    <row r="62" spans="1:19" s="3" customFormat="1" ht="19.649999999999999" customHeight="1" x14ac:dyDescent="0.2">
      <c r="A62" s="76" t="s">
        <v>55</v>
      </c>
      <c r="B62" s="146"/>
      <c r="C62" s="1"/>
      <c r="D62" s="168">
        <f t="shared" si="8"/>
        <v>33</v>
      </c>
      <c r="E62" s="90" t="s">
        <v>22</v>
      </c>
      <c r="F62" s="90" t="s">
        <v>22</v>
      </c>
      <c r="G62" s="141" t="s">
        <v>79</v>
      </c>
      <c r="H62" s="88">
        <v>2</v>
      </c>
      <c r="I62" s="158">
        <v>31</v>
      </c>
      <c r="J62" s="86">
        <f t="shared" si="7"/>
        <v>62</v>
      </c>
      <c r="K62" s="2"/>
      <c r="L62" s="144" t="s">
        <v>80</v>
      </c>
      <c r="M62" s="22"/>
      <c r="N62" s="199" t="s">
        <v>152</v>
      </c>
      <c r="O62" s="11">
        <v>45566</v>
      </c>
      <c r="P62" s="4"/>
      <c r="Q62" s="19">
        <v>45576</v>
      </c>
      <c r="R62" s="19">
        <v>45580</v>
      </c>
      <c r="S62" s="14">
        <v>45580</v>
      </c>
    </row>
    <row r="63" spans="1:19" s="3" customFormat="1" ht="19.649999999999999" customHeight="1" x14ac:dyDescent="0.2">
      <c r="A63" s="76" t="s">
        <v>55</v>
      </c>
      <c r="B63" s="146"/>
      <c r="C63" s="1"/>
      <c r="D63" s="168">
        <f t="shared" si="8"/>
        <v>34</v>
      </c>
      <c r="E63" s="90" t="s">
        <v>22</v>
      </c>
      <c r="F63" s="90" t="s">
        <v>22</v>
      </c>
      <c r="G63" s="159" t="s">
        <v>129</v>
      </c>
      <c r="H63" s="160">
        <v>1</v>
      </c>
      <c r="I63" s="190">
        <v>1258</v>
      </c>
      <c r="J63" s="86">
        <f t="shared" si="7"/>
        <v>1258</v>
      </c>
      <c r="K63" s="53"/>
      <c r="L63" s="170" t="s">
        <v>130</v>
      </c>
      <c r="M63" s="22"/>
      <c r="N63" s="199" t="s">
        <v>152</v>
      </c>
      <c r="O63" s="11">
        <v>45566</v>
      </c>
      <c r="P63" s="4"/>
      <c r="Q63" s="19">
        <v>45576</v>
      </c>
      <c r="R63" s="19">
        <v>45580</v>
      </c>
      <c r="S63" s="14">
        <v>45580</v>
      </c>
    </row>
    <row r="64" spans="1:19" s="3" customFormat="1" ht="19.649999999999999" customHeight="1" x14ac:dyDescent="0.2">
      <c r="A64" s="76" t="s">
        <v>55</v>
      </c>
      <c r="B64" s="146"/>
      <c r="C64" s="1"/>
      <c r="D64" s="168">
        <f>+D63+1</f>
        <v>35</v>
      </c>
      <c r="E64" s="161" t="s">
        <v>22</v>
      </c>
      <c r="F64" s="161" t="s">
        <v>22</v>
      </c>
      <c r="G64" s="162" t="s">
        <v>150</v>
      </c>
      <c r="H64" s="163">
        <v>1</v>
      </c>
      <c r="I64" s="164">
        <v>550</v>
      </c>
      <c r="J64" s="83">
        <f>H64*I64</f>
        <v>550</v>
      </c>
      <c r="K64" s="84"/>
      <c r="L64" s="169" t="s">
        <v>131</v>
      </c>
      <c r="M64" s="22"/>
      <c r="N64" s="199" t="s">
        <v>152</v>
      </c>
      <c r="O64" s="11">
        <v>45566</v>
      </c>
      <c r="P64" s="4"/>
      <c r="Q64" s="19">
        <v>45576</v>
      </c>
      <c r="R64" s="19">
        <v>45580</v>
      </c>
      <c r="S64" s="14">
        <v>45580</v>
      </c>
    </row>
    <row r="65" spans="1:19" s="3" customFormat="1" ht="19.649999999999999" customHeight="1" x14ac:dyDescent="0.2">
      <c r="A65" s="76" t="s">
        <v>55</v>
      </c>
      <c r="B65" s="146"/>
      <c r="C65" s="1"/>
      <c r="D65" s="168">
        <f t="shared" si="8"/>
        <v>36</v>
      </c>
      <c r="E65" s="165" t="s">
        <v>22</v>
      </c>
      <c r="F65" s="166" t="s">
        <v>22</v>
      </c>
      <c r="G65" s="167" t="s">
        <v>132</v>
      </c>
      <c r="H65" s="160">
        <v>10</v>
      </c>
      <c r="I65" s="191">
        <v>35</v>
      </c>
      <c r="J65" s="21">
        <f>H65*I65</f>
        <v>350</v>
      </c>
      <c r="K65" s="2"/>
      <c r="L65" s="152" t="s">
        <v>133</v>
      </c>
      <c r="M65" s="22"/>
      <c r="N65" s="199" t="s">
        <v>152</v>
      </c>
      <c r="O65" s="11">
        <v>45566</v>
      </c>
      <c r="P65" s="4"/>
      <c r="Q65" s="19">
        <v>45576</v>
      </c>
      <c r="R65" s="19">
        <v>45580</v>
      </c>
      <c r="S65" s="14">
        <v>45580</v>
      </c>
    </row>
    <row r="66" spans="1:19" s="3" customFormat="1" ht="19.649999999999999" customHeight="1" x14ac:dyDescent="0.2">
      <c r="A66" s="58"/>
      <c r="B66" s="110"/>
      <c r="C66" s="1"/>
      <c r="D66" s="80"/>
      <c r="E66" s="80"/>
      <c r="F66" s="81"/>
      <c r="G66" s="82"/>
      <c r="H66" s="1"/>
      <c r="I66" s="21"/>
      <c r="J66" s="68"/>
      <c r="K66" s="2"/>
      <c r="L66" s="25"/>
      <c r="M66" s="22"/>
      <c r="N66" s="4"/>
      <c r="O66" s="11"/>
      <c r="P66" s="4"/>
      <c r="Q66" s="19"/>
      <c r="R66" s="19"/>
      <c r="S66" s="14"/>
    </row>
    <row r="67" spans="1:19" s="3" customFormat="1" ht="19.649999999999999" customHeight="1" x14ac:dyDescent="0.2">
      <c r="A67" s="58"/>
      <c r="B67" s="110"/>
      <c r="C67" s="1"/>
      <c r="D67" s="80"/>
      <c r="E67" s="80"/>
      <c r="F67" s="81"/>
      <c r="G67" s="121">
        <f>SUM(J60:J66)</f>
        <v>4684</v>
      </c>
      <c r="H67" s="1"/>
      <c r="I67" s="21"/>
      <c r="J67" s="68"/>
      <c r="K67" s="2"/>
      <c r="L67" s="25"/>
      <c r="M67" s="22"/>
      <c r="N67" s="4"/>
      <c r="O67" s="11"/>
      <c r="P67" s="4"/>
      <c r="Q67" s="19"/>
      <c r="R67" s="19"/>
      <c r="S67" s="14"/>
    </row>
    <row r="68" spans="1:19" s="3" customFormat="1" ht="19.649999999999999" customHeight="1" x14ac:dyDescent="0.2">
      <c r="A68" s="58"/>
      <c r="B68" s="110"/>
      <c r="C68" s="1"/>
      <c r="D68" s="80"/>
      <c r="E68" s="80"/>
      <c r="F68" s="81"/>
      <c r="G68" s="82"/>
      <c r="H68" s="1"/>
      <c r="I68" s="21"/>
      <c r="J68" s="68"/>
      <c r="K68" s="2"/>
      <c r="L68" s="25"/>
      <c r="M68" s="22"/>
      <c r="N68" s="4"/>
      <c r="O68" s="11"/>
      <c r="P68" s="4"/>
      <c r="Q68" s="19"/>
      <c r="R68" s="19"/>
      <c r="S68" s="14"/>
    </row>
    <row r="69" spans="1:19" s="3" customFormat="1" ht="19.649999999999999" customHeight="1" x14ac:dyDescent="0.2">
      <c r="A69" s="58"/>
      <c r="B69" s="110"/>
      <c r="C69" s="1"/>
      <c r="D69" s="80"/>
      <c r="E69" s="80"/>
      <c r="F69" s="81"/>
      <c r="G69" s="82"/>
      <c r="H69" s="1"/>
      <c r="I69" s="21"/>
      <c r="J69" s="68"/>
      <c r="K69" s="2"/>
      <c r="L69" s="25"/>
      <c r="M69" s="22"/>
      <c r="N69" s="4"/>
      <c r="O69" s="11"/>
      <c r="P69" s="4"/>
      <c r="Q69" s="19"/>
      <c r="R69" s="19"/>
      <c r="S69" s="14"/>
    </row>
    <row r="70" spans="1:19" s="3" customFormat="1" ht="19.649999999999999" customHeight="1" x14ac:dyDescent="0.2">
      <c r="A70" s="58"/>
      <c r="B70" s="110"/>
      <c r="C70" s="1"/>
      <c r="D70" s="80"/>
      <c r="E70" s="220" t="s">
        <v>160</v>
      </c>
      <c r="F70" s="221"/>
      <c r="G70" s="222"/>
      <c r="H70" s="1"/>
      <c r="I70" s="21"/>
      <c r="J70" s="68"/>
      <c r="K70" s="2"/>
      <c r="L70" s="25"/>
      <c r="M70" s="22"/>
      <c r="N70" s="4"/>
      <c r="O70" s="11"/>
      <c r="P70" s="4"/>
      <c r="Q70" s="19"/>
      <c r="R70" s="19"/>
      <c r="S70" s="14"/>
    </row>
    <row r="71" spans="1:19" s="3" customFormat="1" ht="19.649999999999999" customHeight="1" x14ac:dyDescent="0.2">
      <c r="A71" s="89" t="s">
        <v>58</v>
      </c>
      <c r="B71" s="146"/>
      <c r="C71" s="1"/>
      <c r="D71" s="178">
        <f>+D65+1</f>
        <v>37</v>
      </c>
      <c r="E71" s="179" t="s">
        <v>31</v>
      </c>
      <c r="F71" s="153" t="s">
        <v>22</v>
      </c>
      <c r="G71" s="154" t="s">
        <v>161</v>
      </c>
      <c r="H71" s="155">
        <v>1</v>
      </c>
      <c r="I71" s="156">
        <v>2462</v>
      </c>
      <c r="J71" s="157">
        <f t="shared" ref="J71:J75" si="9">H71*I71</f>
        <v>2462</v>
      </c>
      <c r="K71" s="53"/>
      <c r="L71" s="149" t="s">
        <v>162</v>
      </c>
      <c r="M71" s="22"/>
      <c r="N71" s="214" t="s">
        <v>163</v>
      </c>
      <c r="O71" s="11">
        <v>45572</v>
      </c>
      <c r="P71" s="4"/>
      <c r="Q71" s="19">
        <v>45583</v>
      </c>
      <c r="R71" s="19">
        <v>45586</v>
      </c>
      <c r="S71" s="14"/>
    </row>
    <row r="72" spans="1:19" s="3" customFormat="1" ht="19.649999999999999" customHeight="1" x14ac:dyDescent="0.2">
      <c r="A72" s="88" t="s">
        <v>83</v>
      </c>
      <c r="B72" s="146"/>
      <c r="C72" s="1"/>
      <c r="D72" s="178">
        <f>+D71+1</f>
        <v>38</v>
      </c>
      <c r="E72" s="179" t="s">
        <v>31</v>
      </c>
      <c r="F72" s="153" t="s">
        <v>22</v>
      </c>
      <c r="G72" s="154" t="s">
        <v>164</v>
      </c>
      <c r="H72" s="155">
        <v>1</v>
      </c>
      <c r="I72" s="156">
        <v>8010</v>
      </c>
      <c r="J72" s="157">
        <f t="shared" si="9"/>
        <v>8010</v>
      </c>
      <c r="K72" s="53"/>
      <c r="L72" s="149" t="s">
        <v>165</v>
      </c>
      <c r="M72" s="22"/>
      <c r="N72" s="214" t="s">
        <v>163</v>
      </c>
      <c r="O72" s="11">
        <v>45572</v>
      </c>
      <c r="P72" s="4"/>
      <c r="Q72" s="19">
        <v>45583</v>
      </c>
      <c r="R72" s="19">
        <v>45586</v>
      </c>
      <c r="S72" s="14"/>
    </row>
    <row r="73" spans="1:19" s="3" customFormat="1" ht="19.649999999999999" customHeight="1" x14ac:dyDescent="0.2">
      <c r="A73" s="76" t="s">
        <v>55</v>
      </c>
      <c r="B73" s="146"/>
      <c r="C73" s="1"/>
      <c r="D73" s="178">
        <f t="shared" ref="D73:D77" si="10">+D72+1</f>
        <v>39</v>
      </c>
      <c r="E73" s="90" t="s">
        <v>22</v>
      </c>
      <c r="F73" s="90" t="s">
        <v>22</v>
      </c>
      <c r="G73" s="141" t="s">
        <v>166</v>
      </c>
      <c r="H73" s="88">
        <v>4</v>
      </c>
      <c r="I73" s="158">
        <v>155</v>
      </c>
      <c r="J73" s="86">
        <f t="shared" si="9"/>
        <v>620</v>
      </c>
      <c r="K73" s="2"/>
      <c r="L73" s="144" t="s">
        <v>167</v>
      </c>
      <c r="M73" s="22"/>
      <c r="N73" s="232" t="s">
        <v>175</v>
      </c>
      <c r="O73" s="11">
        <v>45580</v>
      </c>
      <c r="P73" s="4"/>
      <c r="Q73" s="19">
        <v>45583</v>
      </c>
      <c r="R73" s="19">
        <v>45586</v>
      </c>
      <c r="S73" s="14"/>
    </row>
    <row r="74" spans="1:19" s="3" customFormat="1" ht="19.649999999999999" customHeight="1" x14ac:dyDescent="0.2">
      <c r="A74" s="76" t="s">
        <v>55</v>
      </c>
      <c r="B74" s="146"/>
      <c r="C74" s="1"/>
      <c r="D74" s="178">
        <f t="shared" si="10"/>
        <v>40</v>
      </c>
      <c r="E74" s="90" t="s">
        <v>22</v>
      </c>
      <c r="F74" s="90" t="s">
        <v>22</v>
      </c>
      <c r="G74" s="141" t="s">
        <v>168</v>
      </c>
      <c r="H74" s="88">
        <v>2</v>
      </c>
      <c r="I74" s="158">
        <v>153</v>
      </c>
      <c r="J74" s="86">
        <f t="shared" si="9"/>
        <v>306</v>
      </c>
      <c r="K74" s="2"/>
      <c r="L74" s="144" t="s">
        <v>169</v>
      </c>
      <c r="M74" s="22"/>
      <c r="N74" s="232" t="s">
        <v>175</v>
      </c>
      <c r="O74" s="11">
        <v>45580</v>
      </c>
      <c r="P74" s="4"/>
      <c r="Q74" s="19">
        <v>45583</v>
      </c>
      <c r="R74" s="19">
        <v>45586</v>
      </c>
      <c r="S74" s="14"/>
    </row>
    <row r="75" spans="1:19" s="3" customFormat="1" ht="19.649999999999999" customHeight="1" x14ac:dyDescent="0.2">
      <c r="A75" s="76" t="s">
        <v>55</v>
      </c>
      <c r="B75" s="146"/>
      <c r="C75" s="1"/>
      <c r="D75" s="178">
        <f t="shared" si="10"/>
        <v>41</v>
      </c>
      <c r="E75" s="90" t="s">
        <v>22</v>
      </c>
      <c r="F75" s="90" t="s">
        <v>22</v>
      </c>
      <c r="G75" s="159" t="s">
        <v>170</v>
      </c>
      <c r="H75" s="160">
        <v>2</v>
      </c>
      <c r="I75" s="215">
        <v>141</v>
      </c>
      <c r="J75" s="86">
        <f t="shared" si="9"/>
        <v>282</v>
      </c>
      <c r="K75" s="53"/>
      <c r="L75" s="170" t="s">
        <v>171</v>
      </c>
      <c r="M75" s="22"/>
      <c r="N75" s="232" t="s">
        <v>175</v>
      </c>
      <c r="O75" s="11">
        <v>45580</v>
      </c>
      <c r="P75" s="4"/>
      <c r="Q75" s="19">
        <v>45583</v>
      </c>
      <c r="R75" s="19">
        <v>45586</v>
      </c>
      <c r="S75" s="14"/>
    </row>
    <row r="76" spans="1:19" s="3" customFormat="1" ht="19.649999999999999" customHeight="1" x14ac:dyDescent="0.2">
      <c r="A76" s="76" t="s">
        <v>55</v>
      </c>
      <c r="B76" s="146"/>
      <c r="C76" s="1"/>
      <c r="D76" s="178">
        <f t="shared" si="10"/>
        <v>42</v>
      </c>
      <c r="E76" s="161" t="s">
        <v>22</v>
      </c>
      <c r="F76" s="161" t="s">
        <v>22</v>
      </c>
      <c r="G76" s="162" t="s">
        <v>172</v>
      </c>
      <c r="H76" s="163">
        <v>1</v>
      </c>
      <c r="I76" s="164">
        <v>3780</v>
      </c>
      <c r="J76" s="83">
        <f>H76*I76</f>
        <v>3780</v>
      </c>
      <c r="K76" s="84"/>
      <c r="L76" s="169" t="s">
        <v>173</v>
      </c>
      <c r="M76" s="22"/>
      <c r="N76" s="232" t="s">
        <v>175</v>
      </c>
      <c r="O76" s="11">
        <v>45580</v>
      </c>
      <c r="P76" s="4"/>
      <c r="Q76" s="19">
        <v>45583</v>
      </c>
      <c r="R76" s="19">
        <v>45586</v>
      </c>
      <c r="S76" s="14"/>
    </row>
    <row r="77" spans="1:19" s="3" customFormat="1" ht="19.649999999999999" customHeight="1" x14ac:dyDescent="0.2">
      <c r="A77" s="76" t="s">
        <v>55</v>
      </c>
      <c r="B77" s="146"/>
      <c r="C77" s="1"/>
      <c r="D77" s="178">
        <f t="shared" si="10"/>
        <v>43</v>
      </c>
      <c r="E77" s="161" t="s">
        <v>22</v>
      </c>
      <c r="F77" s="161" t="s">
        <v>22</v>
      </c>
      <c r="G77" s="141" t="s">
        <v>174</v>
      </c>
      <c r="H77" s="88">
        <v>10</v>
      </c>
      <c r="I77" s="216">
        <v>54</v>
      </c>
      <c r="J77" s="83">
        <f>H77*I77</f>
        <v>540</v>
      </c>
      <c r="K77" s="2"/>
      <c r="L77" s="144" t="s">
        <v>169</v>
      </c>
      <c r="M77" s="22"/>
      <c r="N77" s="232" t="s">
        <v>175</v>
      </c>
      <c r="O77" s="11">
        <v>45580</v>
      </c>
      <c r="P77" s="4"/>
      <c r="Q77" s="19">
        <v>45583</v>
      </c>
      <c r="R77" s="19">
        <v>45586</v>
      </c>
      <c r="S77" s="14"/>
    </row>
    <row r="78" spans="1:19" s="3" customFormat="1" ht="19.649999999999999" customHeight="1" x14ac:dyDescent="0.2">
      <c r="A78" s="58"/>
      <c r="B78" s="110"/>
      <c r="C78" s="1"/>
      <c r="D78" s="80"/>
      <c r="E78" s="80"/>
      <c r="F78" s="81"/>
      <c r="G78" s="82"/>
      <c r="H78" s="1"/>
      <c r="I78" s="21"/>
      <c r="J78" s="68"/>
      <c r="K78" s="2"/>
      <c r="L78" s="25"/>
      <c r="M78" s="22"/>
      <c r="N78" s="4"/>
      <c r="O78" s="11"/>
      <c r="P78" s="4"/>
      <c r="Q78" s="19"/>
      <c r="R78" s="19"/>
      <c r="S78" s="14"/>
    </row>
    <row r="79" spans="1:19" s="3" customFormat="1" ht="19.649999999999999" customHeight="1" x14ac:dyDescent="0.2">
      <c r="A79" s="58"/>
      <c r="B79" s="110"/>
      <c r="C79" s="1"/>
      <c r="D79" s="80"/>
      <c r="E79" s="80"/>
      <c r="F79" s="81"/>
      <c r="G79" s="82"/>
      <c r="H79" s="1"/>
      <c r="I79" s="21"/>
      <c r="J79" s="68"/>
      <c r="K79" s="2"/>
      <c r="L79" s="25"/>
      <c r="M79" s="22"/>
      <c r="N79" s="4"/>
      <c r="O79" s="11"/>
      <c r="P79" s="4"/>
      <c r="Q79" s="19"/>
      <c r="R79" s="19"/>
      <c r="S79" s="14"/>
    </row>
    <row r="80" spans="1:19" s="3" customFormat="1" ht="19.649999999999999" customHeight="1" x14ac:dyDescent="0.2">
      <c r="A80" s="58"/>
      <c r="B80" s="110"/>
      <c r="C80" s="1"/>
      <c r="D80" s="80"/>
      <c r="E80" s="80"/>
      <c r="F80" s="81"/>
      <c r="G80" s="121">
        <f>SUM(J71:J78)</f>
        <v>16000</v>
      </c>
      <c r="H80" s="1"/>
      <c r="I80" s="21"/>
      <c r="J80" s="68"/>
      <c r="K80" s="2"/>
      <c r="L80" s="25"/>
      <c r="M80" s="22"/>
      <c r="N80" s="4"/>
      <c r="O80" s="11"/>
      <c r="P80" s="4"/>
      <c r="Q80" s="19"/>
      <c r="R80" s="19"/>
      <c r="S80" s="14"/>
    </row>
    <row r="81" spans="1:19" s="3" customFormat="1" ht="19.649999999999999" customHeight="1" x14ac:dyDescent="0.2">
      <c r="A81" s="58"/>
      <c r="B81" s="110"/>
      <c r="C81" s="1"/>
      <c r="D81" s="80"/>
      <c r="E81" s="80"/>
      <c r="F81" s="81"/>
      <c r="G81" s="82"/>
      <c r="H81" s="1"/>
      <c r="I81" s="21"/>
      <c r="J81" s="68"/>
      <c r="K81" s="2"/>
      <c r="L81" s="25"/>
      <c r="M81" s="22"/>
      <c r="N81" s="4"/>
      <c r="O81" s="11"/>
      <c r="P81" s="4"/>
      <c r="Q81" s="19"/>
      <c r="R81" s="19"/>
      <c r="S81" s="14"/>
    </row>
    <row r="82" spans="1:19" s="3" customFormat="1" ht="19.649999999999999" customHeight="1" x14ac:dyDescent="0.2">
      <c r="A82" s="58"/>
      <c r="B82" s="110"/>
      <c r="C82" s="1"/>
      <c r="D82" s="80"/>
      <c r="E82" s="80"/>
      <c r="F82" s="81"/>
      <c r="G82" s="82"/>
      <c r="H82" s="1"/>
      <c r="I82" s="21"/>
      <c r="J82" s="68"/>
      <c r="K82" s="2"/>
      <c r="L82" s="25"/>
      <c r="M82" s="22"/>
      <c r="N82" s="4"/>
      <c r="O82" s="11"/>
      <c r="P82" s="4"/>
      <c r="Q82" s="19"/>
      <c r="R82" s="19"/>
      <c r="S82" s="14"/>
    </row>
    <row r="83" spans="1:19" s="3" customFormat="1" ht="19.649999999999999" customHeight="1" x14ac:dyDescent="0.2">
      <c r="A83" s="58"/>
      <c r="B83" s="110"/>
      <c r="C83" s="1"/>
      <c r="D83" s="91"/>
      <c r="E83" s="217" t="s">
        <v>82</v>
      </c>
      <c r="F83" s="218"/>
      <c r="G83" s="219"/>
      <c r="H83" s="1"/>
      <c r="I83" s="21"/>
      <c r="J83" s="68"/>
      <c r="K83" s="2"/>
      <c r="L83" s="25"/>
      <c r="M83" s="22"/>
      <c r="N83" s="4"/>
      <c r="O83" s="11"/>
      <c r="P83" s="4"/>
      <c r="Q83" s="19"/>
      <c r="R83" s="19"/>
      <c r="S83" s="14"/>
    </row>
    <row r="84" spans="1:19" s="3" customFormat="1" ht="19.649999999999999" customHeight="1" x14ac:dyDescent="0.2">
      <c r="A84" s="76" t="s">
        <v>41</v>
      </c>
      <c r="B84" s="146"/>
      <c r="C84" s="134"/>
      <c r="D84" s="111">
        <f>+D77+1</f>
        <v>44</v>
      </c>
      <c r="E84" s="85" t="s">
        <v>31</v>
      </c>
      <c r="F84" s="4" t="s">
        <v>22</v>
      </c>
      <c r="G84" s="26" t="s">
        <v>63</v>
      </c>
      <c r="H84" s="1">
        <v>1</v>
      </c>
      <c r="I84" s="21">
        <v>6780</v>
      </c>
      <c r="J84" s="54">
        <f t="shared" ref="J84:J107" si="11">H84*I84</f>
        <v>6780</v>
      </c>
      <c r="K84" s="2"/>
      <c r="L84" s="144" t="s">
        <v>70</v>
      </c>
      <c r="M84" s="22"/>
      <c r="N84" s="199" t="s">
        <v>152</v>
      </c>
      <c r="O84" s="11">
        <v>45566</v>
      </c>
      <c r="P84" s="4"/>
      <c r="Q84" s="19">
        <v>45576</v>
      </c>
      <c r="R84" s="19">
        <v>45580</v>
      </c>
      <c r="S84" s="14">
        <v>45580</v>
      </c>
    </row>
    <row r="85" spans="1:19" s="3" customFormat="1" ht="19.649999999999999" customHeight="1" x14ac:dyDescent="0.2">
      <c r="A85" s="76" t="s">
        <v>42</v>
      </c>
      <c r="B85" s="146"/>
      <c r="C85" s="134"/>
      <c r="D85" s="111">
        <f t="shared" ref="D85:D99" si="12">+D84+1</f>
        <v>45</v>
      </c>
      <c r="E85" s="46" t="s">
        <v>22</v>
      </c>
      <c r="F85" s="46" t="s">
        <v>22</v>
      </c>
      <c r="G85" s="26" t="s">
        <v>43</v>
      </c>
      <c r="H85" s="1">
        <v>16</v>
      </c>
      <c r="I85" s="191">
        <v>95</v>
      </c>
      <c r="J85" s="54">
        <f t="shared" si="11"/>
        <v>1520</v>
      </c>
      <c r="K85" s="2"/>
      <c r="L85" s="144" t="s">
        <v>47</v>
      </c>
      <c r="M85" s="22"/>
      <c r="N85" s="199" t="s">
        <v>152</v>
      </c>
      <c r="O85" s="11">
        <v>45566</v>
      </c>
      <c r="P85" s="4"/>
      <c r="Q85" s="19">
        <v>45576</v>
      </c>
      <c r="R85" s="19">
        <v>45580</v>
      </c>
      <c r="S85" s="14">
        <v>45580</v>
      </c>
    </row>
    <row r="86" spans="1:19" s="3" customFormat="1" ht="19.649999999999999" customHeight="1" x14ac:dyDescent="0.2">
      <c r="A86" s="76" t="s">
        <v>42</v>
      </c>
      <c r="B86" s="146"/>
      <c r="C86" s="134"/>
      <c r="D86" s="111">
        <f t="shared" si="12"/>
        <v>46</v>
      </c>
      <c r="E86" s="94" t="s">
        <v>22</v>
      </c>
      <c r="F86" s="94" t="s">
        <v>22</v>
      </c>
      <c r="G86" s="59" t="s">
        <v>65</v>
      </c>
      <c r="H86" s="61">
        <v>10</v>
      </c>
      <c r="I86" s="119">
        <v>92</v>
      </c>
      <c r="J86" s="119">
        <f t="shared" si="11"/>
        <v>920</v>
      </c>
      <c r="K86" s="174"/>
      <c r="L86" s="170" t="s">
        <v>145</v>
      </c>
      <c r="M86" s="43"/>
      <c r="N86" s="199" t="s">
        <v>152</v>
      </c>
      <c r="O86" s="11">
        <v>45566</v>
      </c>
      <c r="P86" s="4"/>
      <c r="Q86" s="19">
        <v>45576</v>
      </c>
      <c r="R86" s="19">
        <v>45580</v>
      </c>
      <c r="S86" s="14">
        <v>45580</v>
      </c>
    </row>
    <row r="87" spans="1:19" s="3" customFormat="1" ht="19.649999999999999" customHeight="1" x14ac:dyDescent="0.2">
      <c r="A87" s="76" t="s">
        <v>42</v>
      </c>
      <c r="B87" s="146"/>
      <c r="C87" s="134"/>
      <c r="D87" s="111">
        <f t="shared" si="12"/>
        <v>47</v>
      </c>
      <c r="E87" s="94" t="s">
        <v>22</v>
      </c>
      <c r="F87" s="94" t="s">
        <v>22</v>
      </c>
      <c r="G87" s="59" t="s">
        <v>146</v>
      </c>
      <c r="H87" s="61">
        <v>4</v>
      </c>
      <c r="I87" s="192">
        <v>76</v>
      </c>
      <c r="J87" s="119">
        <f t="shared" si="11"/>
        <v>304</v>
      </c>
      <c r="K87" s="175"/>
      <c r="L87" s="170" t="s">
        <v>147</v>
      </c>
      <c r="M87" s="43"/>
      <c r="N87" s="199" t="s">
        <v>152</v>
      </c>
      <c r="O87" s="11">
        <v>45566</v>
      </c>
      <c r="P87" s="4"/>
      <c r="Q87" s="19">
        <v>45576</v>
      </c>
      <c r="R87" s="19">
        <v>45580</v>
      </c>
      <c r="S87" s="14">
        <v>45580</v>
      </c>
    </row>
    <row r="88" spans="1:19" s="3" customFormat="1" ht="19.649999999999999" customHeight="1" x14ac:dyDescent="0.2">
      <c r="A88" s="76" t="s">
        <v>42</v>
      </c>
      <c r="B88" s="146"/>
      <c r="C88" s="134"/>
      <c r="D88" s="111">
        <f t="shared" si="12"/>
        <v>48</v>
      </c>
      <c r="E88" s="46" t="s">
        <v>22</v>
      </c>
      <c r="F88" s="46" t="s">
        <v>22</v>
      </c>
      <c r="G88" s="26" t="s">
        <v>44</v>
      </c>
      <c r="H88" s="1">
        <v>6</v>
      </c>
      <c r="I88" s="21">
        <v>270</v>
      </c>
      <c r="J88" s="54">
        <f t="shared" si="11"/>
        <v>1620</v>
      </c>
      <c r="K88" s="2"/>
      <c r="L88" s="144" t="s">
        <v>46</v>
      </c>
      <c r="M88" s="22"/>
      <c r="N88" s="199" t="s">
        <v>152</v>
      </c>
      <c r="O88" s="11">
        <v>45566</v>
      </c>
      <c r="P88" s="4"/>
      <c r="Q88" s="19">
        <v>45576</v>
      </c>
      <c r="R88" s="19">
        <v>45580</v>
      </c>
      <c r="S88" s="14">
        <v>45580</v>
      </c>
    </row>
    <row r="89" spans="1:19" s="3" customFormat="1" ht="19.649999999999999" customHeight="1" x14ac:dyDescent="0.2">
      <c r="A89" s="76" t="s">
        <v>42</v>
      </c>
      <c r="B89" s="146"/>
      <c r="C89" s="134"/>
      <c r="D89" s="111">
        <f>+D88+1</f>
        <v>49</v>
      </c>
      <c r="E89" s="46" t="s">
        <v>22</v>
      </c>
      <c r="F89" s="46" t="s">
        <v>22</v>
      </c>
      <c r="G89" s="26" t="s">
        <v>45</v>
      </c>
      <c r="H89" s="1">
        <v>10</v>
      </c>
      <c r="I89" s="191">
        <v>35</v>
      </c>
      <c r="J89" s="54">
        <f t="shared" si="11"/>
        <v>350</v>
      </c>
      <c r="K89" s="2"/>
      <c r="L89" s="152" t="s">
        <v>61</v>
      </c>
      <c r="M89" s="22"/>
      <c r="N89" s="199" t="s">
        <v>152</v>
      </c>
      <c r="O89" s="11">
        <v>45566</v>
      </c>
      <c r="P89" s="4"/>
      <c r="Q89" s="19">
        <v>45576</v>
      </c>
      <c r="R89" s="19">
        <v>45580</v>
      </c>
      <c r="S89" s="14">
        <v>45580</v>
      </c>
    </row>
    <row r="90" spans="1:19" s="3" customFormat="1" ht="19.649999999999999" customHeight="1" x14ac:dyDescent="0.2">
      <c r="A90" s="76" t="s">
        <v>42</v>
      </c>
      <c r="B90" s="146"/>
      <c r="C90" s="134"/>
      <c r="D90" s="111">
        <f t="shared" si="12"/>
        <v>50</v>
      </c>
      <c r="E90" s="46" t="s">
        <v>22</v>
      </c>
      <c r="F90" s="46" t="s">
        <v>22</v>
      </c>
      <c r="G90" s="26" t="s">
        <v>144</v>
      </c>
      <c r="H90" s="1">
        <v>10</v>
      </c>
      <c r="I90" s="191">
        <v>25</v>
      </c>
      <c r="J90" s="54">
        <f t="shared" si="11"/>
        <v>250</v>
      </c>
      <c r="K90" s="2"/>
      <c r="L90" s="152" t="s">
        <v>61</v>
      </c>
      <c r="M90" s="22"/>
      <c r="N90" s="199" t="s">
        <v>152</v>
      </c>
      <c r="O90" s="11">
        <v>45566</v>
      </c>
      <c r="P90" s="4"/>
      <c r="Q90" s="19">
        <v>45576</v>
      </c>
      <c r="R90" s="19">
        <v>45580</v>
      </c>
      <c r="S90" s="14">
        <v>45580</v>
      </c>
    </row>
    <row r="91" spans="1:19" s="3" customFormat="1" ht="19.649999999999999" customHeight="1" x14ac:dyDescent="0.2">
      <c r="A91" s="76" t="s">
        <v>42</v>
      </c>
      <c r="B91" s="146"/>
      <c r="C91" s="134"/>
      <c r="D91" s="111">
        <f t="shared" si="12"/>
        <v>51</v>
      </c>
      <c r="E91" s="46" t="s">
        <v>22</v>
      </c>
      <c r="F91" s="46" t="s">
        <v>22</v>
      </c>
      <c r="G91" s="26" t="s">
        <v>62</v>
      </c>
      <c r="H91" s="1">
        <v>10</v>
      </c>
      <c r="I91" s="191">
        <v>29</v>
      </c>
      <c r="J91" s="54">
        <f t="shared" si="11"/>
        <v>290</v>
      </c>
      <c r="K91" s="2"/>
      <c r="L91" s="152" t="s">
        <v>126</v>
      </c>
      <c r="M91" s="22"/>
      <c r="N91" s="199" t="s">
        <v>152</v>
      </c>
      <c r="O91" s="11">
        <v>45566</v>
      </c>
      <c r="P91" s="4"/>
      <c r="Q91" s="19">
        <v>45576</v>
      </c>
      <c r="R91" s="19">
        <v>45580</v>
      </c>
      <c r="S91" s="14">
        <v>45580</v>
      </c>
    </row>
    <row r="92" spans="1:19" s="3" customFormat="1" ht="19.649999999999999" customHeight="1" x14ac:dyDescent="0.2">
      <c r="A92" s="76" t="s">
        <v>48</v>
      </c>
      <c r="B92" s="146"/>
      <c r="C92" s="134"/>
      <c r="D92" s="111">
        <f>+D91+1</f>
        <v>52</v>
      </c>
      <c r="E92" s="4" t="s">
        <v>22</v>
      </c>
      <c r="F92" s="4" t="s">
        <v>22</v>
      </c>
      <c r="G92" s="97" t="s">
        <v>139</v>
      </c>
      <c r="H92" s="42">
        <v>1</v>
      </c>
      <c r="I92" s="193">
        <v>1784</v>
      </c>
      <c r="J92" s="69">
        <f>H92*I92</f>
        <v>1784</v>
      </c>
      <c r="K92" s="33"/>
      <c r="L92" s="173" t="s">
        <v>49</v>
      </c>
      <c r="M92" s="22"/>
      <c r="N92" s="199" t="s">
        <v>152</v>
      </c>
      <c r="O92" s="11">
        <v>45566</v>
      </c>
      <c r="P92" s="4"/>
      <c r="Q92" s="19">
        <v>45576</v>
      </c>
      <c r="R92" s="19">
        <v>45580</v>
      </c>
      <c r="S92" s="14">
        <v>45580</v>
      </c>
    </row>
    <row r="93" spans="1:19" s="3" customFormat="1" ht="19.649999999999999" customHeight="1" x14ac:dyDescent="0.2">
      <c r="A93" s="76" t="s">
        <v>48</v>
      </c>
      <c r="B93" s="146"/>
      <c r="C93" s="134"/>
      <c r="D93" s="111">
        <f t="shared" si="12"/>
        <v>53</v>
      </c>
      <c r="E93" s="4" t="s">
        <v>22</v>
      </c>
      <c r="F93" s="4" t="s">
        <v>22</v>
      </c>
      <c r="G93" s="97" t="s">
        <v>140</v>
      </c>
      <c r="H93" s="42">
        <v>1</v>
      </c>
      <c r="I93" s="193">
        <v>4705</v>
      </c>
      <c r="J93" s="69">
        <f t="shared" si="11"/>
        <v>4705</v>
      </c>
      <c r="K93" s="33"/>
      <c r="L93" s="144" t="s">
        <v>28</v>
      </c>
      <c r="M93" s="22"/>
      <c r="N93" s="199" t="s">
        <v>152</v>
      </c>
      <c r="O93" s="11">
        <v>45566</v>
      </c>
      <c r="P93" s="4"/>
      <c r="Q93" s="19">
        <v>45576</v>
      </c>
      <c r="R93" s="19">
        <v>45580</v>
      </c>
      <c r="S93" s="14">
        <v>45580</v>
      </c>
    </row>
    <row r="94" spans="1:19" s="3" customFormat="1" ht="19.649999999999999" customHeight="1" x14ac:dyDescent="0.2">
      <c r="A94" s="76" t="s">
        <v>42</v>
      </c>
      <c r="B94" s="146"/>
      <c r="C94" s="134"/>
      <c r="D94" s="111">
        <f t="shared" si="12"/>
        <v>54</v>
      </c>
      <c r="E94" s="4" t="s">
        <v>22</v>
      </c>
      <c r="F94" s="4" t="s">
        <v>22</v>
      </c>
      <c r="G94" s="43" t="s">
        <v>23</v>
      </c>
      <c r="H94" s="42">
        <v>1</v>
      </c>
      <c r="I94" s="93">
        <v>5117</v>
      </c>
      <c r="J94" s="69">
        <f t="shared" si="11"/>
        <v>5117</v>
      </c>
      <c r="K94" s="33"/>
      <c r="L94" s="144" t="s">
        <v>32</v>
      </c>
      <c r="M94" s="22"/>
      <c r="N94" s="199" t="s">
        <v>152</v>
      </c>
      <c r="O94" s="11">
        <v>45566</v>
      </c>
      <c r="P94" s="4"/>
      <c r="Q94" s="19">
        <v>45576</v>
      </c>
      <c r="R94" s="19">
        <v>45580</v>
      </c>
      <c r="S94" s="14">
        <v>45580</v>
      </c>
    </row>
    <row r="95" spans="1:19" s="3" customFormat="1" ht="19.649999999999999" customHeight="1" x14ac:dyDescent="0.2">
      <c r="A95" s="76" t="s">
        <v>42</v>
      </c>
      <c r="B95" s="146"/>
      <c r="C95" s="134"/>
      <c r="D95" s="111">
        <f t="shared" si="12"/>
        <v>55</v>
      </c>
      <c r="E95" s="4" t="s">
        <v>22</v>
      </c>
      <c r="F95" s="4" t="s">
        <v>22</v>
      </c>
      <c r="G95" s="43" t="s">
        <v>64</v>
      </c>
      <c r="H95" s="42">
        <v>1</v>
      </c>
      <c r="I95" s="93">
        <v>4239</v>
      </c>
      <c r="J95" s="69">
        <f t="shared" si="11"/>
        <v>4239</v>
      </c>
      <c r="K95" s="62"/>
      <c r="L95" s="144" t="s">
        <v>27</v>
      </c>
      <c r="M95" s="22"/>
      <c r="N95" s="199" t="s">
        <v>152</v>
      </c>
      <c r="O95" s="11">
        <v>45566</v>
      </c>
      <c r="P95" s="4"/>
      <c r="Q95" s="19">
        <v>45576</v>
      </c>
      <c r="R95" s="19">
        <v>45580</v>
      </c>
      <c r="S95" s="14">
        <v>45580</v>
      </c>
    </row>
    <row r="96" spans="1:19" s="3" customFormat="1" ht="19.649999999999999" customHeight="1" x14ac:dyDescent="0.2">
      <c r="A96" s="76" t="s">
        <v>41</v>
      </c>
      <c r="B96" s="146"/>
      <c r="C96" s="134"/>
      <c r="D96" s="111">
        <f t="shared" si="12"/>
        <v>56</v>
      </c>
      <c r="E96" s="4" t="s">
        <v>22</v>
      </c>
      <c r="F96" s="4" t="s">
        <v>22</v>
      </c>
      <c r="G96" s="43" t="s">
        <v>141</v>
      </c>
      <c r="H96" s="42">
        <v>1</v>
      </c>
      <c r="I96" s="193">
        <v>1538</v>
      </c>
      <c r="J96" s="69">
        <f t="shared" si="11"/>
        <v>1538</v>
      </c>
      <c r="K96" s="27"/>
      <c r="L96" s="144" t="s">
        <v>24</v>
      </c>
      <c r="M96" s="22"/>
      <c r="N96" s="199" t="s">
        <v>152</v>
      </c>
      <c r="O96" s="11">
        <v>45566</v>
      </c>
      <c r="P96" s="4"/>
      <c r="Q96" s="19">
        <v>45576</v>
      </c>
      <c r="R96" s="19">
        <v>45580</v>
      </c>
      <c r="S96" s="14">
        <v>45580</v>
      </c>
    </row>
    <row r="97" spans="1:19" s="3" customFormat="1" ht="19.649999999999999" customHeight="1" x14ac:dyDescent="0.2">
      <c r="A97" s="76" t="s">
        <v>42</v>
      </c>
      <c r="B97" s="146"/>
      <c r="C97" s="134"/>
      <c r="D97" s="111">
        <f>+D96+1</f>
        <v>57</v>
      </c>
      <c r="E97" s="46" t="s">
        <v>22</v>
      </c>
      <c r="F97" s="46" t="s">
        <v>22</v>
      </c>
      <c r="G97" s="59" t="s">
        <v>25</v>
      </c>
      <c r="H97" s="98">
        <v>1</v>
      </c>
      <c r="I97" s="100">
        <v>860</v>
      </c>
      <c r="J97" s="101">
        <f>H97*I97</f>
        <v>860</v>
      </c>
      <c r="K97" s="52"/>
      <c r="L97" s="177" t="s">
        <v>33</v>
      </c>
      <c r="M97" s="22"/>
      <c r="N97" s="199" t="s">
        <v>152</v>
      </c>
      <c r="O97" s="11">
        <v>45566</v>
      </c>
      <c r="P97" s="4"/>
      <c r="Q97" s="19">
        <v>45576</v>
      </c>
      <c r="R97" s="19">
        <v>45580</v>
      </c>
      <c r="S97" s="14">
        <v>45580</v>
      </c>
    </row>
    <row r="98" spans="1:19" s="3" customFormat="1" ht="19.649999999999999" customHeight="1" x14ac:dyDescent="0.2">
      <c r="A98" s="76" t="s">
        <v>59</v>
      </c>
      <c r="B98" s="146"/>
      <c r="C98" s="134"/>
      <c r="D98" s="111">
        <f>+D97+1</f>
        <v>58</v>
      </c>
      <c r="E98" s="46" t="s">
        <v>38</v>
      </c>
      <c r="F98" s="46" t="s">
        <v>22</v>
      </c>
      <c r="G98" s="59" t="s">
        <v>37</v>
      </c>
      <c r="H98" s="61">
        <v>1</v>
      </c>
      <c r="I98" s="194">
        <v>1443</v>
      </c>
      <c r="J98" s="102">
        <f>H98*I98</f>
        <v>1443</v>
      </c>
      <c r="K98" s="63"/>
      <c r="L98" s="176" t="s">
        <v>36</v>
      </c>
      <c r="M98" s="22"/>
      <c r="N98" s="199" t="s">
        <v>152</v>
      </c>
      <c r="O98" s="11">
        <v>45566</v>
      </c>
      <c r="P98" s="4"/>
      <c r="Q98" s="19">
        <v>45576</v>
      </c>
      <c r="R98" s="19">
        <v>45580</v>
      </c>
      <c r="S98" s="14">
        <v>45580</v>
      </c>
    </row>
    <row r="99" spans="1:19" s="3" customFormat="1" ht="19.649999999999999" customHeight="1" x14ac:dyDescent="0.2">
      <c r="A99" s="76" t="s">
        <v>42</v>
      </c>
      <c r="B99" s="146"/>
      <c r="C99" s="134"/>
      <c r="D99" s="111">
        <f t="shared" si="12"/>
        <v>59</v>
      </c>
      <c r="E99" s="4" t="s">
        <v>22</v>
      </c>
      <c r="F99" s="4" t="s">
        <v>22</v>
      </c>
      <c r="G99" s="103" t="s">
        <v>34</v>
      </c>
      <c r="H99" s="42">
        <v>1</v>
      </c>
      <c r="I99" s="195">
        <v>881</v>
      </c>
      <c r="J99" s="21">
        <f>H99*I99</f>
        <v>881</v>
      </c>
      <c r="K99" s="65"/>
      <c r="L99" s="149" t="s">
        <v>35</v>
      </c>
      <c r="M99" s="22"/>
      <c r="N99" s="199" t="s">
        <v>152</v>
      </c>
      <c r="O99" s="11">
        <v>45566</v>
      </c>
      <c r="P99" s="4"/>
      <c r="Q99" s="19">
        <v>45576</v>
      </c>
      <c r="R99" s="19">
        <v>45580</v>
      </c>
      <c r="S99" s="14">
        <v>45580</v>
      </c>
    </row>
    <row r="100" spans="1:19" s="3" customFormat="1" ht="19.649999999999999" customHeight="1" x14ac:dyDescent="0.2">
      <c r="A100" s="76" t="s">
        <v>30</v>
      </c>
      <c r="B100" s="146"/>
      <c r="C100" s="134"/>
      <c r="D100" s="111">
        <f>+D99+1</f>
        <v>60</v>
      </c>
      <c r="E100" s="4" t="s">
        <v>22</v>
      </c>
      <c r="F100" s="4" t="s">
        <v>22</v>
      </c>
      <c r="G100" s="24" t="s">
        <v>39</v>
      </c>
      <c r="H100" s="1">
        <v>4</v>
      </c>
      <c r="I100" s="196">
        <v>290</v>
      </c>
      <c r="J100" s="54">
        <f t="shared" si="11"/>
        <v>1160</v>
      </c>
      <c r="K100" s="2"/>
      <c r="L100" s="147" t="s">
        <v>40</v>
      </c>
      <c r="M100" s="24"/>
      <c r="N100" s="199" t="s">
        <v>152</v>
      </c>
      <c r="O100" s="11">
        <v>45566</v>
      </c>
      <c r="P100" s="4"/>
      <c r="Q100" s="19">
        <v>45576</v>
      </c>
      <c r="R100" s="19">
        <v>45580</v>
      </c>
      <c r="S100" s="14">
        <v>45580</v>
      </c>
    </row>
    <row r="101" spans="1:19" s="3" customFormat="1" ht="19.649999999999999" customHeight="1" x14ac:dyDescent="0.2">
      <c r="A101" s="76" t="s">
        <v>30</v>
      </c>
      <c r="B101" s="146"/>
      <c r="C101" s="134"/>
      <c r="D101" s="139">
        <f>D100+1</f>
        <v>61</v>
      </c>
      <c r="E101" s="36" t="s">
        <v>66</v>
      </c>
      <c r="F101" s="46" t="s">
        <v>22</v>
      </c>
      <c r="G101" s="97" t="s">
        <v>67</v>
      </c>
      <c r="H101" s="36">
        <v>1</v>
      </c>
      <c r="I101" s="36">
        <v>622</v>
      </c>
      <c r="J101" s="77">
        <f t="shared" si="11"/>
        <v>622</v>
      </c>
      <c r="K101" s="2"/>
      <c r="L101" s="140" t="s">
        <v>68</v>
      </c>
      <c r="M101" s="22"/>
      <c r="N101" s="199" t="s">
        <v>152</v>
      </c>
      <c r="O101" s="11">
        <v>45566</v>
      </c>
      <c r="P101" s="4"/>
      <c r="Q101" s="19">
        <v>45576</v>
      </c>
      <c r="R101" s="19">
        <v>45580</v>
      </c>
      <c r="S101" s="14">
        <v>45580</v>
      </c>
    </row>
    <row r="102" spans="1:19" s="3" customFormat="1" ht="19.649999999999999" customHeight="1" x14ac:dyDescent="0.2">
      <c r="A102" s="76" t="s">
        <v>30</v>
      </c>
      <c r="B102" s="146"/>
      <c r="C102" s="134"/>
      <c r="D102" s="139">
        <f t="shared" ref="D102:D105" si="13">D101+1</f>
        <v>62</v>
      </c>
      <c r="E102" s="46" t="s">
        <v>22</v>
      </c>
      <c r="F102" s="46" t="s">
        <v>22</v>
      </c>
      <c r="G102" s="25" t="s">
        <v>69</v>
      </c>
      <c r="H102" s="1">
        <v>2</v>
      </c>
      <c r="I102" s="197">
        <v>130</v>
      </c>
      <c r="J102" s="77">
        <f t="shared" si="11"/>
        <v>260</v>
      </c>
      <c r="K102" s="28"/>
      <c r="L102" s="144" t="s">
        <v>50</v>
      </c>
      <c r="M102" s="22"/>
      <c r="N102" s="199" t="s">
        <v>152</v>
      </c>
      <c r="O102" s="11">
        <v>45566</v>
      </c>
      <c r="P102" s="4"/>
      <c r="Q102" s="19">
        <v>45576</v>
      </c>
      <c r="R102" s="19">
        <v>45580</v>
      </c>
      <c r="S102" s="14">
        <v>45580</v>
      </c>
    </row>
    <row r="103" spans="1:19" s="3" customFormat="1" ht="19.649999999999999" customHeight="1" x14ac:dyDescent="0.2">
      <c r="A103" s="76" t="s">
        <v>30</v>
      </c>
      <c r="B103" s="146"/>
      <c r="C103" s="134"/>
      <c r="D103" s="139">
        <f t="shared" si="13"/>
        <v>63</v>
      </c>
      <c r="E103" s="34" t="s">
        <v>22</v>
      </c>
      <c r="F103" s="34" t="s">
        <v>22</v>
      </c>
      <c r="G103" s="40" t="s">
        <v>71</v>
      </c>
      <c r="H103" s="32">
        <v>2</v>
      </c>
      <c r="I103" s="198">
        <v>270</v>
      </c>
      <c r="J103" s="41">
        <f t="shared" si="11"/>
        <v>540</v>
      </c>
      <c r="K103" s="39"/>
      <c r="L103" s="150" t="s">
        <v>72</v>
      </c>
      <c r="M103" s="22"/>
      <c r="N103" s="199" t="s">
        <v>152</v>
      </c>
      <c r="O103" s="11">
        <v>45566</v>
      </c>
      <c r="P103" s="4"/>
      <c r="Q103" s="19">
        <v>45576</v>
      </c>
      <c r="R103" s="19">
        <v>45580</v>
      </c>
      <c r="S103" s="14">
        <v>45580</v>
      </c>
    </row>
    <row r="104" spans="1:19" s="3" customFormat="1" ht="19.649999999999999" customHeight="1" x14ac:dyDescent="0.2">
      <c r="A104" s="76" t="s">
        <v>30</v>
      </c>
      <c r="B104" s="146"/>
      <c r="C104" s="134"/>
      <c r="D104" s="139">
        <f t="shared" si="13"/>
        <v>64</v>
      </c>
      <c r="E104" s="34" t="s">
        <v>22</v>
      </c>
      <c r="F104" s="34" t="s">
        <v>22</v>
      </c>
      <c r="G104" s="40" t="s">
        <v>73</v>
      </c>
      <c r="H104" s="32">
        <v>2</v>
      </c>
      <c r="I104" s="198">
        <v>210</v>
      </c>
      <c r="J104" s="41">
        <f t="shared" si="11"/>
        <v>420</v>
      </c>
      <c r="K104" s="39"/>
      <c r="L104" s="150" t="s">
        <v>74</v>
      </c>
      <c r="M104" s="22"/>
      <c r="N104" s="199" t="s">
        <v>152</v>
      </c>
      <c r="O104" s="11">
        <v>45566</v>
      </c>
      <c r="P104" s="4"/>
      <c r="Q104" s="19">
        <v>45576</v>
      </c>
      <c r="R104" s="19">
        <v>45580</v>
      </c>
      <c r="S104" s="14">
        <v>45580</v>
      </c>
    </row>
    <row r="105" spans="1:19" s="3" customFormat="1" ht="19.649999999999999" customHeight="1" x14ac:dyDescent="0.2">
      <c r="A105" s="76" t="s">
        <v>29</v>
      </c>
      <c r="B105" s="146"/>
      <c r="C105" s="134"/>
      <c r="D105" s="139">
        <f t="shared" si="13"/>
        <v>65</v>
      </c>
      <c r="E105" s="4" t="s">
        <v>22</v>
      </c>
      <c r="F105" s="4" t="s">
        <v>22</v>
      </c>
      <c r="G105" s="181" t="s">
        <v>143</v>
      </c>
      <c r="H105" s="1">
        <v>1</v>
      </c>
      <c r="I105" s="41">
        <v>8784</v>
      </c>
      <c r="J105" s="41">
        <f t="shared" si="11"/>
        <v>8784</v>
      </c>
      <c r="K105" s="78"/>
      <c r="L105" s="147" t="s">
        <v>142</v>
      </c>
      <c r="M105" s="22"/>
      <c r="N105" s="199" t="s">
        <v>152</v>
      </c>
      <c r="O105" s="11">
        <v>45566</v>
      </c>
      <c r="P105" s="4"/>
      <c r="Q105" s="19">
        <v>45576</v>
      </c>
      <c r="R105" s="19">
        <v>45580</v>
      </c>
      <c r="S105" s="14">
        <v>45580</v>
      </c>
    </row>
    <row r="106" spans="1:19" s="3" customFormat="1" ht="19.649999999999999" customHeight="1" x14ac:dyDescent="0.2">
      <c r="A106" s="76" t="s">
        <v>153</v>
      </c>
      <c r="B106" s="146"/>
      <c r="C106" s="1"/>
      <c r="D106" s="139">
        <f>D105+1</f>
        <v>66</v>
      </c>
      <c r="E106" s="200" t="s">
        <v>22</v>
      </c>
      <c r="F106" s="200" t="s">
        <v>22</v>
      </c>
      <c r="G106" s="201" t="s">
        <v>154</v>
      </c>
      <c r="H106" s="202">
        <v>1</v>
      </c>
      <c r="I106" s="203">
        <v>5632</v>
      </c>
      <c r="J106" s="204">
        <f t="shared" si="11"/>
        <v>5632</v>
      </c>
      <c r="K106" s="204"/>
      <c r="L106" s="205" t="s">
        <v>155</v>
      </c>
      <c r="M106" s="22"/>
      <c r="N106" s="206" t="s">
        <v>156</v>
      </c>
      <c r="O106" s="11">
        <v>45567</v>
      </c>
      <c r="P106" s="4"/>
      <c r="Q106" s="19">
        <v>45575</v>
      </c>
      <c r="R106" s="19">
        <v>45576</v>
      </c>
      <c r="S106" s="14">
        <v>45576</v>
      </c>
    </row>
    <row r="107" spans="1:19" s="3" customFormat="1" ht="19.649999999999999" customHeight="1" x14ac:dyDescent="0.2">
      <c r="A107" s="76" t="s">
        <v>57</v>
      </c>
      <c r="B107" s="146"/>
      <c r="C107" s="134"/>
      <c r="D107" s="139">
        <f t="shared" ref="D107" si="14">D106+1</f>
        <v>67</v>
      </c>
      <c r="E107" s="207" t="s">
        <v>22</v>
      </c>
      <c r="F107" s="207" t="s">
        <v>22</v>
      </c>
      <c r="G107" s="208" t="s">
        <v>157</v>
      </c>
      <c r="H107" s="209">
        <v>1</v>
      </c>
      <c r="I107" s="210">
        <v>7595</v>
      </c>
      <c r="J107" s="211">
        <f t="shared" si="11"/>
        <v>7595</v>
      </c>
      <c r="K107" s="211"/>
      <c r="L107" s="212" t="s">
        <v>158</v>
      </c>
      <c r="M107" s="22"/>
      <c r="N107" s="213" t="s">
        <v>159</v>
      </c>
      <c r="O107" s="11">
        <v>45569</v>
      </c>
      <c r="P107" s="4"/>
      <c r="Q107" s="19">
        <v>45575</v>
      </c>
      <c r="R107" s="19">
        <v>45576</v>
      </c>
      <c r="S107" s="14">
        <v>45576</v>
      </c>
    </row>
    <row r="108" spans="1:19" s="3" customFormat="1" ht="19.649999999999999" customHeight="1" x14ac:dyDescent="0.2">
      <c r="A108" s="58"/>
      <c r="B108" s="110"/>
      <c r="C108" s="1"/>
      <c r="D108" s="4"/>
      <c r="E108" s="4"/>
      <c r="F108" s="56"/>
      <c r="G108" s="24"/>
      <c r="H108" s="57"/>
      <c r="I108" s="70"/>
      <c r="J108" s="69"/>
      <c r="K108" s="41"/>
      <c r="L108" s="40"/>
      <c r="M108" s="22"/>
      <c r="N108" s="4"/>
      <c r="O108" s="11"/>
      <c r="P108" s="4"/>
      <c r="Q108" s="19"/>
      <c r="R108" s="19"/>
      <c r="S108" s="14"/>
    </row>
    <row r="109" spans="1:19" s="3" customFormat="1" ht="19.649999999999999" customHeight="1" x14ac:dyDescent="0.2">
      <c r="A109" s="58"/>
      <c r="B109" s="110"/>
      <c r="C109" s="1"/>
      <c r="D109" s="4"/>
      <c r="E109" s="36"/>
      <c r="F109" s="4"/>
      <c r="G109" s="35">
        <f>SUM(J84:J108)</f>
        <v>57614</v>
      </c>
      <c r="H109" s="57"/>
      <c r="I109" s="70"/>
      <c r="J109" s="69"/>
      <c r="K109" s="41"/>
      <c r="L109" s="40"/>
      <c r="M109" s="22"/>
      <c r="N109" s="4"/>
      <c r="O109" s="11"/>
      <c r="P109" s="4"/>
      <c r="Q109" s="19"/>
      <c r="R109" s="19"/>
      <c r="S109" s="14"/>
    </row>
    <row r="110" spans="1:19" s="3" customFormat="1" ht="19.649999999999999" customHeight="1" x14ac:dyDescent="0.2">
      <c r="A110" s="58"/>
      <c r="B110" s="110"/>
      <c r="C110" s="1"/>
      <c r="D110" s="4"/>
      <c r="E110" s="36"/>
      <c r="F110" s="45"/>
      <c r="G110" s="24"/>
      <c r="H110" s="57"/>
      <c r="I110" s="70"/>
      <c r="J110" s="69"/>
      <c r="K110" s="41"/>
      <c r="L110" s="40"/>
      <c r="M110" s="22"/>
      <c r="N110" s="4"/>
      <c r="O110" s="11"/>
      <c r="P110" s="4"/>
      <c r="Q110" s="19"/>
      <c r="R110" s="19"/>
      <c r="S110" s="14"/>
    </row>
    <row r="111" spans="1:19" s="3" customFormat="1" ht="19.649999999999999" customHeight="1" x14ac:dyDescent="0.2">
      <c r="A111" s="58"/>
      <c r="B111" s="110"/>
      <c r="C111" s="1"/>
      <c r="D111" s="4"/>
      <c r="E111" s="4"/>
      <c r="F111" s="56"/>
      <c r="G111" s="24"/>
      <c r="H111" s="57"/>
      <c r="I111" s="70"/>
      <c r="J111" s="54"/>
      <c r="K111" s="41"/>
      <c r="L111" s="40"/>
      <c r="M111" s="22"/>
      <c r="N111" s="4"/>
      <c r="O111" s="11"/>
      <c r="P111" s="4"/>
      <c r="Q111" s="19"/>
      <c r="R111" s="19"/>
      <c r="S111" s="14"/>
    </row>
    <row r="112" spans="1:19" s="3" customFormat="1" ht="19.649999999999999" customHeight="1" x14ac:dyDescent="0.2">
      <c r="A112" s="58"/>
      <c r="B112" s="110"/>
      <c r="C112" s="1"/>
      <c r="D112" s="4"/>
      <c r="E112" s="4"/>
      <c r="F112" s="4"/>
      <c r="G112" s="26"/>
      <c r="H112" s="47"/>
      <c r="I112" s="71"/>
      <c r="J112" s="69"/>
      <c r="K112" s="48"/>
      <c r="L112" s="49"/>
      <c r="M112" s="25"/>
      <c r="N112" s="4"/>
      <c r="O112" s="11"/>
      <c r="P112" s="4"/>
      <c r="Q112" s="19"/>
      <c r="R112" s="19"/>
      <c r="S112" s="14"/>
    </row>
    <row r="113" spans="1:19" s="3" customFormat="1" ht="19.649999999999999" customHeight="1" x14ac:dyDescent="0.2">
      <c r="A113" s="58"/>
      <c r="B113" s="110"/>
      <c r="C113" s="1"/>
      <c r="D113" s="4"/>
      <c r="E113" s="4"/>
      <c r="F113" s="4"/>
      <c r="G113" s="44"/>
      <c r="H113" s="1"/>
      <c r="I113" s="69"/>
      <c r="J113" s="69"/>
      <c r="K113" s="2"/>
      <c r="L113" s="25"/>
      <c r="M113" s="22"/>
      <c r="N113" s="4"/>
      <c r="O113" s="11"/>
      <c r="P113" s="4"/>
      <c r="Q113" s="19"/>
      <c r="R113" s="19"/>
      <c r="S113" s="14"/>
    </row>
    <row r="114" spans="1:19" s="3" customFormat="1" ht="19.649999999999999" customHeight="1" x14ac:dyDescent="0.2">
      <c r="A114" s="58"/>
      <c r="B114" s="110"/>
      <c r="C114" s="1"/>
      <c r="D114" s="4"/>
      <c r="E114" s="4"/>
      <c r="F114" s="4"/>
      <c r="G114" s="50"/>
      <c r="H114" s="1"/>
      <c r="I114" s="69"/>
      <c r="J114" s="69"/>
      <c r="K114" s="2"/>
      <c r="L114" s="25"/>
      <c r="M114" s="22"/>
      <c r="N114" s="4"/>
      <c r="O114" s="11"/>
      <c r="P114" s="4"/>
      <c r="Q114" s="19"/>
      <c r="R114" s="19"/>
      <c r="S114" s="14"/>
    </row>
    <row r="115" spans="1:19" s="3" customFormat="1" ht="19.649999999999999" customHeight="1" x14ac:dyDescent="0.2">
      <c r="A115" s="58"/>
      <c r="B115" s="58"/>
      <c r="C115" s="1"/>
      <c r="D115" s="4"/>
      <c r="E115" s="4"/>
      <c r="F115" s="4"/>
      <c r="G115" s="26"/>
      <c r="H115" s="1"/>
      <c r="I115" s="21"/>
      <c r="J115" s="68"/>
      <c r="K115" s="2"/>
      <c r="L115" s="25"/>
      <c r="M115" s="25"/>
      <c r="N115" s="4"/>
      <c r="O115" s="11"/>
      <c r="P115" s="11"/>
      <c r="Q115" s="11"/>
      <c r="R115" s="19"/>
      <c r="S115" s="14"/>
    </row>
    <row r="116" spans="1:19" s="3" customFormat="1" ht="19.649999999999999" customHeight="1" x14ac:dyDescent="0.2">
      <c r="A116" s="58"/>
      <c r="B116" s="58"/>
      <c r="C116" s="1"/>
      <c r="D116" s="4"/>
      <c r="E116" s="4"/>
      <c r="F116" s="4"/>
      <c r="G116" s="24"/>
      <c r="H116" s="1"/>
      <c r="I116" s="69"/>
      <c r="J116" s="68"/>
      <c r="K116" s="27"/>
      <c r="L116" s="25"/>
      <c r="M116" s="25"/>
      <c r="N116" s="4"/>
      <c r="O116" s="11"/>
      <c r="P116" s="11"/>
      <c r="Q116" s="11"/>
      <c r="R116" s="19"/>
      <c r="S116" s="14"/>
    </row>
    <row r="117" spans="1:19" s="3" customFormat="1" ht="19.649999999999999" customHeight="1" x14ac:dyDescent="0.2">
      <c r="A117" s="58"/>
      <c r="B117" s="58"/>
      <c r="C117" s="1"/>
      <c r="D117" s="4"/>
      <c r="E117" s="4"/>
      <c r="F117" s="4"/>
      <c r="G117" s="24"/>
      <c r="H117" s="1"/>
      <c r="I117" s="69"/>
      <c r="J117" s="69"/>
      <c r="K117" s="27"/>
      <c r="L117" s="25"/>
      <c r="M117" s="25"/>
      <c r="N117" s="4"/>
      <c r="O117" s="11"/>
      <c r="P117" s="4"/>
      <c r="Q117" s="19"/>
      <c r="R117" s="19"/>
      <c r="S117" s="14"/>
    </row>
    <row r="118" spans="1:19" s="3" customFormat="1" ht="19.649999999999999" customHeight="1" x14ac:dyDescent="0.2">
      <c r="A118" s="58"/>
      <c r="B118" s="58"/>
      <c r="C118" s="1"/>
      <c r="D118" s="4"/>
      <c r="E118" s="4"/>
      <c r="F118" s="4"/>
      <c r="G118" s="24"/>
      <c r="H118" s="1"/>
      <c r="I118" s="69"/>
      <c r="J118" s="68"/>
      <c r="K118" s="27"/>
      <c r="L118" s="25"/>
      <c r="M118" s="25"/>
      <c r="N118" s="4"/>
      <c r="O118" s="11"/>
      <c r="P118" s="4"/>
      <c r="Q118" s="19"/>
      <c r="R118" s="19"/>
      <c r="S118" s="14"/>
    </row>
    <row r="119" spans="1:19" s="3" customFormat="1" ht="19.649999999999999" customHeight="1" x14ac:dyDescent="0.2">
      <c r="A119" s="58"/>
      <c r="B119" s="58"/>
      <c r="C119" s="1"/>
      <c r="D119" s="4"/>
      <c r="E119" s="4"/>
      <c r="F119" s="4"/>
      <c r="G119" s="24"/>
      <c r="H119" s="1"/>
      <c r="I119" s="69"/>
      <c r="J119" s="68"/>
      <c r="K119" s="27"/>
      <c r="L119" s="25"/>
      <c r="M119" s="25"/>
      <c r="N119" s="4"/>
      <c r="O119" s="11"/>
      <c r="P119" s="4"/>
      <c r="Q119" s="19"/>
      <c r="R119" s="19"/>
      <c r="S119" s="14"/>
    </row>
    <row r="120" spans="1:19" s="3" customFormat="1" ht="19.649999999999999" customHeight="1" x14ac:dyDescent="0.2">
      <c r="A120" s="58"/>
      <c r="B120" s="58"/>
      <c r="C120" s="1"/>
      <c r="D120" s="4"/>
      <c r="E120" s="4"/>
      <c r="F120" s="4"/>
      <c r="G120" s="24"/>
      <c r="H120" s="1"/>
      <c r="I120" s="69"/>
      <c r="J120" s="68"/>
      <c r="K120" s="27"/>
      <c r="L120" s="25"/>
      <c r="M120" s="25"/>
      <c r="N120" s="4"/>
      <c r="O120" s="11"/>
      <c r="P120" s="4"/>
      <c r="Q120" s="19"/>
      <c r="R120" s="19"/>
      <c r="S120" s="14"/>
    </row>
    <row r="121" spans="1:19" s="3" customFormat="1" ht="19.649999999999999" customHeight="1" x14ac:dyDescent="0.2">
      <c r="A121" s="58"/>
      <c r="B121" s="58"/>
      <c r="C121" s="1"/>
      <c r="D121" s="4"/>
      <c r="E121" s="4"/>
      <c r="F121" s="4"/>
      <c r="G121" s="26"/>
      <c r="H121" s="1"/>
      <c r="I121" s="21"/>
      <c r="J121" s="68"/>
      <c r="K121" s="2"/>
      <c r="L121" s="25"/>
      <c r="M121" s="25"/>
      <c r="N121" s="4"/>
      <c r="O121" s="11"/>
      <c r="P121" s="4"/>
      <c r="Q121" s="19"/>
      <c r="R121" s="19"/>
      <c r="S121" s="14"/>
    </row>
    <row r="122" spans="1:19" s="3" customFormat="1" ht="19.649999999999999" customHeight="1" x14ac:dyDescent="0.2">
      <c r="A122" s="58"/>
      <c r="B122" s="58"/>
      <c r="C122" s="1"/>
      <c r="D122" s="4"/>
      <c r="E122" s="4"/>
      <c r="F122" s="4"/>
      <c r="G122" s="26"/>
      <c r="H122" s="1"/>
      <c r="I122" s="21"/>
      <c r="J122" s="68"/>
      <c r="K122" s="2"/>
      <c r="L122" s="25"/>
      <c r="M122" s="25"/>
      <c r="N122" s="4"/>
      <c r="O122" s="11"/>
      <c r="P122" s="4"/>
      <c r="Q122" s="19"/>
      <c r="R122" s="19"/>
      <c r="S122" s="14"/>
    </row>
    <row r="123" spans="1:19" ht="19.649999999999999" customHeight="1" x14ac:dyDescent="0.2">
      <c r="A123" s="58"/>
      <c r="B123" s="58"/>
      <c r="C123" s="1"/>
      <c r="D123" s="4"/>
      <c r="E123" s="1"/>
      <c r="F123" s="1"/>
      <c r="G123" s="26"/>
      <c r="H123" s="1"/>
      <c r="I123" s="21"/>
      <c r="J123" s="68"/>
      <c r="K123" s="2"/>
      <c r="L123" s="25"/>
      <c r="M123" s="24"/>
      <c r="N123" s="4"/>
      <c r="O123" s="11"/>
      <c r="P123" s="4"/>
      <c r="Q123" s="19"/>
      <c r="R123" s="19"/>
      <c r="S123" s="14"/>
    </row>
    <row r="124" spans="1:19" ht="19.649999999999999" customHeight="1" x14ac:dyDescent="0.2">
      <c r="A124" s="58"/>
      <c r="B124" s="58"/>
      <c r="C124" s="1"/>
      <c r="D124" s="4"/>
      <c r="E124" s="4"/>
      <c r="F124" s="4"/>
      <c r="G124" s="23"/>
      <c r="H124" s="1"/>
      <c r="I124" s="21"/>
      <c r="J124" s="69"/>
      <c r="K124" s="2"/>
      <c r="L124" s="25"/>
      <c r="M124" s="25"/>
      <c r="N124" s="4"/>
      <c r="O124" s="11"/>
      <c r="P124" s="4"/>
      <c r="Q124" s="19"/>
      <c r="R124" s="19"/>
      <c r="S124" s="14"/>
    </row>
    <row r="125" spans="1:19" ht="19.649999999999999" customHeight="1" x14ac:dyDescent="0.2">
      <c r="A125" s="58"/>
      <c r="B125" s="58"/>
      <c r="C125" s="1"/>
      <c r="D125" s="4"/>
      <c r="E125" s="4"/>
      <c r="F125" s="4"/>
      <c r="G125" s="26"/>
      <c r="H125" s="1"/>
      <c r="I125" s="21"/>
      <c r="J125" s="68"/>
      <c r="K125" s="2"/>
      <c r="L125" s="25"/>
      <c r="M125" s="24"/>
      <c r="N125" s="4"/>
      <c r="O125" s="11"/>
      <c r="P125" s="4"/>
      <c r="Q125" s="19"/>
      <c r="R125" s="29"/>
      <c r="S125" s="14"/>
    </row>
    <row r="126" spans="1:19" ht="19.649999999999999" customHeight="1" x14ac:dyDescent="0.2">
      <c r="A126" s="58"/>
      <c r="B126" s="58"/>
      <c r="C126" s="1"/>
      <c r="D126" s="4"/>
      <c r="E126" s="4"/>
      <c r="F126" s="4"/>
      <c r="G126" s="26"/>
      <c r="H126" s="1"/>
      <c r="I126" s="21"/>
      <c r="J126" s="68"/>
      <c r="K126" s="2"/>
      <c r="L126" s="25"/>
      <c r="M126" s="24"/>
      <c r="N126" s="4"/>
      <c r="O126" s="11"/>
      <c r="P126" s="4"/>
      <c r="Q126" s="19"/>
      <c r="R126" s="19"/>
      <c r="S126" s="14"/>
    </row>
    <row r="127" spans="1:19" ht="19.649999999999999" customHeight="1" x14ac:dyDescent="0.2">
      <c r="A127" s="58"/>
      <c r="B127" s="58"/>
      <c r="C127" s="1"/>
      <c r="D127" s="4"/>
      <c r="E127" s="4"/>
      <c r="F127" s="4"/>
      <c r="G127" s="26"/>
      <c r="H127" s="1"/>
      <c r="I127" s="21"/>
      <c r="J127" s="68"/>
      <c r="K127" s="2"/>
      <c r="L127" s="25"/>
      <c r="M127" s="24"/>
      <c r="N127" s="4"/>
      <c r="O127" s="11"/>
      <c r="P127" s="4"/>
      <c r="Q127" s="19"/>
      <c r="R127" s="19"/>
      <c r="S127" s="14"/>
    </row>
    <row r="128" spans="1:19" ht="19.649999999999999" customHeight="1" x14ac:dyDescent="0.2">
      <c r="A128" s="58"/>
      <c r="B128" s="58"/>
      <c r="C128" s="1"/>
      <c r="D128" s="4"/>
      <c r="E128" s="4"/>
      <c r="F128" s="4"/>
      <c r="G128" s="26"/>
      <c r="H128" s="1"/>
      <c r="I128" s="21"/>
      <c r="J128" s="68">
        <f t="shared" ref="J128:J133" si="15">H128*I128</f>
        <v>0</v>
      </c>
      <c r="K128" s="2"/>
      <c r="L128" s="25"/>
      <c r="M128" s="24"/>
      <c r="N128" s="4"/>
      <c r="O128" s="11"/>
      <c r="P128" s="4"/>
      <c r="Q128" s="19"/>
      <c r="R128" s="19"/>
      <c r="S128" s="14"/>
    </row>
    <row r="129" spans="1:19" ht="19.649999999999999" customHeight="1" x14ac:dyDescent="0.2">
      <c r="A129" s="58"/>
      <c r="B129" s="58"/>
      <c r="C129" s="1"/>
      <c r="D129" s="4"/>
      <c r="E129" s="4"/>
      <c r="F129" s="4"/>
      <c r="G129" s="26"/>
      <c r="H129" s="1"/>
      <c r="I129" s="21"/>
      <c r="J129" s="68">
        <f t="shared" si="15"/>
        <v>0</v>
      </c>
      <c r="K129" s="2"/>
      <c r="L129" s="25"/>
      <c r="M129" s="24"/>
      <c r="N129" s="4"/>
      <c r="O129" s="11"/>
      <c r="P129" s="4"/>
      <c r="Q129" s="19"/>
      <c r="R129" s="19"/>
      <c r="S129" s="14"/>
    </row>
    <row r="130" spans="1:19" ht="19.649999999999999" customHeight="1" x14ac:dyDescent="0.2">
      <c r="A130" s="58"/>
      <c r="B130" s="58"/>
      <c r="C130" s="1"/>
      <c r="D130" s="4"/>
      <c r="E130" s="4"/>
      <c r="F130" s="4"/>
      <c r="G130" s="26"/>
      <c r="H130" s="1"/>
      <c r="I130" s="21"/>
      <c r="J130" s="68">
        <f t="shared" si="15"/>
        <v>0</v>
      </c>
      <c r="K130" s="2"/>
      <c r="L130" s="25"/>
      <c r="M130" s="24"/>
      <c r="N130" s="4"/>
      <c r="O130" s="11"/>
      <c r="P130" s="4"/>
      <c r="Q130" s="19"/>
      <c r="R130" s="19"/>
      <c r="S130" s="14"/>
    </row>
    <row r="131" spans="1:19" ht="19.649999999999999" customHeight="1" x14ac:dyDescent="0.2">
      <c r="A131" s="58"/>
      <c r="B131" s="58"/>
      <c r="C131" s="135"/>
      <c r="D131" s="4"/>
      <c r="E131" s="4"/>
      <c r="F131" s="4"/>
      <c r="G131" s="26"/>
      <c r="H131" s="1"/>
      <c r="I131" s="21"/>
      <c r="J131" s="68">
        <f t="shared" si="15"/>
        <v>0</v>
      </c>
      <c r="K131" s="2"/>
      <c r="L131" s="25"/>
      <c r="M131" s="24"/>
      <c r="N131" s="4"/>
      <c r="O131" s="11"/>
      <c r="P131" s="4"/>
      <c r="Q131" s="19"/>
      <c r="R131" s="19"/>
      <c r="S131" s="14"/>
    </row>
    <row r="132" spans="1:19" ht="19.649999999999999" customHeight="1" x14ac:dyDescent="0.2">
      <c r="A132" s="58"/>
      <c r="B132" s="58"/>
      <c r="C132" s="135"/>
      <c r="D132" s="4"/>
      <c r="E132" s="4"/>
      <c r="F132" s="4"/>
      <c r="G132" s="26"/>
      <c r="H132" s="1"/>
      <c r="I132" s="21"/>
      <c r="J132" s="68">
        <f t="shared" si="15"/>
        <v>0</v>
      </c>
      <c r="K132" s="2"/>
      <c r="L132" s="25"/>
      <c r="M132" s="24"/>
      <c r="N132" s="4"/>
      <c r="O132" s="11"/>
      <c r="P132" s="4"/>
      <c r="Q132" s="19"/>
      <c r="R132" s="19"/>
      <c r="S132" s="14"/>
    </row>
    <row r="133" spans="1:19" ht="19.649999999999999" customHeight="1" x14ac:dyDescent="0.2">
      <c r="A133" s="58"/>
      <c r="B133" s="58"/>
      <c r="C133" s="135"/>
      <c r="D133" s="4"/>
      <c r="E133" s="4"/>
      <c r="F133" s="4"/>
      <c r="G133" s="26"/>
      <c r="H133" s="1"/>
      <c r="I133" s="21"/>
      <c r="J133" s="68">
        <f t="shared" si="15"/>
        <v>0</v>
      </c>
      <c r="K133" s="2"/>
      <c r="L133" s="25"/>
      <c r="M133" s="24"/>
      <c r="N133" s="4"/>
      <c r="O133" s="11"/>
      <c r="P133" s="4"/>
      <c r="Q133" s="19"/>
      <c r="R133" s="19"/>
      <c r="S133" s="14"/>
    </row>
    <row r="134" spans="1:19" x14ac:dyDescent="0.2">
      <c r="J134" s="72"/>
    </row>
  </sheetData>
  <autoFilter ref="D9:Q111" xr:uid="{00000000-0009-0000-0000-000000000000}"/>
  <mergeCells count="14">
    <mergeCell ref="D2:F2"/>
    <mergeCell ref="I2:K2"/>
    <mergeCell ref="D3:F3"/>
    <mergeCell ref="D4:F4"/>
    <mergeCell ref="L4:M5"/>
    <mergeCell ref="D5:F5"/>
    <mergeCell ref="I5:I6"/>
    <mergeCell ref="D6:F6"/>
    <mergeCell ref="E11:G11"/>
    <mergeCell ref="E28:G28"/>
    <mergeCell ref="E43:G43"/>
    <mergeCell ref="E59:G59"/>
    <mergeCell ref="E83:G83"/>
    <mergeCell ref="E70:G70"/>
  </mergeCells>
  <phoneticPr fontId="23"/>
  <dataValidations count="1">
    <dataValidation imeMode="hiragana" allowBlank="1" showInputMessage="1" showErrorMessage="1" sqref="L86:L87 L24:L26 L32 L20:L21" xr:uid="{182C237A-BCD7-4831-A554-1C106A9D8D3C}"/>
  </dataValidations>
  <pageMargins left="0.2" right="0.2" top="0.36" bottom="0.41" header="0.3" footer="0.3"/>
  <pageSetup paperSize="9" scale="7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218250　原価表  20241001 ②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SATOH</dc:creator>
  <cp:lastModifiedBy>齋藤 秀昭</cp:lastModifiedBy>
  <cp:lastPrinted>2018-06-15T01:25:43Z</cp:lastPrinted>
  <dcterms:created xsi:type="dcterms:W3CDTF">2011-12-13T06:48:43Z</dcterms:created>
  <dcterms:modified xsi:type="dcterms:W3CDTF">2024-10-15T09:23:33Z</dcterms:modified>
</cp:coreProperties>
</file>