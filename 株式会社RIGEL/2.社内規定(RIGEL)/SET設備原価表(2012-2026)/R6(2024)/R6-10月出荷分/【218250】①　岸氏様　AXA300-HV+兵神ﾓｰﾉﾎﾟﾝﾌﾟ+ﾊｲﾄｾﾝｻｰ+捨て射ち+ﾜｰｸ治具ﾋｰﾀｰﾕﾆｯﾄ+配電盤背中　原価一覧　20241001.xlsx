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316F1C5-674D-499D-8C9D-6824163040BF}" xr6:coauthVersionLast="47" xr6:coauthVersionMax="47" xr10:uidLastSave="{00000000-0000-0000-0000-000000000000}"/>
  <bookViews>
    <workbookView xWindow="0" yWindow="75" windowWidth="27660" windowHeight="14130" xr2:uid="{00000000-000D-0000-FFFF-FFFF00000000}"/>
  </bookViews>
  <sheets>
    <sheet name="218250　原価表  20241001 ①" sheetId="9" r:id="rId1"/>
  </sheets>
  <definedNames>
    <definedName name="_xlnm._FilterDatabase" localSheetId="0" hidden="1">'218250　原価表  20241001 ①'!$D$9:$Q$36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9" l="1"/>
  <c r="D29" i="9" s="1"/>
  <c r="D30" i="9" s="1"/>
  <c r="J58" i="9"/>
  <c r="J57" i="9"/>
  <c r="J56" i="9"/>
  <c r="J55" i="9"/>
  <c r="J54" i="9"/>
  <c r="J53" i="9"/>
  <c r="J32" i="9"/>
  <c r="J31" i="9"/>
  <c r="J30" i="9"/>
  <c r="J29" i="9"/>
  <c r="J22" i="9"/>
  <c r="J15" i="9"/>
  <c r="G17" i="9" s="1"/>
  <c r="L2" i="9" l="1"/>
  <c r="D31" i="9"/>
  <c r="D32" i="9" s="1"/>
  <c r="G34" i="9"/>
  <c r="G24" i="9"/>
</calcChain>
</file>

<file path=xl/sharedStrings.xml><?xml version="1.0" encoding="utf-8"?>
<sst xmlns="http://schemas.openxmlformats.org/spreadsheetml/2006/main" count="66" uniqueCount="55">
  <si>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</si>
  <si>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</si>
  <si>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</si>
  <si>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</si>
  <si>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</si>
  <si>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</si>
  <si>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</si>
  <si>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</si>
  <si>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</si>
  <si>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</si>
  <si>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</si>
  <si>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</si>
  <si>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</si>
  <si>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</si>
  <si>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</si>
  <si>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</si>
  <si>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</si>
  <si>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</si>
  <si>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</si>
  <si>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</si>
  <si>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</si>
  <si>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</si>
  <si>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制御機材</t>
    <rPh sb="0" eb="1">
      <t>セイ</t>
    </rPh>
    <rPh sb="1" eb="2">
      <t>オ</t>
    </rPh>
    <rPh sb="2" eb="4">
      <t>キザイ</t>
    </rPh>
    <phoneticPr fontId="2"/>
  </si>
  <si>
    <t>SMC</t>
  </si>
  <si>
    <t>1日目</t>
    <rPh sb="1" eb="2">
      <t>ヒ</t>
    </rPh>
    <rPh sb="2" eb="3">
      <t>メ</t>
    </rPh>
    <phoneticPr fontId="10"/>
  </si>
  <si>
    <t>フィルタレギュレータ</t>
    <phoneticPr fontId="11"/>
  </si>
  <si>
    <t>出荷依頼項目NO.</t>
    <rPh sb="0" eb="2">
      <t>シュッカ</t>
    </rPh>
    <rPh sb="2" eb="4">
      <t>イライ</t>
    </rPh>
    <rPh sb="4" eb="6">
      <t>コウモク</t>
    </rPh>
    <phoneticPr fontId="11"/>
  </si>
  <si>
    <t>1日目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</si>
  <si>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2"/>
  </si>
  <si>
    <t>IDEC</t>
    <phoneticPr fontId="2"/>
  </si>
  <si>
    <t>制御機材</t>
    <rPh sb="0" eb="4">
      <t>セイギョキザイ</t>
    </rPh>
    <phoneticPr fontId="2"/>
  </si>
  <si>
    <t>RY2S-ULDC24</t>
    <phoneticPr fontId="2"/>
  </si>
  <si>
    <t>RY形ミニチュアリレー　　3A</t>
    <phoneticPr fontId="2"/>
  </si>
  <si>
    <t>SY2S-05B</t>
    <phoneticPr fontId="2"/>
  </si>
  <si>
    <t>ワンタッチ Sソケット表面配線形</t>
    <phoneticPr fontId="2"/>
  </si>
  <si>
    <t>SFA-101PN20</t>
    <phoneticPr fontId="2"/>
  </si>
  <si>
    <t>ワンタッチ Sソケット リレー固定ばね【10～20個入り】</t>
    <phoneticPr fontId="2"/>
  </si>
  <si>
    <t>岸(齋藤）</t>
    <rPh sb="0" eb="1">
      <t>キシ</t>
    </rPh>
    <rPh sb="2" eb="4">
      <t>サイトウ</t>
    </rPh>
    <phoneticPr fontId="2"/>
  </si>
  <si>
    <t>配電ﾕﾆｯﾄ</t>
    <phoneticPr fontId="11"/>
  </si>
  <si>
    <t>浸け置きﾕﾆｯﾄ　</t>
    <rPh sb="0" eb="1">
      <t>ツ</t>
    </rPh>
    <rPh sb="2" eb="3">
      <t>オ</t>
    </rPh>
    <phoneticPr fontId="2"/>
  </si>
  <si>
    <t>アズワン</t>
    <phoneticPr fontId="2"/>
  </si>
  <si>
    <t>ﾐﾆｶｯﾌﾟ（30cc）　</t>
    <phoneticPr fontId="2"/>
  </si>
  <si>
    <t>富士通ｾﾞﾈﾗﾙ様</t>
    <rPh sb="0" eb="3">
      <t>フジツウ</t>
    </rPh>
    <rPh sb="8" eb="9">
      <t>サマ</t>
    </rPh>
    <phoneticPr fontId="2"/>
  </si>
  <si>
    <t xml:space="preserve">5-079-04　 </t>
    <phoneticPr fontId="2"/>
  </si>
  <si>
    <t>（株）石鍋</t>
    <rPh sb="0" eb="3">
      <t>カブ</t>
    </rPh>
    <rPh sb="3" eb="5">
      <t>イシナベ</t>
    </rPh>
    <phoneticPr fontId="2"/>
  </si>
  <si>
    <t>ｼﾘﾝｼﾞレギュレーター</t>
    <phoneticPr fontId="2"/>
  </si>
  <si>
    <t>SMC</t>
    <phoneticPr fontId="2"/>
  </si>
  <si>
    <t>IR1020-01BEA-A</t>
    <phoneticPr fontId="2"/>
  </si>
  <si>
    <t>精密レギュレータ IR1000-A  0.01～0.8MPa</t>
    <phoneticPr fontId="2"/>
  </si>
  <si>
    <t>10日目</t>
    <rPh sb="2" eb="3">
      <t>ヒ</t>
    </rPh>
    <rPh sb="3" eb="4">
      <t>メ</t>
    </rPh>
    <phoneticPr fontId="2"/>
  </si>
  <si>
    <t>218250</t>
    <phoneticPr fontId="2"/>
  </si>
  <si>
    <t>SETB0229-A01　　AXA300-HV+ecoPEN300+ﾊｲﾄｾﾝｻｰ+捨て射ち+ﾜｰｸ治具ﾋｰﾀｰﾕﾆｯﾄ+配電盤背中　原価一覧　20240724</t>
    <phoneticPr fontId="2"/>
  </si>
  <si>
    <t>AW10-M5BG-A</t>
    <phoneticPr fontId="11"/>
  </si>
  <si>
    <t>①</t>
    <phoneticPr fontId="11"/>
  </si>
  <si>
    <t>見積もりNO.　22-24-01156A</t>
    <rPh sb="0" eb="2">
      <t>ミツ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</si>
</sst>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  <numFmt numFmtId="184" formatCode="&quot;¥&quot;#,##0_);[Red]\(&quot;¥&quot;#,##0\)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21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4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12" fillId="0" borderId="1" xfId="0" applyNumberFormat="1" applyFont="1" applyBorder="1" applyAlignment="1">
      <alignment horizontal="center" vertical="center"/>
    </xf>
    <xf numFmtId="0" fontId="6" fillId="0" borderId="1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1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8" fillId="0" borderId="1" xfId="1" applyFont="1" applyBorder="1" applyAlignment="1">
      <alignment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6" fontId="14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5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176" fontId="0" fillId="0" borderId="1" xfId="0" applyNumberFormat="1" applyBorder="1" applyAlignment="1"/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4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1" fillId="0" borderId="1" xfId="0" applyNumberFormat="1" applyFont="1" applyBorder="1">
      <alignment vertical="center"/>
    </xf>
    <xf numFmtId="5" fontId="15" fillId="0" borderId="1" xfId="0" applyNumberFormat="1" applyFont="1" applyBorder="1" applyAlignment="1">
      <alignment horizontal="right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3" fontId="16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184" fontId="17" fillId="3" borderId="1" xfId="0" applyNumberFormat="1" applyFont="1" applyFill="1" applyBorder="1" applyAlignment="1">
      <alignment horizontal="center" vertical="center"/>
    </xf>
    <xf numFmtId="38" fontId="16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80" fontId="16" fillId="0" borderId="1" xfId="0" applyNumberFormat="1" applyFont="1" applyBorder="1" applyAlignment="1">
      <alignment horizontal="center" vertical="center"/>
    </xf>
    <xf numFmtId="183" fontId="16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18" fillId="7" borderId="14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" fillId="9" borderId="1" xfId="0" applyFont="1" applyFill="1" applyBorder="1">
      <alignment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4" fillId="9" borderId="1" xfId="0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left" vertical="center"/>
    </xf>
    <xf numFmtId="49" fontId="16" fillId="9" borderId="1" xfId="0" applyNumberFormat="1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left" vertical="center"/>
    </xf>
    <xf numFmtId="0" fontId="16" fillId="9" borderId="1" xfId="0" applyFont="1" applyFill="1" applyBorder="1">
      <alignment vertical="center"/>
    </xf>
    <xf numFmtId="181" fontId="16" fillId="9" borderId="1" xfId="0" applyNumberFormat="1" applyFont="1" applyFill="1" applyBorder="1" applyAlignment="1">
      <alignment horizontal="center" vertical="center"/>
    </xf>
    <xf numFmtId="38" fontId="16" fillId="9" borderId="1" xfId="0" applyNumberFormat="1" applyFont="1" applyFill="1" applyBorder="1" applyAlignment="1">
      <alignment horizontal="center" vertical="center"/>
    </xf>
    <xf numFmtId="3" fontId="16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38" fontId="0" fillId="9" borderId="1" xfId="0" applyNumberFormat="1" applyFill="1" applyBorder="1">
      <alignment vertical="center"/>
    </xf>
    <xf numFmtId="182" fontId="0" fillId="9" borderId="1" xfId="0" applyNumberFormat="1" applyFill="1" applyBorder="1">
      <alignment vertical="center"/>
    </xf>
    <xf numFmtId="3" fontId="6" fillId="9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38" fontId="16" fillId="9" borderId="1" xfId="0" applyNumberFormat="1" applyFont="1" applyFill="1" applyBorder="1">
      <alignment vertical="center"/>
    </xf>
    <xf numFmtId="182" fontId="16" fillId="9" borderId="1" xfId="0" applyNumberFormat="1" applyFont="1" applyFill="1" applyBorder="1">
      <alignment vertical="center"/>
    </xf>
    <xf numFmtId="0" fontId="16" fillId="9" borderId="1" xfId="0" applyFont="1" applyFill="1" applyBorder="1" applyAlignment="1">
      <alignment horizontal="left" vertical="center"/>
    </xf>
    <xf numFmtId="176" fontId="0" fillId="9" borderId="1" xfId="0" applyNumberFormat="1" applyFill="1" applyBorder="1" applyAlignment="1">
      <alignment horizontal="right" vertical="center"/>
    </xf>
    <xf numFmtId="0" fontId="16" fillId="9" borderId="2" xfId="0" applyFont="1" applyFill="1" applyBorder="1" applyAlignment="1">
      <alignment horizontal="left" vertical="center"/>
    </xf>
    <xf numFmtId="3" fontId="19" fillId="8" borderId="2" xfId="0" applyNumberFormat="1" applyFont="1" applyFill="1" applyBorder="1" applyAlignment="1">
      <alignment horizontal="center" vertical="center"/>
    </xf>
    <xf numFmtId="3" fontId="19" fillId="8" borderId="9" xfId="0" applyNumberFormat="1" applyFont="1" applyFill="1" applyBorder="1" applyAlignment="1">
      <alignment horizontal="center" vertical="center"/>
    </xf>
    <xf numFmtId="3" fontId="19" fillId="8" borderId="10" xfId="0" applyNumberFormat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8" borderId="9" xfId="1" applyFont="1" applyFill="1" applyBorder="1" applyAlignment="1">
      <alignment horizontal="center" vertical="center"/>
    </xf>
    <xf numFmtId="0" fontId="8" fillId="8" borderId="10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8" fontId="15" fillId="6" borderId="11" xfId="0" applyNumberFormat="1" applyFont="1" applyFill="1" applyBorder="1" applyAlignment="1">
      <alignment horizontal="left" vertical="center" shrinkToFit="1"/>
    </xf>
    <xf numFmtId="38" fontId="15" fillId="6" borderId="12" xfId="0" applyNumberFormat="1" applyFont="1" applyFill="1" applyBorder="1" applyAlignment="1">
      <alignment horizontal="left" vertical="center" shrinkToFit="1"/>
    </xf>
    <xf numFmtId="38" fontId="15" fillId="6" borderId="4" xfId="0" applyNumberFormat="1" applyFont="1" applyFill="1" applyBorder="1" applyAlignment="1">
      <alignment horizontal="left" vertical="center" shrinkToFit="1"/>
    </xf>
    <xf numFmtId="38" fontId="15" fillId="6" borderId="13" xfId="0" applyNumberFormat="1" applyFont="1" applyFill="1" applyBorder="1" applyAlignment="1">
      <alignment horizontal="left" vertical="center" shrinkToFit="1"/>
    </xf>
    <xf numFmtId="0" fontId="20" fillId="4" borderId="1" xfId="0" applyFont="1" applyFill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D026-3078-4DCC-85E8-1AD0C51A088B}">
  <sheetPr>
    <tabColor theme="6" tint="0.59999389629810485"/>
  </sheetPr>
  <dimension ref="A2:S59"/>
  <sheetViews>
    <sheetView tabSelected="1" zoomScale="85" zoomScaleNormal="85" workbookViewId="0">
      <pane xSplit="12" ySplit="9" topLeftCell="P10" activePane="bottomRight" state="frozen"/>
      <selection pane="topRight" activeCell="K1" sqref="K1"/>
      <selection pane="bottomLeft" activeCell="A9" sqref="A9"/>
      <selection pane="bottomRight" activeCell="S23" sqref="S23"/>
    </sheetView>
  </sheetViews>
  <sheetFormatPr defaultRowHeight="13.5" x14ac:dyDescent="0.15"/>
  <cols>
    <col min="3" max="3" width="17.125" customWidth="1"/>
    <col min="4" max="4" width="13.125" style="3" customWidth="1"/>
    <col min="5" max="5" width="14.375" bestFit="1" customWidth="1"/>
    <col min="6" max="6" width="13.125" bestFit="1" customWidth="1"/>
    <col min="7" max="7" width="52.375" customWidth="1"/>
    <col min="8" max="8" width="6.125" style="3" customWidth="1"/>
    <col min="9" max="10" width="9.875" style="8" bestFit="1" customWidth="1"/>
    <col min="11" max="11" width="5.875" style="8" customWidth="1"/>
    <col min="12" max="12" width="49" customWidth="1"/>
    <col min="13" max="13" width="41.625" customWidth="1"/>
    <col min="14" max="14" width="46.875" style="3" customWidth="1"/>
    <col min="15" max="15" width="13.875" style="10" customWidth="1"/>
    <col min="16" max="16" width="6.375" customWidth="1"/>
    <col min="17" max="17" width="13.125" style="8" customWidth="1"/>
    <col min="18" max="18" width="14.5" style="12" customWidth="1"/>
    <col min="19" max="19" width="15.625" style="13" customWidth="1"/>
  </cols>
  <sheetData>
    <row r="2" spans="1:19" ht="20.100000000000001" customHeight="1" x14ac:dyDescent="0.15">
      <c r="D2" s="120" t="s">
        <v>11</v>
      </c>
      <c r="E2" s="120"/>
      <c r="F2" s="120"/>
      <c r="G2" s="9" t="s">
        <v>42</v>
      </c>
      <c r="I2" s="121" t="s">
        <v>15</v>
      </c>
      <c r="J2" s="122"/>
      <c r="K2" s="123"/>
      <c r="L2" s="7">
        <f>SUM(J:J)</f>
        <v>20290</v>
      </c>
    </row>
    <row r="3" spans="1:19" ht="20.100000000000001" customHeight="1" x14ac:dyDescent="0.15">
      <c r="D3" s="120" t="s">
        <v>10</v>
      </c>
      <c r="E3" s="120"/>
      <c r="F3" s="120"/>
      <c r="G3" s="5" t="s">
        <v>37</v>
      </c>
    </row>
    <row r="4" spans="1:19" ht="20.100000000000001" customHeight="1" x14ac:dyDescent="0.15">
      <c r="D4" s="120" t="s">
        <v>12</v>
      </c>
      <c r="E4" s="120"/>
      <c r="F4" s="120"/>
      <c r="G4" s="54" t="s">
        <v>50</v>
      </c>
      <c r="J4" s="55"/>
      <c r="L4" s="124" t="s">
        <v>51</v>
      </c>
      <c r="M4" s="125"/>
    </row>
    <row r="5" spans="1:19" ht="20.100000000000001" customHeight="1" x14ac:dyDescent="0.15">
      <c r="D5" s="120" t="s">
        <v>13</v>
      </c>
      <c r="E5" s="120"/>
      <c r="F5" s="120"/>
      <c r="G5" s="6">
        <v>45576</v>
      </c>
      <c r="I5" s="128" t="s">
        <v>53</v>
      </c>
      <c r="L5" s="126"/>
      <c r="M5" s="127"/>
    </row>
    <row r="6" spans="1:19" ht="20.100000000000001" customHeight="1" x14ac:dyDescent="0.15">
      <c r="D6" s="120" t="s">
        <v>14</v>
      </c>
      <c r="E6" s="120"/>
      <c r="F6" s="120"/>
      <c r="G6" s="6">
        <v>45580</v>
      </c>
      <c r="I6" s="128"/>
      <c r="L6" s="15"/>
      <c r="M6" s="20"/>
    </row>
    <row r="7" spans="1:19" ht="20.100000000000001" customHeight="1" x14ac:dyDescent="0.15">
      <c r="D7" s="17"/>
      <c r="E7" s="17"/>
      <c r="F7" s="17"/>
      <c r="G7" s="16"/>
      <c r="L7" s="15"/>
      <c r="M7" s="20"/>
      <c r="N7" s="18"/>
    </row>
    <row r="9" spans="1:19" s="3" customFormat="1" ht="19.7" customHeight="1" x14ac:dyDescent="0.15">
      <c r="C9" s="1" t="s">
        <v>26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56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7" customHeight="1" x14ac:dyDescent="0.15">
      <c r="A10" s="52"/>
      <c r="B10" s="73"/>
      <c r="C10" s="1"/>
      <c r="D10" s="38"/>
      <c r="E10" s="38"/>
      <c r="F10" s="38"/>
      <c r="G10" s="38"/>
      <c r="H10" s="1"/>
      <c r="I10" s="28"/>
      <c r="J10" s="56"/>
      <c r="K10" s="2"/>
      <c r="L10" s="1"/>
      <c r="M10" s="1"/>
      <c r="N10" s="1"/>
      <c r="O10" s="11"/>
      <c r="P10" s="4"/>
      <c r="Q10" s="1"/>
      <c r="R10" s="11"/>
      <c r="S10" s="14"/>
    </row>
    <row r="11" spans="1:19" s="3" customFormat="1" ht="19.7" customHeight="1" x14ac:dyDescent="0.15">
      <c r="A11" s="52"/>
      <c r="B11" s="73"/>
      <c r="C11" s="1"/>
      <c r="D11" s="4"/>
      <c r="E11" s="4"/>
      <c r="F11" s="4"/>
      <c r="G11" s="53"/>
      <c r="H11" s="1"/>
      <c r="I11" s="21"/>
      <c r="J11" s="58"/>
      <c r="K11" s="2"/>
      <c r="L11" s="24"/>
      <c r="M11" s="22"/>
      <c r="N11" s="4"/>
      <c r="O11" s="11"/>
      <c r="P11" s="4"/>
      <c r="Q11" s="19"/>
      <c r="R11" s="19"/>
      <c r="S11" s="14"/>
    </row>
    <row r="12" spans="1:19" s="3" customFormat="1" ht="19.7" customHeight="1" x14ac:dyDescent="0.15">
      <c r="A12" s="52"/>
      <c r="B12" s="73"/>
      <c r="C12" s="1"/>
      <c r="D12" s="4"/>
      <c r="E12" s="4"/>
      <c r="F12" s="4"/>
      <c r="G12" s="53"/>
      <c r="H12" s="1"/>
      <c r="I12" s="21"/>
      <c r="J12" s="58"/>
      <c r="K12" s="2"/>
      <c r="L12" s="24"/>
      <c r="M12" s="22"/>
      <c r="N12" s="4"/>
      <c r="O12" s="11"/>
      <c r="P12" s="4"/>
      <c r="Q12" s="19"/>
      <c r="R12" s="19"/>
      <c r="S12" s="14"/>
    </row>
    <row r="13" spans="1:19" s="3" customFormat="1" ht="19.7" customHeight="1" x14ac:dyDescent="0.15">
      <c r="A13" s="52"/>
      <c r="B13" s="73"/>
      <c r="C13" s="1"/>
      <c r="D13" s="4"/>
      <c r="E13" s="4"/>
      <c r="F13" s="4"/>
      <c r="G13" s="26"/>
      <c r="H13" s="1"/>
      <c r="I13" s="21"/>
      <c r="J13" s="57"/>
      <c r="K13" s="2"/>
      <c r="L13" s="25"/>
      <c r="M13" s="22"/>
      <c r="N13" s="4"/>
      <c r="O13" s="11"/>
      <c r="P13" s="4"/>
      <c r="Q13" s="19"/>
      <c r="R13" s="19"/>
      <c r="S13" s="14"/>
    </row>
    <row r="14" spans="1:19" s="3" customFormat="1" ht="19.7" customHeight="1" x14ac:dyDescent="0.15">
      <c r="A14" s="52"/>
      <c r="B14" s="73"/>
      <c r="C14" s="1"/>
      <c r="D14" s="71"/>
      <c r="E14" s="114" t="s">
        <v>39</v>
      </c>
      <c r="F14" s="115"/>
      <c r="G14" s="116"/>
      <c r="H14" s="25"/>
      <c r="I14" s="1"/>
      <c r="J14" s="2"/>
      <c r="K14" s="65"/>
      <c r="L14" s="1"/>
      <c r="M14" s="22"/>
      <c r="N14" s="4"/>
      <c r="O14" s="11"/>
      <c r="P14" s="4"/>
      <c r="Q14" s="19"/>
      <c r="R14" s="19"/>
      <c r="S14" s="14"/>
    </row>
    <row r="15" spans="1:19" s="3" customFormat="1" ht="19.7" customHeight="1" x14ac:dyDescent="0.15">
      <c r="A15" s="64" t="s">
        <v>28</v>
      </c>
      <c r="B15" s="86"/>
      <c r="C15" s="83"/>
      <c r="D15" s="74">
        <v>1</v>
      </c>
      <c r="E15" s="98" t="s">
        <v>40</v>
      </c>
      <c r="F15" s="98" t="s">
        <v>44</v>
      </c>
      <c r="G15" s="99" t="s">
        <v>43</v>
      </c>
      <c r="H15" s="100">
        <v>1</v>
      </c>
      <c r="I15" s="101">
        <v>2080</v>
      </c>
      <c r="J15" s="102">
        <f>H15*I15</f>
        <v>2080</v>
      </c>
      <c r="K15" s="113"/>
      <c r="L15" s="99" t="s">
        <v>41</v>
      </c>
      <c r="M15" s="22"/>
      <c r="N15" s="4"/>
      <c r="O15" s="19">
        <v>45567</v>
      </c>
      <c r="P15" s="4"/>
      <c r="Q15" s="19">
        <v>45580</v>
      </c>
      <c r="R15" s="29">
        <v>45573</v>
      </c>
      <c r="S15" s="14">
        <v>45573</v>
      </c>
    </row>
    <row r="16" spans="1:19" s="3" customFormat="1" ht="19.7" customHeight="1" x14ac:dyDescent="0.15">
      <c r="A16" s="52"/>
      <c r="B16" s="73"/>
      <c r="C16" s="1"/>
      <c r="D16" s="34"/>
      <c r="E16" s="31"/>
      <c r="F16" s="31"/>
      <c r="G16" s="30"/>
      <c r="H16" s="32"/>
      <c r="I16" s="30"/>
      <c r="J16" s="33"/>
      <c r="K16" s="49"/>
      <c r="L16" s="39"/>
      <c r="M16" s="22"/>
      <c r="N16" s="4"/>
      <c r="O16" s="11"/>
      <c r="P16" s="4"/>
      <c r="Q16" s="19"/>
      <c r="R16" s="19"/>
      <c r="S16" s="14"/>
    </row>
    <row r="17" spans="1:19" s="3" customFormat="1" ht="19.7" customHeight="1" x14ac:dyDescent="0.15">
      <c r="A17" s="52"/>
      <c r="B17" s="73"/>
      <c r="C17" s="1"/>
      <c r="D17" s="34"/>
      <c r="E17" s="31"/>
      <c r="F17" s="82"/>
      <c r="G17" s="76">
        <f>SUM(J15:J16)</f>
        <v>2080</v>
      </c>
      <c r="H17" s="32"/>
      <c r="I17" s="30"/>
      <c r="J17"/>
      <c r="K17" s="49"/>
      <c r="L17" s="39"/>
      <c r="M17" s="22"/>
      <c r="N17" s="4"/>
      <c r="O17" s="11"/>
      <c r="P17" s="4"/>
      <c r="Q17" s="19"/>
      <c r="R17" s="19"/>
      <c r="S17" s="14"/>
    </row>
    <row r="18" spans="1:19" s="3" customFormat="1" ht="19.7" customHeight="1" x14ac:dyDescent="0.15">
      <c r="A18" s="52"/>
      <c r="B18" s="73"/>
      <c r="C18" s="1"/>
      <c r="D18" s="4"/>
      <c r="E18" s="4"/>
      <c r="F18" s="4"/>
      <c r="G18" s="63"/>
      <c r="H18" s="1"/>
      <c r="I18" s="21"/>
      <c r="J18" s="62"/>
      <c r="K18" s="2"/>
      <c r="L18" s="25"/>
      <c r="M18" s="22"/>
      <c r="N18" s="4"/>
      <c r="O18" s="11"/>
      <c r="P18" s="4"/>
      <c r="Q18" s="19"/>
      <c r="R18" s="19"/>
      <c r="S18" s="14"/>
    </row>
    <row r="19" spans="1:19" s="3" customFormat="1" ht="19.7" customHeight="1" x14ac:dyDescent="0.15">
      <c r="A19" s="52"/>
      <c r="B19" s="73"/>
      <c r="C19" s="1"/>
      <c r="D19" s="4"/>
      <c r="E19" s="4"/>
      <c r="F19" s="4"/>
      <c r="G19" s="63"/>
      <c r="H19" s="1"/>
      <c r="I19" s="21"/>
      <c r="J19" s="62"/>
      <c r="K19" s="2"/>
      <c r="L19" s="25"/>
      <c r="M19" s="22"/>
      <c r="N19" s="4"/>
      <c r="O19" s="11"/>
      <c r="P19" s="4"/>
      <c r="Q19" s="19"/>
      <c r="R19" s="19"/>
      <c r="S19" s="14"/>
    </row>
    <row r="20" spans="1:19" s="3" customFormat="1" ht="19.7" customHeight="1" x14ac:dyDescent="0.15">
      <c r="A20" s="52"/>
      <c r="B20" s="73"/>
      <c r="C20" s="1"/>
      <c r="D20" s="4"/>
      <c r="E20" s="4"/>
      <c r="F20" s="4"/>
      <c r="G20" s="26"/>
      <c r="H20" s="1"/>
      <c r="I20" s="21"/>
      <c r="J20" s="57"/>
      <c r="K20" s="2"/>
      <c r="L20" s="25"/>
      <c r="M20" s="22"/>
      <c r="N20" s="4"/>
      <c r="O20" s="11"/>
      <c r="P20" s="4"/>
      <c r="Q20" s="19"/>
      <c r="R20" s="19"/>
      <c r="S20" s="14"/>
    </row>
    <row r="21" spans="1:19" s="3" customFormat="1" ht="19.7" customHeight="1" x14ac:dyDescent="0.15">
      <c r="A21" s="52"/>
      <c r="B21" s="73"/>
      <c r="C21" s="1"/>
      <c r="D21" s="4"/>
      <c r="E21" s="114" t="s">
        <v>45</v>
      </c>
      <c r="F21" s="115"/>
      <c r="G21" s="116"/>
      <c r="H21" s="79"/>
      <c r="I21" s="77"/>
      <c r="J21" s="33"/>
      <c r="K21" s="78"/>
      <c r="L21" s="37"/>
      <c r="M21" s="22"/>
      <c r="N21" s="4"/>
      <c r="O21" s="11"/>
      <c r="P21" s="4"/>
      <c r="Q21" s="19"/>
      <c r="R21" s="19"/>
      <c r="S21" s="14"/>
    </row>
    <row r="22" spans="1:19" s="3" customFormat="1" ht="19.7" customHeight="1" x14ac:dyDescent="0.15">
      <c r="A22" s="69" t="s">
        <v>49</v>
      </c>
      <c r="B22" s="86"/>
      <c r="C22" s="1"/>
      <c r="D22" s="74">
        <f>+D15+1</f>
        <v>2</v>
      </c>
      <c r="E22" s="87" t="s">
        <v>46</v>
      </c>
      <c r="F22" s="88" t="s">
        <v>22</v>
      </c>
      <c r="G22" s="89" t="s">
        <v>47</v>
      </c>
      <c r="H22" s="87">
        <v>1</v>
      </c>
      <c r="I22" s="90">
        <v>10610</v>
      </c>
      <c r="J22" s="91">
        <f>H22*I22</f>
        <v>10610</v>
      </c>
      <c r="K22" s="92"/>
      <c r="L22" s="89" t="s">
        <v>48</v>
      </c>
      <c r="M22" s="22" t="s">
        <v>54</v>
      </c>
      <c r="N22" s="4"/>
      <c r="O22" s="11"/>
      <c r="P22" s="4"/>
      <c r="Q22" s="19">
        <v>45567</v>
      </c>
      <c r="R22" s="19">
        <v>45581</v>
      </c>
      <c r="S22" s="14">
        <v>45576</v>
      </c>
    </row>
    <row r="23" spans="1:19" s="3" customFormat="1" ht="19.7" customHeight="1" x14ac:dyDescent="0.15">
      <c r="A23" s="52"/>
      <c r="B23" s="73"/>
      <c r="C23" s="1"/>
      <c r="D23" s="4"/>
      <c r="E23" s="72"/>
      <c r="F23" s="72"/>
      <c r="G23" s="24"/>
      <c r="H23" s="80"/>
      <c r="I23" s="1"/>
      <c r="J23" s="40"/>
      <c r="K23" s="65"/>
      <c r="L23" s="41"/>
      <c r="M23" s="22"/>
      <c r="N23" s="4"/>
      <c r="O23" s="11"/>
      <c r="P23" s="4"/>
      <c r="Q23" s="19"/>
      <c r="R23" s="19"/>
      <c r="S23" s="14"/>
    </row>
    <row r="24" spans="1:19" s="3" customFormat="1" ht="19.7" customHeight="1" x14ac:dyDescent="0.15">
      <c r="A24" s="52"/>
      <c r="B24" s="73"/>
      <c r="C24" s="1"/>
      <c r="D24" s="4"/>
      <c r="E24" s="4"/>
      <c r="F24" s="4"/>
      <c r="G24" s="75">
        <f>SUM(J22:J22)</f>
        <v>10610</v>
      </c>
      <c r="H24" s="47"/>
      <c r="I24" s="47"/>
      <c r="J24" s="47"/>
      <c r="K24" s="81"/>
      <c r="L24" s="25"/>
      <c r="M24" s="22"/>
      <c r="N24" s="4"/>
      <c r="O24" s="11"/>
      <c r="P24" s="4"/>
      <c r="Q24" s="19"/>
      <c r="R24" s="19"/>
      <c r="S24" s="14"/>
    </row>
    <row r="25" spans="1:19" s="3" customFormat="1" ht="19.7" customHeight="1" x14ac:dyDescent="0.15">
      <c r="A25" s="52"/>
      <c r="B25" s="73"/>
      <c r="C25" s="1"/>
      <c r="D25" s="4"/>
      <c r="E25" s="4"/>
      <c r="F25" s="4"/>
      <c r="G25" s="26"/>
      <c r="H25" s="1"/>
      <c r="I25" s="21"/>
      <c r="J25" s="57"/>
      <c r="K25" s="2"/>
      <c r="L25" s="25"/>
      <c r="M25" s="22"/>
      <c r="N25" s="4"/>
      <c r="O25" s="11"/>
      <c r="P25" s="4"/>
      <c r="Q25" s="19"/>
      <c r="R25" s="19"/>
      <c r="S25" s="14"/>
    </row>
    <row r="26" spans="1:19" s="3" customFormat="1" ht="19.7" customHeight="1" x14ac:dyDescent="0.15">
      <c r="A26" s="52"/>
      <c r="B26" s="73"/>
      <c r="C26" s="1"/>
      <c r="D26" s="66"/>
      <c r="E26" s="66"/>
      <c r="F26" s="67"/>
      <c r="G26" s="68"/>
      <c r="H26" s="1"/>
      <c r="I26" s="21"/>
      <c r="J26" s="57"/>
      <c r="K26" s="2"/>
      <c r="L26" s="25"/>
      <c r="M26" s="22"/>
      <c r="N26" s="4"/>
      <c r="O26" s="11"/>
      <c r="P26" s="4"/>
      <c r="Q26" s="19"/>
      <c r="R26" s="19"/>
      <c r="S26" s="14"/>
    </row>
    <row r="27" spans="1:19" s="3" customFormat="1" ht="19.7" customHeight="1" x14ac:dyDescent="0.15">
      <c r="A27" s="52"/>
      <c r="B27" s="73"/>
      <c r="C27" s="1"/>
      <c r="D27" s="66"/>
      <c r="E27" s="66"/>
      <c r="F27" s="67"/>
      <c r="G27" s="68"/>
      <c r="H27" s="1"/>
      <c r="I27" s="21"/>
      <c r="J27" s="57"/>
      <c r="K27" s="2"/>
      <c r="L27" s="25"/>
      <c r="M27" s="22"/>
      <c r="N27" s="4"/>
      <c r="O27" s="11"/>
      <c r="P27" s="4"/>
      <c r="Q27" s="19"/>
      <c r="R27" s="19"/>
      <c r="S27" s="14"/>
    </row>
    <row r="28" spans="1:19" s="3" customFormat="1" ht="19.7" customHeight="1" x14ac:dyDescent="0.15">
      <c r="A28" s="52"/>
      <c r="B28" s="73"/>
      <c r="C28" s="1"/>
      <c r="D28" s="70"/>
      <c r="E28" s="117" t="s">
        <v>38</v>
      </c>
      <c r="F28" s="118"/>
      <c r="G28" s="119"/>
      <c r="H28" s="1"/>
      <c r="I28" s="21"/>
      <c r="J28" s="57"/>
      <c r="K28" s="2"/>
      <c r="L28" s="25"/>
      <c r="M28" s="22"/>
      <c r="N28" s="4"/>
      <c r="O28" s="11"/>
      <c r="P28" s="4"/>
      <c r="Q28" s="19"/>
      <c r="R28" s="19"/>
      <c r="S28" s="14"/>
    </row>
    <row r="29" spans="1:19" s="3" customFormat="1" ht="19.7" customHeight="1" x14ac:dyDescent="0.15">
      <c r="A29" s="64" t="s">
        <v>24</v>
      </c>
      <c r="B29" s="86"/>
      <c r="C29" s="83"/>
      <c r="D29" s="74">
        <f>+D22+1</f>
        <v>3</v>
      </c>
      <c r="E29" s="94" t="s">
        <v>23</v>
      </c>
      <c r="F29" s="94" t="s">
        <v>22</v>
      </c>
      <c r="G29" s="111" t="s">
        <v>52</v>
      </c>
      <c r="H29" s="94">
        <v>1</v>
      </c>
      <c r="I29" s="96">
        <v>3040</v>
      </c>
      <c r="J29" s="112">
        <f t="shared" ref="J29" si="0">H29*I29</f>
        <v>3040</v>
      </c>
      <c r="K29" s="97"/>
      <c r="L29" s="95" t="s">
        <v>25</v>
      </c>
      <c r="M29" s="22" t="s">
        <v>54</v>
      </c>
      <c r="N29" s="4"/>
      <c r="O29" s="11"/>
      <c r="P29" s="4"/>
      <c r="Q29" s="19">
        <v>45567</v>
      </c>
      <c r="R29" s="19">
        <v>45576</v>
      </c>
      <c r="S29" s="14">
        <v>45575</v>
      </c>
    </row>
    <row r="30" spans="1:19" s="3" customFormat="1" ht="19.7" customHeight="1" x14ac:dyDescent="0.15">
      <c r="A30" s="64" t="s">
        <v>27</v>
      </c>
      <c r="B30" s="86"/>
      <c r="C30" s="83"/>
      <c r="D30" s="85">
        <f>D29+1</f>
        <v>4</v>
      </c>
      <c r="E30" s="98" t="s">
        <v>29</v>
      </c>
      <c r="F30" s="103" t="s">
        <v>30</v>
      </c>
      <c r="G30" s="104" t="s">
        <v>31</v>
      </c>
      <c r="H30" s="97">
        <v>4</v>
      </c>
      <c r="I30" s="105">
        <v>800</v>
      </c>
      <c r="J30" s="106">
        <f>H30*I30</f>
        <v>3200</v>
      </c>
      <c r="K30" s="97"/>
      <c r="L30" s="104" t="s">
        <v>32</v>
      </c>
      <c r="M30" s="22" t="s">
        <v>54</v>
      </c>
      <c r="N30" s="4"/>
      <c r="O30" s="11"/>
      <c r="P30" s="4"/>
      <c r="Q30" s="19">
        <v>45567</v>
      </c>
      <c r="R30" s="19">
        <v>45576</v>
      </c>
      <c r="S30" s="14">
        <v>45575</v>
      </c>
    </row>
    <row r="31" spans="1:19" s="3" customFormat="1" ht="19.7" customHeight="1" x14ac:dyDescent="0.15">
      <c r="A31" s="64" t="s">
        <v>27</v>
      </c>
      <c r="B31" s="86"/>
      <c r="C31" s="83"/>
      <c r="D31" s="85">
        <f t="shared" ref="D31:D32" si="1">D30+1</f>
        <v>5</v>
      </c>
      <c r="E31" s="98" t="s">
        <v>29</v>
      </c>
      <c r="F31" s="107" t="s">
        <v>30</v>
      </c>
      <c r="G31" s="93" t="s">
        <v>33</v>
      </c>
      <c r="H31" s="97">
        <v>4</v>
      </c>
      <c r="I31" s="105">
        <v>280</v>
      </c>
      <c r="J31" s="106">
        <f>H31*I31</f>
        <v>1120</v>
      </c>
      <c r="K31" s="97"/>
      <c r="L31" s="104" t="s">
        <v>34</v>
      </c>
      <c r="M31" s="22" t="s">
        <v>54</v>
      </c>
      <c r="N31" s="4"/>
      <c r="O31" s="11"/>
      <c r="P31" s="4"/>
      <c r="Q31" s="19">
        <v>45567</v>
      </c>
      <c r="R31" s="19">
        <v>45576</v>
      </c>
      <c r="S31" s="14">
        <v>45575</v>
      </c>
    </row>
    <row r="32" spans="1:19" s="3" customFormat="1" ht="19.7" customHeight="1" x14ac:dyDescent="0.15">
      <c r="A32" s="64" t="s">
        <v>27</v>
      </c>
      <c r="B32" s="86"/>
      <c r="C32" s="83"/>
      <c r="D32" s="85">
        <f t="shared" si="1"/>
        <v>6</v>
      </c>
      <c r="E32" s="103" t="s">
        <v>29</v>
      </c>
      <c r="F32" s="107" t="s">
        <v>30</v>
      </c>
      <c r="G32" s="93" t="s">
        <v>35</v>
      </c>
      <c r="H32" s="108">
        <v>1</v>
      </c>
      <c r="I32" s="109">
        <v>240</v>
      </c>
      <c r="J32" s="110">
        <f>H32*I32</f>
        <v>240</v>
      </c>
      <c r="K32" s="108"/>
      <c r="L32" s="100" t="s">
        <v>36</v>
      </c>
      <c r="M32" s="22" t="s">
        <v>54</v>
      </c>
      <c r="N32" s="4"/>
      <c r="O32" s="11"/>
      <c r="P32" s="4"/>
      <c r="Q32" s="19">
        <v>45567</v>
      </c>
      <c r="R32" s="19">
        <v>45576</v>
      </c>
      <c r="S32" s="14">
        <v>45575</v>
      </c>
    </row>
    <row r="33" spans="1:19" s="3" customFormat="1" ht="19.7" customHeight="1" x14ac:dyDescent="0.15">
      <c r="A33" s="52"/>
      <c r="B33" s="73"/>
      <c r="C33" s="1"/>
      <c r="D33" s="4"/>
      <c r="E33" s="4"/>
      <c r="F33" s="50"/>
      <c r="G33" s="24"/>
      <c r="H33" s="51"/>
      <c r="I33" s="59"/>
      <c r="J33" s="58"/>
      <c r="K33" s="40"/>
      <c r="L33" s="39"/>
      <c r="M33" s="22"/>
      <c r="N33" s="4"/>
      <c r="O33" s="11"/>
      <c r="P33" s="4"/>
      <c r="Q33" s="19"/>
      <c r="R33" s="19"/>
      <c r="S33" s="14"/>
    </row>
    <row r="34" spans="1:19" s="3" customFormat="1" ht="19.7" customHeight="1" x14ac:dyDescent="0.15">
      <c r="A34" s="52"/>
      <c r="B34" s="73"/>
      <c r="C34" s="1"/>
      <c r="D34" s="4"/>
      <c r="E34" s="36"/>
      <c r="F34" s="4"/>
      <c r="G34" s="35">
        <f>SUM(J29:J32)</f>
        <v>7600</v>
      </c>
      <c r="H34" s="51"/>
      <c r="I34" s="59"/>
      <c r="J34" s="58"/>
      <c r="K34" s="40"/>
      <c r="L34" s="39"/>
      <c r="M34" s="22"/>
      <c r="N34" s="4"/>
      <c r="O34" s="11"/>
      <c r="P34" s="4"/>
      <c r="Q34" s="19"/>
      <c r="R34" s="19"/>
      <c r="S34" s="14"/>
    </row>
    <row r="35" spans="1:19" s="3" customFormat="1" ht="19.7" customHeight="1" x14ac:dyDescent="0.15">
      <c r="A35" s="52"/>
      <c r="B35" s="73"/>
      <c r="C35" s="1"/>
      <c r="D35" s="4"/>
      <c r="E35" s="36"/>
      <c r="F35" s="43"/>
      <c r="G35" s="24"/>
      <c r="H35" s="51"/>
      <c r="I35" s="59"/>
      <c r="J35" s="58"/>
      <c r="K35" s="40"/>
      <c r="L35" s="39"/>
      <c r="M35" s="22"/>
      <c r="N35" s="4"/>
      <c r="O35" s="11"/>
      <c r="P35" s="4"/>
      <c r="Q35" s="19"/>
      <c r="R35" s="19"/>
      <c r="S35" s="14"/>
    </row>
    <row r="36" spans="1:19" s="3" customFormat="1" ht="19.7" customHeight="1" x14ac:dyDescent="0.15">
      <c r="A36" s="52"/>
      <c r="B36" s="73"/>
      <c r="C36" s="1"/>
      <c r="D36" s="4"/>
      <c r="E36" s="4"/>
      <c r="F36" s="50"/>
      <c r="G36" s="24"/>
      <c r="H36" s="51"/>
      <c r="I36" s="59"/>
      <c r="J36" s="48"/>
      <c r="K36" s="40"/>
      <c r="L36" s="39"/>
      <c r="M36" s="22"/>
      <c r="N36" s="4"/>
      <c r="O36" s="11"/>
      <c r="P36" s="4"/>
      <c r="Q36" s="19"/>
      <c r="R36" s="19"/>
      <c r="S36" s="14"/>
    </row>
    <row r="37" spans="1:19" s="3" customFormat="1" ht="19.7" customHeight="1" x14ac:dyDescent="0.15">
      <c r="A37" s="52"/>
      <c r="B37" s="73"/>
      <c r="C37" s="1"/>
      <c r="D37" s="4"/>
      <c r="E37" s="4"/>
      <c r="F37" s="4"/>
      <c r="G37" s="26"/>
      <c r="H37" s="44"/>
      <c r="I37" s="60"/>
      <c r="J37" s="58"/>
      <c r="K37" s="45"/>
      <c r="L37" s="46"/>
      <c r="M37" s="25"/>
      <c r="N37" s="4"/>
      <c r="O37" s="11"/>
      <c r="P37" s="4"/>
      <c r="Q37" s="19"/>
      <c r="R37" s="19"/>
      <c r="S37" s="14"/>
    </row>
    <row r="38" spans="1:19" s="3" customFormat="1" ht="19.7" customHeight="1" x14ac:dyDescent="0.15">
      <c r="A38" s="52"/>
      <c r="B38" s="73"/>
      <c r="C38" s="1"/>
      <c r="D38" s="4"/>
      <c r="E38" s="4"/>
      <c r="F38" s="4"/>
      <c r="G38" s="42"/>
      <c r="H38" s="1"/>
      <c r="I38" s="58"/>
      <c r="J38" s="58"/>
      <c r="K38" s="2"/>
      <c r="L38" s="25"/>
      <c r="M38" s="22"/>
      <c r="N38" s="4"/>
      <c r="O38" s="11"/>
      <c r="P38" s="4"/>
      <c r="Q38" s="19"/>
      <c r="R38" s="19"/>
      <c r="S38" s="14"/>
    </row>
    <row r="39" spans="1:19" s="3" customFormat="1" ht="19.7" customHeight="1" x14ac:dyDescent="0.15">
      <c r="A39" s="52"/>
      <c r="B39" s="73"/>
      <c r="C39" s="1"/>
      <c r="D39" s="4"/>
      <c r="E39" s="4"/>
      <c r="F39" s="4"/>
      <c r="G39" s="47"/>
      <c r="H39" s="1"/>
      <c r="I39" s="58"/>
      <c r="J39" s="58"/>
      <c r="K39" s="2"/>
      <c r="L39" s="25"/>
      <c r="M39" s="22"/>
      <c r="N39" s="4"/>
      <c r="O39" s="11"/>
      <c r="P39" s="4"/>
      <c r="Q39" s="19"/>
      <c r="R39" s="19"/>
      <c r="S39" s="14"/>
    </row>
    <row r="40" spans="1:19" s="3" customFormat="1" ht="19.7" customHeight="1" x14ac:dyDescent="0.15">
      <c r="A40" s="52"/>
      <c r="B40" s="52"/>
      <c r="C40" s="1"/>
      <c r="D40" s="4"/>
      <c r="E40" s="4"/>
      <c r="F40" s="4"/>
      <c r="G40" s="26"/>
      <c r="H40" s="1"/>
      <c r="I40" s="21"/>
      <c r="J40" s="57"/>
      <c r="K40" s="2"/>
      <c r="L40" s="25"/>
      <c r="M40" s="25"/>
      <c r="N40" s="4"/>
      <c r="O40" s="11"/>
      <c r="P40" s="11"/>
      <c r="Q40" s="11"/>
      <c r="R40" s="19"/>
      <c r="S40" s="14"/>
    </row>
    <row r="41" spans="1:19" s="3" customFormat="1" ht="19.7" customHeight="1" x14ac:dyDescent="0.15">
      <c r="A41" s="52"/>
      <c r="B41" s="52"/>
      <c r="C41" s="1"/>
      <c r="D41" s="4"/>
      <c r="E41" s="4"/>
      <c r="F41" s="4"/>
      <c r="G41" s="24"/>
      <c r="H41" s="1"/>
      <c r="I41" s="58"/>
      <c r="J41" s="57"/>
      <c r="K41" s="27"/>
      <c r="L41" s="25"/>
      <c r="M41" s="25"/>
      <c r="N41" s="4"/>
      <c r="O41" s="11"/>
      <c r="P41" s="11"/>
      <c r="Q41" s="11"/>
      <c r="R41" s="19"/>
      <c r="S41" s="14"/>
    </row>
    <row r="42" spans="1:19" s="3" customFormat="1" ht="19.7" customHeight="1" x14ac:dyDescent="0.15">
      <c r="A42" s="52"/>
      <c r="B42" s="52"/>
      <c r="C42" s="1"/>
      <c r="D42" s="4"/>
      <c r="E42" s="4"/>
      <c r="F42" s="4"/>
      <c r="G42" s="24"/>
      <c r="H42" s="1"/>
      <c r="I42" s="58"/>
      <c r="J42" s="58"/>
      <c r="K42" s="27"/>
      <c r="L42" s="25"/>
      <c r="M42" s="25"/>
      <c r="N42" s="4"/>
      <c r="O42" s="11"/>
      <c r="P42" s="4"/>
      <c r="Q42" s="19"/>
      <c r="R42" s="19"/>
      <c r="S42" s="14"/>
    </row>
    <row r="43" spans="1:19" s="3" customFormat="1" ht="19.7" customHeight="1" x14ac:dyDescent="0.15">
      <c r="A43" s="52"/>
      <c r="B43" s="52"/>
      <c r="C43" s="1"/>
      <c r="D43" s="4"/>
      <c r="E43" s="4"/>
      <c r="F43" s="4"/>
      <c r="G43" s="24"/>
      <c r="H43" s="1"/>
      <c r="I43" s="58"/>
      <c r="J43" s="57"/>
      <c r="K43" s="27"/>
      <c r="L43" s="25"/>
      <c r="M43" s="25"/>
      <c r="N43" s="4"/>
      <c r="O43" s="11"/>
      <c r="P43" s="4"/>
      <c r="Q43" s="19"/>
      <c r="R43" s="19"/>
      <c r="S43" s="14"/>
    </row>
    <row r="44" spans="1:19" s="3" customFormat="1" ht="19.7" customHeight="1" x14ac:dyDescent="0.15">
      <c r="A44" s="52"/>
      <c r="B44" s="52"/>
      <c r="C44" s="1"/>
      <c r="D44" s="4"/>
      <c r="E44" s="4"/>
      <c r="F44" s="4"/>
      <c r="G44" s="24"/>
      <c r="H44" s="1"/>
      <c r="I44" s="58"/>
      <c r="J44" s="57"/>
      <c r="K44" s="27"/>
      <c r="L44" s="25"/>
      <c r="M44" s="25"/>
      <c r="N44" s="4"/>
      <c r="O44" s="11"/>
      <c r="P44" s="4"/>
      <c r="Q44" s="19"/>
      <c r="R44" s="19"/>
      <c r="S44" s="14"/>
    </row>
    <row r="45" spans="1:19" s="3" customFormat="1" ht="19.7" customHeight="1" x14ac:dyDescent="0.15">
      <c r="A45" s="52"/>
      <c r="B45" s="52"/>
      <c r="C45" s="1"/>
      <c r="D45" s="4"/>
      <c r="E45" s="4"/>
      <c r="F45" s="4"/>
      <c r="G45" s="24"/>
      <c r="H45" s="1"/>
      <c r="I45" s="58"/>
      <c r="J45" s="57"/>
      <c r="K45" s="27"/>
      <c r="L45" s="25"/>
      <c r="M45" s="25"/>
      <c r="N45" s="4"/>
      <c r="O45" s="11"/>
      <c r="P45" s="4"/>
      <c r="Q45" s="19"/>
      <c r="R45" s="19"/>
      <c r="S45" s="14"/>
    </row>
    <row r="46" spans="1:19" s="3" customFormat="1" ht="19.7" customHeight="1" x14ac:dyDescent="0.15">
      <c r="A46" s="52"/>
      <c r="B46" s="52"/>
      <c r="C46" s="1"/>
      <c r="D46" s="4"/>
      <c r="E46" s="4"/>
      <c r="F46" s="4"/>
      <c r="G46" s="26"/>
      <c r="H46" s="1"/>
      <c r="I46" s="21"/>
      <c r="J46" s="57"/>
      <c r="K46" s="2"/>
      <c r="L46" s="25"/>
      <c r="M46" s="25"/>
      <c r="N46" s="4"/>
      <c r="O46" s="11"/>
      <c r="P46" s="4"/>
      <c r="Q46" s="19"/>
      <c r="R46" s="19"/>
      <c r="S46" s="14"/>
    </row>
    <row r="47" spans="1:19" s="3" customFormat="1" ht="19.7" customHeight="1" x14ac:dyDescent="0.15">
      <c r="A47" s="52"/>
      <c r="B47" s="52"/>
      <c r="C47" s="1"/>
      <c r="D47" s="4"/>
      <c r="E47" s="4"/>
      <c r="F47" s="4"/>
      <c r="G47" s="26"/>
      <c r="H47" s="1"/>
      <c r="I47" s="21"/>
      <c r="J47" s="57"/>
      <c r="K47" s="2"/>
      <c r="L47" s="25"/>
      <c r="M47" s="25"/>
      <c r="N47" s="4"/>
      <c r="O47" s="11"/>
      <c r="P47" s="4"/>
      <c r="Q47" s="19"/>
      <c r="R47" s="19"/>
      <c r="S47" s="14"/>
    </row>
    <row r="48" spans="1:19" ht="19.7" customHeight="1" x14ac:dyDescent="0.15">
      <c r="A48" s="52"/>
      <c r="B48" s="52"/>
      <c r="C48" s="1"/>
      <c r="D48" s="4"/>
      <c r="E48" s="1"/>
      <c r="F48" s="1"/>
      <c r="G48" s="26"/>
      <c r="H48" s="1"/>
      <c r="I48" s="21"/>
      <c r="J48" s="57"/>
      <c r="K48" s="2"/>
      <c r="L48" s="25"/>
      <c r="M48" s="24"/>
      <c r="N48" s="4"/>
      <c r="O48" s="11"/>
      <c r="P48" s="4"/>
      <c r="Q48" s="19"/>
      <c r="R48" s="19"/>
      <c r="S48" s="14"/>
    </row>
    <row r="49" spans="1:19" ht="19.7" customHeight="1" x14ac:dyDescent="0.15">
      <c r="A49" s="52"/>
      <c r="B49" s="52"/>
      <c r="C49" s="1"/>
      <c r="D49" s="4"/>
      <c r="E49" s="4"/>
      <c r="F49" s="4"/>
      <c r="G49" s="23"/>
      <c r="H49" s="1"/>
      <c r="I49" s="21"/>
      <c r="J49" s="58"/>
      <c r="K49" s="2"/>
      <c r="L49" s="25"/>
      <c r="M49" s="25"/>
      <c r="N49" s="4"/>
      <c r="O49" s="11"/>
      <c r="P49" s="4"/>
      <c r="Q49" s="19"/>
      <c r="R49" s="19"/>
      <c r="S49" s="14"/>
    </row>
    <row r="50" spans="1:19" ht="19.7" customHeight="1" x14ac:dyDescent="0.15">
      <c r="A50" s="52"/>
      <c r="B50" s="52"/>
      <c r="C50" s="1"/>
      <c r="D50" s="4"/>
      <c r="E50" s="4"/>
      <c r="F50" s="4"/>
      <c r="G50" s="26"/>
      <c r="H50" s="1"/>
      <c r="I50" s="21"/>
      <c r="J50" s="57"/>
      <c r="K50" s="2"/>
      <c r="L50" s="25"/>
      <c r="M50" s="24"/>
      <c r="N50" s="4"/>
      <c r="O50" s="11"/>
      <c r="P50" s="4"/>
      <c r="Q50" s="19"/>
      <c r="R50" s="29"/>
      <c r="S50" s="14"/>
    </row>
    <row r="51" spans="1:19" ht="19.7" customHeight="1" x14ac:dyDescent="0.15">
      <c r="A51" s="52"/>
      <c r="B51" s="52"/>
      <c r="C51" s="1"/>
      <c r="D51" s="4"/>
      <c r="E51" s="4"/>
      <c r="F51" s="4"/>
      <c r="G51" s="26"/>
      <c r="H51" s="1"/>
      <c r="I51" s="21"/>
      <c r="J51" s="57"/>
      <c r="K51" s="2"/>
      <c r="L51" s="25"/>
      <c r="M51" s="24"/>
      <c r="N51" s="4"/>
      <c r="O51" s="11"/>
      <c r="P51" s="4"/>
      <c r="Q51" s="19"/>
      <c r="R51" s="19"/>
      <c r="S51" s="14"/>
    </row>
    <row r="52" spans="1:19" ht="19.7" customHeight="1" x14ac:dyDescent="0.15">
      <c r="A52" s="52"/>
      <c r="B52" s="52"/>
      <c r="C52" s="1"/>
      <c r="D52" s="4"/>
      <c r="E52" s="4"/>
      <c r="F52" s="4"/>
      <c r="G52" s="26"/>
      <c r="H52" s="1"/>
      <c r="I52" s="21"/>
      <c r="J52" s="57"/>
      <c r="K52" s="2"/>
      <c r="L52" s="25"/>
      <c r="M52" s="24"/>
      <c r="N52" s="4"/>
      <c r="O52" s="11"/>
      <c r="P52" s="4"/>
      <c r="Q52" s="19"/>
      <c r="R52" s="19"/>
      <c r="S52" s="14"/>
    </row>
    <row r="53" spans="1:19" ht="19.7" customHeight="1" x14ac:dyDescent="0.15">
      <c r="A53" s="52"/>
      <c r="B53" s="52"/>
      <c r="C53" s="1"/>
      <c r="D53" s="4"/>
      <c r="E53" s="4"/>
      <c r="F53" s="4"/>
      <c r="G53" s="26"/>
      <c r="H53" s="1"/>
      <c r="I53" s="21"/>
      <c r="J53" s="57">
        <f t="shared" ref="J53:J58" si="2">H53*I53</f>
        <v>0</v>
      </c>
      <c r="K53" s="2"/>
      <c r="L53" s="25"/>
      <c r="M53" s="24"/>
      <c r="N53" s="4"/>
      <c r="O53" s="11"/>
      <c r="P53" s="4"/>
      <c r="Q53" s="19"/>
      <c r="R53" s="19"/>
      <c r="S53" s="14"/>
    </row>
    <row r="54" spans="1:19" ht="19.7" customHeight="1" x14ac:dyDescent="0.15">
      <c r="A54" s="52"/>
      <c r="B54" s="52"/>
      <c r="C54" s="1"/>
      <c r="D54" s="4"/>
      <c r="E54" s="4"/>
      <c r="F54" s="4"/>
      <c r="G54" s="26"/>
      <c r="H54" s="1"/>
      <c r="I54" s="21"/>
      <c r="J54" s="57">
        <f t="shared" si="2"/>
        <v>0</v>
      </c>
      <c r="K54" s="2"/>
      <c r="L54" s="25"/>
      <c r="M54" s="24"/>
      <c r="N54" s="4"/>
      <c r="O54" s="11"/>
      <c r="P54" s="4"/>
      <c r="Q54" s="19"/>
      <c r="R54" s="19"/>
      <c r="S54" s="14"/>
    </row>
    <row r="55" spans="1:19" ht="19.7" customHeight="1" x14ac:dyDescent="0.15">
      <c r="A55" s="52"/>
      <c r="B55" s="52"/>
      <c r="C55" s="1"/>
      <c r="D55" s="4"/>
      <c r="E55" s="4"/>
      <c r="F55" s="4"/>
      <c r="G55" s="26"/>
      <c r="H55" s="1"/>
      <c r="I55" s="21"/>
      <c r="J55" s="57">
        <f t="shared" si="2"/>
        <v>0</v>
      </c>
      <c r="K55" s="2"/>
      <c r="L55" s="25"/>
      <c r="M55" s="24"/>
      <c r="N55" s="4"/>
      <c r="O55" s="11"/>
      <c r="P55" s="4"/>
      <c r="Q55" s="19"/>
      <c r="R55" s="19"/>
      <c r="S55" s="14"/>
    </row>
    <row r="56" spans="1:19" ht="19.7" customHeight="1" x14ac:dyDescent="0.15">
      <c r="A56" s="52"/>
      <c r="B56" s="52"/>
      <c r="C56" s="84"/>
      <c r="D56" s="4"/>
      <c r="E56" s="4"/>
      <c r="F56" s="4"/>
      <c r="G56" s="26"/>
      <c r="H56" s="1"/>
      <c r="I56" s="21"/>
      <c r="J56" s="57">
        <f t="shared" si="2"/>
        <v>0</v>
      </c>
      <c r="K56" s="2"/>
      <c r="L56" s="25"/>
      <c r="M56" s="24"/>
      <c r="N56" s="4"/>
      <c r="O56" s="11"/>
      <c r="P56" s="4"/>
      <c r="Q56" s="19"/>
      <c r="R56" s="19"/>
      <c r="S56" s="14"/>
    </row>
    <row r="57" spans="1:19" ht="19.7" customHeight="1" x14ac:dyDescent="0.15">
      <c r="A57" s="52"/>
      <c r="B57" s="52"/>
      <c r="C57" s="84"/>
      <c r="D57" s="4"/>
      <c r="E57" s="4"/>
      <c r="F57" s="4"/>
      <c r="G57" s="26"/>
      <c r="H57" s="1"/>
      <c r="I57" s="21"/>
      <c r="J57" s="57">
        <f t="shared" si="2"/>
        <v>0</v>
      </c>
      <c r="K57" s="2"/>
      <c r="L57" s="25"/>
      <c r="M57" s="24"/>
      <c r="N57" s="4"/>
      <c r="O57" s="11"/>
      <c r="P57" s="4"/>
      <c r="Q57" s="19"/>
      <c r="R57" s="19"/>
      <c r="S57" s="14"/>
    </row>
    <row r="58" spans="1:19" ht="19.7" customHeight="1" x14ac:dyDescent="0.15">
      <c r="A58" s="52"/>
      <c r="B58" s="52"/>
      <c r="C58" s="84"/>
      <c r="D58" s="4"/>
      <c r="E58" s="4"/>
      <c r="F58" s="4"/>
      <c r="G58" s="26"/>
      <c r="H58" s="1"/>
      <c r="I58" s="21"/>
      <c r="J58" s="57">
        <f t="shared" si="2"/>
        <v>0</v>
      </c>
      <c r="K58" s="2"/>
      <c r="L58" s="25"/>
      <c r="M58" s="24"/>
      <c r="N58" s="4"/>
      <c r="O58" s="11"/>
      <c r="P58" s="4"/>
      <c r="Q58" s="19"/>
      <c r="R58" s="19"/>
      <c r="S58" s="14"/>
    </row>
    <row r="59" spans="1:19" x14ac:dyDescent="0.15">
      <c r="J59" s="61"/>
    </row>
  </sheetData>
  <autoFilter ref="D9:Q36" xr:uid="{00000000-0009-0000-0000-000000000000}"/>
  <mergeCells count="11">
    <mergeCell ref="L4:M5"/>
    <mergeCell ref="D5:F5"/>
    <mergeCell ref="I5:I6"/>
    <mergeCell ref="D6:F6"/>
    <mergeCell ref="E14:G14"/>
    <mergeCell ref="E21:G21"/>
    <mergeCell ref="E28:G28"/>
    <mergeCell ref="D2:F2"/>
    <mergeCell ref="I2:K2"/>
    <mergeCell ref="D3:F3"/>
    <mergeCell ref="D4:F4"/>
  </mergeCells>
  <phoneticPr fontId="22"/>
  <dataValidations count="1">
    <dataValidation imeMode="hiragana" allowBlank="1" showInputMessage="1" showErrorMessage="1" sqref="L11:L12" xr:uid="{B583AC9B-C3A0-48CE-ACAE-1453674B3FEE}"/>
  </dataValidations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20241001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2024-10-11T05:40:23Z</dcterms:modified>
</cp:coreProperties>
</file>