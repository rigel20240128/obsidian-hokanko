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33B5D1FD-CC98-40C2-9DB4-ADA523A6EA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原価表!$B$9:$O$18</definedName>
  </definedNames>
  <calcPr calcId="181029"/>
  <fileRecoveryPr autoRecover="0"/>
</workbook>
</file>

<file path=xl/calcChain.xml><?xml version="1.0" encoding="utf-8"?>
<calcChain xmlns="http://schemas.openxmlformats.org/spreadsheetml/2006/main">
  <c r="H126" i="1" l="1"/>
  <c r="H124" i="1"/>
  <c r="H125" i="1"/>
  <c r="H181" i="1"/>
  <c r="H182" i="1"/>
  <c r="H183" i="1"/>
  <c r="H184" i="1"/>
  <c r="H29" i="1"/>
  <c r="H123" i="1"/>
  <c r="H122" i="1"/>
  <c r="H121" i="1"/>
  <c r="H120" i="1"/>
  <c r="H119" i="1"/>
  <c r="H118" i="1"/>
  <c r="H180" i="1"/>
  <c r="H25" i="1"/>
  <c r="H178" i="1"/>
  <c r="H179" i="1"/>
  <c r="H177" i="1"/>
  <c r="H153" i="1"/>
  <c r="H152" i="1"/>
  <c r="H151" i="1"/>
  <c r="H83" i="1"/>
  <c r="H82" i="1"/>
  <c r="H163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6" i="1"/>
  <c r="H27" i="1"/>
  <c r="H28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48" i="1"/>
  <c r="H149" i="1"/>
  <c r="H150" i="1"/>
  <c r="H154" i="1"/>
  <c r="H155" i="1"/>
  <c r="H156" i="1"/>
  <c r="H157" i="1"/>
  <c r="H158" i="1"/>
  <c r="H159" i="1"/>
  <c r="H160" i="1"/>
  <c r="H161" i="1"/>
  <c r="H162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42" i="1"/>
  <c r="H143" i="1"/>
  <c r="H144" i="1"/>
  <c r="H112" i="1"/>
  <c r="H113" i="1"/>
  <c r="H114" i="1"/>
  <c r="H115" i="1"/>
  <c r="H116" i="1"/>
  <c r="H117" i="1"/>
  <c r="H127" i="1"/>
  <c r="H128" i="1"/>
  <c r="H129" i="1"/>
  <c r="H130" i="1"/>
  <c r="H131" i="1"/>
  <c r="H132" i="1"/>
  <c r="H133" i="1"/>
  <c r="H108" i="1"/>
  <c r="H109" i="1"/>
  <c r="H141" i="1"/>
  <c r="H140" i="1"/>
  <c r="H139" i="1"/>
  <c r="H138" i="1"/>
  <c r="H137" i="1"/>
  <c r="H136" i="1"/>
  <c r="H135" i="1"/>
  <c r="H134" i="1"/>
  <c r="H107" i="1"/>
  <c r="H110" i="1"/>
  <c r="H111" i="1"/>
  <c r="H185" i="1"/>
  <c r="H147" i="1"/>
  <c r="H146" i="1"/>
  <c r="H145" i="1"/>
  <c r="J2" i="1" l="1"/>
</calcChain>
</file>

<file path=xl/sharedStrings.xml><?xml version="1.0" encoding="utf-8"?>
<sst xmlns="http://schemas.openxmlformats.org/spreadsheetml/2006/main" count="970" uniqueCount="343">
  <si>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</si>
  <si>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</si>
  <si>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</si>
  <si>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</si>
  <si>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</si>
  <si>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</si>
  <si>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</si>
  <si>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</si>
  <si>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</si>
  <si>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</si>
  <si>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</si>
  <si>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</si>
  <si>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</si>
  <si>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</si>
  <si>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</si>
  <si>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</si>
  <si>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</si>
  <si>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</si>
  <si>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</si>
  <si>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</si>
  <si>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</si>
  <si>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</si>
  <si>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吉鶴</t>
    <rPh sb="0" eb="2">
      <t>ヨシヅル</t>
    </rPh>
    <phoneticPr fontId="1"/>
  </si>
  <si>
    <t>オプトランス</t>
    <phoneticPr fontId="1"/>
  </si>
  <si>
    <t>SET</t>
    <phoneticPr fontId="1"/>
  </si>
  <si>
    <t>設計費</t>
    <rPh sb="0" eb="3">
      <t>セッケイヒ</t>
    </rPh>
    <phoneticPr fontId="1"/>
  </si>
  <si>
    <t>組立費</t>
    <rPh sb="0" eb="3">
      <t>クミタテヒ</t>
    </rPh>
    <phoneticPr fontId="1"/>
  </si>
  <si>
    <t>1</t>
  </si>
  <si>
    <t>2</t>
  </si>
  <si>
    <t>■SETA0296-Y01(ﾂｰﾙﾌﾟﾚｰﾄ)</t>
  </si>
  <si>
    <t>■SETA0296-Y02(CCDﾌﾟﾚｰﾄ)</t>
  </si>
  <si>
    <t>■SETA0296-Y03（LEDﾌﾟﾚｰﾄ）</t>
  </si>
  <si>
    <t>MS3-10</t>
  </si>
  <si>
    <t>MS6-10</t>
  </si>
  <si>
    <t>SLSBWF7-63</t>
  </si>
  <si>
    <t>SLSBWRK7-30</t>
  </si>
  <si>
    <t>28
ﾂｰﾙ治具</t>
    <rPh sb="7" eb="9">
      <t>ジグ</t>
    </rPh>
    <phoneticPr fontId="1"/>
  </si>
  <si>
    <t>MISUMI</t>
    <phoneticPr fontId="1"/>
  </si>
  <si>
    <t>■SETA0296-P01-A(ﾊﾟﾈﾙ)</t>
  </si>
  <si>
    <t>MVSHM-3A05000-4F5-S5BFT</t>
  </si>
  <si>
    <t>■SETA0296-P02-A(ﾊﾟﾈﾙ)</t>
  </si>
  <si>
    <t>MVSHM-3A05000-4F5-ASHMS</t>
  </si>
  <si>
    <t>■SETA0296-P03-A(ﾊﾟﾈﾙ)</t>
  </si>
  <si>
    <t>MVSHM-3A05000-4F5-T24HF</t>
  </si>
  <si>
    <t>■SETA0296-P04-A(天井ﾊﾟﾈﾙ)</t>
  </si>
  <si>
    <t>MVSHM-3N01500-4F5-K5PL5</t>
  </si>
  <si>
    <t>■SETA0296-P05-A(ﾓﾆﾀﾊﾟﾈﾙ)</t>
  </si>
  <si>
    <t>MVSHM-3N02002-4F5-CA1AA</t>
  </si>
  <si>
    <t>■SETA0296-R01-A(ﾛﾎﾞｯﾄﾍﾞｰｽ)</t>
  </si>
  <si>
    <t>■SETA0296-R02-A(ﾛﾎﾞｯﾄﾍﾞｰｽ)</t>
  </si>
  <si>
    <t>■SETA0296-S01-A(ﾊﾟｰｼﾞﾌﾟﾚｰﾄ)</t>
  </si>
  <si>
    <t>MVBLK-AMW-4F5-XRRNE</t>
  </si>
  <si>
    <t>■SETA0296-S02-A(ｶｯﾌﾟﾌﾞﾛｯｸ)</t>
  </si>
  <si>
    <t>MVBLK-AMW-4F5-6B1N5</t>
  </si>
  <si>
    <t>■SETA0296-S03-A(ﾉｽﾞﾙﾊﾞｷｭｰﾑﾄｯﾌﾟ)</t>
  </si>
  <si>
    <t>MVTUP-PCN-4F5-C19WK</t>
  </si>
  <si>
    <t>■SETA0296-X01-A(ﾜｰｸｼﾞｸﾞﾍﾞｰｽ)</t>
  </si>
  <si>
    <t>■SETA0296-X02-A(ﾏｽｸ押さえ)</t>
  </si>
  <si>
    <t>MVSHM-3N02002-4F5-52D2W</t>
  </si>
  <si>
    <t>■SETA0296-X03-A(丁番ﾌﾟﾚｰﾄ)</t>
  </si>
  <si>
    <t>■SETA0296-X04-A(ﾗｯﾁﾌﾟﾚｰﾄ)</t>
  </si>
  <si>
    <t>■SETA0296-X05-A(ｽﾄｯﾊﾟｰﾌﾟﾚｰﾄ)</t>
  </si>
  <si>
    <t>MVSHM-3N02050-4F5-3K9A4</t>
  </si>
  <si>
    <t>MVBLK-AMW-4F5-BBPKY</t>
  </si>
  <si>
    <t>MVBLK-AMW-4F5-WWRCZ</t>
  </si>
  <si>
    <t>MVSHM-3N02050-4F5-823NK</t>
  </si>
  <si>
    <t>■SETA0296-Z01-A(ﾍﾞｰｽﾌﾟﾚｰﾄ)</t>
  </si>
  <si>
    <t>■SETA0296-Z02-A(ｽｲｯﾁﾌﾟﾚｰﾄ)</t>
  </si>
  <si>
    <t>MVSHM-3N03050-4F5-MSRCH</t>
  </si>
  <si>
    <t>■SETA0296-Z03-A(戸当ﾌﾞﾛｯｸ)</t>
  </si>
  <si>
    <t>MVBLK-MCL-4F5-FUG3W</t>
  </si>
  <si>
    <t>■SETA0296-Z04-A(ｺﾝﾄﾛｰﾗｰﾌﾟﾚｰﾄ)</t>
  </si>
  <si>
    <t>MVSHM-3N01500-4F5-LGM5C</t>
  </si>
  <si>
    <t>■SETA0296-Z05-A(空圧ﾌﾟﾚｰﾄ)</t>
  </si>
  <si>
    <t>MVSHM-3N01552-4F5-BXDW3</t>
  </si>
  <si>
    <t>■SETA0296-Z06-A(天秤ﾍﾞｰｽ)</t>
  </si>
  <si>
    <t>MVBLK-AMW-4F5-6ZFCD</t>
  </si>
  <si>
    <t>■SETA0296-Z07-A(ｺﾝﾄﾛｰﾗｰﾌﾟﾚｰﾄ)</t>
  </si>
  <si>
    <t>MVSHM-3N02000-4F5-35CZB</t>
  </si>
  <si>
    <t>CONNECT</t>
    <phoneticPr fontId="1"/>
  </si>
  <si>
    <t>MISUMI</t>
    <phoneticPr fontId="1"/>
  </si>
  <si>
    <t>Panasonic</t>
    <phoneticPr fontId="1"/>
  </si>
  <si>
    <t>日伝</t>
    <rPh sb="0" eb="2">
      <t>ニチデン</t>
    </rPh>
    <phoneticPr fontId="1"/>
  </si>
  <si>
    <t>27
ﾜｰｸｼﾞｸﾞ</t>
    <phoneticPr fontId="1"/>
  </si>
  <si>
    <t>26
ﾉｽﾞﾙｸﾘｰﾆﾝｸﾞ</t>
    <phoneticPr fontId="1"/>
  </si>
  <si>
    <t>AN15-02</t>
  </si>
  <si>
    <t>BSLG6</t>
  </si>
  <si>
    <t>FNT3</t>
  </si>
  <si>
    <t>JJ5SY3-40-02D-C6</t>
  </si>
  <si>
    <t>JSY3140T-5LZE</t>
  </si>
  <si>
    <t>JSY31M-26-1A</t>
  </si>
  <si>
    <t>MSELL6-2</t>
  </si>
  <si>
    <t>MSELL8-2</t>
  </si>
  <si>
    <t>USYL6</t>
  </si>
  <si>
    <t>VHS20-02-D</t>
  </si>
  <si>
    <t>Y200T-D</t>
  </si>
  <si>
    <t>ZH07BSA-06-06</t>
  </si>
  <si>
    <t>SMC</t>
    <phoneticPr fontId="1"/>
  </si>
  <si>
    <t>ACS</t>
    <phoneticPr fontId="1"/>
  </si>
  <si>
    <t>DCLS-D5-V2-H7-T1.6-L10</t>
  </si>
  <si>
    <t>MNCNL6-M5</t>
  </si>
  <si>
    <t>NSSW32</t>
  </si>
  <si>
    <t>SRP6</t>
  </si>
  <si>
    <t>5-079-01　</t>
  </si>
  <si>
    <t>ﾏﾙｴﾑ</t>
    <phoneticPr fontId="1"/>
  </si>
  <si>
    <t>石鍋</t>
    <rPh sb="0" eb="2">
      <t>イシナベ</t>
    </rPh>
    <phoneticPr fontId="1"/>
  </si>
  <si>
    <t>1</t>
    <phoneticPr fontId="1"/>
  </si>
  <si>
    <t>ACTA6H-624-352-5-F301.0-G330.0-N6</t>
  </si>
  <si>
    <t>HAS6-LR4-302LJBA-RYG</t>
  </si>
  <si>
    <t>HBLFSN6-C-SET</t>
  </si>
  <si>
    <t>HBLFSN6-C-SSP</t>
  </si>
  <si>
    <t>HCBR6</t>
  </si>
  <si>
    <t>HFCB6-3030-B</t>
  </si>
  <si>
    <t>HFS6-3030-150</t>
  </si>
  <si>
    <t>HFS6-3030-170</t>
  </si>
  <si>
    <t>HFS6-3030-227</t>
  </si>
  <si>
    <t>HFS6-3030-255.5</t>
  </si>
  <si>
    <t>HFS6-3030-295</t>
  </si>
  <si>
    <t>HFS6-3030-440</t>
  </si>
  <si>
    <t>HFS6-3030-455</t>
  </si>
  <si>
    <t>HFS6-3030-729</t>
  </si>
  <si>
    <t>HFS6-3030-740</t>
  </si>
  <si>
    <t>HFS6-3030-800-LHP</t>
  </si>
  <si>
    <t>HFS6-3030-940</t>
  </si>
  <si>
    <t>HFS6-3030-940-Z6-XA70-XB870</t>
  </si>
  <si>
    <t>HFS6-3060-740</t>
  </si>
  <si>
    <t>HHPSJ6-B-SET</t>
  </si>
  <si>
    <t>HMER6-6</t>
  </si>
  <si>
    <t>HNTRSN6-5</t>
  </si>
  <si>
    <t>LEDSC665-W</t>
  </si>
  <si>
    <t>MRB-120</t>
  </si>
  <si>
    <t>SHNTAP6-4</t>
  </si>
  <si>
    <t>SHNTAP6-5</t>
  </si>
  <si>
    <t>SHNTAP6-6</t>
  </si>
  <si>
    <t>SLSBRK7-35</t>
  </si>
  <si>
    <t>TRSS4-6</t>
  </si>
  <si>
    <t>TRSS5-10</t>
  </si>
  <si>
    <t>UPCN21-B-36</t>
  </si>
  <si>
    <t>UPCN21-B-36-SET</t>
  </si>
  <si>
    <t>HMEN6-6</t>
  </si>
  <si>
    <t>23
上架台</t>
    <rPh sb="4" eb="5">
      <t>ウエ</t>
    </rPh>
    <rPh sb="5" eb="7">
      <t>カダイ</t>
    </rPh>
    <phoneticPr fontId="1"/>
  </si>
  <si>
    <t>A8001</t>
  </si>
  <si>
    <t>FBFS33-8-50</t>
  </si>
  <si>
    <t>HAJCHPS6060-16-SSP</t>
  </si>
  <si>
    <t>HBLFSD6-C-SET</t>
  </si>
  <si>
    <t>HFCB6-6060-B</t>
  </si>
  <si>
    <t>HFS6-3030-220.0</t>
  </si>
  <si>
    <t>HFS6-3030-300.0</t>
  </si>
  <si>
    <t>HFS6-3030-565.0-LTP</t>
  </si>
  <si>
    <t>HFS6-3090-880</t>
  </si>
  <si>
    <t>HFS6-6060-200</t>
  </si>
  <si>
    <t>HFS6-6060-540.0</t>
  </si>
  <si>
    <t>HFS6-6060-660.0</t>
  </si>
  <si>
    <t>HFS6-6060-880.0</t>
  </si>
  <si>
    <t>VPG2836-007HD2</t>
  </si>
  <si>
    <t>23
下架台</t>
    <rPh sb="4" eb="5">
      <t>シタ</t>
    </rPh>
    <rPh sb="5" eb="7">
      <t>カダイ</t>
    </rPh>
    <phoneticPr fontId="1"/>
  </si>
  <si>
    <t>電気関係</t>
    <rPh sb="0" eb="4">
      <t>デンキカンケイ</t>
    </rPh>
    <phoneticPr fontId="1"/>
  </si>
  <si>
    <t>FJCU15A-P-5</t>
  </si>
  <si>
    <t>KC-VMH5</t>
  </si>
  <si>
    <t>PCFP-VE-8-R</t>
  </si>
  <si>
    <t>ﾀｯﾁﾊﾟﾈﾙ</t>
  </si>
  <si>
    <t>3M-5</t>
  </si>
  <si>
    <t>C06-09F-09F-910</t>
  </si>
  <si>
    <t>CP30-BA 2P 1-MD 10A</t>
  </si>
  <si>
    <t>CP30-BA 2P 1-MD 5A</t>
  </si>
  <si>
    <t>HIFS-SS-SB-40-1</t>
  </si>
  <si>
    <t>MRB-450</t>
  </si>
  <si>
    <t>MWS-COM-TB15</t>
  </si>
  <si>
    <t>MWS-DS37A-HT37</t>
  </si>
  <si>
    <t>MY2N-D2 DC24</t>
  </si>
  <si>
    <t>NEDJL-PS-SB-37-1</t>
  </si>
  <si>
    <t>NEDUL-ST-JS-15-5</t>
  </si>
  <si>
    <t>NF30-FA 2P 10A</t>
  </si>
  <si>
    <t>PYCZ-C08</t>
  </si>
  <si>
    <t>PYFZ-08</t>
  </si>
  <si>
    <t>RSAS-PS-600-400-250-K-WB2601300354</t>
  </si>
  <si>
    <t>S8VK-G12024</t>
  </si>
  <si>
    <t>S8VK-G48048</t>
  </si>
  <si>
    <t>TKR-TWE1</t>
  </si>
  <si>
    <t>PLC</t>
  </si>
  <si>
    <t>ｵﾌﾟｼｮﾝ(RS-232C 2ch)</t>
  </si>
  <si>
    <t>ﾊﾞｯﾃﾘｰ</t>
  </si>
  <si>
    <t>画像処理本体 PV200</t>
  </si>
  <si>
    <t>ｻｰｷｯﾄﾌﾟﾛﾃｸﾀ</t>
  </si>
  <si>
    <t>ﾙｰﾊﾞｰ</t>
  </si>
  <si>
    <t>DINﾚｰﾙ</t>
  </si>
  <si>
    <t>ﾘﾚｰ</t>
  </si>
  <si>
    <t>漏電遮断器</t>
  </si>
  <si>
    <t>ｽｲｯﾁﾝｸﾞ電源(24V)</t>
  </si>
  <si>
    <t>ｽｲｯﾁﾝｸﾞ電源(48V)</t>
  </si>
  <si>
    <t>Panasonic</t>
    <phoneticPr fontId="1"/>
  </si>
  <si>
    <t>ｿｹｯﾄ</t>
    <phoneticPr fontId="1"/>
  </si>
  <si>
    <t>ｶﾊﾞｰ</t>
    <phoneticPr fontId="1"/>
  </si>
  <si>
    <t>最安値商社</t>
    <rPh sb="0" eb="3">
      <t>サイヤスネ</t>
    </rPh>
    <rPh sb="3" eb="5">
      <t>ショウシャ</t>
    </rPh>
    <phoneticPr fontId="1"/>
  </si>
  <si>
    <t>LP-2</t>
  </si>
  <si>
    <t>制御盤</t>
    <rPh sb="0" eb="3">
      <t>セイギョバン</t>
    </rPh>
    <phoneticPr fontId="1"/>
  </si>
  <si>
    <t>組立配線費用</t>
    <rPh sb="0" eb="2">
      <t>クミタテ</t>
    </rPh>
    <rPh sb="2" eb="6">
      <t>ハイセンヒヨウ</t>
    </rPh>
    <phoneticPr fontId="1"/>
  </si>
  <si>
    <t>発注願います</t>
    <rPh sb="0" eb="3">
      <t>ハッチュウネガ</t>
    </rPh>
    <phoneticPr fontId="1"/>
  </si>
  <si>
    <t>入荷後CONNECTへ発送願います</t>
    <rPh sb="0" eb="3">
      <t>ニュウカゴ</t>
    </rPh>
    <rPh sb="11" eb="13">
      <t>ハッソウ</t>
    </rPh>
    <rPh sb="13" eb="14">
      <t>ネガ</t>
    </rPh>
    <phoneticPr fontId="1"/>
  </si>
  <si>
    <t>ｶﾒﾗｹｰﾌﾞﾙ</t>
    <phoneticPr fontId="1"/>
  </si>
  <si>
    <t>LED照明</t>
    <rPh sb="3" eb="5">
      <t>ショウメイ</t>
    </rPh>
    <phoneticPr fontId="1"/>
  </si>
  <si>
    <t>ﾚﾝｽﾞ</t>
    <phoneticPr fontId="1"/>
  </si>
  <si>
    <t>LED電源ｹｰﾌﾞﾙ</t>
    <rPh sb="3" eb="5">
      <t>デンゲン</t>
    </rPh>
    <phoneticPr fontId="1"/>
  </si>
  <si>
    <t>ﾃﾞｼﾞﾀﾙｶﾒﾗ</t>
    <phoneticPr fontId="1"/>
  </si>
  <si>
    <t>ｷｰﾊﾟｯﾄ</t>
    <phoneticPr fontId="1"/>
  </si>
  <si>
    <t>ﾃﾞｼﾞﾀﾙｺﾝﾄﾛｰﾗ</t>
    <phoneticPr fontId="1"/>
  </si>
  <si>
    <t>見積取得後、発注願います</t>
    <rPh sb="0" eb="2">
      <t>ミツモリ</t>
    </rPh>
    <rPh sb="2" eb="4">
      <t>シュトク</t>
    </rPh>
    <rPh sb="4" eb="5">
      <t>ゴ</t>
    </rPh>
    <rPh sb="6" eb="9">
      <t>ハッチュウネガ</t>
    </rPh>
    <phoneticPr fontId="1"/>
  </si>
  <si>
    <t>見積取得中</t>
    <rPh sb="0" eb="2">
      <t>ミツモリ</t>
    </rPh>
    <rPh sb="2" eb="5">
      <t>シュトクチュウ</t>
    </rPh>
    <phoneticPr fontId="1"/>
  </si>
  <si>
    <t>MVBLK-AMW-4F6-1SXX3</t>
  </si>
  <si>
    <t>2</t>
    <phoneticPr fontId="1"/>
  </si>
  <si>
    <t>4</t>
    <phoneticPr fontId="1"/>
  </si>
  <si>
    <t>ATLAS25</t>
  </si>
  <si>
    <t>CBSTSR5-6</t>
  </si>
  <si>
    <t>C-PETGR10-40</t>
  </si>
  <si>
    <t>C-SHHPSKN5-2</t>
  </si>
  <si>
    <t>MS5-10</t>
  </si>
  <si>
    <t>ANPV0202ADP</t>
    <phoneticPr fontId="11"/>
  </si>
  <si>
    <t>ANPVC2260</t>
    <phoneticPr fontId="11"/>
  </si>
  <si>
    <t>ANPVP03</t>
    <phoneticPr fontId="11"/>
  </si>
  <si>
    <t>ANPVC8105R</t>
    <phoneticPr fontId="11"/>
  </si>
  <si>
    <t>ANPVL502</t>
    <phoneticPr fontId="11"/>
  </si>
  <si>
    <t>ANPVCVN050W</t>
    <phoneticPr fontId="11"/>
  </si>
  <si>
    <t>ANPP24V</t>
    <phoneticPr fontId="11"/>
  </si>
  <si>
    <t>AFP0HC32ET</t>
    <phoneticPr fontId="11"/>
  </si>
  <si>
    <t>AFP2801</t>
    <phoneticPr fontId="11"/>
  </si>
  <si>
    <t>AFP2808</t>
    <phoneticPr fontId="11"/>
  </si>
  <si>
    <t>AFC8503</t>
    <phoneticPr fontId="11"/>
  </si>
  <si>
    <t>AFP0HCCS2</t>
    <phoneticPr fontId="11"/>
  </si>
  <si>
    <t>AFPX-BATT</t>
    <phoneticPr fontId="1"/>
  </si>
  <si>
    <t>AIG707WCL1G2</t>
    <phoneticPr fontId="1"/>
  </si>
  <si>
    <t>ｹｰﾌﾞﾙ</t>
    <phoneticPr fontId="1"/>
  </si>
  <si>
    <t>ｺﾈｸﾀｾｯﾄ</t>
    <phoneticPr fontId="1"/>
  </si>
  <si>
    <t>228734-OPT(SATOH)</t>
    <phoneticPr fontId="1"/>
  </si>
  <si>
    <t>SCSTNM20-100</t>
  </si>
  <si>
    <t>SSTHWR20</t>
  </si>
  <si>
    <t>228735-OPT(SATOH)</t>
  </si>
  <si>
    <t>228736-OPT(SATOH)</t>
  </si>
  <si>
    <t>ﾅﾍﾞﾔ</t>
    <phoneticPr fontId="1"/>
  </si>
  <si>
    <t>除振台</t>
    <rPh sb="0" eb="3">
      <t>ジョシンダイ</t>
    </rPh>
    <phoneticPr fontId="1"/>
  </si>
  <si>
    <t>ｼﾞｭｳｼﾞｱﾅﾂｷﾄﾗｽｺﾈｼﾞ</t>
  </si>
  <si>
    <t>ｱﾄｲﾚﾅｯﾄ ｲﾀﾊﾞﾈﾂｷ(HNTAP)</t>
  </si>
  <si>
    <t>ｱﾙﾐﾌﾚｰﾑｻﾞｲ</t>
  </si>
  <si>
    <t>ﾌﾚｰﾑｷｬｯﾌﾟ (HFCB)</t>
  </si>
  <si>
    <t>ｱﾙﾐﾌﾞﾗｹｯﾄｻﾞｲ</t>
  </si>
  <si>
    <t>プレートユニット</t>
  </si>
  <si>
    <t>ADJUSTER PADS</t>
  </si>
  <si>
    <t>ｱﾒﾘｶﾝﾃﾞﾝｷ OAﾀｯﾌﾟ</t>
  </si>
  <si>
    <t>ﾄｯﾃ</t>
  </si>
  <si>
    <t>ﾛｯｶｸｼﾁｭｳ SLSBRK</t>
  </si>
  <si>
    <t>LEDｼｮｳﾒｲ ｽﾀﾝﾀﾞｰﾄﾞ ﾁｮｳｺｳ(LEDSC)</t>
  </si>
  <si>
    <t>ｱﾙﾐﾌﾚｰﾑﾖｳﾅｯﾄ</t>
  </si>
  <si>
    <t>ﾏｸﾞﾈｯﾄｷｬｯﾁｬ</t>
  </si>
  <si>
    <t>ｼﾞｭｼﾁｮｳﾊﾞﾝ</t>
  </si>
  <si>
    <t>ﾌﾚｰﾑｷｬｯﾌﾟ (HFC)</t>
  </si>
  <si>
    <t>ｶﾊﾞｰﾄﾘﾂｹｶﾝﾚﾝﾌﾞﾋﾝ</t>
  </si>
  <si>
    <t>ｾｷｿｳﾋｮｳｼﾞﾄｳ ﾊﾞﾝｷﾝｾｯﾄ</t>
  </si>
  <si>
    <t>ｱｸﾘﾙ      (ACTA)    ｱﾅｶｺｳﾂｷ</t>
  </si>
  <si>
    <t>ｼｬﾌﾄﾎﾙﾀﾞ SSTHWR</t>
  </si>
  <si>
    <t>ｽﾀﾝﾄﾞ  SCSTNM</t>
  </si>
  <si>
    <t>ﾏｼﾝﾋﾞｼﾞｮﾝﾓﾆﾀ</t>
  </si>
  <si>
    <t>DISPLAY CABLES</t>
  </si>
  <si>
    <t>ｷｭｳﾁｬｸﾊﾟｯﾄﾞ SRP</t>
  </si>
  <si>
    <t>Oﾘﾝｸﾞ(NSSW)</t>
  </si>
  <si>
    <t>ﾐﾆﾁｭｱﾜﾝﾀｯﾁﾂｷﾞﾃ (MNCNL)</t>
  </si>
  <si>
    <t>ｷﾝｿﾞｸｽﾍﾟｰｻ(DCLS)</t>
  </si>
  <si>
    <t>ﾜﾝﾀｯﾁﾂｷﾞﾃ(USYL)</t>
  </si>
  <si>
    <t>ﾜﾝﾀｯﾁﾂｷﾞﾃ(MSELL)</t>
  </si>
  <si>
    <t>ﾌｸﾛﾅｯﾄ</t>
  </si>
  <si>
    <t>ﾜﾝﾀｯﾁﾂｷﾞﾃ(BSLG)</t>
  </si>
  <si>
    <t>SMC ｻｲﾚﾝｻAN</t>
  </si>
  <si>
    <t>ﾉｯｸﾋﾟﾝ MS</t>
  </si>
  <si>
    <t>ｴｺﾉﾐｰｼﾘｰｽﾞ_ﾄﾞｱﾊﾟｰﾂ</t>
  </si>
  <si>
    <t>ｴｺﾉﾐｰｼﾘｰｽﾞ_ｼﾁｭｳ</t>
  </si>
  <si>
    <t>ｺﾞｸﾃｲﾄｳﾎﾞﾙﾄ(CBSTSR)</t>
  </si>
  <si>
    <t>ｵｰﾄﾗｯﾁ(ATLAS)</t>
  </si>
  <si>
    <t>ﾛｯｶｸｼﾁｭｳ SLSBWRK</t>
  </si>
  <si>
    <t>ﾛｯｶｸｼﾁｭｳ SLSBWF</t>
  </si>
  <si>
    <t>ACｺｰﾄﾞ(ｸﾐﾀﾃ)</t>
  </si>
  <si>
    <t>PTHAS-M40-M40-1-SET</t>
  </si>
  <si>
    <t>KMK-100</t>
  </si>
  <si>
    <t>ｱｸｾｻﾘｰ ﾌﾟﾘﾝﾄｷﾊﾞﾝTKRｼﾘｰｽﾞ</t>
  </si>
  <si>
    <t>ｽﾁｰﾙ_ﾎﾞｯｸｽ_RSAS-PS</t>
  </si>
  <si>
    <t>PLCｹｰﾌﾞﾙ ﾀﾝｼﾀﾞｲｾｯﾄ</t>
  </si>
  <si>
    <t>Dｻﾌﾞﾊｰﾈｽ(ﾏﾙ)</t>
  </si>
  <si>
    <t>DSUBﾊｰﾈｽ</t>
  </si>
  <si>
    <t>ﾈｼﾞﾍﾝｶﾝｼｷﾀﾝｼﾀﾞｲ</t>
  </si>
  <si>
    <t>ｺﾓﾝﾀﾝｼﾀﾞｲ</t>
  </si>
  <si>
    <t>ﾎﾞｯｸｽﾖｳｹｰﾌﾞﾙｸﾗﾝﾌﾟ</t>
  </si>
  <si>
    <t>MILｿｹｯﾄﾊｰﾈｽ</t>
  </si>
  <si>
    <t>ACｺｰﾄﾞ</t>
  </si>
  <si>
    <t>制御盤部材・送料</t>
    <rPh sb="0" eb="3">
      <t>セイギョバン</t>
    </rPh>
    <rPh sb="3" eb="5">
      <t>ブザイ</t>
    </rPh>
    <rPh sb="6" eb="8">
      <t>ソウリョウ</t>
    </rPh>
    <phoneticPr fontId="1"/>
  </si>
  <si>
    <t>別途打合せ</t>
    <rPh sb="0" eb="2">
      <t>ベット</t>
    </rPh>
    <rPh sb="2" eb="4">
      <t>ウチアワ</t>
    </rPh>
    <phoneticPr fontId="1"/>
  </si>
  <si>
    <t>確認中</t>
    <rPh sb="0" eb="2">
      <t>カクニン</t>
    </rPh>
    <rPh sb="2" eb="3">
      <t>ナカ</t>
    </rPh>
    <phoneticPr fontId="1"/>
  </si>
  <si>
    <t>確認中</t>
    <rPh sb="0" eb="3">
      <t>カクニンナカ</t>
    </rPh>
    <phoneticPr fontId="1"/>
  </si>
  <si>
    <t>組立配線費用　　制御盤</t>
    <rPh sb="0" eb="2">
      <t>クミタテ</t>
    </rPh>
    <rPh sb="2" eb="6">
      <t>ハイセンヒヨウ</t>
    </rPh>
    <rPh sb="8" eb="10">
      <t>セイギョ</t>
    </rPh>
    <rPh sb="10" eb="11">
      <t>バン</t>
    </rPh>
    <phoneticPr fontId="1"/>
  </si>
  <si>
    <t>長納期にて注文キャンセル</t>
    <rPh sb="0" eb="3">
      <t>チョウノウキ</t>
    </rPh>
    <rPh sb="5" eb="7">
      <t>チュウモン</t>
    </rPh>
    <phoneticPr fontId="1"/>
  </si>
  <si>
    <t>KEYENCE</t>
    <phoneticPr fontId="1"/>
  </si>
  <si>
    <t>VT3-W4GT</t>
    <phoneticPr fontId="1"/>
  </si>
  <si>
    <t>OP-86917</t>
    <phoneticPr fontId="1"/>
  </si>
  <si>
    <t>4型TFTﾓﾉｸﾛ</t>
    <rPh sb="1" eb="2">
      <t>ガタ</t>
    </rPh>
    <phoneticPr fontId="1"/>
  </si>
  <si>
    <t>KV-KZ直結ｹｰﾌﾞﾙ5m</t>
    <rPh sb="5" eb="7">
      <t>チョッケツ</t>
    </rPh>
    <phoneticPr fontId="1"/>
  </si>
  <si>
    <t>発注願います</t>
    <rPh sb="0" eb="3">
      <t>ハッチュウネガ</t>
    </rPh>
    <phoneticPr fontId="1"/>
  </si>
  <si>
    <t>※コネクト発送不要</t>
    <rPh sb="5" eb="7">
      <t>ハッソウ</t>
    </rPh>
    <rPh sb="7" eb="9">
      <t>フヨウ</t>
    </rPh>
    <phoneticPr fontId="1"/>
  </si>
  <si>
    <t>KV-NC32T</t>
    <phoneticPr fontId="1"/>
  </si>
  <si>
    <t>KV-NC1EP</t>
    <phoneticPr fontId="1"/>
  </si>
  <si>
    <t>出精値引</t>
    <rPh sb="0" eb="2">
      <t>シュッセイ</t>
    </rPh>
    <rPh sb="2" eb="4">
      <t>ネビ</t>
    </rPh>
    <phoneticPr fontId="1"/>
  </si>
  <si>
    <t>基本ﾕﾆｯﾄ</t>
    <rPh sb="0" eb="2">
      <t>キホン</t>
    </rPh>
    <phoneticPr fontId="1"/>
  </si>
  <si>
    <t>Ethernet/IPﾕﾆｯﾄ</t>
    <phoneticPr fontId="1"/>
  </si>
  <si>
    <t>RS232Cｹｰﾌﾞﾙ_9-9_ｽﾄﾚｰﾄｹｯｾﾝ</t>
  </si>
  <si>
    <t>MVSHM-3N02002-4FJ-X4DS9</t>
  </si>
  <si>
    <t>PTHAS-M34-M34-0.5-KVSETN</t>
  </si>
  <si>
    <t>MRB-470</t>
  </si>
  <si>
    <t>■SETA0296-P05-B(ﾓﾆﾀﾊﾟﾈﾙ)</t>
    <phoneticPr fontId="1"/>
  </si>
  <si>
    <t>HUB</t>
    <phoneticPr fontId="1"/>
  </si>
  <si>
    <t>IESH-MB205-R</t>
    <phoneticPr fontId="1"/>
  </si>
  <si>
    <t>AW20-02BE1-D</t>
    <phoneticPr fontId="1"/>
  </si>
  <si>
    <t>ANPC24V3R</t>
    <phoneticPr fontId="11"/>
  </si>
  <si>
    <t>2/25コネクトへ</t>
    <phoneticPr fontId="1"/>
  </si>
  <si>
    <t>HXN1-2</t>
  </si>
  <si>
    <t>HXN2-2</t>
  </si>
  <si>
    <t>HXN3-1</t>
  </si>
  <si>
    <t>HXN3-3</t>
  </si>
  <si>
    <t>HXN4-3</t>
  </si>
  <si>
    <t>HXB6-8</t>
  </si>
  <si>
    <t>ACTA6H-673-253-5-F325.5-G231-N6</t>
  </si>
  <si>
    <t>不要</t>
    <rPh sb="0" eb="2">
      <t>フヨウ</t>
    </rPh>
    <phoneticPr fontId="1"/>
  </si>
  <si>
    <t>SETDSUB-N-ML-PS-9</t>
  </si>
  <si>
    <t>SETDSUB-N-ML-PP-9</t>
  </si>
  <si>
    <t>NWC5E-STP1-Y-GY-2</t>
  </si>
  <si>
    <t>NWC5E-STP1-Y-GY-1</t>
  </si>
  <si>
    <t>DSUBｺﾈｸﾀ(ｺﾝﾌﾟﾘｰﾄｾｯﾄ)</t>
  </si>
  <si>
    <t>LAN  ｹ-ﾌﾞﾙ</t>
  </si>
  <si>
    <t>228734(YATAGAWA)</t>
  </si>
  <si>
    <t>MVBLK-AMW-4GB-YNKRR</t>
  </si>
  <si>
    <t>MVBLK-AMW-4GB-T9W2K</t>
  </si>
  <si>
    <t>HXBB6-15</t>
  </si>
  <si>
    <t>ﾏｸﾞﾈｯﾄ (HXNS)</t>
  </si>
  <si>
    <t>ﾏｸﾞﾈｯﾄ (FHXN)</t>
  </si>
  <si>
    <t>ﾏｸﾞﾈｯﾄ (HXN)</t>
  </si>
  <si>
    <t>ﾎﾙﾀﾞﾂｷﾏｸﾞﾈｯﾄ ｵﾈｼﾞﾀｲﾌﾟ(HXB)</t>
  </si>
  <si>
    <t>ﾏｸﾞﾈｯﾄ (HXB)</t>
  </si>
  <si>
    <t>■SETA0296-X06-A(ｷｬﾘｱﾃｰﾌﾟ治具-4連用)</t>
    <rPh sb="24" eb="26">
      <t>ジグ</t>
    </rPh>
    <rPh sb="28" eb="29">
      <t>レン</t>
    </rPh>
    <rPh sb="29" eb="30">
      <t>ヨウ</t>
    </rPh>
    <phoneticPr fontId="1"/>
  </si>
  <si>
    <t>■SETA0296-X07-A(ｷｬﾘｱﾃｰﾌﾟ治具-5連用)</t>
    <rPh sb="24" eb="26">
      <t>ジグ</t>
    </rPh>
    <rPh sb="28" eb="29">
      <t>レン</t>
    </rPh>
    <rPh sb="29" eb="30">
      <t>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</si>
</sst>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6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4"/>
      <name val="ＭＳ Ｐゴシック"/>
      <family val="3"/>
      <charset val="128"/>
      <scheme val="minor"/>
    </font>
    <font>
      <u/>
      <sz val="16"/>
      <color rgb="FFFF0000"/>
      <name val="ＭＳ Ｐゴシック"/>
      <family val="3"/>
      <charset val="128"/>
      <scheme val="minor"/>
    </font>
    <font>
      <strike/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5" fillId="0" borderId="0" xfId="0" applyNumberFormat="1" applyFont="1">
      <alignment vertical="center"/>
    </xf>
    <xf numFmtId="56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1" fontId="0" fillId="0" borderId="0" xfId="0" applyNumberFormat="1">
      <alignment vertical="center"/>
    </xf>
    <xf numFmtId="179" fontId="0" fillId="0" borderId="0" xfId="0" applyNumberForma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38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38" fontId="0" fillId="0" borderId="0" xfId="0" applyNumberFormat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176" fontId="0" fillId="3" borderId="1" xfId="0" applyNumberFormat="1" applyFill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1" fontId="0" fillId="0" borderId="2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9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4" fillId="0" borderId="1" xfId="0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right" vertical="center"/>
    </xf>
    <xf numFmtId="49" fontId="0" fillId="4" borderId="1" xfId="0" applyNumberForma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56" fontId="0" fillId="4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179" fontId="0" fillId="5" borderId="1" xfId="0" applyNumberFormat="1" applyFill="1" applyBorder="1" applyAlignment="1">
      <alignment horizontal="center" vertical="center"/>
    </xf>
    <xf numFmtId="56" fontId="0" fillId="5" borderId="1" xfId="0" applyNumberFormat="1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9" fontId="1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56" fontId="0" fillId="3" borderId="1" xfId="0" applyNumberForma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3" borderId="1" xfId="0" applyNumberFormat="1" applyFill="1" applyBorder="1" applyAlignment="1">
      <alignment horizontal="left"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85"/>
  <sheetViews>
    <sheetView tabSelected="1" topLeftCell="A99" zoomScale="73" zoomScaleNormal="73" workbookViewId="0">
      <pane xSplit="8" topLeftCell="J1" activePane="topRight" state="frozen"/>
      <selection pane="topRight" activeCell="E114" sqref="E114"/>
    </sheetView>
  </sheetViews>
  <sheetFormatPr defaultColWidth="9" defaultRowHeight="13.5" x14ac:dyDescent="0.15"/>
  <cols>
    <col min="1" max="1" width="2.625" customWidth="1"/>
    <col min="2" max="2" width="14.375" style="3" bestFit="1" customWidth="1"/>
    <col min="3" max="4" width="20.625" customWidth="1"/>
    <col min="5" max="5" width="58.75" customWidth="1"/>
    <col min="6" max="6" width="6.25" style="3" customWidth="1"/>
    <col min="7" max="7" width="20.5" style="29" customWidth="1"/>
    <col min="8" max="8" width="11.875" style="19" bestFit="1" customWidth="1"/>
    <col min="9" max="9" width="14.375" style="4" customWidth="1"/>
    <col min="10" max="10" width="52.625" bestFit="1" customWidth="1"/>
    <col min="11" max="11" width="26" customWidth="1"/>
    <col min="12" max="12" width="32.875" style="23" bestFit="1" customWidth="1"/>
    <col min="13" max="13" width="13.75" style="20" customWidth="1"/>
    <col min="14" max="14" width="6.375" customWidth="1"/>
    <col min="15" max="15" width="13.25" style="3" customWidth="1"/>
    <col min="16" max="16" width="14.5" style="20" customWidth="1"/>
    <col min="17" max="17" width="15.625" style="18" customWidth="1"/>
  </cols>
  <sheetData>
    <row r="2" spans="2:17" ht="20.100000000000001" customHeight="1" x14ac:dyDescent="0.15">
      <c r="B2" s="85" t="s">
        <v>11</v>
      </c>
      <c r="C2" s="85"/>
      <c r="D2" s="85"/>
      <c r="E2" s="1" t="s">
        <v>23</v>
      </c>
      <c r="G2" s="86" t="s">
        <v>15</v>
      </c>
      <c r="H2" s="87"/>
      <c r="I2" s="88"/>
      <c r="J2" s="2">
        <f>SUM(H:H)</f>
        <v>4030567</v>
      </c>
    </row>
    <row r="3" spans="2:17" ht="20.100000000000001" customHeight="1" x14ac:dyDescent="0.15">
      <c r="B3" s="85" t="s">
        <v>10</v>
      </c>
      <c r="C3" s="85"/>
      <c r="D3" s="85"/>
      <c r="E3" s="5" t="s">
        <v>22</v>
      </c>
      <c r="P3" s="21"/>
    </row>
    <row r="4" spans="2:17" ht="20.100000000000001" customHeight="1" x14ac:dyDescent="0.15">
      <c r="B4" s="85" t="s">
        <v>12</v>
      </c>
      <c r="C4" s="85"/>
      <c r="D4" s="85"/>
      <c r="E4" s="5">
        <v>228734</v>
      </c>
      <c r="I4" s="13"/>
      <c r="J4" s="4"/>
      <c r="K4" s="35"/>
      <c r="L4" s="24"/>
    </row>
    <row r="5" spans="2:17" ht="20.100000000000001" customHeight="1" x14ac:dyDescent="0.15">
      <c r="B5" s="85" t="s">
        <v>13</v>
      </c>
      <c r="C5" s="85"/>
      <c r="D5" s="85"/>
      <c r="E5" s="6">
        <v>45707</v>
      </c>
      <c r="G5" s="30"/>
      <c r="I5" s="16"/>
      <c r="J5" s="13"/>
      <c r="K5" s="36"/>
      <c r="L5" s="25"/>
    </row>
    <row r="6" spans="2:17" ht="20.100000000000001" customHeight="1" x14ac:dyDescent="0.15">
      <c r="B6" s="85" t="s">
        <v>14</v>
      </c>
      <c r="C6" s="85"/>
      <c r="D6" s="85"/>
      <c r="E6" s="6">
        <v>46097</v>
      </c>
      <c r="I6" s="17"/>
      <c r="J6" s="14"/>
      <c r="L6" s="26"/>
    </row>
    <row r="7" spans="2:17" ht="20.100000000000001" customHeight="1" x14ac:dyDescent="0.15">
      <c r="B7" s="7"/>
      <c r="C7" s="7"/>
      <c r="D7" s="7"/>
      <c r="E7" s="12"/>
      <c r="J7" s="13"/>
      <c r="L7" s="27"/>
    </row>
    <row r="9" spans="2:17" s="3" customFormat="1" ht="19.7" customHeight="1" x14ac:dyDescent="0.15">
      <c r="B9" s="8" t="s">
        <v>4</v>
      </c>
      <c r="C9" s="8" t="s">
        <v>9</v>
      </c>
      <c r="D9" s="8" t="s">
        <v>5</v>
      </c>
      <c r="E9" s="9" t="s">
        <v>8</v>
      </c>
      <c r="F9" s="9" t="s">
        <v>0</v>
      </c>
      <c r="G9" s="40" t="s">
        <v>1</v>
      </c>
      <c r="H9" s="41" t="s">
        <v>2</v>
      </c>
      <c r="I9" s="34" t="s">
        <v>18</v>
      </c>
      <c r="J9" s="9" t="s">
        <v>3</v>
      </c>
      <c r="K9" s="9" t="s">
        <v>17</v>
      </c>
      <c r="L9" s="9" t="s">
        <v>16</v>
      </c>
      <c r="M9" s="10" t="s">
        <v>6</v>
      </c>
      <c r="N9" s="8" t="s">
        <v>19</v>
      </c>
      <c r="O9" s="9" t="s">
        <v>7</v>
      </c>
      <c r="P9" s="10" t="s">
        <v>20</v>
      </c>
      <c r="Q9" s="11" t="s">
        <v>21</v>
      </c>
    </row>
    <row r="10" spans="2:17" s="3" customFormat="1" ht="19.5" customHeight="1" x14ac:dyDescent="0.15">
      <c r="B10" s="89">
        <v>10</v>
      </c>
      <c r="C10" s="8" t="s">
        <v>24</v>
      </c>
      <c r="D10" s="8" t="s">
        <v>24</v>
      </c>
      <c r="E10" s="31" t="s">
        <v>25</v>
      </c>
      <c r="F10" s="9">
        <v>200</v>
      </c>
      <c r="G10" s="28">
        <v>5000</v>
      </c>
      <c r="H10" s="28">
        <f t="shared" ref="H10:H75" si="0">F10*G10</f>
        <v>1000000</v>
      </c>
      <c r="I10" s="9"/>
      <c r="J10" s="31"/>
      <c r="K10" s="9" t="s">
        <v>25</v>
      </c>
      <c r="L10" s="9"/>
      <c r="M10" s="10"/>
      <c r="N10" s="8"/>
      <c r="O10" s="9"/>
      <c r="P10" s="10"/>
      <c r="Q10" s="11"/>
    </row>
    <row r="11" spans="2:17" s="3" customFormat="1" ht="19.7" customHeight="1" x14ac:dyDescent="0.15">
      <c r="B11" s="89"/>
      <c r="C11" s="8" t="s">
        <v>24</v>
      </c>
      <c r="D11" s="8" t="s">
        <v>24</v>
      </c>
      <c r="E11" s="31" t="s">
        <v>26</v>
      </c>
      <c r="F11" s="9">
        <v>100</v>
      </c>
      <c r="G11" s="28">
        <v>5000</v>
      </c>
      <c r="H11" s="28">
        <f t="shared" si="0"/>
        <v>500000</v>
      </c>
      <c r="I11" s="9"/>
      <c r="J11" s="31"/>
      <c r="K11" s="9" t="s">
        <v>26</v>
      </c>
      <c r="L11" s="9"/>
      <c r="M11" s="10"/>
      <c r="N11" s="8"/>
      <c r="O11" s="9"/>
      <c r="P11" s="10"/>
      <c r="Q11" s="11"/>
    </row>
    <row r="12" spans="2:17" s="3" customFormat="1" ht="19.7" customHeight="1" x14ac:dyDescent="0.15">
      <c r="B12" s="84" t="s">
        <v>140</v>
      </c>
      <c r="C12" s="8" t="s">
        <v>79</v>
      </c>
      <c r="D12" s="8" t="s">
        <v>79</v>
      </c>
      <c r="E12" s="37" t="s">
        <v>48</v>
      </c>
      <c r="F12" s="39" t="s">
        <v>106</v>
      </c>
      <c r="G12" s="28">
        <v>42100</v>
      </c>
      <c r="H12" s="28">
        <f t="shared" si="0"/>
        <v>42100</v>
      </c>
      <c r="I12" s="9"/>
      <c r="J12" s="38" t="s">
        <v>48</v>
      </c>
      <c r="K12" s="33" t="s">
        <v>207</v>
      </c>
      <c r="L12" s="9"/>
      <c r="M12" s="10">
        <v>46069</v>
      </c>
      <c r="N12" s="8"/>
      <c r="O12" s="9" t="s">
        <v>291</v>
      </c>
      <c r="P12" s="10">
        <v>46070</v>
      </c>
      <c r="Q12" s="11"/>
    </row>
    <row r="13" spans="2:17" s="3" customFormat="1" ht="19.7" customHeight="1" x14ac:dyDescent="0.15">
      <c r="B13" s="89"/>
      <c r="C13" s="8" t="s">
        <v>79</v>
      </c>
      <c r="D13" s="8" t="s">
        <v>79</v>
      </c>
      <c r="E13" s="37" t="s">
        <v>49</v>
      </c>
      <c r="F13" s="39" t="s">
        <v>106</v>
      </c>
      <c r="G13" s="28">
        <v>18400</v>
      </c>
      <c r="H13" s="28">
        <f t="shared" si="0"/>
        <v>18400</v>
      </c>
      <c r="I13" s="9"/>
      <c r="J13" s="38" t="s">
        <v>49</v>
      </c>
      <c r="K13" s="33" t="s">
        <v>207</v>
      </c>
      <c r="L13" s="9"/>
      <c r="M13" s="10">
        <v>46069</v>
      </c>
      <c r="N13" s="8"/>
      <c r="O13" s="9" t="s">
        <v>291</v>
      </c>
      <c r="P13" s="10">
        <v>46070</v>
      </c>
      <c r="Q13" s="11"/>
    </row>
    <row r="14" spans="2:17" s="3" customFormat="1" ht="19.7" customHeight="1" x14ac:dyDescent="0.15">
      <c r="B14" s="89"/>
      <c r="C14" s="8" t="s">
        <v>79</v>
      </c>
      <c r="D14" s="8" t="s">
        <v>79</v>
      </c>
      <c r="E14" s="37" t="s">
        <v>66</v>
      </c>
      <c r="F14" s="39" t="s">
        <v>106</v>
      </c>
      <c r="G14" s="28">
        <v>278000</v>
      </c>
      <c r="H14" s="28">
        <f t="shared" si="0"/>
        <v>278000</v>
      </c>
      <c r="I14" s="9"/>
      <c r="J14" s="38" t="s">
        <v>66</v>
      </c>
      <c r="K14" s="33" t="s">
        <v>207</v>
      </c>
      <c r="L14" s="9"/>
      <c r="M14" s="10">
        <v>46069</v>
      </c>
      <c r="N14" s="8"/>
      <c r="O14" s="9" t="s">
        <v>291</v>
      </c>
      <c r="P14" s="10">
        <v>46070</v>
      </c>
      <c r="Q14" s="11"/>
    </row>
    <row r="15" spans="2:17" s="3" customFormat="1" ht="19.7" customHeight="1" x14ac:dyDescent="0.15">
      <c r="B15" s="89"/>
      <c r="C15" s="8" t="s">
        <v>80</v>
      </c>
      <c r="D15" s="8" t="s">
        <v>80</v>
      </c>
      <c r="E15" s="31" t="s">
        <v>68</v>
      </c>
      <c r="F15" s="9">
        <v>1</v>
      </c>
      <c r="G15" s="31">
        <v>3762</v>
      </c>
      <c r="H15" s="28">
        <f t="shared" si="0"/>
        <v>3762</v>
      </c>
      <c r="I15" s="9"/>
      <c r="J15" s="38" t="s">
        <v>67</v>
      </c>
      <c r="K15" s="9" t="s">
        <v>232</v>
      </c>
      <c r="L15" s="9"/>
      <c r="M15" s="10">
        <v>46058</v>
      </c>
      <c r="N15" s="8"/>
      <c r="O15" s="9"/>
      <c r="P15" s="10">
        <v>46069</v>
      </c>
      <c r="Q15" s="11"/>
    </row>
    <row r="16" spans="2:17" s="3" customFormat="1" ht="19.7" customHeight="1" x14ac:dyDescent="0.15">
      <c r="B16" s="89"/>
      <c r="C16" s="8" t="s">
        <v>80</v>
      </c>
      <c r="D16" s="8" t="s">
        <v>80</v>
      </c>
      <c r="E16" s="31" t="s">
        <v>70</v>
      </c>
      <c r="F16" s="9">
        <v>2</v>
      </c>
      <c r="G16" s="31">
        <v>4102</v>
      </c>
      <c r="H16" s="28">
        <f t="shared" si="0"/>
        <v>8204</v>
      </c>
      <c r="I16" s="9"/>
      <c r="J16" s="38" t="s">
        <v>69</v>
      </c>
      <c r="K16" s="9" t="s">
        <v>232</v>
      </c>
      <c r="L16" s="9"/>
      <c r="M16" s="10">
        <v>46058</v>
      </c>
      <c r="N16" s="8"/>
      <c r="O16" s="15"/>
      <c r="P16" s="10">
        <v>46069</v>
      </c>
      <c r="Q16" s="10"/>
    </row>
    <row r="17" spans="2:17" s="3" customFormat="1" ht="19.7" customHeight="1" x14ac:dyDescent="0.15">
      <c r="B17" s="89"/>
      <c r="C17" s="8" t="s">
        <v>80</v>
      </c>
      <c r="D17" s="8" t="s">
        <v>80</v>
      </c>
      <c r="E17" s="31" t="s">
        <v>72</v>
      </c>
      <c r="F17" s="9">
        <v>1</v>
      </c>
      <c r="G17" s="31">
        <v>4186</v>
      </c>
      <c r="H17" s="28">
        <f t="shared" si="0"/>
        <v>4186</v>
      </c>
      <c r="I17" s="9"/>
      <c r="J17" s="38" t="s">
        <v>71</v>
      </c>
      <c r="K17" s="9" t="s">
        <v>232</v>
      </c>
      <c r="L17" s="22"/>
      <c r="M17" s="10">
        <v>46058</v>
      </c>
      <c r="N17" s="8"/>
      <c r="O17" s="15"/>
      <c r="P17" s="10">
        <v>46069</v>
      </c>
      <c r="Q17" s="10"/>
    </row>
    <row r="18" spans="2:17" s="3" customFormat="1" ht="19.7" customHeight="1" x14ac:dyDescent="0.15">
      <c r="B18" s="89"/>
      <c r="C18" s="8" t="s">
        <v>80</v>
      </c>
      <c r="D18" s="8" t="s">
        <v>80</v>
      </c>
      <c r="E18" s="31" t="s">
        <v>76</v>
      </c>
      <c r="F18" s="9">
        <v>1</v>
      </c>
      <c r="G18" s="31">
        <v>20940</v>
      </c>
      <c r="H18" s="28">
        <f t="shared" si="0"/>
        <v>20940</v>
      </c>
      <c r="I18" s="9"/>
      <c r="J18" s="38" t="s">
        <v>75</v>
      </c>
      <c r="K18" s="9" t="s">
        <v>232</v>
      </c>
      <c r="L18" s="22"/>
      <c r="M18" s="10">
        <v>46058</v>
      </c>
      <c r="N18" s="8"/>
      <c r="O18" s="15"/>
      <c r="P18" s="10">
        <v>46069</v>
      </c>
      <c r="Q18" s="11"/>
    </row>
    <row r="19" spans="2:17" s="3" customFormat="1" ht="19.7" customHeight="1" x14ac:dyDescent="0.15">
      <c r="B19" s="89"/>
      <c r="C19" s="8" t="s">
        <v>80</v>
      </c>
      <c r="D19" s="8" t="s">
        <v>80</v>
      </c>
      <c r="E19" s="31" t="s">
        <v>78</v>
      </c>
      <c r="F19" s="9">
        <v>1</v>
      </c>
      <c r="G19" s="31">
        <v>5046</v>
      </c>
      <c r="H19" s="28">
        <f t="shared" si="0"/>
        <v>5046</v>
      </c>
      <c r="I19" s="9"/>
      <c r="J19" s="38" t="s">
        <v>77</v>
      </c>
      <c r="K19" s="9" t="s">
        <v>232</v>
      </c>
      <c r="L19" s="9"/>
      <c r="M19" s="10">
        <v>46058</v>
      </c>
      <c r="N19" s="8"/>
      <c r="O19" s="9"/>
      <c r="P19" s="10">
        <v>46069</v>
      </c>
      <c r="Q19" s="11"/>
    </row>
    <row r="20" spans="2:17" s="3" customFormat="1" ht="19.7" customHeight="1" x14ac:dyDescent="0.15">
      <c r="B20" s="89"/>
      <c r="C20" s="8" t="s">
        <v>80</v>
      </c>
      <c r="D20" s="8" t="s">
        <v>80</v>
      </c>
      <c r="E20" s="31" t="s">
        <v>39</v>
      </c>
      <c r="F20" s="9">
        <v>2</v>
      </c>
      <c r="G20" s="31">
        <v>27344</v>
      </c>
      <c r="H20" s="28">
        <f t="shared" si="0"/>
        <v>54688</v>
      </c>
      <c r="I20" s="9"/>
      <c r="J20" s="38" t="s">
        <v>38</v>
      </c>
      <c r="K20" s="9" t="s">
        <v>232</v>
      </c>
      <c r="L20" s="9"/>
      <c r="M20" s="10">
        <v>46058</v>
      </c>
      <c r="N20" s="8"/>
      <c r="O20" s="9"/>
      <c r="P20" s="10">
        <v>46069</v>
      </c>
      <c r="Q20" s="11"/>
    </row>
    <row r="21" spans="2:17" s="3" customFormat="1" ht="19.7" customHeight="1" x14ac:dyDescent="0.15">
      <c r="B21" s="89"/>
      <c r="C21" s="8" t="s">
        <v>80</v>
      </c>
      <c r="D21" s="8" t="s">
        <v>80</v>
      </c>
      <c r="E21" s="31" t="s">
        <v>41</v>
      </c>
      <c r="F21" s="9">
        <v>3</v>
      </c>
      <c r="G21" s="31">
        <v>26186</v>
      </c>
      <c r="H21" s="28">
        <f t="shared" si="0"/>
        <v>78558</v>
      </c>
      <c r="I21" s="9"/>
      <c r="J21" s="38" t="s">
        <v>40</v>
      </c>
      <c r="K21" s="9" t="s">
        <v>232</v>
      </c>
      <c r="L21" s="9"/>
      <c r="M21" s="10">
        <v>46058</v>
      </c>
      <c r="N21" s="8"/>
      <c r="O21" s="9"/>
      <c r="P21" s="10">
        <v>46069</v>
      </c>
      <c r="Q21" s="11"/>
    </row>
    <row r="22" spans="2:17" s="3" customFormat="1" ht="19.7" customHeight="1" x14ac:dyDescent="0.15">
      <c r="B22" s="89"/>
      <c r="C22" s="8" t="s">
        <v>80</v>
      </c>
      <c r="D22" s="8" t="s">
        <v>80</v>
      </c>
      <c r="E22" s="31" t="s">
        <v>43</v>
      </c>
      <c r="F22" s="9">
        <v>1</v>
      </c>
      <c r="G22" s="31">
        <v>30819</v>
      </c>
      <c r="H22" s="28">
        <f t="shared" si="0"/>
        <v>30819</v>
      </c>
      <c r="I22" s="9"/>
      <c r="J22" s="38" t="s">
        <v>42</v>
      </c>
      <c r="K22" s="9" t="s">
        <v>232</v>
      </c>
      <c r="L22" s="9"/>
      <c r="M22" s="10">
        <v>46058</v>
      </c>
      <c r="N22" s="8"/>
      <c r="O22" s="9"/>
      <c r="P22" s="10">
        <v>46069</v>
      </c>
      <c r="Q22" s="11"/>
    </row>
    <row r="23" spans="2:17" s="3" customFormat="1" ht="19.7" customHeight="1" x14ac:dyDescent="0.15">
      <c r="B23" s="89"/>
      <c r="C23" s="8" t="s">
        <v>80</v>
      </c>
      <c r="D23" s="8" t="s">
        <v>80</v>
      </c>
      <c r="E23" s="31" t="s">
        <v>45</v>
      </c>
      <c r="F23" s="9">
        <v>1</v>
      </c>
      <c r="G23" s="31">
        <v>26908</v>
      </c>
      <c r="H23" s="28">
        <f t="shared" si="0"/>
        <v>26908</v>
      </c>
      <c r="I23" s="9"/>
      <c r="J23" s="38" t="s">
        <v>44</v>
      </c>
      <c r="K23" s="9" t="s">
        <v>232</v>
      </c>
      <c r="L23" s="9"/>
      <c r="M23" s="10">
        <v>46058</v>
      </c>
      <c r="N23" s="8"/>
      <c r="O23" s="15"/>
      <c r="P23" s="10">
        <v>46069</v>
      </c>
      <c r="Q23" s="10"/>
    </row>
    <row r="24" spans="2:17" s="3" customFormat="1" ht="19.7" customHeight="1" x14ac:dyDescent="0.15">
      <c r="B24" s="89"/>
      <c r="C24" s="8" t="s">
        <v>80</v>
      </c>
      <c r="D24" s="8" t="s">
        <v>80</v>
      </c>
      <c r="E24" s="31" t="s">
        <v>47</v>
      </c>
      <c r="F24" s="9">
        <v>1</v>
      </c>
      <c r="G24" s="31">
        <v>13075</v>
      </c>
      <c r="H24" s="28">
        <f t="shared" si="0"/>
        <v>13075</v>
      </c>
      <c r="I24" s="9"/>
      <c r="J24" s="38" t="s">
        <v>46</v>
      </c>
      <c r="K24" s="9" t="s">
        <v>232</v>
      </c>
      <c r="L24" s="22"/>
      <c r="M24" s="10">
        <v>46058</v>
      </c>
      <c r="N24" s="8"/>
      <c r="O24" s="15"/>
      <c r="P24" s="10">
        <v>46069</v>
      </c>
      <c r="Q24" s="10"/>
    </row>
    <row r="25" spans="2:17" s="3" customFormat="1" ht="19.5" customHeight="1" x14ac:dyDescent="0.15">
      <c r="B25" s="89"/>
      <c r="C25" s="8" t="s">
        <v>37</v>
      </c>
      <c r="D25" s="8" t="s">
        <v>37</v>
      </c>
      <c r="E25" s="31" t="s">
        <v>309</v>
      </c>
      <c r="F25" s="9" t="s">
        <v>28</v>
      </c>
      <c r="G25" s="31">
        <v>12823</v>
      </c>
      <c r="H25" s="28">
        <f t="shared" si="0"/>
        <v>25646</v>
      </c>
      <c r="I25" s="9"/>
      <c r="J25" s="38" t="s">
        <v>312</v>
      </c>
      <c r="K25" s="9" t="s">
        <v>232</v>
      </c>
      <c r="L25" s="33"/>
      <c r="M25" s="10">
        <v>46070</v>
      </c>
      <c r="N25" s="8"/>
      <c r="O25" s="9"/>
      <c r="P25" s="10">
        <v>46077</v>
      </c>
      <c r="Q25" s="11"/>
    </row>
    <row r="26" spans="2:17" s="3" customFormat="1" ht="19.7" customHeight="1" x14ac:dyDescent="0.15">
      <c r="B26" s="89"/>
      <c r="C26" s="8" t="s">
        <v>80</v>
      </c>
      <c r="D26" s="8" t="s">
        <v>80</v>
      </c>
      <c r="E26" s="31" t="s">
        <v>233</v>
      </c>
      <c r="F26" s="9">
        <v>9</v>
      </c>
      <c r="G26" s="31">
        <v>2504</v>
      </c>
      <c r="H26" s="28">
        <f t="shared" si="0"/>
        <v>22536</v>
      </c>
      <c r="I26" s="9"/>
      <c r="J26" s="31" t="s">
        <v>258</v>
      </c>
      <c r="K26" s="9" t="s">
        <v>235</v>
      </c>
      <c r="L26" s="22"/>
      <c r="M26" s="10">
        <v>46058</v>
      </c>
      <c r="N26" s="8"/>
      <c r="O26" s="15"/>
      <c r="P26" s="10">
        <v>46069</v>
      </c>
      <c r="Q26" s="10"/>
    </row>
    <row r="27" spans="2:17" s="3" customFormat="1" ht="19.7" customHeight="1" x14ac:dyDescent="0.15">
      <c r="B27" s="89"/>
      <c r="C27" s="8" t="s">
        <v>80</v>
      </c>
      <c r="D27" s="8" t="s">
        <v>80</v>
      </c>
      <c r="E27" s="31" t="s">
        <v>234</v>
      </c>
      <c r="F27" s="9">
        <v>9</v>
      </c>
      <c r="G27" s="31">
        <v>2903</v>
      </c>
      <c r="H27" s="28">
        <f t="shared" si="0"/>
        <v>26127</v>
      </c>
      <c r="I27" s="9"/>
      <c r="J27" s="31" t="s">
        <v>257</v>
      </c>
      <c r="K27" s="9" t="s">
        <v>236</v>
      </c>
      <c r="L27" s="22"/>
      <c r="M27" s="10">
        <v>46058</v>
      </c>
      <c r="N27" s="8"/>
      <c r="O27" s="15"/>
      <c r="P27" s="10">
        <v>46069</v>
      </c>
      <c r="Q27" s="10"/>
    </row>
    <row r="28" spans="2:17" s="3" customFormat="1" ht="19.7" customHeight="1" x14ac:dyDescent="0.15">
      <c r="B28" s="89"/>
      <c r="C28" s="8" t="s">
        <v>80</v>
      </c>
      <c r="D28" s="8" t="s">
        <v>80</v>
      </c>
      <c r="E28" s="31" t="s">
        <v>107</v>
      </c>
      <c r="F28" s="9">
        <v>2</v>
      </c>
      <c r="G28" s="31">
        <v>10255</v>
      </c>
      <c r="H28" s="28">
        <f t="shared" si="0"/>
        <v>20510</v>
      </c>
      <c r="I28" s="9"/>
      <c r="J28" s="31" t="s">
        <v>256</v>
      </c>
      <c r="K28" s="9" t="s">
        <v>232</v>
      </c>
      <c r="L28" s="75" t="s">
        <v>325</v>
      </c>
      <c r="M28" s="10">
        <v>46058</v>
      </c>
      <c r="N28" s="8"/>
      <c r="O28" s="15"/>
      <c r="P28" s="10">
        <v>46069</v>
      </c>
      <c r="Q28" s="11"/>
    </row>
    <row r="29" spans="2:17" s="48" customFormat="1" ht="19.7" customHeight="1" x14ac:dyDescent="0.15">
      <c r="B29" s="89"/>
      <c r="C29" s="44" t="s">
        <v>37</v>
      </c>
      <c r="D29" s="44" t="s">
        <v>37</v>
      </c>
      <c r="E29" s="45" t="s">
        <v>324</v>
      </c>
      <c r="F29" s="42">
        <v>2</v>
      </c>
      <c r="G29" s="45">
        <v>6401</v>
      </c>
      <c r="H29" s="32">
        <f t="shared" si="0"/>
        <v>12802</v>
      </c>
      <c r="I29" s="42"/>
      <c r="J29" s="45" t="s">
        <v>256</v>
      </c>
      <c r="K29" s="42" t="s">
        <v>235</v>
      </c>
      <c r="L29" s="76"/>
      <c r="M29" s="46">
        <v>46087</v>
      </c>
      <c r="N29" s="44"/>
      <c r="O29" s="77"/>
      <c r="P29" s="46">
        <v>46092</v>
      </c>
      <c r="Q29" s="47"/>
    </row>
    <row r="30" spans="2:17" s="3" customFormat="1" ht="19.7" customHeight="1" x14ac:dyDescent="0.15">
      <c r="B30" s="89"/>
      <c r="C30" s="8" t="s">
        <v>37</v>
      </c>
      <c r="D30" s="8" t="s">
        <v>80</v>
      </c>
      <c r="E30" s="31" t="s">
        <v>139</v>
      </c>
      <c r="F30" s="9">
        <v>2</v>
      </c>
      <c r="G30" s="31">
        <v>1065</v>
      </c>
      <c r="H30" s="28">
        <f t="shared" si="0"/>
        <v>2130</v>
      </c>
      <c r="I30" s="9"/>
      <c r="J30" s="31" t="s">
        <v>251</v>
      </c>
      <c r="K30" s="9" t="s">
        <v>232</v>
      </c>
      <c r="L30" s="22"/>
      <c r="M30" s="10">
        <v>46058</v>
      </c>
      <c r="N30" s="8"/>
      <c r="O30" s="15"/>
      <c r="P30" s="10">
        <v>46069</v>
      </c>
      <c r="Q30" s="11"/>
    </row>
    <row r="31" spans="2:17" s="3" customFormat="1" ht="19.5" customHeight="1" x14ac:dyDescent="0.15">
      <c r="B31" s="89"/>
      <c r="C31" s="8" t="s">
        <v>80</v>
      </c>
      <c r="D31" s="8" t="s">
        <v>80</v>
      </c>
      <c r="E31" s="31" t="s">
        <v>108</v>
      </c>
      <c r="F31" s="9">
        <v>1</v>
      </c>
      <c r="G31" s="31">
        <v>14211</v>
      </c>
      <c r="H31" s="28">
        <f t="shared" si="0"/>
        <v>14211</v>
      </c>
      <c r="I31" s="9"/>
      <c r="J31" s="31" t="s">
        <v>255</v>
      </c>
      <c r="K31" s="9" t="s">
        <v>232</v>
      </c>
      <c r="L31" s="9"/>
      <c r="M31" s="10">
        <v>46058</v>
      </c>
      <c r="N31" s="8"/>
      <c r="O31" s="9"/>
      <c r="P31" s="10">
        <v>46069</v>
      </c>
      <c r="Q31" s="11"/>
    </row>
    <row r="32" spans="2:17" s="3" customFormat="1" ht="19.7" customHeight="1" x14ac:dyDescent="0.15">
      <c r="B32" s="89"/>
      <c r="C32" s="8" t="s">
        <v>80</v>
      </c>
      <c r="D32" s="8" t="s">
        <v>80</v>
      </c>
      <c r="E32" s="31" t="s">
        <v>109</v>
      </c>
      <c r="F32" s="9">
        <v>8</v>
      </c>
      <c r="G32" s="31">
        <v>194</v>
      </c>
      <c r="H32" s="28">
        <f t="shared" si="0"/>
        <v>1552</v>
      </c>
      <c r="I32" s="9"/>
      <c r="J32" s="31" t="s">
        <v>243</v>
      </c>
      <c r="K32" s="9" t="s">
        <v>232</v>
      </c>
      <c r="L32" s="9"/>
      <c r="M32" s="10">
        <v>46058</v>
      </c>
      <c r="N32" s="8"/>
      <c r="O32" s="9"/>
      <c r="P32" s="10">
        <v>46069</v>
      </c>
      <c r="Q32" s="11"/>
    </row>
    <row r="33" spans="2:17" s="3" customFormat="1" ht="19.7" customHeight="1" x14ac:dyDescent="0.15">
      <c r="B33" s="89"/>
      <c r="C33" s="8" t="s">
        <v>80</v>
      </c>
      <c r="D33" s="8" t="s">
        <v>80</v>
      </c>
      <c r="E33" s="31" t="s">
        <v>110</v>
      </c>
      <c r="F33" s="9">
        <v>87</v>
      </c>
      <c r="G33" s="31">
        <v>247</v>
      </c>
      <c r="H33" s="28">
        <f t="shared" si="0"/>
        <v>21489</v>
      </c>
      <c r="I33" s="9"/>
      <c r="J33" s="31" t="s">
        <v>243</v>
      </c>
      <c r="K33" s="9" t="s">
        <v>232</v>
      </c>
      <c r="L33" s="9"/>
      <c r="M33" s="10">
        <v>46058</v>
      </c>
      <c r="N33" s="8"/>
      <c r="O33" s="9"/>
      <c r="P33" s="10">
        <v>46069</v>
      </c>
      <c r="Q33" s="11"/>
    </row>
    <row r="34" spans="2:17" s="3" customFormat="1" ht="19.7" customHeight="1" x14ac:dyDescent="0.15">
      <c r="B34" s="89"/>
      <c r="C34" s="8" t="s">
        <v>80</v>
      </c>
      <c r="D34" s="8" t="s">
        <v>80</v>
      </c>
      <c r="E34" s="31" t="s">
        <v>111</v>
      </c>
      <c r="F34" s="9">
        <v>10</v>
      </c>
      <c r="G34" s="31">
        <v>40</v>
      </c>
      <c r="H34" s="28">
        <f t="shared" si="0"/>
        <v>400</v>
      </c>
      <c r="I34" s="9"/>
      <c r="J34" s="31" t="s">
        <v>254</v>
      </c>
      <c r="K34" s="9" t="s">
        <v>232</v>
      </c>
      <c r="L34" s="9"/>
      <c r="M34" s="10">
        <v>46058</v>
      </c>
      <c r="N34" s="8"/>
      <c r="O34" s="9"/>
      <c r="P34" s="10">
        <v>46069</v>
      </c>
      <c r="Q34" s="11"/>
    </row>
    <row r="35" spans="2:17" s="3" customFormat="1" ht="19.7" customHeight="1" x14ac:dyDescent="0.15">
      <c r="B35" s="89"/>
      <c r="C35" s="8" t="s">
        <v>80</v>
      </c>
      <c r="D35" s="8" t="s">
        <v>80</v>
      </c>
      <c r="E35" s="31" t="s">
        <v>112</v>
      </c>
      <c r="F35" s="9">
        <v>10</v>
      </c>
      <c r="G35" s="31">
        <v>128</v>
      </c>
      <c r="H35" s="28">
        <f t="shared" si="0"/>
        <v>1280</v>
      </c>
      <c r="I35" s="9"/>
      <c r="J35" s="31" t="s">
        <v>253</v>
      </c>
      <c r="K35" s="9" t="s">
        <v>232</v>
      </c>
      <c r="L35" s="9"/>
      <c r="M35" s="10">
        <v>46058</v>
      </c>
      <c r="N35" s="8"/>
      <c r="O35" s="15"/>
      <c r="P35" s="10">
        <v>46069</v>
      </c>
      <c r="Q35" s="10"/>
    </row>
    <row r="36" spans="2:17" s="3" customFormat="1" ht="19.7" customHeight="1" x14ac:dyDescent="0.15">
      <c r="B36" s="89"/>
      <c r="C36" s="8" t="s">
        <v>80</v>
      </c>
      <c r="D36" s="8" t="s">
        <v>80</v>
      </c>
      <c r="E36" s="31" t="s">
        <v>113</v>
      </c>
      <c r="F36" s="9">
        <v>1</v>
      </c>
      <c r="G36" s="31">
        <v>427</v>
      </c>
      <c r="H36" s="28">
        <f t="shared" si="0"/>
        <v>427</v>
      </c>
      <c r="I36" s="9"/>
      <c r="J36" s="31" t="s">
        <v>241</v>
      </c>
      <c r="K36" s="9" t="s">
        <v>232</v>
      </c>
      <c r="L36" s="22"/>
      <c r="M36" s="10">
        <v>46058</v>
      </c>
      <c r="N36" s="8"/>
      <c r="O36" s="15"/>
      <c r="P36" s="10">
        <v>46069</v>
      </c>
      <c r="Q36" s="10"/>
    </row>
    <row r="37" spans="2:17" s="3" customFormat="1" ht="19.7" customHeight="1" x14ac:dyDescent="0.15">
      <c r="B37" s="89"/>
      <c r="C37" s="8" t="s">
        <v>80</v>
      </c>
      <c r="D37" s="8" t="s">
        <v>80</v>
      </c>
      <c r="E37" s="31" t="s">
        <v>114</v>
      </c>
      <c r="F37" s="9">
        <v>1</v>
      </c>
      <c r="G37" s="31">
        <v>427</v>
      </c>
      <c r="H37" s="28">
        <f t="shared" si="0"/>
        <v>427</v>
      </c>
      <c r="I37" s="9"/>
      <c r="J37" s="31" t="s">
        <v>241</v>
      </c>
      <c r="K37" s="9" t="s">
        <v>232</v>
      </c>
      <c r="L37" s="22"/>
      <c r="M37" s="10">
        <v>46058</v>
      </c>
      <c r="N37" s="8"/>
      <c r="O37" s="15"/>
      <c r="P37" s="10">
        <v>46069</v>
      </c>
      <c r="Q37" s="11"/>
    </row>
    <row r="38" spans="2:17" s="3" customFormat="1" ht="19.7" customHeight="1" x14ac:dyDescent="0.15">
      <c r="B38" s="89"/>
      <c r="C38" s="8" t="s">
        <v>80</v>
      </c>
      <c r="D38" s="8" t="s">
        <v>80</v>
      </c>
      <c r="E38" s="31" t="s">
        <v>115</v>
      </c>
      <c r="F38" s="9">
        <v>1</v>
      </c>
      <c r="G38" s="31">
        <v>427</v>
      </c>
      <c r="H38" s="28">
        <f t="shared" si="0"/>
        <v>427</v>
      </c>
      <c r="I38" s="9"/>
      <c r="J38" s="31" t="s">
        <v>241</v>
      </c>
      <c r="K38" s="9" t="s">
        <v>232</v>
      </c>
      <c r="L38" s="22"/>
      <c r="M38" s="10">
        <v>46058</v>
      </c>
      <c r="N38" s="8"/>
      <c r="O38" s="15"/>
      <c r="P38" s="10">
        <v>46069</v>
      </c>
      <c r="Q38" s="11"/>
    </row>
    <row r="39" spans="2:17" s="3" customFormat="1" ht="19.7" customHeight="1" x14ac:dyDescent="0.15">
      <c r="B39" s="89"/>
      <c r="C39" s="8" t="s">
        <v>80</v>
      </c>
      <c r="D39" s="8" t="s">
        <v>80</v>
      </c>
      <c r="E39" s="31" t="s">
        <v>116</v>
      </c>
      <c r="F39" s="9">
        <v>4</v>
      </c>
      <c r="G39" s="31">
        <v>427</v>
      </c>
      <c r="H39" s="28">
        <f t="shared" si="0"/>
        <v>1708</v>
      </c>
      <c r="I39" s="9"/>
      <c r="J39" s="31" t="s">
        <v>241</v>
      </c>
      <c r="K39" s="9" t="s">
        <v>232</v>
      </c>
      <c r="L39" s="9"/>
      <c r="M39" s="10">
        <v>46058</v>
      </c>
      <c r="N39" s="8"/>
      <c r="O39" s="9"/>
      <c r="P39" s="10">
        <v>46069</v>
      </c>
      <c r="Q39" s="11"/>
    </row>
    <row r="40" spans="2:17" s="3" customFormat="1" ht="19.7" customHeight="1" x14ac:dyDescent="0.15">
      <c r="B40" s="89"/>
      <c r="C40" s="8" t="s">
        <v>80</v>
      </c>
      <c r="D40" s="8" t="s">
        <v>80</v>
      </c>
      <c r="E40" s="31" t="s">
        <v>117</v>
      </c>
      <c r="F40" s="9">
        <v>1</v>
      </c>
      <c r="G40" s="31">
        <v>427</v>
      </c>
      <c r="H40" s="28">
        <f t="shared" si="0"/>
        <v>427</v>
      </c>
      <c r="I40" s="9"/>
      <c r="J40" s="31" t="s">
        <v>241</v>
      </c>
      <c r="K40" s="9" t="s">
        <v>232</v>
      </c>
      <c r="L40" s="9"/>
      <c r="M40" s="10">
        <v>46058</v>
      </c>
      <c r="N40" s="8"/>
      <c r="O40" s="9"/>
      <c r="P40" s="10">
        <v>46069</v>
      </c>
      <c r="Q40" s="11"/>
    </row>
    <row r="41" spans="2:17" s="3" customFormat="1" ht="19.7" customHeight="1" x14ac:dyDescent="0.15">
      <c r="B41" s="89"/>
      <c r="C41" s="8" t="s">
        <v>80</v>
      </c>
      <c r="D41" s="8" t="s">
        <v>80</v>
      </c>
      <c r="E41" s="31" t="s">
        <v>118</v>
      </c>
      <c r="F41" s="9">
        <v>7</v>
      </c>
      <c r="G41" s="31">
        <v>415</v>
      </c>
      <c r="H41" s="28">
        <f t="shared" si="0"/>
        <v>2905</v>
      </c>
      <c r="I41" s="9"/>
      <c r="J41" s="31" t="s">
        <v>241</v>
      </c>
      <c r="K41" s="9" t="s">
        <v>232</v>
      </c>
      <c r="L41" s="9"/>
      <c r="M41" s="10">
        <v>46058</v>
      </c>
      <c r="N41" s="8"/>
      <c r="O41" s="9"/>
      <c r="P41" s="10">
        <v>46069</v>
      </c>
      <c r="Q41" s="11"/>
    </row>
    <row r="42" spans="2:17" s="3" customFormat="1" ht="19.7" customHeight="1" x14ac:dyDescent="0.15">
      <c r="B42" s="89"/>
      <c r="C42" s="8" t="s">
        <v>80</v>
      </c>
      <c r="D42" s="8" t="s">
        <v>80</v>
      </c>
      <c r="E42" s="31" t="s">
        <v>119</v>
      </c>
      <c r="F42" s="9">
        <v>3</v>
      </c>
      <c r="G42" s="31">
        <v>435</v>
      </c>
      <c r="H42" s="28">
        <f t="shared" si="0"/>
        <v>1305</v>
      </c>
      <c r="I42" s="9"/>
      <c r="J42" s="31" t="s">
        <v>241</v>
      </c>
      <c r="K42" s="9" t="s">
        <v>232</v>
      </c>
      <c r="L42" s="9"/>
      <c r="M42" s="10">
        <v>46058</v>
      </c>
      <c r="N42" s="8"/>
      <c r="O42" s="9"/>
      <c r="P42" s="10">
        <v>46069</v>
      </c>
      <c r="Q42" s="11"/>
    </row>
    <row r="43" spans="2:17" s="3" customFormat="1" ht="19.7" customHeight="1" x14ac:dyDescent="0.15">
      <c r="B43" s="89"/>
      <c r="C43" s="8" t="s">
        <v>80</v>
      </c>
      <c r="D43" s="8" t="s">
        <v>80</v>
      </c>
      <c r="E43" s="31" t="s">
        <v>120</v>
      </c>
      <c r="F43" s="9">
        <v>4</v>
      </c>
      <c r="G43" s="31">
        <v>693</v>
      </c>
      <c r="H43" s="28">
        <f t="shared" si="0"/>
        <v>2772</v>
      </c>
      <c r="I43" s="9"/>
      <c r="J43" s="31" t="s">
        <v>241</v>
      </c>
      <c r="K43" s="9" t="s">
        <v>232</v>
      </c>
      <c r="L43" s="9"/>
      <c r="M43" s="10">
        <v>46058</v>
      </c>
      <c r="N43" s="8"/>
      <c r="O43" s="15"/>
      <c r="P43" s="10">
        <v>46069</v>
      </c>
      <c r="Q43" s="10"/>
    </row>
    <row r="44" spans="2:17" s="3" customFormat="1" ht="19.7" customHeight="1" x14ac:dyDescent="0.15">
      <c r="B44" s="89"/>
      <c r="C44" s="8" t="s">
        <v>80</v>
      </c>
      <c r="D44" s="8" t="s">
        <v>80</v>
      </c>
      <c r="E44" s="31" t="s">
        <v>121</v>
      </c>
      <c r="F44" s="9">
        <v>1</v>
      </c>
      <c r="G44" s="31">
        <v>702</v>
      </c>
      <c r="H44" s="28">
        <f t="shared" si="0"/>
        <v>702</v>
      </c>
      <c r="I44" s="9"/>
      <c r="J44" s="31" t="s">
        <v>241</v>
      </c>
      <c r="K44" s="9" t="s">
        <v>232</v>
      </c>
      <c r="L44" s="22"/>
      <c r="M44" s="10">
        <v>46058</v>
      </c>
      <c r="N44" s="8"/>
      <c r="O44" s="15"/>
      <c r="P44" s="10">
        <v>46069</v>
      </c>
      <c r="Q44" s="10"/>
    </row>
    <row r="45" spans="2:17" s="3" customFormat="1" ht="19.7" customHeight="1" x14ac:dyDescent="0.15">
      <c r="B45" s="89"/>
      <c r="C45" s="8" t="s">
        <v>80</v>
      </c>
      <c r="D45" s="8" t="s">
        <v>80</v>
      </c>
      <c r="E45" s="31" t="s">
        <v>122</v>
      </c>
      <c r="F45" s="9">
        <v>4</v>
      </c>
      <c r="G45" s="31">
        <v>1158</v>
      </c>
      <c r="H45" s="28">
        <f t="shared" si="0"/>
        <v>4632</v>
      </c>
      <c r="I45" s="9"/>
      <c r="J45" s="31" t="s">
        <v>241</v>
      </c>
      <c r="K45" s="9" t="s">
        <v>232</v>
      </c>
      <c r="L45" s="22"/>
      <c r="M45" s="10">
        <v>46058</v>
      </c>
      <c r="N45" s="8"/>
      <c r="O45" s="15"/>
      <c r="P45" s="10">
        <v>46069</v>
      </c>
      <c r="Q45" s="11"/>
    </row>
    <row r="46" spans="2:17" s="3" customFormat="1" ht="19.7" customHeight="1" x14ac:dyDescent="0.15">
      <c r="B46" s="89"/>
      <c r="C46" s="8" t="s">
        <v>80</v>
      </c>
      <c r="D46" s="8" t="s">
        <v>80</v>
      </c>
      <c r="E46" s="31" t="s">
        <v>123</v>
      </c>
      <c r="F46" s="9">
        <v>5</v>
      </c>
      <c r="G46" s="31">
        <v>900</v>
      </c>
      <c r="H46" s="28">
        <f t="shared" si="0"/>
        <v>4500</v>
      </c>
      <c r="I46" s="9"/>
      <c r="J46" s="31" t="s">
        <v>241</v>
      </c>
      <c r="K46" s="9" t="s">
        <v>232</v>
      </c>
      <c r="L46" s="22"/>
      <c r="M46" s="10">
        <v>46058</v>
      </c>
      <c r="N46" s="8"/>
      <c r="O46" s="15"/>
      <c r="P46" s="10">
        <v>46069</v>
      </c>
      <c r="Q46" s="11"/>
    </row>
    <row r="47" spans="2:17" s="3" customFormat="1" ht="19.5" customHeight="1" x14ac:dyDescent="0.15">
      <c r="B47" s="89"/>
      <c r="C47" s="8" t="s">
        <v>80</v>
      </c>
      <c r="D47" s="8" t="s">
        <v>80</v>
      </c>
      <c r="E47" s="31" t="s">
        <v>124</v>
      </c>
      <c r="F47" s="9">
        <v>4</v>
      </c>
      <c r="G47" s="31">
        <v>1415</v>
      </c>
      <c r="H47" s="28">
        <f t="shared" si="0"/>
        <v>5660</v>
      </c>
      <c r="I47" s="9"/>
      <c r="J47" s="31" t="s">
        <v>241</v>
      </c>
      <c r="K47" s="9" t="s">
        <v>232</v>
      </c>
      <c r="L47" s="9"/>
      <c r="M47" s="10">
        <v>46058</v>
      </c>
      <c r="N47" s="8"/>
      <c r="O47" s="9"/>
      <c r="P47" s="10">
        <v>46069</v>
      </c>
      <c r="Q47" s="11"/>
    </row>
    <row r="48" spans="2:17" s="3" customFormat="1" ht="19.7" customHeight="1" x14ac:dyDescent="0.15">
      <c r="B48" s="89"/>
      <c r="C48" s="8" t="s">
        <v>80</v>
      </c>
      <c r="D48" s="8" t="s">
        <v>80</v>
      </c>
      <c r="E48" s="31" t="s">
        <v>125</v>
      </c>
      <c r="F48" s="9">
        <v>3</v>
      </c>
      <c r="G48" s="31">
        <v>1207</v>
      </c>
      <c r="H48" s="28">
        <f t="shared" si="0"/>
        <v>3621</v>
      </c>
      <c r="I48" s="9"/>
      <c r="J48" s="31" t="s">
        <v>241</v>
      </c>
      <c r="K48" s="9" t="s">
        <v>232</v>
      </c>
      <c r="L48" s="9"/>
      <c r="M48" s="10">
        <v>46058</v>
      </c>
      <c r="N48" s="8"/>
      <c r="O48" s="9"/>
      <c r="P48" s="10">
        <v>46069</v>
      </c>
      <c r="Q48" s="11"/>
    </row>
    <row r="49" spans="2:17" s="3" customFormat="1" ht="19.7" customHeight="1" x14ac:dyDescent="0.15">
      <c r="B49" s="89"/>
      <c r="C49" s="8" t="s">
        <v>80</v>
      </c>
      <c r="D49" s="8" t="s">
        <v>80</v>
      </c>
      <c r="E49" s="31" t="s">
        <v>126</v>
      </c>
      <c r="F49" s="9">
        <v>6</v>
      </c>
      <c r="G49" s="31">
        <v>235</v>
      </c>
      <c r="H49" s="28">
        <f t="shared" si="0"/>
        <v>1410</v>
      </c>
      <c r="I49" s="9"/>
      <c r="J49" s="31" t="s">
        <v>252</v>
      </c>
      <c r="K49" s="9" t="s">
        <v>232</v>
      </c>
      <c r="L49" s="9"/>
      <c r="M49" s="10">
        <v>46058</v>
      </c>
      <c r="N49" s="8"/>
      <c r="O49" s="9"/>
      <c r="P49" s="10">
        <v>46069</v>
      </c>
      <c r="Q49" s="11"/>
    </row>
    <row r="50" spans="2:17" s="3" customFormat="1" ht="19.7" customHeight="1" x14ac:dyDescent="0.15">
      <c r="B50" s="89"/>
      <c r="C50" s="8" t="s">
        <v>80</v>
      </c>
      <c r="D50" s="8" t="s">
        <v>80</v>
      </c>
      <c r="E50" s="31" t="s">
        <v>127</v>
      </c>
      <c r="F50" s="9">
        <v>2</v>
      </c>
      <c r="G50" s="31">
        <v>1994</v>
      </c>
      <c r="H50" s="28">
        <f t="shared" si="0"/>
        <v>3988</v>
      </c>
      <c r="I50" s="9"/>
      <c r="J50" s="31" t="s">
        <v>251</v>
      </c>
      <c r="K50" s="9" t="s">
        <v>232</v>
      </c>
      <c r="L50" s="9"/>
      <c r="M50" s="10">
        <v>46058</v>
      </c>
      <c r="N50" s="8"/>
      <c r="O50" s="9"/>
      <c r="P50" s="10">
        <v>46069</v>
      </c>
      <c r="Q50" s="11"/>
    </row>
    <row r="51" spans="2:17" s="3" customFormat="1" ht="19.7" customHeight="1" x14ac:dyDescent="0.15">
      <c r="B51" s="89"/>
      <c r="C51" s="8" t="s">
        <v>80</v>
      </c>
      <c r="D51" s="8" t="s">
        <v>80</v>
      </c>
      <c r="E51" s="31" t="s">
        <v>128</v>
      </c>
      <c r="F51" s="9">
        <v>36</v>
      </c>
      <c r="G51" s="31">
        <v>58</v>
      </c>
      <c r="H51" s="28">
        <f t="shared" si="0"/>
        <v>2088</v>
      </c>
      <c r="I51" s="9"/>
      <c r="J51" s="31" t="s">
        <v>250</v>
      </c>
      <c r="K51" s="9" t="s">
        <v>232</v>
      </c>
      <c r="L51" s="9"/>
      <c r="M51" s="10">
        <v>46058</v>
      </c>
      <c r="N51" s="8"/>
      <c r="O51" s="15"/>
      <c r="P51" s="10">
        <v>46069</v>
      </c>
      <c r="Q51" s="10"/>
    </row>
    <row r="52" spans="2:17" s="3" customFormat="1" ht="19.7" customHeight="1" x14ac:dyDescent="0.15">
      <c r="B52" s="89"/>
      <c r="C52" s="8" t="s">
        <v>80</v>
      </c>
      <c r="D52" s="8" t="s">
        <v>80</v>
      </c>
      <c r="E52" s="31" t="s">
        <v>129</v>
      </c>
      <c r="F52" s="9">
        <v>1</v>
      </c>
      <c r="G52" s="31">
        <v>23188</v>
      </c>
      <c r="H52" s="28">
        <f t="shared" si="0"/>
        <v>23188</v>
      </c>
      <c r="I52" s="9"/>
      <c r="J52" s="31" t="s">
        <v>249</v>
      </c>
      <c r="K52" s="9" t="s">
        <v>232</v>
      </c>
      <c r="L52" s="22"/>
      <c r="M52" s="10">
        <v>46058</v>
      </c>
      <c r="N52" s="8"/>
      <c r="O52" s="15"/>
      <c r="P52" s="10">
        <v>46069</v>
      </c>
      <c r="Q52" s="10"/>
    </row>
    <row r="53" spans="2:17" s="3" customFormat="1" ht="19.7" customHeight="1" x14ac:dyDescent="0.15">
      <c r="B53" s="89"/>
      <c r="C53" s="8" t="s">
        <v>80</v>
      </c>
      <c r="D53" s="8" t="s">
        <v>80</v>
      </c>
      <c r="E53" s="31" t="s">
        <v>130</v>
      </c>
      <c r="F53" s="9">
        <v>1</v>
      </c>
      <c r="G53" s="31">
        <v>1315</v>
      </c>
      <c r="H53" s="28">
        <f t="shared" si="0"/>
        <v>1315</v>
      </c>
      <c r="I53" s="9"/>
      <c r="J53" s="31" t="s">
        <v>185</v>
      </c>
      <c r="K53" s="9" t="s">
        <v>232</v>
      </c>
      <c r="L53" s="9"/>
      <c r="M53" s="10">
        <v>46058</v>
      </c>
      <c r="N53" s="8"/>
      <c r="O53" s="9"/>
      <c r="P53" s="10">
        <v>46069</v>
      </c>
      <c r="Q53" s="11"/>
    </row>
    <row r="54" spans="2:17" s="3" customFormat="1" ht="19.7" customHeight="1" x14ac:dyDescent="0.15">
      <c r="B54" s="89"/>
      <c r="C54" s="8" t="s">
        <v>80</v>
      </c>
      <c r="D54" s="8" t="s">
        <v>80</v>
      </c>
      <c r="E54" s="31" t="s">
        <v>131</v>
      </c>
      <c r="F54" s="9">
        <v>2</v>
      </c>
      <c r="G54" s="31">
        <v>27</v>
      </c>
      <c r="H54" s="28">
        <f t="shared" si="0"/>
        <v>54</v>
      </c>
      <c r="I54" s="9"/>
      <c r="J54" s="31" t="s">
        <v>240</v>
      </c>
      <c r="K54" s="9" t="s">
        <v>232</v>
      </c>
      <c r="L54" s="22"/>
      <c r="M54" s="10">
        <v>46058</v>
      </c>
      <c r="N54" s="8"/>
      <c r="O54" s="15"/>
      <c r="P54" s="10">
        <v>46069</v>
      </c>
      <c r="Q54" s="11"/>
    </row>
    <row r="55" spans="2:17" s="3" customFormat="1" ht="19.7" customHeight="1" x14ac:dyDescent="0.15">
      <c r="B55" s="89"/>
      <c r="C55" s="8" t="s">
        <v>80</v>
      </c>
      <c r="D55" s="8" t="s">
        <v>80</v>
      </c>
      <c r="E55" s="31" t="s">
        <v>132</v>
      </c>
      <c r="F55" s="9">
        <v>11</v>
      </c>
      <c r="G55" s="31">
        <v>27</v>
      </c>
      <c r="H55" s="28">
        <f t="shared" si="0"/>
        <v>297</v>
      </c>
      <c r="I55" s="9"/>
      <c r="J55" s="31" t="s">
        <v>240</v>
      </c>
      <c r="K55" s="9" t="s">
        <v>232</v>
      </c>
      <c r="L55" s="22"/>
      <c r="M55" s="10">
        <v>46058</v>
      </c>
      <c r="N55" s="8"/>
      <c r="O55" s="15"/>
      <c r="P55" s="10">
        <v>46069</v>
      </c>
      <c r="Q55" s="11"/>
    </row>
    <row r="56" spans="2:17" s="3" customFormat="1" ht="19.5" customHeight="1" x14ac:dyDescent="0.15">
      <c r="B56" s="89"/>
      <c r="C56" s="8" t="s">
        <v>80</v>
      </c>
      <c r="D56" s="8" t="s">
        <v>80</v>
      </c>
      <c r="E56" s="31" t="s">
        <v>133</v>
      </c>
      <c r="F56" s="9">
        <v>18</v>
      </c>
      <c r="G56" s="31">
        <v>27</v>
      </c>
      <c r="H56" s="28">
        <f t="shared" si="0"/>
        <v>486</v>
      </c>
      <c r="I56" s="9"/>
      <c r="J56" s="31" t="s">
        <v>240</v>
      </c>
      <c r="K56" s="9" t="s">
        <v>232</v>
      </c>
      <c r="L56" s="9"/>
      <c r="M56" s="10">
        <v>46058</v>
      </c>
      <c r="N56" s="8"/>
      <c r="O56" s="9"/>
      <c r="P56" s="10">
        <v>46069</v>
      </c>
      <c r="Q56" s="11"/>
    </row>
    <row r="57" spans="2:17" s="3" customFormat="1" ht="19.7" customHeight="1" x14ac:dyDescent="0.15">
      <c r="B57" s="89"/>
      <c r="C57" s="8" t="s">
        <v>80</v>
      </c>
      <c r="D57" s="8" t="s">
        <v>80</v>
      </c>
      <c r="E57" s="31" t="s">
        <v>134</v>
      </c>
      <c r="F57" s="9">
        <v>2</v>
      </c>
      <c r="G57" s="31">
        <v>335</v>
      </c>
      <c r="H57" s="28">
        <f t="shared" si="0"/>
        <v>670</v>
      </c>
      <c r="I57" s="9"/>
      <c r="J57" s="31" t="s">
        <v>248</v>
      </c>
      <c r="K57" s="9" t="s">
        <v>232</v>
      </c>
      <c r="L57" s="9"/>
      <c r="M57" s="10">
        <v>46058</v>
      </c>
      <c r="N57" s="8"/>
      <c r="O57" s="9"/>
      <c r="P57" s="10">
        <v>46069</v>
      </c>
      <c r="Q57" s="11"/>
    </row>
    <row r="58" spans="2:17" s="3" customFormat="1" ht="19.7" customHeight="1" x14ac:dyDescent="0.15">
      <c r="B58" s="89"/>
      <c r="C58" s="8" t="s">
        <v>80</v>
      </c>
      <c r="D58" s="8" t="s">
        <v>80</v>
      </c>
      <c r="E58" s="31" t="s">
        <v>135</v>
      </c>
      <c r="F58" s="9">
        <v>2</v>
      </c>
      <c r="G58" s="31">
        <v>100</v>
      </c>
      <c r="H58" s="28">
        <f t="shared" si="0"/>
        <v>200</v>
      </c>
      <c r="I58" s="9"/>
      <c r="J58" s="31" t="s">
        <v>239</v>
      </c>
      <c r="K58" s="9" t="s">
        <v>232</v>
      </c>
      <c r="L58" s="9"/>
      <c r="M58" s="10">
        <v>46058</v>
      </c>
      <c r="N58" s="8"/>
      <c r="O58" s="9"/>
      <c r="P58" s="10">
        <v>46069</v>
      </c>
      <c r="Q58" s="11"/>
    </row>
    <row r="59" spans="2:17" s="3" customFormat="1" ht="19.7" customHeight="1" x14ac:dyDescent="0.15">
      <c r="B59" s="89"/>
      <c r="C59" s="8" t="s">
        <v>80</v>
      </c>
      <c r="D59" s="8" t="s">
        <v>80</v>
      </c>
      <c r="E59" s="31" t="s">
        <v>136</v>
      </c>
      <c r="F59" s="9">
        <v>73</v>
      </c>
      <c r="G59" s="31">
        <v>42</v>
      </c>
      <c r="H59" s="28">
        <f t="shared" si="0"/>
        <v>3066</v>
      </c>
      <c r="I59" s="9"/>
      <c r="J59" s="31" t="s">
        <v>239</v>
      </c>
      <c r="K59" s="9" t="s">
        <v>232</v>
      </c>
      <c r="L59" s="9"/>
      <c r="M59" s="10">
        <v>46058</v>
      </c>
      <c r="N59" s="8"/>
      <c r="O59" s="15"/>
      <c r="P59" s="10">
        <v>46069</v>
      </c>
      <c r="Q59" s="10"/>
    </row>
    <row r="60" spans="2:17" s="3" customFormat="1" ht="19.7" customHeight="1" x14ac:dyDescent="0.15">
      <c r="B60" s="89"/>
      <c r="C60" s="8" t="s">
        <v>80</v>
      </c>
      <c r="D60" s="8" t="s">
        <v>80</v>
      </c>
      <c r="E60" s="31" t="s">
        <v>137</v>
      </c>
      <c r="F60" s="9">
        <v>4</v>
      </c>
      <c r="G60" s="31">
        <v>248</v>
      </c>
      <c r="H60" s="28">
        <f t="shared" si="0"/>
        <v>992</v>
      </c>
      <c r="I60" s="9"/>
      <c r="J60" s="31" t="s">
        <v>247</v>
      </c>
      <c r="K60" s="9" t="s">
        <v>232</v>
      </c>
      <c r="L60" s="22"/>
      <c r="M60" s="10">
        <v>46058</v>
      </c>
      <c r="N60" s="8"/>
      <c r="O60" s="15"/>
      <c r="P60" s="10">
        <v>46069</v>
      </c>
      <c r="Q60" s="11"/>
    </row>
    <row r="61" spans="2:17" s="3" customFormat="1" ht="19.5" customHeight="1" x14ac:dyDescent="0.15">
      <c r="B61" s="89"/>
      <c r="C61" s="8" t="s">
        <v>80</v>
      </c>
      <c r="D61" s="8" t="s">
        <v>80</v>
      </c>
      <c r="E61" s="31" t="s">
        <v>138</v>
      </c>
      <c r="F61" s="9">
        <v>2</v>
      </c>
      <c r="G61" s="31">
        <v>436</v>
      </c>
      <c r="H61" s="28">
        <f t="shared" si="0"/>
        <v>872</v>
      </c>
      <c r="I61" s="9"/>
      <c r="J61" s="31" t="s">
        <v>247</v>
      </c>
      <c r="K61" s="9" t="s">
        <v>232</v>
      </c>
      <c r="L61" s="9"/>
      <c r="M61" s="10">
        <v>46058</v>
      </c>
      <c r="N61" s="8"/>
      <c r="O61" s="9"/>
      <c r="P61" s="10">
        <v>46069</v>
      </c>
      <c r="Q61" s="11"/>
    </row>
    <row r="62" spans="2:17" s="3" customFormat="1" ht="19.7" customHeight="1" x14ac:dyDescent="0.15">
      <c r="B62" s="84" t="s">
        <v>155</v>
      </c>
      <c r="C62" s="8" t="s">
        <v>80</v>
      </c>
      <c r="D62" s="8" t="s">
        <v>80</v>
      </c>
      <c r="E62" s="31" t="s">
        <v>141</v>
      </c>
      <c r="F62" s="9">
        <v>1</v>
      </c>
      <c r="G62" s="31">
        <v>5451</v>
      </c>
      <c r="H62" s="28">
        <f t="shared" si="0"/>
        <v>5451</v>
      </c>
      <c r="I62" s="9"/>
      <c r="J62" s="31" t="s">
        <v>246</v>
      </c>
      <c r="K62" s="9" t="s">
        <v>232</v>
      </c>
      <c r="L62" s="9"/>
      <c r="M62" s="10">
        <v>46058</v>
      </c>
      <c r="N62" s="8"/>
      <c r="O62" s="9"/>
      <c r="P62" s="10">
        <v>46069</v>
      </c>
      <c r="Q62" s="11"/>
    </row>
    <row r="63" spans="2:17" s="3" customFormat="1" ht="19.7" customHeight="1" x14ac:dyDescent="0.15">
      <c r="B63" s="89"/>
      <c r="C63" s="8" t="s">
        <v>80</v>
      </c>
      <c r="D63" s="8" t="s">
        <v>80</v>
      </c>
      <c r="E63" s="31" t="s">
        <v>142</v>
      </c>
      <c r="F63" s="9">
        <v>4</v>
      </c>
      <c r="G63" s="31">
        <v>671</v>
      </c>
      <c r="H63" s="28">
        <f t="shared" si="0"/>
        <v>2684</v>
      </c>
      <c r="I63" s="9"/>
      <c r="J63" s="31" t="s">
        <v>245</v>
      </c>
      <c r="K63" s="9" t="s">
        <v>232</v>
      </c>
      <c r="L63" s="9"/>
      <c r="M63" s="10">
        <v>46058</v>
      </c>
      <c r="N63" s="8"/>
      <c r="O63" s="9"/>
      <c r="P63" s="10">
        <v>46069</v>
      </c>
      <c r="Q63" s="11"/>
    </row>
    <row r="64" spans="2:17" s="3" customFormat="1" ht="19.7" customHeight="1" x14ac:dyDescent="0.15">
      <c r="B64" s="89"/>
      <c r="C64" s="8" t="s">
        <v>80</v>
      </c>
      <c r="D64" s="8" t="s">
        <v>80</v>
      </c>
      <c r="E64" s="31" t="s">
        <v>143</v>
      </c>
      <c r="F64" s="9">
        <v>4</v>
      </c>
      <c r="G64" s="31">
        <v>6303</v>
      </c>
      <c r="H64" s="28">
        <f t="shared" si="0"/>
        <v>25212</v>
      </c>
      <c r="I64" s="9"/>
      <c r="J64" s="31" t="s">
        <v>244</v>
      </c>
      <c r="K64" s="9" t="s">
        <v>232</v>
      </c>
      <c r="L64" s="9"/>
      <c r="M64" s="10">
        <v>46058</v>
      </c>
      <c r="N64" s="8"/>
      <c r="O64" s="15"/>
      <c r="P64" s="10">
        <v>46069</v>
      </c>
      <c r="Q64" s="10"/>
    </row>
    <row r="65" spans="2:17" s="3" customFormat="1" ht="19.7" customHeight="1" x14ac:dyDescent="0.15">
      <c r="B65" s="89"/>
      <c r="C65" s="8" t="s">
        <v>80</v>
      </c>
      <c r="D65" s="8" t="s">
        <v>80</v>
      </c>
      <c r="E65" s="31" t="s">
        <v>144</v>
      </c>
      <c r="F65" s="9">
        <v>47</v>
      </c>
      <c r="G65" s="31">
        <v>375</v>
      </c>
      <c r="H65" s="28">
        <f t="shared" si="0"/>
        <v>17625</v>
      </c>
      <c r="I65" s="9"/>
      <c r="J65" s="31" t="s">
        <v>243</v>
      </c>
      <c r="K65" s="9" t="s">
        <v>232</v>
      </c>
      <c r="L65" s="22"/>
      <c r="M65" s="10">
        <v>46058</v>
      </c>
      <c r="N65" s="8"/>
      <c r="O65" s="15"/>
      <c r="P65" s="10">
        <v>46069</v>
      </c>
      <c r="Q65" s="10"/>
    </row>
    <row r="66" spans="2:17" s="3" customFormat="1" ht="19.7" customHeight="1" x14ac:dyDescent="0.15">
      <c r="B66" s="89"/>
      <c r="C66" s="8" t="s">
        <v>80</v>
      </c>
      <c r="D66" s="8" t="s">
        <v>80</v>
      </c>
      <c r="E66" s="31" t="s">
        <v>110</v>
      </c>
      <c r="F66" s="9">
        <v>36</v>
      </c>
      <c r="G66" s="31">
        <v>247</v>
      </c>
      <c r="H66" s="28">
        <f t="shared" si="0"/>
        <v>8892</v>
      </c>
      <c r="I66" s="9"/>
      <c r="J66" s="31" t="s">
        <v>243</v>
      </c>
      <c r="K66" s="9" t="s">
        <v>232</v>
      </c>
      <c r="L66" s="22"/>
      <c r="M66" s="10">
        <v>46058</v>
      </c>
      <c r="N66" s="8"/>
      <c r="O66" s="15"/>
      <c r="P66" s="10">
        <v>46069</v>
      </c>
      <c r="Q66" s="11"/>
    </row>
    <row r="67" spans="2:17" s="3" customFormat="1" ht="19.7" customHeight="1" x14ac:dyDescent="0.15">
      <c r="B67" s="89"/>
      <c r="C67" s="8" t="s">
        <v>80</v>
      </c>
      <c r="D67" s="8" t="s">
        <v>80</v>
      </c>
      <c r="E67" s="31" t="s">
        <v>145</v>
      </c>
      <c r="F67" s="9">
        <v>1</v>
      </c>
      <c r="G67" s="31">
        <v>300</v>
      </c>
      <c r="H67" s="28">
        <f t="shared" si="0"/>
        <v>300</v>
      </c>
      <c r="I67" s="9"/>
      <c r="J67" s="31" t="s">
        <v>242</v>
      </c>
      <c r="K67" s="9" t="s">
        <v>232</v>
      </c>
      <c r="L67" s="22"/>
      <c r="M67" s="10">
        <v>46058</v>
      </c>
      <c r="N67" s="8"/>
      <c r="O67" s="15"/>
      <c r="P67" s="10">
        <v>46069</v>
      </c>
      <c r="Q67" s="11"/>
    </row>
    <row r="68" spans="2:17" s="3" customFormat="1" ht="19.7" customHeight="1" x14ac:dyDescent="0.15">
      <c r="B68" s="89"/>
      <c r="C68" s="8" t="s">
        <v>80</v>
      </c>
      <c r="D68" s="8" t="s">
        <v>80</v>
      </c>
      <c r="E68" s="31" t="s">
        <v>146</v>
      </c>
      <c r="F68" s="9">
        <v>6</v>
      </c>
      <c r="G68" s="31">
        <v>427</v>
      </c>
      <c r="H68" s="28">
        <f t="shared" si="0"/>
        <v>2562</v>
      </c>
      <c r="I68" s="9"/>
      <c r="J68" s="31" t="s">
        <v>241</v>
      </c>
      <c r="K68" s="9" t="s">
        <v>232</v>
      </c>
      <c r="L68" s="9"/>
      <c r="M68" s="10">
        <v>46058</v>
      </c>
      <c r="N68" s="8"/>
      <c r="O68" s="9"/>
      <c r="P68" s="10">
        <v>46069</v>
      </c>
      <c r="Q68" s="11"/>
    </row>
    <row r="69" spans="2:17" s="3" customFormat="1" ht="19.7" customHeight="1" x14ac:dyDescent="0.15">
      <c r="B69" s="89"/>
      <c r="C69" s="8" t="s">
        <v>80</v>
      </c>
      <c r="D69" s="8" t="s">
        <v>80</v>
      </c>
      <c r="E69" s="31" t="s">
        <v>147</v>
      </c>
      <c r="F69" s="9">
        <v>6</v>
      </c>
      <c r="G69" s="31">
        <v>287</v>
      </c>
      <c r="H69" s="28">
        <f t="shared" si="0"/>
        <v>1722</v>
      </c>
      <c r="I69" s="9"/>
      <c r="J69" s="31" t="s">
        <v>241</v>
      </c>
      <c r="K69" s="9" t="s">
        <v>232</v>
      </c>
      <c r="L69" s="9"/>
      <c r="M69" s="10">
        <v>46058</v>
      </c>
      <c r="N69" s="8"/>
      <c r="O69" s="9"/>
      <c r="P69" s="10">
        <v>46069</v>
      </c>
      <c r="Q69" s="11"/>
    </row>
    <row r="70" spans="2:17" s="3" customFormat="1" ht="19.7" customHeight="1" x14ac:dyDescent="0.15">
      <c r="B70" s="89"/>
      <c r="C70" s="8" t="s">
        <v>80</v>
      </c>
      <c r="D70" s="8" t="s">
        <v>80</v>
      </c>
      <c r="E70" s="31" t="s">
        <v>148</v>
      </c>
      <c r="F70" s="9">
        <v>4</v>
      </c>
      <c r="G70" s="31">
        <v>712</v>
      </c>
      <c r="H70" s="28">
        <f t="shared" si="0"/>
        <v>2848</v>
      </c>
      <c r="I70" s="9"/>
      <c r="J70" s="31" t="s">
        <v>241</v>
      </c>
      <c r="K70" s="9" t="s">
        <v>232</v>
      </c>
      <c r="L70" s="9"/>
      <c r="M70" s="10">
        <v>46058</v>
      </c>
      <c r="N70" s="8"/>
      <c r="O70" s="9"/>
      <c r="P70" s="10">
        <v>46069</v>
      </c>
      <c r="Q70" s="11"/>
    </row>
    <row r="71" spans="2:17" s="3" customFormat="1" ht="19.7" customHeight="1" x14ac:dyDescent="0.15">
      <c r="B71" s="89"/>
      <c r="C71" s="8" t="s">
        <v>80</v>
      </c>
      <c r="D71" s="8" t="s">
        <v>80</v>
      </c>
      <c r="E71" s="31" t="s">
        <v>149</v>
      </c>
      <c r="F71" s="9">
        <v>1</v>
      </c>
      <c r="G71" s="31">
        <v>2643</v>
      </c>
      <c r="H71" s="28">
        <f t="shared" si="0"/>
        <v>2643</v>
      </c>
      <c r="I71" s="9"/>
      <c r="J71" s="31" t="s">
        <v>241</v>
      </c>
      <c r="K71" s="9" t="s">
        <v>232</v>
      </c>
      <c r="L71" s="9"/>
      <c r="M71" s="10">
        <v>46058</v>
      </c>
      <c r="N71" s="8"/>
      <c r="O71" s="9"/>
      <c r="P71" s="10">
        <v>46069</v>
      </c>
      <c r="Q71" s="11"/>
    </row>
    <row r="72" spans="2:17" s="3" customFormat="1" ht="19.7" customHeight="1" x14ac:dyDescent="0.15">
      <c r="B72" s="89"/>
      <c r="C72" s="8" t="s">
        <v>80</v>
      </c>
      <c r="D72" s="8" t="s">
        <v>80</v>
      </c>
      <c r="E72" s="31" t="s">
        <v>150</v>
      </c>
      <c r="F72" s="9">
        <v>1</v>
      </c>
      <c r="G72" s="31">
        <v>832</v>
      </c>
      <c r="H72" s="28">
        <f t="shared" si="0"/>
        <v>832</v>
      </c>
      <c r="I72" s="9"/>
      <c r="J72" s="31" t="s">
        <v>241</v>
      </c>
      <c r="K72" s="9" t="s">
        <v>232</v>
      </c>
      <c r="L72" s="9"/>
      <c r="M72" s="10">
        <v>46058</v>
      </c>
      <c r="N72" s="8"/>
      <c r="O72" s="15"/>
      <c r="P72" s="10">
        <v>46069</v>
      </c>
      <c r="Q72" s="10"/>
    </row>
    <row r="73" spans="2:17" s="3" customFormat="1" ht="19.7" customHeight="1" x14ac:dyDescent="0.15">
      <c r="B73" s="89"/>
      <c r="C73" s="8" t="s">
        <v>80</v>
      </c>
      <c r="D73" s="8" t="s">
        <v>80</v>
      </c>
      <c r="E73" s="31" t="s">
        <v>151</v>
      </c>
      <c r="F73" s="9">
        <v>2</v>
      </c>
      <c r="G73" s="31">
        <v>1494</v>
      </c>
      <c r="H73" s="28">
        <f t="shared" si="0"/>
        <v>2988</v>
      </c>
      <c r="I73" s="9"/>
      <c r="J73" s="31" t="s">
        <v>241</v>
      </c>
      <c r="K73" s="9" t="s">
        <v>232</v>
      </c>
      <c r="L73" s="22"/>
      <c r="M73" s="10">
        <v>46058</v>
      </c>
      <c r="N73" s="8"/>
      <c r="O73" s="15"/>
      <c r="P73" s="10">
        <v>46069</v>
      </c>
      <c r="Q73" s="10"/>
    </row>
    <row r="74" spans="2:17" s="3" customFormat="1" ht="19.7" customHeight="1" x14ac:dyDescent="0.15">
      <c r="B74" s="89"/>
      <c r="C74" s="8" t="s">
        <v>80</v>
      </c>
      <c r="D74" s="8" t="s">
        <v>80</v>
      </c>
      <c r="E74" s="31" t="s">
        <v>152</v>
      </c>
      <c r="F74" s="9">
        <v>4</v>
      </c>
      <c r="G74" s="31">
        <v>1821</v>
      </c>
      <c r="H74" s="28">
        <f t="shared" si="0"/>
        <v>7284</v>
      </c>
      <c r="I74" s="9"/>
      <c r="J74" s="31" t="s">
        <v>241</v>
      </c>
      <c r="K74" s="9" t="s">
        <v>232</v>
      </c>
      <c r="L74" s="22"/>
      <c r="M74" s="10">
        <v>46058</v>
      </c>
      <c r="N74" s="8"/>
      <c r="O74" s="15"/>
      <c r="P74" s="10">
        <v>46069</v>
      </c>
      <c r="Q74" s="11"/>
    </row>
    <row r="75" spans="2:17" s="3" customFormat="1" ht="19.7" customHeight="1" x14ac:dyDescent="0.15">
      <c r="B75" s="89"/>
      <c r="C75" s="8" t="s">
        <v>80</v>
      </c>
      <c r="D75" s="8" t="s">
        <v>80</v>
      </c>
      <c r="E75" s="31" t="s">
        <v>153</v>
      </c>
      <c r="F75" s="9">
        <v>11</v>
      </c>
      <c r="G75" s="31">
        <v>2376</v>
      </c>
      <c r="H75" s="28">
        <f t="shared" si="0"/>
        <v>26136</v>
      </c>
      <c r="I75" s="9"/>
      <c r="J75" s="31" t="s">
        <v>241</v>
      </c>
      <c r="K75" s="9" t="s">
        <v>232</v>
      </c>
      <c r="L75" s="22"/>
      <c r="M75" s="10">
        <v>46058</v>
      </c>
      <c r="N75" s="8"/>
      <c r="O75" s="15"/>
      <c r="P75" s="10">
        <v>46069</v>
      </c>
      <c r="Q75" s="11"/>
    </row>
    <row r="76" spans="2:17" s="3" customFormat="1" ht="19.7" customHeight="1" x14ac:dyDescent="0.15">
      <c r="B76" s="89"/>
      <c r="C76" s="8" t="s">
        <v>80</v>
      </c>
      <c r="D76" s="8" t="s">
        <v>80</v>
      </c>
      <c r="E76" s="31" t="s">
        <v>131</v>
      </c>
      <c r="F76" s="9">
        <v>2</v>
      </c>
      <c r="G76" s="31">
        <v>27</v>
      </c>
      <c r="H76" s="28">
        <f t="shared" ref="H76:H106" si="1">F76*G76</f>
        <v>54</v>
      </c>
      <c r="I76" s="9"/>
      <c r="J76" s="31" t="s">
        <v>240</v>
      </c>
      <c r="K76" s="9" t="s">
        <v>232</v>
      </c>
      <c r="L76" s="9"/>
      <c r="M76" s="10">
        <v>46058</v>
      </c>
      <c r="N76" s="8"/>
      <c r="O76" s="9"/>
      <c r="P76" s="10">
        <v>46069</v>
      </c>
      <c r="Q76" s="11"/>
    </row>
    <row r="77" spans="2:17" s="3" customFormat="1" ht="19.7" customHeight="1" x14ac:dyDescent="0.15">
      <c r="B77" s="89"/>
      <c r="C77" s="8" t="s">
        <v>80</v>
      </c>
      <c r="D77" s="8" t="s">
        <v>80</v>
      </c>
      <c r="E77" s="31" t="s">
        <v>132</v>
      </c>
      <c r="F77" s="9">
        <v>18</v>
      </c>
      <c r="G77" s="31">
        <v>27</v>
      </c>
      <c r="H77" s="28">
        <f t="shared" si="1"/>
        <v>486</v>
      </c>
      <c r="I77" s="9"/>
      <c r="J77" s="31" t="s">
        <v>240</v>
      </c>
      <c r="K77" s="9" t="s">
        <v>232</v>
      </c>
      <c r="L77" s="9"/>
      <c r="M77" s="10">
        <v>46058</v>
      </c>
      <c r="N77" s="8"/>
      <c r="O77" s="9"/>
      <c r="P77" s="10">
        <v>46069</v>
      </c>
      <c r="Q77" s="11"/>
    </row>
    <row r="78" spans="2:17" s="3" customFormat="1" ht="19.7" customHeight="1" x14ac:dyDescent="0.15">
      <c r="B78" s="89"/>
      <c r="C78" s="8" t="s">
        <v>80</v>
      </c>
      <c r="D78" s="8" t="s">
        <v>80</v>
      </c>
      <c r="E78" s="31" t="s">
        <v>133</v>
      </c>
      <c r="F78" s="9">
        <v>6</v>
      </c>
      <c r="G78" s="31">
        <v>27</v>
      </c>
      <c r="H78" s="28">
        <f t="shared" si="1"/>
        <v>162</v>
      </c>
      <c r="I78" s="9"/>
      <c r="J78" s="31" t="s">
        <v>240</v>
      </c>
      <c r="K78" s="9" t="s">
        <v>232</v>
      </c>
      <c r="L78" s="9"/>
      <c r="M78" s="10">
        <v>46058</v>
      </c>
      <c r="N78" s="8"/>
      <c r="O78" s="9"/>
      <c r="P78" s="10">
        <v>46069</v>
      </c>
      <c r="Q78" s="11"/>
    </row>
    <row r="79" spans="2:17" s="3" customFormat="1" ht="19.7" customHeight="1" x14ac:dyDescent="0.15">
      <c r="B79" s="89"/>
      <c r="C79" s="8" t="s">
        <v>80</v>
      </c>
      <c r="D79" s="8" t="s">
        <v>80</v>
      </c>
      <c r="E79" s="31" t="s">
        <v>136</v>
      </c>
      <c r="F79" s="9">
        <v>4</v>
      </c>
      <c r="G79" s="31">
        <v>90</v>
      </c>
      <c r="H79" s="28">
        <f t="shared" si="1"/>
        <v>360</v>
      </c>
      <c r="I79" s="9"/>
      <c r="J79" s="31" t="s">
        <v>239</v>
      </c>
      <c r="K79" s="9" t="s">
        <v>232</v>
      </c>
      <c r="L79" s="9"/>
      <c r="M79" s="10">
        <v>46058</v>
      </c>
      <c r="N79" s="8"/>
      <c r="O79" s="15"/>
      <c r="P79" s="10">
        <v>46069</v>
      </c>
      <c r="Q79" s="10"/>
    </row>
    <row r="80" spans="2:17" s="3" customFormat="1" ht="19.7" customHeight="1" x14ac:dyDescent="0.15">
      <c r="B80" s="89"/>
      <c r="C80" s="8" t="s">
        <v>237</v>
      </c>
      <c r="D80" s="8" t="s">
        <v>193</v>
      </c>
      <c r="E80" s="31" t="s">
        <v>154</v>
      </c>
      <c r="F80" s="9" t="s">
        <v>27</v>
      </c>
      <c r="G80" s="28">
        <v>77780</v>
      </c>
      <c r="H80" s="28">
        <f t="shared" si="1"/>
        <v>77780</v>
      </c>
      <c r="I80" s="9"/>
      <c r="J80" s="22" t="s">
        <v>238</v>
      </c>
      <c r="K80" s="33" t="s">
        <v>206</v>
      </c>
      <c r="L80" s="9"/>
      <c r="M80" s="59">
        <v>46071</v>
      </c>
      <c r="N80" s="53"/>
      <c r="O80" s="63">
        <v>46084</v>
      </c>
      <c r="P80" s="10">
        <v>46084</v>
      </c>
      <c r="Q80" s="47"/>
    </row>
    <row r="81" spans="2:17" s="3" customFormat="1" ht="19.7" customHeight="1" x14ac:dyDescent="0.15">
      <c r="B81" s="78">
        <v>24</v>
      </c>
      <c r="C81" s="8" t="s">
        <v>81</v>
      </c>
      <c r="D81" s="8" t="s">
        <v>82</v>
      </c>
      <c r="E81" s="49" t="s">
        <v>229</v>
      </c>
      <c r="F81" s="50">
        <v>1</v>
      </c>
      <c r="G81" s="28"/>
      <c r="H81" s="28">
        <f t="shared" si="1"/>
        <v>0</v>
      </c>
      <c r="I81" s="9"/>
      <c r="J81" s="22" t="s">
        <v>160</v>
      </c>
      <c r="K81" s="51" t="s">
        <v>295</v>
      </c>
      <c r="L81" s="22"/>
      <c r="M81" s="10"/>
      <c r="N81" s="8"/>
      <c r="O81" s="15"/>
      <c r="P81" s="10"/>
      <c r="Q81" s="10"/>
    </row>
    <row r="82" spans="2:17" s="3" customFormat="1" ht="19.7" customHeight="1" x14ac:dyDescent="0.15">
      <c r="B82" s="79"/>
      <c r="C82" s="8" t="s">
        <v>296</v>
      </c>
      <c r="D82" s="8" t="s">
        <v>296</v>
      </c>
      <c r="E82" s="31" t="s">
        <v>297</v>
      </c>
      <c r="F82" s="9">
        <v>1</v>
      </c>
      <c r="G82" s="28">
        <v>55000</v>
      </c>
      <c r="H82" s="28">
        <f t="shared" si="1"/>
        <v>55000</v>
      </c>
      <c r="I82" s="9"/>
      <c r="J82" s="22" t="s">
        <v>299</v>
      </c>
      <c r="K82" s="51" t="s">
        <v>301</v>
      </c>
      <c r="L82" s="52" t="s">
        <v>302</v>
      </c>
      <c r="M82" s="10">
        <v>46070</v>
      </c>
      <c r="N82" s="8"/>
      <c r="O82" s="15">
        <v>46078</v>
      </c>
      <c r="P82" s="10"/>
      <c r="Q82" s="10"/>
    </row>
    <row r="83" spans="2:17" s="3" customFormat="1" ht="19.7" customHeight="1" x14ac:dyDescent="0.15">
      <c r="B83" s="80"/>
      <c r="C83" s="8" t="s">
        <v>296</v>
      </c>
      <c r="D83" s="8" t="s">
        <v>296</v>
      </c>
      <c r="E83" s="31" t="s">
        <v>298</v>
      </c>
      <c r="F83" s="9">
        <v>1</v>
      </c>
      <c r="G83" s="28">
        <v>4200</v>
      </c>
      <c r="H83" s="28">
        <f t="shared" si="1"/>
        <v>4200</v>
      </c>
      <c r="I83" s="9"/>
      <c r="J83" s="22" t="s">
        <v>300</v>
      </c>
      <c r="K83" s="51" t="s">
        <v>301</v>
      </c>
      <c r="L83" s="52" t="s">
        <v>302</v>
      </c>
      <c r="M83" s="10">
        <v>46070</v>
      </c>
      <c r="N83" s="8"/>
      <c r="O83" s="15">
        <v>46078</v>
      </c>
      <c r="P83" s="10"/>
      <c r="Q83" s="10"/>
    </row>
    <row r="84" spans="2:17" s="3" customFormat="1" ht="19.7" customHeight="1" x14ac:dyDescent="0.15">
      <c r="B84" s="89">
        <v>25</v>
      </c>
      <c r="C84" s="8" t="s">
        <v>37</v>
      </c>
      <c r="D84" s="8" t="s">
        <v>37</v>
      </c>
      <c r="E84" s="31" t="s">
        <v>158</v>
      </c>
      <c r="F84" s="9">
        <v>1</v>
      </c>
      <c r="G84" s="31">
        <v>1915</v>
      </c>
      <c r="H84" s="28">
        <f t="shared" si="1"/>
        <v>1915</v>
      </c>
      <c r="I84" s="9"/>
      <c r="J84" s="31" t="s">
        <v>260</v>
      </c>
      <c r="K84" s="9" t="s">
        <v>232</v>
      </c>
      <c r="L84" s="9"/>
      <c r="M84" s="10">
        <v>46058</v>
      </c>
      <c r="N84" s="8"/>
      <c r="O84" s="9"/>
      <c r="P84" s="10">
        <v>46069</v>
      </c>
      <c r="Q84" s="11"/>
    </row>
    <row r="85" spans="2:17" s="3" customFormat="1" ht="19.7" customHeight="1" x14ac:dyDescent="0.15">
      <c r="B85" s="89"/>
      <c r="C85" s="8" t="s">
        <v>37</v>
      </c>
      <c r="D85" s="8" t="s">
        <v>37</v>
      </c>
      <c r="E85" s="31" t="s">
        <v>159</v>
      </c>
      <c r="F85" s="9">
        <v>1</v>
      </c>
      <c r="G85" s="31">
        <v>60000</v>
      </c>
      <c r="H85" s="28">
        <f t="shared" si="1"/>
        <v>60000</v>
      </c>
      <c r="I85" s="9"/>
      <c r="J85" s="31" t="s">
        <v>259</v>
      </c>
      <c r="K85" s="9" t="s">
        <v>232</v>
      </c>
      <c r="L85" s="9"/>
      <c r="M85" s="10">
        <v>46058</v>
      </c>
      <c r="N85" s="8"/>
      <c r="O85" s="15"/>
      <c r="P85" s="10">
        <v>46069</v>
      </c>
      <c r="Q85" s="10"/>
    </row>
    <row r="86" spans="2:17" s="3" customFormat="1" ht="19.7" customHeight="1" x14ac:dyDescent="0.15">
      <c r="B86" s="84" t="s">
        <v>84</v>
      </c>
      <c r="C86" s="8" t="s">
        <v>37</v>
      </c>
      <c r="D86" s="8" t="s">
        <v>37</v>
      </c>
      <c r="E86" s="31" t="s">
        <v>51</v>
      </c>
      <c r="F86" s="9">
        <v>1</v>
      </c>
      <c r="G86" s="31">
        <v>5574</v>
      </c>
      <c r="H86" s="28">
        <f t="shared" si="1"/>
        <v>5574</v>
      </c>
      <c r="I86" s="9"/>
      <c r="J86" s="38" t="s">
        <v>50</v>
      </c>
      <c r="K86" s="9" t="s">
        <v>232</v>
      </c>
      <c r="L86" s="9"/>
      <c r="M86" s="10">
        <v>46058</v>
      </c>
      <c r="N86" s="8"/>
      <c r="O86" s="9"/>
      <c r="P86" s="10">
        <v>46069</v>
      </c>
      <c r="Q86" s="11"/>
    </row>
    <row r="87" spans="2:17" s="3" customFormat="1" ht="19.7" customHeight="1" x14ac:dyDescent="0.15">
      <c r="B87" s="84"/>
      <c r="C87" s="8" t="s">
        <v>37</v>
      </c>
      <c r="D87" s="8" t="s">
        <v>37</v>
      </c>
      <c r="E87" s="31" t="s">
        <v>53</v>
      </c>
      <c r="F87" s="9">
        <v>1</v>
      </c>
      <c r="G87" s="31">
        <v>12252</v>
      </c>
      <c r="H87" s="28">
        <f t="shared" si="1"/>
        <v>12252</v>
      </c>
      <c r="I87" s="9"/>
      <c r="J87" s="38" t="s">
        <v>52</v>
      </c>
      <c r="K87" s="9" t="s">
        <v>232</v>
      </c>
      <c r="L87" s="9"/>
      <c r="M87" s="10">
        <v>46058</v>
      </c>
      <c r="N87" s="8"/>
      <c r="O87" s="15"/>
      <c r="P87" s="10">
        <v>46069</v>
      </c>
      <c r="Q87" s="10"/>
    </row>
    <row r="88" spans="2:17" s="3" customFormat="1" ht="19.7" customHeight="1" x14ac:dyDescent="0.15">
      <c r="B88" s="84"/>
      <c r="C88" s="8" t="s">
        <v>37</v>
      </c>
      <c r="D88" s="8" t="s">
        <v>37</v>
      </c>
      <c r="E88" s="31" t="s">
        <v>55</v>
      </c>
      <c r="F88" s="9">
        <v>1</v>
      </c>
      <c r="G88" s="31">
        <v>3026</v>
      </c>
      <c r="H88" s="28">
        <f t="shared" si="1"/>
        <v>3026</v>
      </c>
      <c r="I88" s="9"/>
      <c r="J88" s="38" t="s">
        <v>54</v>
      </c>
      <c r="K88" s="9" t="s">
        <v>232</v>
      </c>
      <c r="L88" s="22"/>
      <c r="M88" s="10">
        <v>46058</v>
      </c>
      <c r="N88" s="8"/>
      <c r="O88" s="15"/>
      <c r="P88" s="10">
        <v>46069</v>
      </c>
      <c r="Q88" s="10"/>
    </row>
    <row r="89" spans="2:17" s="3" customFormat="1" ht="19.7" customHeight="1" x14ac:dyDescent="0.15">
      <c r="B89" s="84"/>
      <c r="C89" s="8" t="s">
        <v>80</v>
      </c>
      <c r="D89" s="8" t="s">
        <v>80</v>
      </c>
      <c r="E89" s="31" t="s">
        <v>74</v>
      </c>
      <c r="F89" s="9">
        <v>1</v>
      </c>
      <c r="G89" s="31">
        <v>5987</v>
      </c>
      <c r="H89" s="28">
        <f t="shared" si="1"/>
        <v>5987</v>
      </c>
      <c r="I89" s="9"/>
      <c r="J89" s="38" t="s">
        <v>73</v>
      </c>
      <c r="K89" s="9" t="s">
        <v>232</v>
      </c>
      <c r="L89" s="9"/>
      <c r="M89" s="10">
        <v>46058</v>
      </c>
      <c r="N89" s="8"/>
      <c r="O89" s="15"/>
      <c r="P89" s="10">
        <v>46069</v>
      </c>
      <c r="Q89" s="10"/>
    </row>
    <row r="90" spans="2:17" s="3" customFormat="1" ht="19.7" customHeight="1" x14ac:dyDescent="0.15">
      <c r="B90" s="84"/>
      <c r="C90" s="8" t="s">
        <v>80</v>
      </c>
      <c r="D90" s="8" t="s">
        <v>80</v>
      </c>
      <c r="E90" s="31" t="s">
        <v>85</v>
      </c>
      <c r="F90" s="9">
        <v>2</v>
      </c>
      <c r="G90" s="31">
        <v>454</v>
      </c>
      <c r="H90" s="28">
        <f t="shared" si="1"/>
        <v>908</v>
      </c>
      <c r="I90" s="9"/>
      <c r="J90" s="31" t="s">
        <v>269</v>
      </c>
      <c r="K90" s="9" t="s">
        <v>232</v>
      </c>
      <c r="L90" s="22"/>
      <c r="M90" s="10">
        <v>46058</v>
      </c>
      <c r="N90" s="8"/>
      <c r="O90" s="15"/>
      <c r="P90" s="10">
        <v>46069</v>
      </c>
      <c r="Q90" s="10"/>
    </row>
    <row r="91" spans="2:17" s="3" customFormat="1" ht="19.7" customHeight="1" x14ac:dyDescent="0.15">
      <c r="B91" s="84"/>
      <c r="C91" s="8" t="s">
        <v>80</v>
      </c>
      <c r="D91" s="8" t="s">
        <v>80</v>
      </c>
      <c r="E91" s="31" t="s">
        <v>86</v>
      </c>
      <c r="F91" s="9">
        <v>2</v>
      </c>
      <c r="G91" s="31">
        <v>158</v>
      </c>
      <c r="H91" s="28">
        <f t="shared" si="1"/>
        <v>316</v>
      </c>
      <c r="I91" s="9"/>
      <c r="J91" s="31" t="s">
        <v>268</v>
      </c>
      <c r="K91" s="9" t="s">
        <v>232</v>
      </c>
      <c r="L91" s="22"/>
      <c r="M91" s="10">
        <v>46058</v>
      </c>
      <c r="N91" s="8"/>
      <c r="O91" s="15"/>
      <c r="P91" s="10">
        <v>46069</v>
      </c>
      <c r="Q91" s="11"/>
    </row>
    <row r="92" spans="2:17" s="3" customFormat="1" ht="19.5" customHeight="1" x14ac:dyDescent="0.15">
      <c r="B92" s="84"/>
      <c r="C92" s="8" t="s">
        <v>80</v>
      </c>
      <c r="D92" s="8" t="s">
        <v>80</v>
      </c>
      <c r="E92" s="31" t="s">
        <v>87</v>
      </c>
      <c r="F92" s="9">
        <v>2</v>
      </c>
      <c r="G92" s="31">
        <v>51</v>
      </c>
      <c r="H92" s="28">
        <f t="shared" si="1"/>
        <v>102</v>
      </c>
      <c r="I92" s="9"/>
      <c r="J92" s="31" t="s">
        <v>267</v>
      </c>
      <c r="K92" s="9" t="s">
        <v>232</v>
      </c>
      <c r="L92" s="9"/>
      <c r="M92" s="10">
        <v>46058</v>
      </c>
      <c r="N92" s="8"/>
      <c r="O92" s="9"/>
      <c r="P92" s="10">
        <v>46069</v>
      </c>
      <c r="Q92" s="11"/>
    </row>
    <row r="93" spans="2:17" s="3" customFormat="1" ht="19.5" customHeight="1" x14ac:dyDescent="0.15">
      <c r="B93" s="84"/>
      <c r="C93" s="8" t="s">
        <v>80</v>
      </c>
      <c r="D93" s="8" t="s">
        <v>80</v>
      </c>
      <c r="E93" s="31" t="s">
        <v>91</v>
      </c>
      <c r="F93" s="9">
        <v>1</v>
      </c>
      <c r="G93" s="31">
        <v>237</v>
      </c>
      <c r="H93" s="28">
        <f t="shared" si="1"/>
        <v>237</v>
      </c>
      <c r="I93" s="9"/>
      <c r="J93" s="31" t="s">
        <v>266</v>
      </c>
      <c r="K93" s="9" t="s">
        <v>232</v>
      </c>
      <c r="L93" s="9"/>
      <c r="M93" s="10">
        <v>46058</v>
      </c>
      <c r="N93" s="8"/>
      <c r="O93" s="9"/>
      <c r="P93" s="10">
        <v>46069</v>
      </c>
      <c r="Q93" s="11"/>
    </row>
    <row r="94" spans="2:17" s="3" customFormat="1" ht="19.5" customHeight="1" x14ac:dyDescent="0.15">
      <c r="B94" s="84"/>
      <c r="C94" s="8" t="s">
        <v>80</v>
      </c>
      <c r="D94" s="8" t="s">
        <v>80</v>
      </c>
      <c r="E94" s="31" t="s">
        <v>92</v>
      </c>
      <c r="F94" s="9">
        <v>2</v>
      </c>
      <c r="G94" s="31">
        <v>277</v>
      </c>
      <c r="H94" s="28">
        <f t="shared" si="1"/>
        <v>554</v>
      </c>
      <c r="I94" s="9"/>
      <c r="J94" s="31" t="s">
        <v>266</v>
      </c>
      <c r="K94" s="9" t="s">
        <v>232</v>
      </c>
      <c r="L94" s="9"/>
      <c r="M94" s="10">
        <v>46058</v>
      </c>
      <c r="N94" s="8"/>
      <c r="O94" s="9"/>
      <c r="P94" s="10">
        <v>46069</v>
      </c>
      <c r="Q94" s="11"/>
    </row>
    <row r="95" spans="2:17" s="3" customFormat="1" ht="19.5" customHeight="1" x14ac:dyDescent="0.15">
      <c r="B95" s="84"/>
      <c r="C95" s="8" t="s">
        <v>80</v>
      </c>
      <c r="D95" s="8" t="s">
        <v>80</v>
      </c>
      <c r="E95" s="31" t="s">
        <v>93</v>
      </c>
      <c r="F95" s="9">
        <v>1</v>
      </c>
      <c r="G95" s="31">
        <v>346</v>
      </c>
      <c r="H95" s="28">
        <f t="shared" si="1"/>
        <v>346</v>
      </c>
      <c r="I95" s="9"/>
      <c r="J95" s="31" t="s">
        <v>265</v>
      </c>
      <c r="K95" s="9" t="s">
        <v>232</v>
      </c>
      <c r="L95" s="9"/>
      <c r="M95" s="10">
        <v>46058</v>
      </c>
      <c r="N95" s="8"/>
      <c r="O95" s="9"/>
      <c r="P95" s="10">
        <v>46069</v>
      </c>
      <c r="Q95" s="11"/>
    </row>
    <row r="96" spans="2:17" s="3" customFormat="1" ht="19.5" customHeight="1" x14ac:dyDescent="0.15">
      <c r="B96" s="84"/>
      <c r="C96" s="8" t="s">
        <v>80</v>
      </c>
      <c r="D96" s="8" t="s">
        <v>80</v>
      </c>
      <c r="E96" s="31" t="s">
        <v>99</v>
      </c>
      <c r="F96" s="9">
        <v>1</v>
      </c>
      <c r="G96" s="31">
        <v>850</v>
      </c>
      <c r="H96" s="28">
        <f t="shared" si="1"/>
        <v>850</v>
      </c>
      <c r="I96" s="9"/>
      <c r="J96" s="31" t="s">
        <v>264</v>
      </c>
      <c r="K96" s="9" t="s">
        <v>232</v>
      </c>
      <c r="L96" s="9"/>
      <c r="M96" s="10">
        <v>46058</v>
      </c>
      <c r="N96" s="8"/>
      <c r="O96" s="9"/>
      <c r="P96" s="10">
        <v>46069</v>
      </c>
      <c r="Q96" s="11"/>
    </row>
    <row r="97" spans="2:17" s="3" customFormat="1" ht="19.5" customHeight="1" x14ac:dyDescent="0.15">
      <c r="B97" s="84"/>
      <c r="C97" s="8" t="s">
        <v>80</v>
      </c>
      <c r="D97" s="8" t="s">
        <v>80</v>
      </c>
      <c r="E97" s="31" t="s">
        <v>100</v>
      </c>
      <c r="F97" s="9">
        <v>1</v>
      </c>
      <c r="G97" s="31">
        <v>346</v>
      </c>
      <c r="H97" s="28">
        <f t="shared" si="1"/>
        <v>346</v>
      </c>
      <c r="I97" s="9"/>
      <c r="J97" s="31" t="s">
        <v>263</v>
      </c>
      <c r="K97" s="9" t="s">
        <v>232</v>
      </c>
      <c r="L97" s="9"/>
      <c r="M97" s="10">
        <v>46058</v>
      </c>
      <c r="N97" s="8"/>
      <c r="O97" s="9"/>
      <c r="P97" s="10">
        <v>46069</v>
      </c>
      <c r="Q97" s="11"/>
    </row>
    <row r="98" spans="2:17" s="3" customFormat="1" ht="19.5" customHeight="1" x14ac:dyDescent="0.15">
      <c r="B98" s="84"/>
      <c r="C98" s="8" t="s">
        <v>80</v>
      </c>
      <c r="D98" s="8" t="s">
        <v>80</v>
      </c>
      <c r="E98" s="31" t="s">
        <v>101</v>
      </c>
      <c r="F98" s="9">
        <v>1</v>
      </c>
      <c r="G98" s="31">
        <v>102</v>
      </c>
      <c r="H98" s="28">
        <f t="shared" si="1"/>
        <v>102</v>
      </c>
      <c r="I98" s="9"/>
      <c r="J98" s="31" t="s">
        <v>262</v>
      </c>
      <c r="K98" s="9" t="s">
        <v>232</v>
      </c>
      <c r="L98" s="9"/>
      <c r="M98" s="10">
        <v>46058</v>
      </c>
      <c r="N98" s="8"/>
      <c r="O98" s="9"/>
      <c r="P98" s="10">
        <v>46069</v>
      </c>
      <c r="Q98" s="11"/>
    </row>
    <row r="99" spans="2:17" s="3" customFormat="1" ht="19.5" customHeight="1" x14ac:dyDescent="0.15">
      <c r="B99" s="84"/>
      <c r="C99" s="8" t="s">
        <v>80</v>
      </c>
      <c r="D99" s="8" t="s">
        <v>80</v>
      </c>
      <c r="E99" s="31" t="s">
        <v>102</v>
      </c>
      <c r="F99" s="9">
        <v>1</v>
      </c>
      <c r="G99" s="31">
        <v>198</v>
      </c>
      <c r="H99" s="28">
        <f t="shared" si="1"/>
        <v>198</v>
      </c>
      <c r="I99" s="9"/>
      <c r="J99" s="31" t="s">
        <v>261</v>
      </c>
      <c r="K99" s="9" t="s">
        <v>232</v>
      </c>
      <c r="L99" s="9"/>
      <c r="M99" s="10">
        <v>46058</v>
      </c>
      <c r="N99" s="8"/>
      <c r="O99" s="9"/>
      <c r="P99" s="10">
        <v>46069</v>
      </c>
      <c r="Q99" s="11"/>
    </row>
    <row r="100" spans="2:17" s="61" customFormat="1" ht="19.5" customHeight="1" x14ac:dyDescent="0.15">
      <c r="B100" s="84"/>
      <c r="C100" s="53" t="s">
        <v>97</v>
      </c>
      <c r="D100" s="53" t="s">
        <v>98</v>
      </c>
      <c r="E100" s="54" t="s">
        <v>315</v>
      </c>
      <c r="F100" s="55" t="s">
        <v>27</v>
      </c>
      <c r="G100" s="56">
        <v>9420</v>
      </c>
      <c r="H100" s="56">
        <f t="shared" si="1"/>
        <v>9420</v>
      </c>
      <c r="I100" s="55"/>
      <c r="J100" s="57"/>
      <c r="K100" s="58" t="s">
        <v>206</v>
      </c>
      <c r="L100" s="55"/>
      <c r="M100" s="59">
        <v>46071</v>
      </c>
      <c r="N100" s="53"/>
      <c r="O100" s="63">
        <v>46084</v>
      </c>
      <c r="P100" s="63">
        <v>46084</v>
      </c>
      <c r="Q100" s="60">
        <v>46084</v>
      </c>
    </row>
    <row r="101" spans="2:17" s="61" customFormat="1" ht="19.5" customHeight="1" x14ac:dyDescent="0.15">
      <c r="B101" s="84"/>
      <c r="C101" s="53" t="s">
        <v>97</v>
      </c>
      <c r="D101" s="53" t="s">
        <v>98</v>
      </c>
      <c r="E101" s="57" t="s">
        <v>88</v>
      </c>
      <c r="F101" s="62" t="s">
        <v>27</v>
      </c>
      <c r="G101" s="56">
        <v>3680</v>
      </c>
      <c r="H101" s="56">
        <f t="shared" si="1"/>
        <v>3680</v>
      </c>
      <c r="I101" s="55"/>
      <c r="J101" s="57"/>
      <c r="K101" s="58" t="s">
        <v>206</v>
      </c>
      <c r="L101" s="55"/>
      <c r="M101" s="59">
        <v>46071</v>
      </c>
      <c r="N101" s="53"/>
      <c r="O101" s="63">
        <v>46084</v>
      </c>
      <c r="P101" s="63">
        <v>46084</v>
      </c>
      <c r="Q101" s="60">
        <v>46084</v>
      </c>
    </row>
    <row r="102" spans="2:17" s="61" customFormat="1" ht="19.5" customHeight="1" x14ac:dyDescent="0.15">
      <c r="B102" s="84"/>
      <c r="C102" s="53" t="s">
        <v>97</v>
      </c>
      <c r="D102" s="53" t="s">
        <v>98</v>
      </c>
      <c r="E102" s="57" t="s">
        <v>89</v>
      </c>
      <c r="F102" s="62" t="s">
        <v>27</v>
      </c>
      <c r="G102" s="56">
        <v>5680</v>
      </c>
      <c r="H102" s="56">
        <f t="shared" si="1"/>
        <v>5680</v>
      </c>
      <c r="I102" s="55"/>
      <c r="J102" s="57"/>
      <c r="K102" s="58" t="s">
        <v>206</v>
      </c>
      <c r="L102" s="55"/>
      <c r="M102" s="59">
        <v>46071</v>
      </c>
      <c r="N102" s="53"/>
      <c r="O102" s="63">
        <v>46084</v>
      </c>
      <c r="P102" s="63">
        <v>46084</v>
      </c>
      <c r="Q102" s="60">
        <v>46084</v>
      </c>
    </row>
    <row r="103" spans="2:17" s="61" customFormat="1" ht="19.5" customHeight="1" x14ac:dyDescent="0.15">
      <c r="B103" s="84"/>
      <c r="C103" s="53" t="s">
        <v>97</v>
      </c>
      <c r="D103" s="53" t="s">
        <v>98</v>
      </c>
      <c r="E103" s="57" t="s">
        <v>90</v>
      </c>
      <c r="F103" s="62" t="s">
        <v>27</v>
      </c>
      <c r="G103" s="56">
        <v>350</v>
      </c>
      <c r="H103" s="56">
        <f t="shared" si="1"/>
        <v>350</v>
      </c>
      <c r="I103" s="55"/>
      <c r="J103" s="57"/>
      <c r="K103" s="58" t="s">
        <v>206</v>
      </c>
      <c r="L103" s="55"/>
      <c r="M103" s="59">
        <v>46071</v>
      </c>
      <c r="N103" s="53"/>
      <c r="O103" s="63">
        <v>46084</v>
      </c>
      <c r="P103" s="63">
        <v>46084</v>
      </c>
      <c r="Q103" s="60">
        <v>46084</v>
      </c>
    </row>
    <row r="104" spans="2:17" s="61" customFormat="1" ht="19.5" customHeight="1" x14ac:dyDescent="0.15">
      <c r="B104" s="84"/>
      <c r="C104" s="53" t="s">
        <v>97</v>
      </c>
      <c r="D104" s="53" t="s">
        <v>98</v>
      </c>
      <c r="E104" s="57" t="s">
        <v>94</v>
      </c>
      <c r="F104" s="62" t="s">
        <v>27</v>
      </c>
      <c r="G104" s="56">
        <v>2930</v>
      </c>
      <c r="H104" s="56">
        <f t="shared" si="1"/>
        <v>2930</v>
      </c>
      <c r="I104" s="55"/>
      <c r="J104" s="57"/>
      <c r="K104" s="58" t="s">
        <v>206</v>
      </c>
      <c r="L104" s="55"/>
      <c r="M104" s="59">
        <v>46071</v>
      </c>
      <c r="N104" s="53"/>
      <c r="O104" s="63">
        <v>46084</v>
      </c>
      <c r="P104" s="63">
        <v>46084</v>
      </c>
      <c r="Q104" s="60">
        <v>46084</v>
      </c>
    </row>
    <row r="105" spans="2:17" s="61" customFormat="1" ht="19.5" customHeight="1" x14ac:dyDescent="0.15">
      <c r="B105" s="84"/>
      <c r="C105" s="53" t="s">
        <v>97</v>
      </c>
      <c r="D105" s="53" t="s">
        <v>98</v>
      </c>
      <c r="E105" s="57" t="s">
        <v>95</v>
      </c>
      <c r="F105" s="62" t="s">
        <v>27</v>
      </c>
      <c r="G105" s="56">
        <v>470</v>
      </c>
      <c r="H105" s="56">
        <f t="shared" si="1"/>
        <v>470</v>
      </c>
      <c r="I105" s="55"/>
      <c r="J105" s="57"/>
      <c r="K105" s="58" t="s">
        <v>206</v>
      </c>
      <c r="L105" s="55"/>
      <c r="M105" s="59">
        <v>46071</v>
      </c>
      <c r="N105" s="53"/>
      <c r="O105" s="63">
        <v>46084</v>
      </c>
      <c r="P105" s="63">
        <v>46084</v>
      </c>
      <c r="Q105" s="60">
        <v>46084</v>
      </c>
    </row>
    <row r="106" spans="2:17" s="61" customFormat="1" ht="19.5" customHeight="1" x14ac:dyDescent="0.15">
      <c r="B106" s="84"/>
      <c r="C106" s="53" t="s">
        <v>97</v>
      </c>
      <c r="D106" s="53" t="s">
        <v>98</v>
      </c>
      <c r="E106" s="57" t="s">
        <v>96</v>
      </c>
      <c r="F106" s="62" t="s">
        <v>27</v>
      </c>
      <c r="G106" s="56">
        <v>1830</v>
      </c>
      <c r="H106" s="56">
        <f t="shared" si="1"/>
        <v>1830</v>
      </c>
      <c r="I106" s="55"/>
      <c r="J106" s="57"/>
      <c r="K106" s="58" t="s">
        <v>206</v>
      </c>
      <c r="L106" s="55"/>
      <c r="M106" s="59">
        <v>46071</v>
      </c>
      <c r="N106" s="53"/>
      <c r="O106" s="63">
        <v>46084</v>
      </c>
      <c r="P106" s="63">
        <v>46084</v>
      </c>
      <c r="Q106" s="60">
        <v>46084</v>
      </c>
    </row>
    <row r="107" spans="2:17" s="3" customFormat="1" ht="19.5" customHeight="1" x14ac:dyDescent="0.15">
      <c r="B107" s="84"/>
      <c r="C107" s="8" t="s">
        <v>104</v>
      </c>
      <c r="D107" s="8" t="s">
        <v>105</v>
      </c>
      <c r="E107" s="38" t="s">
        <v>103</v>
      </c>
      <c r="F107" s="39" t="s">
        <v>106</v>
      </c>
      <c r="G107" s="28">
        <v>1200</v>
      </c>
      <c r="H107" s="28">
        <f t="shared" ref="H107:H133" si="2">F107*G107</f>
        <v>1200</v>
      </c>
      <c r="I107" s="9"/>
      <c r="J107" s="38"/>
      <c r="K107" s="33" t="s">
        <v>197</v>
      </c>
      <c r="L107" s="9"/>
      <c r="M107" s="10">
        <v>46063</v>
      </c>
      <c r="N107" s="8"/>
      <c r="O107" s="15">
        <v>46072</v>
      </c>
      <c r="P107" s="10">
        <v>46072</v>
      </c>
      <c r="Q107" s="11">
        <v>46069</v>
      </c>
    </row>
    <row r="108" spans="2:17" s="3" customFormat="1" ht="19.7" customHeight="1" x14ac:dyDescent="0.15">
      <c r="B108" s="81" t="s">
        <v>83</v>
      </c>
      <c r="C108" s="8" t="s">
        <v>80</v>
      </c>
      <c r="D108" s="8" t="s">
        <v>80</v>
      </c>
      <c r="E108" s="31" t="s">
        <v>208</v>
      </c>
      <c r="F108" s="9">
        <v>2</v>
      </c>
      <c r="G108" s="31">
        <v>10485</v>
      </c>
      <c r="H108" s="28">
        <f t="shared" si="2"/>
        <v>20970</v>
      </c>
      <c r="I108" s="9"/>
      <c r="J108" s="38" t="s">
        <v>56</v>
      </c>
      <c r="K108" s="9" t="s">
        <v>232</v>
      </c>
      <c r="L108" s="22"/>
      <c r="M108" s="10">
        <v>46058</v>
      </c>
      <c r="N108" s="8"/>
      <c r="O108" s="15"/>
      <c r="P108" s="10">
        <v>46069</v>
      </c>
      <c r="Q108" s="11"/>
    </row>
    <row r="109" spans="2:17" s="3" customFormat="1" ht="19.7" customHeight="1" x14ac:dyDescent="0.15">
      <c r="B109" s="82"/>
      <c r="C109" s="8" t="s">
        <v>80</v>
      </c>
      <c r="D109" s="8" t="s">
        <v>80</v>
      </c>
      <c r="E109" s="31" t="s">
        <v>58</v>
      </c>
      <c r="F109" s="9">
        <v>2</v>
      </c>
      <c r="G109" s="31">
        <v>3418</v>
      </c>
      <c r="H109" s="28">
        <f t="shared" si="2"/>
        <v>6836</v>
      </c>
      <c r="I109" s="9"/>
      <c r="J109" s="38" t="s">
        <v>57</v>
      </c>
      <c r="K109" s="9" t="s">
        <v>232</v>
      </c>
      <c r="L109" s="9"/>
      <c r="M109" s="10">
        <v>46058</v>
      </c>
      <c r="N109" s="8"/>
      <c r="O109" s="9"/>
      <c r="P109" s="10">
        <v>46069</v>
      </c>
      <c r="Q109" s="11"/>
    </row>
    <row r="110" spans="2:17" s="3" customFormat="1" ht="19.7" customHeight="1" x14ac:dyDescent="0.15">
      <c r="B110" s="82"/>
      <c r="C110" s="8" t="s">
        <v>79</v>
      </c>
      <c r="D110" s="8" t="s">
        <v>79</v>
      </c>
      <c r="E110" s="37" t="s">
        <v>59</v>
      </c>
      <c r="F110" s="39" t="s">
        <v>209</v>
      </c>
      <c r="G110" s="28">
        <v>2800</v>
      </c>
      <c r="H110" s="28">
        <f t="shared" si="2"/>
        <v>5600</v>
      </c>
      <c r="I110" s="9"/>
      <c r="J110" s="38" t="s">
        <v>59</v>
      </c>
      <c r="K110" s="33" t="s">
        <v>207</v>
      </c>
      <c r="L110" s="9"/>
      <c r="M110" s="10">
        <v>46069</v>
      </c>
      <c r="N110" s="8"/>
      <c r="O110" s="9" t="s">
        <v>291</v>
      </c>
      <c r="P110" s="10">
        <v>46070</v>
      </c>
      <c r="Q110" s="11"/>
    </row>
    <row r="111" spans="2:17" s="3" customFormat="1" ht="19.7" customHeight="1" x14ac:dyDescent="0.15">
      <c r="B111" s="82"/>
      <c r="C111" s="8" t="s">
        <v>79</v>
      </c>
      <c r="D111" s="8" t="s">
        <v>79</v>
      </c>
      <c r="E111" s="38" t="s">
        <v>60</v>
      </c>
      <c r="F111" s="39" t="s">
        <v>210</v>
      </c>
      <c r="G111" s="28">
        <v>2400</v>
      </c>
      <c r="H111" s="28">
        <f t="shared" si="2"/>
        <v>9600</v>
      </c>
      <c r="I111" s="9"/>
      <c r="J111" s="38" t="s">
        <v>60</v>
      </c>
      <c r="K111" s="33" t="s">
        <v>207</v>
      </c>
      <c r="L111" s="9"/>
      <c r="M111" s="10">
        <v>46069</v>
      </c>
      <c r="N111" s="8"/>
      <c r="O111" s="9" t="s">
        <v>291</v>
      </c>
      <c r="P111" s="10">
        <v>46070</v>
      </c>
      <c r="Q111" s="11"/>
    </row>
    <row r="112" spans="2:17" s="3" customFormat="1" ht="19.7" customHeight="1" x14ac:dyDescent="0.15">
      <c r="B112" s="82"/>
      <c r="C112" s="8" t="s">
        <v>80</v>
      </c>
      <c r="D112" s="8" t="s">
        <v>80</v>
      </c>
      <c r="E112" s="31" t="s">
        <v>62</v>
      </c>
      <c r="F112" s="9">
        <v>2</v>
      </c>
      <c r="G112" s="31">
        <v>1858</v>
      </c>
      <c r="H112" s="28">
        <f t="shared" si="2"/>
        <v>3716</v>
      </c>
      <c r="I112" s="9"/>
      <c r="J112" s="38" t="s">
        <v>61</v>
      </c>
      <c r="K112" s="9" t="s">
        <v>232</v>
      </c>
      <c r="L112" s="9"/>
      <c r="M112" s="10">
        <v>46058</v>
      </c>
      <c r="N112" s="8"/>
      <c r="O112" s="9"/>
      <c r="P112" s="10">
        <v>46069</v>
      </c>
      <c r="Q112" s="11"/>
    </row>
    <row r="113" spans="2:17" s="3" customFormat="1" ht="19.7" customHeight="1" x14ac:dyDescent="0.15">
      <c r="B113" s="82"/>
      <c r="C113" s="8" t="s">
        <v>80</v>
      </c>
      <c r="D113" s="8" t="s">
        <v>80</v>
      </c>
      <c r="E113" s="31" t="s">
        <v>211</v>
      </c>
      <c r="F113" s="9">
        <v>4</v>
      </c>
      <c r="G113" s="31">
        <v>2227</v>
      </c>
      <c r="H113" s="28">
        <f t="shared" si="2"/>
        <v>8908</v>
      </c>
      <c r="I113" s="9"/>
      <c r="J113" s="31" t="s">
        <v>274</v>
      </c>
      <c r="K113" s="9" t="s">
        <v>232</v>
      </c>
      <c r="L113" s="9"/>
      <c r="M113" s="10">
        <v>46058</v>
      </c>
      <c r="N113" s="8"/>
      <c r="O113" s="9"/>
      <c r="P113" s="10">
        <v>46069</v>
      </c>
      <c r="Q113" s="11"/>
    </row>
    <row r="114" spans="2:17" s="3" customFormat="1" ht="19.7" customHeight="1" x14ac:dyDescent="0.15">
      <c r="B114" s="82"/>
      <c r="C114" s="8" t="s">
        <v>80</v>
      </c>
      <c r="D114" s="8" t="s">
        <v>80</v>
      </c>
      <c r="E114" s="31" t="s">
        <v>212</v>
      </c>
      <c r="F114" s="9">
        <v>16</v>
      </c>
      <c r="G114" s="31">
        <v>127</v>
      </c>
      <c r="H114" s="28">
        <f t="shared" si="2"/>
        <v>2032</v>
      </c>
      <c r="I114" s="9"/>
      <c r="J114" s="31" t="s">
        <v>273</v>
      </c>
      <c r="K114" s="9" t="s">
        <v>232</v>
      </c>
      <c r="L114" s="9"/>
      <c r="M114" s="10">
        <v>46058</v>
      </c>
      <c r="N114" s="8"/>
      <c r="O114" s="9"/>
      <c r="P114" s="10">
        <v>46069</v>
      </c>
      <c r="Q114" s="11"/>
    </row>
    <row r="115" spans="2:17" s="3" customFormat="1" ht="19.7" customHeight="1" x14ac:dyDescent="0.15">
      <c r="B115" s="82"/>
      <c r="C115" s="8" t="s">
        <v>80</v>
      </c>
      <c r="D115" s="8" t="s">
        <v>80</v>
      </c>
      <c r="E115" s="31" t="s">
        <v>213</v>
      </c>
      <c r="F115" s="9">
        <v>8</v>
      </c>
      <c r="G115" s="31">
        <v>200</v>
      </c>
      <c r="H115" s="28">
        <f t="shared" si="2"/>
        <v>1600</v>
      </c>
      <c r="I115" s="9"/>
      <c r="J115" s="31" t="s">
        <v>272</v>
      </c>
      <c r="K115" s="9" t="s">
        <v>232</v>
      </c>
      <c r="L115" s="9"/>
      <c r="M115" s="10">
        <v>46058</v>
      </c>
      <c r="N115" s="8"/>
      <c r="O115" s="9"/>
      <c r="P115" s="10">
        <v>46069</v>
      </c>
      <c r="Q115" s="11"/>
    </row>
    <row r="116" spans="2:17" s="3" customFormat="1" ht="19.7" customHeight="1" x14ac:dyDescent="0.15">
      <c r="B116" s="82"/>
      <c r="C116" s="8" t="s">
        <v>80</v>
      </c>
      <c r="D116" s="8" t="s">
        <v>80</v>
      </c>
      <c r="E116" s="31" t="s">
        <v>214</v>
      </c>
      <c r="F116" s="9">
        <v>4</v>
      </c>
      <c r="G116" s="31">
        <v>410</v>
      </c>
      <c r="H116" s="28">
        <f t="shared" si="2"/>
        <v>1640</v>
      </c>
      <c r="I116" s="9"/>
      <c r="J116" s="31" t="s">
        <v>271</v>
      </c>
      <c r="K116" s="9" t="s">
        <v>232</v>
      </c>
      <c r="L116" s="9"/>
      <c r="M116" s="10">
        <v>46058</v>
      </c>
      <c r="N116" s="8"/>
      <c r="O116" s="9"/>
      <c r="P116" s="10">
        <v>46069</v>
      </c>
      <c r="Q116" s="11"/>
    </row>
    <row r="117" spans="2:17" s="3" customFormat="1" ht="19.7" customHeight="1" x14ac:dyDescent="0.15">
      <c r="B117" s="82"/>
      <c r="C117" s="8" t="s">
        <v>80</v>
      </c>
      <c r="D117" s="8" t="s">
        <v>80</v>
      </c>
      <c r="E117" s="31" t="s">
        <v>215</v>
      </c>
      <c r="F117" s="9">
        <v>8</v>
      </c>
      <c r="G117" s="31">
        <v>47</v>
      </c>
      <c r="H117" s="28">
        <f t="shared" si="2"/>
        <v>376</v>
      </c>
      <c r="I117" s="9"/>
      <c r="J117" s="31" t="s">
        <v>270</v>
      </c>
      <c r="K117" s="9" t="s">
        <v>232</v>
      </c>
      <c r="L117" s="9"/>
      <c r="M117" s="10">
        <v>46058</v>
      </c>
      <c r="N117" s="8"/>
      <c r="O117" s="9"/>
      <c r="P117" s="10">
        <v>46069</v>
      </c>
      <c r="Q117" s="11"/>
    </row>
    <row r="118" spans="2:17" s="73" customFormat="1" ht="19.7" customHeight="1" x14ac:dyDescent="0.15">
      <c r="B118" s="82"/>
      <c r="C118" s="64" t="s">
        <v>37</v>
      </c>
      <c r="D118" s="64" t="s">
        <v>37</v>
      </c>
      <c r="E118" s="65" t="s">
        <v>318</v>
      </c>
      <c r="F118" s="65">
        <v>3</v>
      </c>
      <c r="G118" s="65">
        <v>210</v>
      </c>
      <c r="H118" s="67">
        <f t="shared" ref="H118:H126" si="3">F118*G118</f>
        <v>630</v>
      </c>
      <c r="I118" s="66"/>
      <c r="J118" s="31" t="s">
        <v>336</v>
      </c>
      <c r="K118" s="66" t="s">
        <v>232</v>
      </c>
      <c r="L118" s="66"/>
      <c r="M118" s="70">
        <v>46086</v>
      </c>
      <c r="N118" s="64"/>
      <c r="O118" s="66"/>
      <c r="P118" s="70">
        <v>46090</v>
      </c>
      <c r="Q118" s="72"/>
    </row>
    <row r="119" spans="2:17" s="73" customFormat="1" ht="19.7" customHeight="1" x14ac:dyDescent="0.15">
      <c r="B119" s="82"/>
      <c r="C119" s="64" t="s">
        <v>37</v>
      </c>
      <c r="D119" s="64" t="s">
        <v>37</v>
      </c>
      <c r="E119" s="65" t="s">
        <v>319</v>
      </c>
      <c r="F119" s="65">
        <v>3</v>
      </c>
      <c r="G119" s="65">
        <v>210</v>
      </c>
      <c r="H119" s="67">
        <f t="shared" si="3"/>
        <v>630</v>
      </c>
      <c r="I119" s="66"/>
      <c r="J119" s="31" t="s">
        <v>337</v>
      </c>
      <c r="K119" s="66" t="s">
        <v>232</v>
      </c>
      <c r="L119" s="66"/>
      <c r="M119" s="70">
        <v>46086</v>
      </c>
      <c r="N119" s="64"/>
      <c r="O119" s="66"/>
      <c r="P119" s="70">
        <v>46090</v>
      </c>
      <c r="Q119" s="72"/>
    </row>
    <row r="120" spans="2:17" s="73" customFormat="1" ht="19.7" customHeight="1" x14ac:dyDescent="0.15">
      <c r="B120" s="82"/>
      <c r="C120" s="64" t="s">
        <v>37</v>
      </c>
      <c r="D120" s="64" t="s">
        <v>37</v>
      </c>
      <c r="E120" s="65" t="s">
        <v>320</v>
      </c>
      <c r="F120" s="65">
        <v>3</v>
      </c>
      <c r="G120" s="65">
        <v>200</v>
      </c>
      <c r="H120" s="67">
        <f t="shared" si="3"/>
        <v>600</v>
      </c>
      <c r="I120" s="66"/>
      <c r="J120" s="31" t="s">
        <v>338</v>
      </c>
      <c r="K120" s="66" t="s">
        <v>232</v>
      </c>
      <c r="L120" s="66"/>
      <c r="M120" s="70">
        <v>46086</v>
      </c>
      <c r="N120" s="64"/>
      <c r="O120" s="66"/>
      <c r="P120" s="70">
        <v>46090</v>
      </c>
      <c r="Q120" s="72"/>
    </row>
    <row r="121" spans="2:17" s="73" customFormat="1" ht="19.7" customHeight="1" x14ac:dyDescent="0.15">
      <c r="B121" s="82"/>
      <c r="C121" s="64" t="s">
        <v>37</v>
      </c>
      <c r="D121" s="64" t="s">
        <v>37</v>
      </c>
      <c r="E121" s="65" t="s">
        <v>321</v>
      </c>
      <c r="F121" s="65">
        <v>3</v>
      </c>
      <c r="G121" s="65">
        <v>230</v>
      </c>
      <c r="H121" s="67">
        <f t="shared" si="3"/>
        <v>690</v>
      </c>
      <c r="I121" s="66"/>
      <c r="J121" s="31" t="s">
        <v>337</v>
      </c>
      <c r="K121" s="66" t="s">
        <v>232</v>
      </c>
      <c r="L121" s="66"/>
      <c r="M121" s="70">
        <v>46086</v>
      </c>
      <c r="N121" s="64"/>
      <c r="O121" s="66"/>
      <c r="P121" s="70">
        <v>46090</v>
      </c>
      <c r="Q121" s="72"/>
    </row>
    <row r="122" spans="2:17" s="73" customFormat="1" ht="19.7" customHeight="1" x14ac:dyDescent="0.15">
      <c r="B122" s="82"/>
      <c r="C122" s="64" t="s">
        <v>37</v>
      </c>
      <c r="D122" s="64" t="s">
        <v>37</v>
      </c>
      <c r="E122" s="65" t="s">
        <v>322</v>
      </c>
      <c r="F122" s="65">
        <v>3</v>
      </c>
      <c r="G122" s="65">
        <v>230</v>
      </c>
      <c r="H122" s="67">
        <f t="shared" si="3"/>
        <v>690</v>
      </c>
      <c r="I122" s="66"/>
      <c r="J122" s="31" t="s">
        <v>337</v>
      </c>
      <c r="K122" s="66" t="s">
        <v>232</v>
      </c>
      <c r="L122" s="66"/>
      <c r="M122" s="70">
        <v>46086</v>
      </c>
      <c r="N122" s="64"/>
      <c r="O122" s="66"/>
      <c r="P122" s="70">
        <v>46090</v>
      </c>
      <c r="Q122" s="72"/>
    </row>
    <row r="123" spans="2:17" s="73" customFormat="1" ht="19.7" customHeight="1" x14ac:dyDescent="0.15">
      <c r="B123" s="82"/>
      <c r="C123" s="64" t="s">
        <v>37</v>
      </c>
      <c r="D123" s="64" t="s">
        <v>37</v>
      </c>
      <c r="E123" s="65" t="s">
        <v>323</v>
      </c>
      <c r="F123" s="65">
        <v>3</v>
      </c>
      <c r="G123" s="65">
        <v>1560</v>
      </c>
      <c r="H123" s="67">
        <f t="shared" si="3"/>
        <v>4680</v>
      </c>
      <c r="I123" s="66"/>
      <c r="J123" s="31" t="s">
        <v>339</v>
      </c>
      <c r="K123" s="66" t="s">
        <v>232</v>
      </c>
      <c r="L123" s="66"/>
      <c r="M123" s="70">
        <v>46086</v>
      </c>
      <c r="N123" s="64"/>
      <c r="O123" s="66"/>
      <c r="P123" s="70">
        <v>46090</v>
      </c>
      <c r="Q123" s="72"/>
    </row>
    <row r="124" spans="2:17" s="48" customFormat="1" ht="19.7" customHeight="1" x14ac:dyDescent="0.15">
      <c r="B124" s="82"/>
      <c r="C124" s="44" t="s">
        <v>37</v>
      </c>
      <c r="D124" s="44" t="s">
        <v>37</v>
      </c>
      <c r="E124" s="45" t="s">
        <v>333</v>
      </c>
      <c r="F124" s="45">
        <v>1</v>
      </c>
      <c r="G124" s="45">
        <v>50502</v>
      </c>
      <c r="H124" s="32">
        <f t="shared" si="3"/>
        <v>50502</v>
      </c>
      <c r="I124" s="42"/>
      <c r="J124" s="98" t="s">
        <v>341</v>
      </c>
      <c r="K124" s="42" t="s">
        <v>232</v>
      </c>
      <c r="L124" s="42"/>
      <c r="M124" s="46">
        <v>46094</v>
      </c>
      <c r="N124" s="44"/>
      <c r="O124" s="42"/>
      <c r="P124" s="46">
        <v>46108</v>
      </c>
      <c r="Q124" s="47"/>
    </row>
    <row r="125" spans="2:17" s="48" customFormat="1" ht="19.7" customHeight="1" x14ac:dyDescent="0.15">
      <c r="B125" s="82"/>
      <c r="C125" s="44" t="s">
        <v>37</v>
      </c>
      <c r="D125" s="44" t="s">
        <v>37</v>
      </c>
      <c r="E125" s="45" t="s">
        <v>334</v>
      </c>
      <c r="F125" s="45">
        <v>1</v>
      </c>
      <c r="G125" s="45">
        <v>42436</v>
      </c>
      <c r="H125" s="32">
        <f t="shared" si="3"/>
        <v>42436</v>
      </c>
      <c r="I125" s="42"/>
      <c r="J125" s="98" t="s">
        <v>342</v>
      </c>
      <c r="K125" s="42" t="s">
        <v>232</v>
      </c>
      <c r="L125" s="42"/>
      <c r="M125" s="46">
        <v>46094</v>
      </c>
      <c r="N125" s="44"/>
      <c r="O125" s="42"/>
      <c r="P125" s="46">
        <v>46108</v>
      </c>
      <c r="Q125" s="47"/>
    </row>
    <row r="126" spans="2:17" s="48" customFormat="1" ht="19.7" customHeight="1" x14ac:dyDescent="0.15">
      <c r="B126" s="83"/>
      <c r="C126" s="44" t="s">
        <v>37</v>
      </c>
      <c r="D126" s="44" t="s">
        <v>37</v>
      </c>
      <c r="E126" s="45" t="s">
        <v>335</v>
      </c>
      <c r="F126" s="45">
        <v>30</v>
      </c>
      <c r="G126" s="45">
        <v>686</v>
      </c>
      <c r="H126" s="32">
        <f t="shared" si="3"/>
        <v>20580</v>
      </c>
      <c r="I126" s="42"/>
      <c r="J126" s="99" t="s">
        <v>340</v>
      </c>
      <c r="K126" s="42" t="s">
        <v>232</v>
      </c>
      <c r="L126" s="42"/>
      <c r="M126" s="46">
        <v>46094</v>
      </c>
      <c r="N126" s="44"/>
      <c r="O126" s="42"/>
      <c r="P126" s="46">
        <v>46108</v>
      </c>
      <c r="Q126" s="47"/>
    </row>
    <row r="127" spans="2:17" s="3" customFormat="1" ht="19.7" customHeight="1" x14ac:dyDescent="0.15">
      <c r="B127" s="84" t="s">
        <v>36</v>
      </c>
      <c r="C127" s="8" t="s">
        <v>37</v>
      </c>
      <c r="D127" s="8" t="s">
        <v>37</v>
      </c>
      <c r="E127" s="31" t="s">
        <v>63</v>
      </c>
      <c r="F127" s="9">
        <v>1</v>
      </c>
      <c r="G127" s="31">
        <v>14261</v>
      </c>
      <c r="H127" s="28">
        <f t="shared" si="2"/>
        <v>14261</v>
      </c>
      <c r="I127" s="9"/>
      <c r="J127" s="38" t="s">
        <v>29</v>
      </c>
      <c r="K127" s="9" t="s">
        <v>232</v>
      </c>
      <c r="L127" s="9"/>
      <c r="M127" s="10">
        <v>46058</v>
      </c>
      <c r="N127" s="8"/>
      <c r="O127" s="15"/>
      <c r="P127" s="10">
        <v>46069</v>
      </c>
      <c r="Q127" s="10"/>
    </row>
    <row r="128" spans="2:17" s="3" customFormat="1" ht="19.7" customHeight="1" x14ac:dyDescent="0.15">
      <c r="B128" s="84"/>
      <c r="C128" s="8" t="s">
        <v>37</v>
      </c>
      <c r="D128" s="8" t="s">
        <v>37</v>
      </c>
      <c r="E128" s="31" t="s">
        <v>64</v>
      </c>
      <c r="F128" s="9">
        <v>1</v>
      </c>
      <c r="G128" s="31">
        <v>4609</v>
      </c>
      <c r="H128" s="28">
        <f t="shared" si="2"/>
        <v>4609</v>
      </c>
      <c r="I128" s="9"/>
      <c r="J128" s="38" t="s">
        <v>30</v>
      </c>
      <c r="K128" s="9" t="s">
        <v>232</v>
      </c>
      <c r="L128" s="22"/>
      <c r="M128" s="10">
        <v>46058</v>
      </c>
      <c r="N128" s="8"/>
      <c r="O128" s="15"/>
      <c r="P128" s="10">
        <v>46069</v>
      </c>
      <c r="Q128" s="10"/>
    </row>
    <row r="129" spans="2:17" s="3" customFormat="1" ht="19.7" customHeight="1" x14ac:dyDescent="0.15">
      <c r="B129" s="84"/>
      <c r="C129" s="8" t="s">
        <v>37</v>
      </c>
      <c r="D129" s="8" t="s">
        <v>37</v>
      </c>
      <c r="E129" s="31" t="s">
        <v>65</v>
      </c>
      <c r="F129" s="9">
        <v>1</v>
      </c>
      <c r="G129" s="31">
        <v>3200</v>
      </c>
      <c r="H129" s="28">
        <f t="shared" si="2"/>
        <v>3200</v>
      </c>
      <c r="I129" s="9"/>
      <c r="J129" s="38" t="s">
        <v>31</v>
      </c>
      <c r="K129" s="9" t="s">
        <v>232</v>
      </c>
      <c r="L129" s="22"/>
      <c r="M129" s="10">
        <v>46058</v>
      </c>
      <c r="N129" s="8"/>
      <c r="O129" s="15"/>
      <c r="P129" s="10">
        <v>46069</v>
      </c>
      <c r="Q129" s="11"/>
    </row>
    <row r="130" spans="2:17" s="3" customFormat="1" ht="19.7" customHeight="1" x14ac:dyDescent="0.15">
      <c r="B130" s="84"/>
      <c r="C130" s="8" t="s">
        <v>37</v>
      </c>
      <c r="D130" s="8" t="s">
        <v>37</v>
      </c>
      <c r="E130" s="31" t="s">
        <v>32</v>
      </c>
      <c r="F130" s="9">
        <v>2</v>
      </c>
      <c r="G130" s="31">
        <v>187</v>
      </c>
      <c r="H130" s="28">
        <f t="shared" si="2"/>
        <v>374</v>
      </c>
      <c r="I130" s="9"/>
      <c r="J130" s="31" t="s">
        <v>270</v>
      </c>
      <c r="K130" s="9" t="s">
        <v>232</v>
      </c>
      <c r="L130" s="9"/>
      <c r="M130" s="10">
        <v>46058</v>
      </c>
      <c r="N130" s="8"/>
      <c r="O130" s="9"/>
      <c r="P130" s="10">
        <v>46069</v>
      </c>
      <c r="Q130" s="11"/>
    </row>
    <row r="131" spans="2:17" s="3" customFormat="1" ht="19.7" customHeight="1" x14ac:dyDescent="0.15">
      <c r="B131" s="84"/>
      <c r="C131" s="8" t="s">
        <v>37</v>
      </c>
      <c r="D131" s="8" t="s">
        <v>37</v>
      </c>
      <c r="E131" s="31" t="s">
        <v>33</v>
      </c>
      <c r="F131" s="9">
        <v>2</v>
      </c>
      <c r="G131" s="31">
        <v>191</v>
      </c>
      <c r="H131" s="28">
        <f t="shared" si="2"/>
        <v>382</v>
      </c>
      <c r="I131" s="9"/>
      <c r="J131" s="31" t="s">
        <v>270</v>
      </c>
      <c r="K131" s="9" t="s">
        <v>232</v>
      </c>
      <c r="L131" s="9"/>
      <c r="M131" s="10">
        <v>46058</v>
      </c>
      <c r="N131" s="8"/>
      <c r="O131" s="15"/>
      <c r="P131" s="10">
        <v>46069</v>
      </c>
      <c r="Q131" s="10"/>
    </row>
    <row r="132" spans="2:17" s="3" customFormat="1" ht="19.7" customHeight="1" x14ac:dyDescent="0.15">
      <c r="B132" s="84"/>
      <c r="C132" s="8" t="s">
        <v>37</v>
      </c>
      <c r="D132" s="8" t="s">
        <v>37</v>
      </c>
      <c r="E132" s="31" t="s">
        <v>34</v>
      </c>
      <c r="F132" s="9">
        <v>4</v>
      </c>
      <c r="G132" s="31">
        <v>494</v>
      </c>
      <c r="H132" s="28">
        <f t="shared" si="2"/>
        <v>1976</v>
      </c>
      <c r="I132" s="9"/>
      <c r="J132" s="31" t="s">
        <v>276</v>
      </c>
      <c r="K132" s="9" t="s">
        <v>232</v>
      </c>
      <c r="L132" s="22"/>
      <c r="M132" s="10">
        <v>46058</v>
      </c>
      <c r="N132" s="8"/>
      <c r="O132" s="15"/>
      <c r="P132" s="10">
        <v>46069</v>
      </c>
      <c r="Q132" s="11"/>
    </row>
    <row r="133" spans="2:17" s="3" customFormat="1" ht="19.7" customHeight="1" x14ac:dyDescent="0.15">
      <c r="B133" s="84"/>
      <c r="C133" s="8" t="s">
        <v>37</v>
      </c>
      <c r="D133" s="8" t="s">
        <v>37</v>
      </c>
      <c r="E133" s="31" t="s">
        <v>35</v>
      </c>
      <c r="F133" s="9">
        <v>1</v>
      </c>
      <c r="G133" s="31">
        <v>405</v>
      </c>
      <c r="H133" s="28">
        <f t="shared" si="2"/>
        <v>405</v>
      </c>
      <c r="I133" s="9"/>
      <c r="J133" s="31" t="s">
        <v>275</v>
      </c>
      <c r="K133" s="9" t="s">
        <v>232</v>
      </c>
      <c r="L133" s="22"/>
      <c r="M133" s="10">
        <v>46058</v>
      </c>
      <c r="N133" s="8"/>
      <c r="O133" s="15"/>
      <c r="P133" s="10">
        <v>46069</v>
      </c>
      <c r="Q133" s="11"/>
    </row>
    <row r="134" spans="2:17" s="73" customFormat="1" ht="19.5" customHeight="1" x14ac:dyDescent="0.15">
      <c r="B134" s="84"/>
      <c r="C134" s="64" t="s">
        <v>190</v>
      </c>
      <c r="D134" s="64" t="s">
        <v>82</v>
      </c>
      <c r="E134" s="65" t="s">
        <v>216</v>
      </c>
      <c r="F134" s="66" t="s">
        <v>27</v>
      </c>
      <c r="G134" s="67">
        <v>177000</v>
      </c>
      <c r="H134" s="67">
        <f>F134*G134</f>
        <v>177000</v>
      </c>
      <c r="I134" s="66"/>
      <c r="J134" s="68" t="s">
        <v>182</v>
      </c>
      <c r="K134" s="69" t="s">
        <v>206</v>
      </c>
      <c r="L134" s="66"/>
      <c r="M134" s="70">
        <v>46070</v>
      </c>
      <c r="N134" s="64"/>
      <c r="O134" s="71">
        <v>46078</v>
      </c>
      <c r="P134" s="70">
        <v>46078</v>
      </c>
      <c r="Q134" s="72" t="s">
        <v>317</v>
      </c>
    </row>
    <row r="135" spans="2:17" s="73" customFormat="1" ht="19.7" customHeight="1" x14ac:dyDescent="0.15">
      <c r="B135" s="84"/>
      <c r="C135" s="64" t="s">
        <v>190</v>
      </c>
      <c r="D135" s="64" t="s">
        <v>82</v>
      </c>
      <c r="E135" s="65" t="s">
        <v>217</v>
      </c>
      <c r="F135" s="66" t="s">
        <v>27</v>
      </c>
      <c r="G135" s="67">
        <v>177000</v>
      </c>
      <c r="H135" s="67">
        <f>F135*G135</f>
        <v>177000</v>
      </c>
      <c r="I135" s="66"/>
      <c r="J135" s="68" t="s">
        <v>203</v>
      </c>
      <c r="K135" s="69" t="s">
        <v>206</v>
      </c>
      <c r="L135" s="66"/>
      <c r="M135" s="70">
        <v>46070</v>
      </c>
      <c r="N135" s="64"/>
      <c r="O135" s="71">
        <v>46078</v>
      </c>
      <c r="P135" s="70">
        <v>46078</v>
      </c>
      <c r="Q135" s="72">
        <v>46078</v>
      </c>
    </row>
    <row r="136" spans="2:17" s="73" customFormat="1" ht="19.7" customHeight="1" x14ac:dyDescent="0.15">
      <c r="B136" s="84"/>
      <c r="C136" s="64" t="s">
        <v>190</v>
      </c>
      <c r="D136" s="64" t="s">
        <v>82</v>
      </c>
      <c r="E136" s="65" t="s">
        <v>218</v>
      </c>
      <c r="F136" s="66">
        <v>1</v>
      </c>
      <c r="G136" s="67">
        <v>15300</v>
      </c>
      <c r="H136" s="67">
        <f t="shared" ref="H136:H138" si="4">F136*G136</f>
        <v>15300</v>
      </c>
      <c r="I136" s="66"/>
      <c r="J136" s="68" t="s">
        <v>204</v>
      </c>
      <c r="K136" s="69" t="s">
        <v>206</v>
      </c>
      <c r="L136" s="66"/>
      <c r="M136" s="70">
        <v>46070</v>
      </c>
      <c r="N136" s="64"/>
      <c r="O136" s="71">
        <v>46078</v>
      </c>
      <c r="P136" s="70">
        <v>46078</v>
      </c>
      <c r="Q136" s="72">
        <v>46078</v>
      </c>
    </row>
    <row r="137" spans="2:17" s="73" customFormat="1" ht="19.7" customHeight="1" x14ac:dyDescent="0.15">
      <c r="B137" s="84"/>
      <c r="C137" s="64" t="s">
        <v>190</v>
      </c>
      <c r="D137" s="64" t="s">
        <v>82</v>
      </c>
      <c r="E137" s="65" t="s">
        <v>219</v>
      </c>
      <c r="F137" s="66">
        <v>1</v>
      </c>
      <c r="G137" s="67">
        <v>20100</v>
      </c>
      <c r="H137" s="67">
        <f t="shared" si="4"/>
        <v>20100</v>
      </c>
      <c r="I137" s="66"/>
      <c r="J137" s="68" t="s">
        <v>199</v>
      </c>
      <c r="K137" s="69" t="s">
        <v>206</v>
      </c>
      <c r="L137" s="68"/>
      <c r="M137" s="70">
        <v>46070</v>
      </c>
      <c r="N137" s="64"/>
      <c r="O137" s="71">
        <v>46078</v>
      </c>
      <c r="P137" s="70">
        <v>46078</v>
      </c>
      <c r="Q137" s="72">
        <v>46078</v>
      </c>
    </row>
    <row r="138" spans="2:17" s="73" customFormat="1" ht="19.7" customHeight="1" x14ac:dyDescent="0.15">
      <c r="B138" s="84"/>
      <c r="C138" s="64" t="s">
        <v>190</v>
      </c>
      <c r="D138" s="64" t="s">
        <v>82</v>
      </c>
      <c r="E138" s="65" t="s">
        <v>220</v>
      </c>
      <c r="F138" s="66" t="s">
        <v>27</v>
      </c>
      <c r="G138" s="67">
        <v>44700</v>
      </c>
      <c r="H138" s="67">
        <f t="shared" si="4"/>
        <v>44700</v>
      </c>
      <c r="I138" s="66"/>
      <c r="J138" s="68" t="s">
        <v>201</v>
      </c>
      <c r="K138" s="69" t="s">
        <v>206</v>
      </c>
      <c r="L138" s="68"/>
      <c r="M138" s="70">
        <v>46070</v>
      </c>
      <c r="N138" s="64"/>
      <c r="O138" s="71">
        <v>46078</v>
      </c>
      <c r="P138" s="70">
        <v>46078</v>
      </c>
      <c r="Q138" s="72">
        <v>46078</v>
      </c>
    </row>
    <row r="139" spans="2:17" s="73" customFormat="1" ht="19.7" customHeight="1" x14ac:dyDescent="0.15">
      <c r="B139" s="84"/>
      <c r="C139" s="64" t="s">
        <v>190</v>
      </c>
      <c r="D139" s="64" t="s">
        <v>82</v>
      </c>
      <c r="E139" s="65" t="s">
        <v>221</v>
      </c>
      <c r="F139" s="66" t="s">
        <v>27</v>
      </c>
      <c r="G139" s="67">
        <v>45000</v>
      </c>
      <c r="H139" s="67">
        <f>F139*G139</f>
        <v>45000</v>
      </c>
      <c r="I139" s="66"/>
      <c r="J139" s="68" t="s">
        <v>200</v>
      </c>
      <c r="K139" s="69" t="s">
        <v>206</v>
      </c>
      <c r="L139" s="66"/>
      <c r="M139" s="70">
        <v>46070</v>
      </c>
      <c r="N139" s="64"/>
      <c r="O139" s="71">
        <v>46078</v>
      </c>
      <c r="P139" s="70">
        <v>46078</v>
      </c>
      <c r="Q139" s="72">
        <v>46078</v>
      </c>
    </row>
    <row r="140" spans="2:17" s="73" customFormat="1" ht="19.7" customHeight="1" x14ac:dyDescent="0.15">
      <c r="B140" s="84"/>
      <c r="C140" s="64" t="s">
        <v>190</v>
      </c>
      <c r="D140" s="64" t="s">
        <v>82</v>
      </c>
      <c r="E140" s="65" t="s">
        <v>316</v>
      </c>
      <c r="F140" s="66">
        <v>2</v>
      </c>
      <c r="G140" s="67">
        <v>3300</v>
      </c>
      <c r="H140" s="67">
        <f>F140*G140</f>
        <v>6600</v>
      </c>
      <c r="I140" s="66"/>
      <c r="J140" s="68" t="s">
        <v>202</v>
      </c>
      <c r="K140" s="69" t="s">
        <v>206</v>
      </c>
      <c r="L140" s="66"/>
      <c r="M140" s="70">
        <v>46070</v>
      </c>
      <c r="N140" s="64"/>
      <c r="O140" s="71">
        <v>46078</v>
      </c>
      <c r="P140" s="70">
        <v>46078</v>
      </c>
      <c r="Q140" s="72">
        <v>46078</v>
      </c>
    </row>
    <row r="141" spans="2:17" s="73" customFormat="1" ht="19.7" customHeight="1" x14ac:dyDescent="0.15">
      <c r="B141" s="84"/>
      <c r="C141" s="64" t="s">
        <v>190</v>
      </c>
      <c r="D141" s="64" t="s">
        <v>82</v>
      </c>
      <c r="E141" s="65" t="s">
        <v>222</v>
      </c>
      <c r="F141" s="66" t="s">
        <v>27</v>
      </c>
      <c r="G141" s="67">
        <v>27900</v>
      </c>
      <c r="H141" s="67">
        <f t="shared" ref="H141:H144" si="5">F141*G141</f>
        <v>27900</v>
      </c>
      <c r="I141" s="66"/>
      <c r="J141" s="68" t="s">
        <v>205</v>
      </c>
      <c r="K141" s="69" t="s">
        <v>206</v>
      </c>
      <c r="L141" s="66"/>
      <c r="M141" s="70">
        <v>46070</v>
      </c>
      <c r="N141" s="64"/>
      <c r="O141" s="71">
        <v>46078</v>
      </c>
      <c r="P141" s="70">
        <v>46078</v>
      </c>
      <c r="Q141" s="72">
        <v>46078</v>
      </c>
    </row>
    <row r="142" spans="2:17" s="3" customFormat="1" ht="19.7" customHeight="1" x14ac:dyDescent="0.15">
      <c r="B142" s="78" t="s">
        <v>156</v>
      </c>
      <c r="C142" s="8" t="s">
        <v>37</v>
      </c>
      <c r="D142" s="8" t="s">
        <v>37</v>
      </c>
      <c r="E142" s="31" t="s">
        <v>157</v>
      </c>
      <c r="F142" s="9">
        <v>1</v>
      </c>
      <c r="G142" s="31">
        <v>10359</v>
      </c>
      <c r="H142" s="28">
        <f t="shared" si="5"/>
        <v>10359</v>
      </c>
      <c r="I142" s="9"/>
      <c r="J142" s="31" t="s">
        <v>277</v>
      </c>
      <c r="K142" s="9" t="s">
        <v>232</v>
      </c>
      <c r="L142" s="9"/>
      <c r="M142" s="10">
        <v>46058</v>
      </c>
      <c r="N142" s="8"/>
      <c r="O142" s="9"/>
      <c r="P142" s="10">
        <v>46069</v>
      </c>
      <c r="Q142" s="11"/>
    </row>
    <row r="143" spans="2:17" s="3" customFormat="1" ht="19.7" customHeight="1" x14ac:dyDescent="0.15">
      <c r="B143" s="79"/>
      <c r="C143" s="8" t="s">
        <v>37</v>
      </c>
      <c r="D143" s="8" t="s">
        <v>37</v>
      </c>
      <c r="E143" s="31" t="s">
        <v>158</v>
      </c>
      <c r="F143" s="9">
        <v>1</v>
      </c>
      <c r="G143" s="31">
        <v>1915</v>
      </c>
      <c r="H143" s="28">
        <f t="shared" si="5"/>
        <v>1915</v>
      </c>
      <c r="I143" s="9"/>
      <c r="J143" s="31" t="s">
        <v>260</v>
      </c>
      <c r="K143" s="9" t="s">
        <v>232</v>
      </c>
      <c r="L143" s="9"/>
      <c r="M143" s="10">
        <v>46058</v>
      </c>
      <c r="N143" s="8"/>
      <c r="O143" s="9"/>
      <c r="P143" s="10">
        <v>46069</v>
      </c>
      <c r="Q143" s="11"/>
    </row>
    <row r="144" spans="2:17" s="3" customFormat="1" ht="19.7" customHeight="1" x14ac:dyDescent="0.15">
      <c r="B144" s="79"/>
      <c r="C144" s="8" t="s">
        <v>37</v>
      </c>
      <c r="D144" s="8" t="s">
        <v>37</v>
      </c>
      <c r="E144" s="31" t="s">
        <v>159</v>
      </c>
      <c r="F144" s="9">
        <v>1</v>
      </c>
      <c r="G144" s="31">
        <v>60000</v>
      </c>
      <c r="H144" s="28">
        <f t="shared" si="5"/>
        <v>60000</v>
      </c>
      <c r="I144" s="9"/>
      <c r="J144" s="31" t="s">
        <v>259</v>
      </c>
      <c r="K144" s="9" t="s">
        <v>232</v>
      </c>
      <c r="L144" s="9"/>
      <c r="M144" s="10">
        <v>46058</v>
      </c>
      <c r="N144" s="8"/>
      <c r="O144" s="15"/>
      <c r="P144" s="10">
        <v>46069</v>
      </c>
      <c r="Q144" s="10"/>
    </row>
    <row r="145" spans="2:17" s="3" customFormat="1" ht="19.7" customHeight="1" x14ac:dyDescent="0.15">
      <c r="B145" s="79"/>
      <c r="C145" s="8" t="s">
        <v>190</v>
      </c>
      <c r="D145" s="8" t="s">
        <v>82</v>
      </c>
      <c r="E145" s="49" t="s">
        <v>223</v>
      </c>
      <c r="F145" s="50" t="s">
        <v>27</v>
      </c>
      <c r="G145" s="28"/>
      <c r="H145" s="28">
        <f>F145*G145</f>
        <v>0</v>
      </c>
      <c r="I145" s="9"/>
      <c r="J145" s="22" t="s">
        <v>179</v>
      </c>
      <c r="K145" s="51" t="s">
        <v>295</v>
      </c>
      <c r="L145" s="9"/>
      <c r="M145" s="10"/>
      <c r="N145" s="8"/>
      <c r="O145" s="9"/>
      <c r="P145" s="10"/>
      <c r="Q145" s="11"/>
    </row>
    <row r="146" spans="2:17" s="3" customFormat="1" ht="19.7" customHeight="1" x14ac:dyDescent="0.15">
      <c r="B146" s="79"/>
      <c r="C146" s="8" t="s">
        <v>190</v>
      </c>
      <c r="D146" s="8" t="s">
        <v>82</v>
      </c>
      <c r="E146" s="49" t="s">
        <v>224</v>
      </c>
      <c r="F146" s="50" t="s">
        <v>27</v>
      </c>
      <c r="G146" s="28"/>
      <c r="H146" s="28">
        <f>F146*G146</f>
        <v>0</v>
      </c>
      <c r="I146" s="9"/>
      <c r="J146" s="22" t="s">
        <v>231</v>
      </c>
      <c r="K146" s="51" t="s">
        <v>295</v>
      </c>
      <c r="L146" s="9"/>
      <c r="M146" s="10"/>
      <c r="N146" s="8"/>
      <c r="O146" s="15"/>
      <c r="P146" s="10"/>
      <c r="Q146" s="10"/>
    </row>
    <row r="147" spans="2:17" s="3" customFormat="1" ht="19.7" customHeight="1" x14ac:dyDescent="0.15">
      <c r="B147" s="79"/>
      <c r="C147" s="8" t="s">
        <v>190</v>
      </c>
      <c r="D147" s="8" t="s">
        <v>82</v>
      </c>
      <c r="E147" s="49" t="s">
        <v>225</v>
      </c>
      <c r="F147" s="50" t="s">
        <v>27</v>
      </c>
      <c r="G147" s="28"/>
      <c r="H147" s="28">
        <f>F147*G147</f>
        <v>0</v>
      </c>
      <c r="I147" s="9"/>
      <c r="J147" s="22" t="s">
        <v>231</v>
      </c>
      <c r="K147" s="51" t="s">
        <v>295</v>
      </c>
      <c r="L147" s="22"/>
      <c r="M147" s="10"/>
      <c r="N147" s="8"/>
      <c r="O147" s="15"/>
      <c r="P147" s="10"/>
      <c r="Q147" s="10"/>
    </row>
    <row r="148" spans="2:17" s="3" customFormat="1" ht="19.7" customHeight="1" x14ac:dyDescent="0.15">
      <c r="B148" s="79"/>
      <c r="C148" s="8" t="s">
        <v>190</v>
      </c>
      <c r="D148" s="8" t="s">
        <v>82</v>
      </c>
      <c r="E148" s="49" t="s">
        <v>226</v>
      </c>
      <c r="F148" s="50">
        <v>1</v>
      </c>
      <c r="G148" s="28"/>
      <c r="H148" s="28">
        <f t="shared" ref="H148:H179" si="6">F148*G148</f>
        <v>0</v>
      </c>
      <c r="I148" s="9"/>
      <c r="J148" s="22" t="s">
        <v>230</v>
      </c>
      <c r="K148" s="51" t="s">
        <v>295</v>
      </c>
      <c r="L148" s="22"/>
      <c r="M148" s="10"/>
      <c r="N148" s="8"/>
      <c r="O148" s="15"/>
      <c r="P148" s="10"/>
      <c r="Q148" s="10"/>
    </row>
    <row r="149" spans="2:17" s="3" customFormat="1" ht="19.7" customHeight="1" x14ac:dyDescent="0.15">
      <c r="B149" s="79"/>
      <c r="C149" s="8" t="s">
        <v>190</v>
      </c>
      <c r="D149" s="8" t="s">
        <v>82</v>
      </c>
      <c r="E149" s="49" t="s">
        <v>227</v>
      </c>
      <c r="F149" s="50">
        <v>1</v>
      </c>
      <c r="G149" s="28"/>
      <c r="H149" s="28">
        <f t="shared" si="6"/>
        <v>0</v>
      </c>
      <c r="I149" s="9"/>
      <c r="J149" s="22" t="s">
        <v>180</v>
      </c>
      <c r="K149" s="51" t="s">
        <v>295</v>
      </c>
      <c r="L149" s="22"/>
      <c r="M149" s="10"/>
      <c r="N149" s="8"/>
      <c r="O149" s="15"/>
      <c r="P149" s="10"/>
      <c r="Q149" s="11"/>
    </row>
    <row r="150" spans="2:17" s="3" customFormat="1" ht="19.7" customHeight="1" x14ac:dyDescent="0.15">
      <c r="B150" s="79"/>
      <c r="C150" s="8" t="s">
        <v>190</v>
      </c>
      <c r="D150" s="8" t="s">
        <v>82</v>
      </c>
      <c r="E150" s="49" t="s">
        <v>228</v>
      </c>
      <c r="F150" s="50">
        <v>1</v>
      </c>
      <c r="G150" s="28"/>
      <c r="H150" s="28">
        <f t="shared" si="6"/>
        <v>0</v>
      </c>
      <c r="I150" s="9"/>
      <c r="J150" s="22" t="s">
        <v>181</v>
      </c>
      <c r="K150" s="51" t="s">
        <v>295</v>
      </c>
      <c r="L150" s="22"/>
      <c r="M150" s="10"/>
      <c r="N150" s="8"/>
      <c r="O150" s="15"/>
      <c r="P150" s="10"/>
      <c r="Q150" s="11"/>
    </row>
    <row r="151" spans="2:17" s="3" customFormat="1" ht="19.7" customHeight="1" x14ac:dyDescent="0.15">
      <c r="B151" s="79"/>
      <c r="C151" s="8" t="s">
        <v>296</v>
      </c>
      <c r="D151" s="8" t="s">
        <v>296</v>
      </c>
      <c r="E151" s="31" t="s">
        <v>303</v>
      </c>
      <c r="F151" s="9">
        <v>1</v>
      </c>
      <c r="G151" s="28">
        <v>72000</v>
      </c>
      <c r="H151" s="28">
        <f t="shared" si="6"/>
        <v>72000</v>
      </c>
      <c r="I151" s="9"/>
      <c r="J151" s="22" t="s">
        <v>306</v>
      </c>
      <c r="K151" s="51" t="s">
        <v>301</v>
      </c>
      <c r="L151" s="33" t="s">
        <v>198</v>
      </c>
      <c r="M151" s="10">
        <v>46070</v>
      </c>
      <c r="N151" s="8"/>
      <c r="O151" s="15">
        <v>46078</v>
      </c>
      <c r="P151" s="10"/>
      <c r="Q151" s="11"/>
    </row>
    <row r="152" spans="2:17" s="3" customFormat="1" ht="19.7" customHeight="1" x14ac:dyDescent="0.15">
      <c r="B152" s="79"/>
      <c r="C152" s="8" t="s">
        <v>296</v>
      </c>
      <c r="D152" s="8" t="s">
        <v>296</v>
      </c>
      <c r="E152" s="31" t="s">
        <v>304</v>
      </c>
      <c r="F152" s="9">
        <v>1</v>
      </c>
      <c r="G152" s="28">
        <v>47000</v>
      </c>
      <c r="H152" s="28">
        <f t="shared" si="6"/>
        <v>47000</v>
      </c>
      <c r="I152" s="9"/>
      <c r="J152" s="22" t="s">
        <v>307</v>
      </c>
      <c r="K152" s="51" t="s">
        <v>301</v>
      </c>
      <c r="L152" s="33" t="s">
        <v>198</v>
      </c>
      <c r="M152" s="10">
        <v>46070</v>
      </c>
      <c r="N152" s="8"/>
      <c r="O152" s="15">
        <v>46078</v>
      </c>
      <c r="P152" s="10"/>
      <c r="Q152" s="11"/>
    </row>
    <row r="153" spans="2:17" s="3" customFormat="1" ht="19.7" customHeight="1" x14ac:dyDescent="0.15">
      <c r="B153" s="80"/>
      <c r="C153" s="8" t="s">
        <v>296</v>
      </c>
      <c r="D153" s="8" t="s">
        <v>296</v>
      </c>
      <c r="E153" s="31" t="s">
        <v>305</v>
      </c>
      <c r="F153" s="9">
        <v>1</v>
      </c>
      <c r="G153" s="28">
        <v>-38200</v>
      </c>
      <c r="H153" s="28">
        <f t="shared" si="6"/>
        <v>-38200</v>
      </c>
      <c r="I153" s="9"/>
      <c r="J153" s="31" t="s">
        <v>305</v>
      </c>
      <c r="K153" s="51" t="s">
        <v>301</v>
      </c>
      <c r="L153" s="33" t="s">
        <v>198</v>
      </c>
      <c r="M153" s="10">
        <v>46070</v>
      </c>
      <c r="N153" s="8"/>
      <c r="O153" s="15">
        <v>46078</v>
      </c>
      <c r="P153" s="10"/>
      <c r="Q153" s="11"/>
    </row>
    <row r="154" spans="2:17" s="3" customFormat="1" ht="19.7" customHeight="1" x14ac:dyDescent="0.15">
      <c r="B154" s="78" t="s">
        <v>195</v>
      </c>
      <c r="C154" s="8" t="s">
        <v>37</v>
      </c>
      <c r="D154" s="8" t="s">
        <v>37</v>
      </c>
      <c r="E154" s="22" t="s">
        <v>172</v>
      </c>
      <c r="F154" s="9" t="s">
        <v>27</v>
      </c>
      <c r="G154" s="43">
        <v>2410</v>
      </c>
      <c r="H154" s="28">
        <f t="shared" si="6"/>
        <v>2410</v>
      </c>
      <c r="I154" s="9"/>
      <c r="J154" s="22" t="s">
        <v>187</v>
      </c>
      <c r="K154" s="33" t="s">
        <v>206</v>
      </c>
      <c r="L154" s="33" t="s">
        <v>198</v>
      </c>
      <c r="M154" s="10"/>
      <c r="N154" s="8"/>
      <c r="O154" s="9"/>
      <c r="P154" s="10"/>
      <c r="Q154" s="11"/>
    </row>
    <row r="155" spans="2:17" s="3" customFormat="1" ht="19.5" customHeight="1" x14ac:dyDescent="0.15">
      <c r="B155" s="79"/>
      <c r="C155" s="8" t="s">
        <v>37</v>
      </c>
      <c r="D155" s="8" t="s">
        <v>37</v>
      </c>
      <c r="E155" s="31" t="s">
        <v>163</v>
      </c>
      <c r="F155" s="9" t="s">
        <v>28</v>
      </c>
      <c r="G155" s="28">
        <v>5720</v>
      </c>
      <c r="H155" s="28">
        <f t="shared" si="6"/>
        <v>11440</v>
      </c>
      <c r="I155" s="9"/>
      <c r="J155" s="22" t="s">
        <v>183</v>
      </c>
      <c r="K155" s="33" t="s">
        <v>206</v>
      </c>
      <c r="L155" s="33" t="s">
        <v>198</v>
      </c>
      <c r="M155" s="10"/>
      <c r="N155" s="8"/>
      <c r="O155" s="9"/>
      <c r="P155" s="10"/>
      <c r="Q155" s="11"/>
    </row>
    <row r="156" spans="2:17" s="3" customFormat="1" ht="19.7" customHeight="1" x14ac:dyDescent="0.15">
      <c r="B156" s="79"/>
      <c r="C156" s="8" t="s">
        <v>37</v>
      </c>
      <c r="D156" s="8" t="s">
        <v>37</v>
      </c>
      <c r="E156" s="31" t="s">
        <v>164</v>
      </c>
      <c r="F156" s="9" t="s">
        <v>27</v>
      </c>
      <c r="G156" s="28">
        <v>5720</v>
      </c>
      <c r="H156" s="28">
        <f t="shared" si="6"/>
        <v>5720</v>
      </c>
      <c r="I156" s="9"/>
      <c r="J156" s="22" t="s">
        <v>183</v>
      </c>
      <c r="K156" s="33" t="s">
        <v>206</v>
      </c>
      <c r="L156" s="33" t="s">
        <v>198</v>
      </c>
      <c r="M156" s="10"/>
      <c r="N156" s="8"/>
      <c r="O156" s="9"/>
      <c r="P156" s="10"/>
      <c r="Q156" s="11"/>
    </row>
    <row r="157" spans="2:17" s="3" customFormat="1" ht="19.7" customHeight="1" x14ac:dyDescent="0.15">
      <c r="B157" s="79"/>
      <c r="C157" s="8" t="s">
        <v>37</v>
      </c>
      <c r="D157" s="8" t="s">
        <v>37</v>
      </c>
      <c r="E157" s="22" t="s">
        <v>176</v>
      </c>
      <c r="F157" s="9" t="s">
        <v>27</v>
      </c>
      <c r="G157" s="43">
        <v>15963</v>
      </c>
      <c r="H157" s="28">
        <f t="shared" si="6"/>
        <v>15963</v>
      </c>
      <c r="I157" s="9"/>
      <c r="J157" s="22" t="s">
        <v>188</v>
      </c>
      <c r="K157" s="33" t="s">
        <v>206</v>
      </c>
      <c r="L157" s="33" t="s">
        <v>198</v>
      </c>
      <c r="M157" s="10"/>
      <c r="N157" s="8"/>
      <c r="O157" s="15"/>
      <c r="P157" s="10"/>
      <c r="Q157" s="11"/>
    </row>
    <row r="158" spans="2:17" s="3" customFormat="1" ht="19.7" customHeight="1" x14ac:dyDescent="0.15">
      <c r="B158" s="79"/>
      <c r="C158" s="8" t="s">
        <v>37</v>
      </c>
      <c r="D158" s="8" t="s">
        <v>37</v>
      </c>
      <c r="E158" s="22" t="s">
        <v>177</v>
      </c>
      <c r="F158" s="9" t="s">
        <v>27</v>
      </c>
      <c r="G158" s="43">
        <v>46018</v>
      </c>
      <c r="H158" s="28">
        <f t="shared" si="6"/>
        <v>46018</v>
      </c>
      <c r="I158" s="9"/>
      <c r="J158" s="22" t="s">
        <v>189</v>
      </c>
      <c r="K158" s="33" t="s">
        <v>206</v>
      </c>
      <c r="L158" s="33" t="s">
        <v>198</v>
      </c>
      <c r="M158" s="10"/>
      <c r="N158" s="8"/>
      <c r="O158" s="15"/>
      <c r="P158" s="10"/>
      <c r="Q158" s="11"/>
    </row>
    <row r="159" spans="2:17" s="3" customFormat="1" ht="19.7" customHeight="1" x14ac:dyDescent="0.15">
      <c r="B159" s="79"/>
      <c r="C159" s="8" t="s">
        <v>37</v>
      </c>
      <c r="D159" s="8" t="s">
        <v>37</v>
      </c>
      <c r="E159" s="22" t="s">
        <v>169</v>
      </c>
      <c r="F159" s="9" t="s">
        <v>28</v>
      </c>
      <c r="G159" s="43">
        <v>1450</v>
      </c>
      <c r="H159" s="28">
        <f t="shared" si="6"/>
        <v>2900</v>
      </c>
      <c r="I159" s="9"/>
      <c r="J159" s="22" t="s">
        <v>186</v>
      </c>
      <c r="K159" s="33" t="s">
        <v>206</v>
      </c>
      <c r="L159" s="33" t="s">
        <v>198</v>
      </c>
      <c r="M159" s="10"/>
      <c r="N159" s="8"/>
      <c r="O159" s="15"/>
      <c r="P159" s="10"/>
      <c r="Q159" s="11"/>
    </row>
    <row r="160" spans="2:17" s="3" customFormat="1" ht="19.7" customHeight="1" x14ac:dyDescent="0.15">
      <c r="B160" s="79"/>
      <c r="C160" s="8" t="s">
        <v>37</v>
      </c>
      <c r="D160" s="8" t="s">
        <v>37</v>
      </c>
      <c r="E160" s="22" t="s">
        <v>173</v>
      </c>
      <c r="F160" s="9">
        <v>10</v>
      </c>
      <c r="G160" s="43">
        <v>94</v>
      </c>
      <c r="H160" s="28">
        <f t="shared" si="6"/>
        <v>940</v>
      </c>
      <c r="I160" s="9"/>
      <c r="J160" s="22" t="s">
        <v>192</v>
      </c>
      <c r="K160" s="33" t="s">
        <v>206</v>
      </c>
      <c r="L160" s="33" t="s">
        <v>198</v>
      </c>
      <c r="M160" s="10"/>
      <c r="N160" s="8"/>
      <c r="O160" s="9"/>
      <c r="P160" s="10"/>
      <c r="Q160" s="11"/>
    </row>
    <row r="161" spans="2:17" s="3" customFormat="1" ht="19.7" customHeight="1" x14ac:dyDescent="0.15">
      <c r="B161" s="79"/>
      <c r="C161" s="8" t="s">
        <v>37</v>
      </c>
      <c r="D161" s="8" t="s">
        <v>37</v>
      </c>
      <c r="E161" s="22" t="s">
        <v>174</v>
      </c>
      <c r="F161" s="9" t="s">
        <v>28</v>
      </c>
      <c r="G161" s="43">
        <v>409</v>
      </c>
      <c r="H161" s="28">
        <f t="shared" si="6"/>
        <v>818</v>
      </c>
      <c r="I161" s="9"/>
      <c r="J161" s="22" t="s">
        <v>191</v>
      </c>
      <c r="K161" s="33" t="s">
        <v>206</v>
      </c>
      <c r="L161" s="33" t="s">
        <v>198</v>
      </c>
      <c r="M161" s="10"/>
      <c r="N161" s="8"/>
      <c r="O161" s="15"/>
      <c r="P161" s="10"/>
      <c r="Q161" s="10"/>
    </row>
    <row r="162" spans="2:17" s="3" customFormat="1" ht="19.7" customHeight="1" x14ac:dyDescent="0.15">
      <c r="B162" s="79"/>
      <c r="C162" s="8" t="s">
        <v>79</v>
      </c>
      <c r="D162" s="8" t="s">
        <v>79</v>
      </c>
      <c r="E162" s="22" t="s">
        <v>294</v>
      </c>
      <c r="F162" s="9">
        <v>1</v>
      </c>
      <c r="G162" s="43">
        <v>278000</v>
      </c>
      <c r="H162" s="28">
        <f t="shared" si="6"/>
        <v>278000</v>
      </c>
      <c r="I162" s="9"/>
      <c r="J162" s="22" t="s">
        <v>196</v>
      </c>
      <c r="K162" s="33" t="s">
        <v>207</v>
      </c>
      <c r="L162" s="33" t="s">
        <v>198</v>
      </c>
      <c r="M162" s="10">
        <v>46069</v>
      </c>
      <c r="N162" s="8"/>
      <c r="O162" s="9" t="s">
        <v>291</v>
      </c>
      <c r="P162" s="74" t="s">
        <v>292</v>
      </c>
      <c r="Q162" s="10">
        <v>46084</v>
      </c>
    </row>
    <row r="163" spans="2:17" s="3" customFormat="1" ht="19.7" customHeight="1" x14ac:dyDescent="0.15">
      <c r="B163" s="79"/>
      <c r="C163" s="8" t="s">
        <v>79</v>
      </c>
      <c r="D163" s="8" t="s">
        <v>79</v>
      </c>
      <c r="E163" s="22" t="s">
        <v>290</v>
      </c>
      <c r="F163" s="9">
        <v>1</v>
      </c>
      <c r="G163" s="43">
        <v>20000</v>
      </c>
      <c r="H163" s="28">
        <f t="shared" ref="H163" si="7">F163*G163</f>
        <v>20000</v>
      </c>
      <c r="I163" s="9"/>
      <c r="J163" s="22" t="s">
        <v>290</v>
      </c>
      <c r="K163" s="33" t="s">
        <v>207</v>
      </c>
      <c r="L163" s="33" t="s">
        <v>198</v>
      </c>
      <c r="M163" s="10">
        <v>46069</v>
      </c>
      <c r="N163" s="8"/>
      <c r="O163" s="9" t="s">
        <v>291</v>
      </c>
      <c r="P163" s="74" t="s">
        <v>293</v>
      </c>
      <c r="Q163" s="10">
        <v>46084</v>
      </c>
    </row>
    <row r="164" spans="2:17" s="3" customFormat="1" ht="19.7" customHeight="1" x14ac:dyDescent="0.15">
      <c r="B164" s="79"/>
      <c r="C164" s="8" t="s">
        <v>37</v>
      </c>
      <c r="D164" s="8" t="s">
        <v>37</v>
      </c>
      <c r="E164" s="31" t="s">
        <v>161</v>
      </c>
      <c r="F164" s="9">
        <v>1</v>
      </c>
      <c r="G164" s="31">
        <v>905</v>
      </c>
      <c r="H164" s="28">
        <f t="shared" si="6"/>
        <v>905</v>
      </c>
      <c r="I164" s="9"/>
      <c r="J164" s="31" t="s">
        <v>289</v>
      </c>
      <c r="K164" s="9" t="s">
        <v>232</v>
      </c>
      <c r="L164" s="33" t="s">
        <v>198</v>
      </c>
      <c r="M164" s="10">
        <v>46058</v>
      </c>
      <c r="N164" s="8"/>
      <c r="O164" s="9"/>
      <c r="P164" s="10">
        <v>46063</v>
      </c>
      <c r="Q164" s="11"/>
    </row>
    <row r="165" spans="2:17" s="3" customFormat="1" ht="19.7" customHeight="1" x14ac:dyDescent="0.15">
      <c r="B165" s="79"/>
      <c r="C165" s="8" t="s">
        <v>37</v>
      </c>
      <c r="D165" s="8" t="s">
        <v>37</v>
      </c>
      <c r="E165" s="31" t="s">
        <v>157</v>
      </c>
      <c r="F165" s="9">
        <v>1</v>
      </c>
      <c r="G165" s="31">
        <v>10359</v>
      </c>
      <c r="H165" s="28">
        <f t="shared" si="6"/>
        <v>10359</v>
      </c>
      <c r="I165" s="9"/>
      <c r="J165" s="31" t="s">
        <v>277</v>
      </c>
      <c r="K165" s="9" t="s">
        <v>232</v>
      </c>
      <c r="L165" s="33" t="s">
        <v>198</v>
      </c>
      <c r="M165" s="10">
        <v>46058</v>
      </c>
      <c r="N165" s="8"/>
      <c r="O165" s="9"/>
      <c r="P165" s="10">
        <v>46063</v>
      </c>
      <c r="Q165" s="11"/>
    </row>
    <row r="166" spans="2:17" s="3" customFormat="1" ht="19.7" customHeight="1" x14ac:dyDescent="0.15">
      <c r="B166" s="79"/>
      <c r="C166" s="8" t="s">
        <v>37</v>
      </c>
      <c r="D166" s="8" t="s">
        <v>37</v>
      </c>
      <c r="E166" s="31" t="s">
        <v>165</v>
      </c>
      <c r="F166" s="9">
        <v>1</v>
      </c>
      <c r="G166" s="31">
        <v>2510</v>
      </c>
      <c r="H166" s="28">
        <f t="shared" si="6"/>
        <v>2510</v>
      </c>
      <c r="I166" s="9"/>
      <c r="J166" s="31" t="s">
        <v>288</v>
      </c>
      <c r="K166" s="9" t="s">
        <v>232</v>
      </c>
      <c r="L166" s="33" t="s">
        <v>198</v>
      </c>
      <c r="M166" s="10">
        <v>46058</v>
      </c>
      <c r="N166" s="8"/>
      <c r="O166" s="9"/>
      <c r="P166" s="10">
        <v>46063</v>
      </c>
      <c r="Q166" s="11"/>
    </row>
    <row r="167" spans="2:17" s="3" customFormat="1" ht="19.7" customHeight="1" x14ac:dyDescent="0.15">
      <c r="B167" s="79"/>
      <c r="C167" s="8" t="s">
        <v>37</v>
      </c>
      <c r="D167" s="8" t="s">
        <v>37</v>
      </c>
      <c r="E167" s="31" t="s">
        <v>279</v>
      </c>
      <c r="F167" s="9">
        <v>2</v>
      </c>
      <c r="G167" s="31">
        <v>2626</v>
      </c>
      <c r="H167" s="28">
        <f t="shared" si="6"/>
        <v>5252</v>
      </c>
      <c r="I167" s="9"/>
      <c r="J167" s="31" t="s">
        <v>287</v>
      </c>
      <c r="K167" s="9" t="s">
        <v>232</v>
      </c>
      <c r="L167" s="33" t="s">
        <v>198</v>
      </c>
      <c r="M167" s="10">
        <v>46058</v>
      </c>
      <c r="N167" s="8"/>
      <c r="O167" s="15"/>
      <c r="P167" s="10">
        <v>46063</v>
      </c>
      <c r="Q167" s="10"/>
    </row>
    <row r="168" spans="2:17" s="3" customFormat="1" ht="19.7" customHeight="1" x14ac:dyDescent="0.15">
      <c r="B168" s="79"/>
      <c r="C168" s="8" t="s">
        <v>37</v>
      </c>
      <c r="D168" s="8" t="s">
        <v>37</v>
      </c>
      <c r="E168" s="31" t="s">
        <v>194</v>
      </c>
      <c r="F168" s="9">
        <v>2</v>
      </c>
      <c r="G168" s="31">
        <v>4370</v>
      </c>
      <c r="H168" s="28">
        <f t="shared" si="6"/>
        <v>8740</v>
      </c>
      <c r="I168" s="9"/>
      <c r="J168" s="31" t="s">
        <v>184</v>
      </c>
      <c r="K168" s="9" t="s">
        <v>232</v>
      </c>
      <c r="L168" s="33" t="s">
        <v>198</v>
      </c>
      <c r="M168" s="10">
        <v>46058</v>
      </c>
      <c r="N168" s="8"/>
      <c r="O168" s="9"/>
      <c r="P168" s="10">
        <v>46063</v>
      </c>
      <c r="Q168" s="11"/>
    </row>
    <row r="169" spans="2:17" s="3" customFormat="1" ht="19.7" customHeight="1" x14ac:dyDescent="0.15">
      <c r="B169" s="79"/>
      <c r="C169" s="8" t="s">
        <v>37</v>
      </c>
      <c r="D169" s="8" t="s">
        <v>37</v>
      </c>
      <c r="E169" s="31" t="s">
        <v>166</v>
      </c>
      <c r="F169" s="9">
        <v>2</v>
      </c>
      <c r="G169" s="31">
        <v>1544</v>
      </c>
      <c r="H169" s="28">
        <f t="shared" si="6"/>
        <v>3088</v>
      </c>
      <c r="I169" s="9"/>
      <c r="J169" s="31" t="s">
        <v>185</v>
      </c>
      <c r="K169" s="9" t="s">
        <v>232</v>
      </c>
      <c r="L169" s="33" t="s">
        <v>198</v>
      </c>
      <c r="M169" s="10">
        <v>46058</v>
      </c>
      <c r="N169" s="8"/>
      <c r="O169" s="9"/>
      <c r="P169" s="10">
        <v>46063</v>
      </c>
      <c r="Q169" s="11"/>
    </row>
    <row r="170" spans="2:17" s="3" customFormat="1" ht="19.7" customHeight="1" x14ac:dyDescent="0.15">
      <c r="B170" s="79"/>
      <c r="C170" s="8" t="s">
        <v>37</v>
      </c>
      <c r="D170" s="8" t="s">
        <v>37</v>
      </c>
      <c r="E170" s="31" t="s">
        <v>167</v>
      </c>
      <c r="F170" s="9">
        <v>2</v>
      </c>
      <c r="G170" s="31">
        <v>1599</v>
      </c>
      <c r="H170" s="28">
        <f t="shared" si="6"/>
        <v>3198</v>
      </c>
      <c r="I170" s="9"/>
      <c r="J170" s="31" t="s">
        <v>286</v>
      </c>
      <c r="K170" s="9" t="s">
        <v>232</v>
      </c>
      <c r="L170" s="33" t="s">
        <v>198</v>
      </c>
      <c r="M170" s="10">
        <v>46058</v>
      </c>
      <c r="N170" s="8"/>
      <c r="O170" s="9"/>
      <c r="P170" s="10">
        <v>46063</v>
      </c>
      <c r="Q170" s="11"/>
    </row>
    <row r="171" spans="2:17" s="3" customFormat="1" ht="19.7" customHeight="1" x14ac:dyDescent="0.15">
      <c r="B171" s="79"/>
      <c r="C171" s="8" t="s">
        <v>37</v>
      </c>
      <c r="D171" s="8" t="s">
        <v>37</v>
      </c>
      <c r="E171" s="31" t="s">
        <v>168</v>
      </c>
      <c r="F171" s="9">
        <v>1</v>
      </c>
      <c r="G171" s="31">
        <v>5373</v>
      </c>
      <c r="H171" s="28">
        <f t="shared" si="6"/>
        <v>5373</v>
      </c>
      <c r="I171" s="9"/>
      <c r="J171" s="31" t="s">
        <v>285</v>
      </c>
      <c r="K171" s="9" t="s">
        <v>232</v>
      </c>
      <c r="L171" s="33" t="s">
        <v>198</v>
      </c>
      <c r="M171" s="10">
        <v>46058</v>
      </c>
      <c r="N171" s="8"/>
      <c r="O171" s="9"/>
      <c r="P171" s="10">
        <v>46063</v>
      </c>
      <c r="Q171" s="11"/>
    </row>
    <row r="172" spans="2:17" s="3" customFormat="1" ht="19.7" customHeight="1" x14ac:dyDescent="0.15">
      <c r="B172" s="79"/>
      <c r="C172" s="8" t="s">
        <v>37</v>
      </c>
      <c r="D172" s="8" t="s">
        <v>37</v>
      </c>
      <c r="E172" s="31" t="s">
        <v>170</v>
      </c>
      <c r="F172" s="9">
        <v>1</v>
      </c>
      <c r="G172" s="31">
        <v>7598</v>
      </c>
      <c r="H172" s="28">
        <f t="shared" si="6"/>
        <v>7598</v>
      </c>
      <c r="I172" s="9"/>
      <c r="J172" s="31" t="s">
        <v>284</v>
      </c>
      <c r="K172" s="9" t="s">
        <v>232</v>
      </c>
      <c r="L172" s="33" t="s">
        <v>198</v>
      </c>
      <c r="M172" s="10">
        <v>46058</v>
      </c>
      <c r="N172" s="8"/>
      <c r="O172" s="15"/>
      <c r="P172" s="10">
        <v>46063</v>
      </c>
      <c r="Q172" s="11"/>
    </row>
    <row r="173" spans="2:17" s="3" customFormat="1" ht="19.7" customHeight="1" x14ac:dyDescent="0.15">
      <c r="B173" s="79"/>
      <c r="C173" s="8" t="s">
        <v>37</v>
      </c>
      <c r="D173" s="8" t="s">
        <v>37</v>
      </c>
      <c r="E173" s="31" t="s">
        <v>171</v>
      </c>
      <c r="F173" s="9">
        <v>1</v>
      </c>
      <c r="G173" s="31">
        <v>5746</v>
      </c>
      <c r="H173" s="28">
        <f t="shared" si="6"/>
        <v>5746</v>
      </c>
      <c r="I173" s="9"/>
      <c r="J173" s="31" t="s">
        <v>283</v>
      </c>
      <c r="K173" s="9" t="s">
        <v>232</v>
      </c>
      <c r="L173" s="33" t="s">
        <v>198</v>
      </c>
      <c r="M173" s="10">
        <v>46058</v>
      </c>
      <c r="N173" s="8"/>
      <c r="O173" s="9"/>
      <c r="P173" s="10">
        <v>46063</v>
      </c>
      <c r="Q173" s="11"/>
    </row>
    <row r="174" spans="2:17" s="3" customFormat="1" ht="19.7" customHeight="1" x14ac:dyDescent="0.15">
      <c r="B174" s="79"/>
      <c r="C174" s="8" t="s">
        <v>37</v>
      </c>
      <c r="D174" s="8" t="s">
        <v>37</v>
      </c>
      <c r="E174" s="31" t="s">
        <v>278</v>
      </c>
      <c r="F174" s="9">
        <v>1</v>
      </c>
      <c r="G174" s="31">
        <v>5610</v>
      </c>
      <c r="H174" s="28">
        <f t="shared" si="6"/>
        <v>5610</v>
      </c>
      <c r="I174" s="9"/>
      <c r="J174" s="31" t="s">
        <v>282</v>
      </c>
      <c r="K174" s="9" t="s">
        <v>232</v>
      </c>
      <c r="L174" s="33" t="s">
        <v>198</v>
      </c>
      <c r="M174" s="10">
        <v>46058</v>
      </c>
      <c r="N174" s="8"/>
      <c r="O174" s="9"/>
      <c r="P174" s="10">
        <v>46063</v>
      </c>
      <c r="Q174" s="11"/>
    </row>
    <row r="175" spans="2:17" s="3" customFormat="1" ht="19.7" customHeight="1" x14ac:dyDescent="0.15">
      <c r="B175" s="79"/>
      <c r="C175" s="8" t="s">
        <v>37</v>
      </c>
      <c r="D175" s="8" t="s">
        <v>37</v>
      </c>
      <c r="E175" s="31" t="s">
        <v>175</v>
      </c>
      <c r="F175" s="9">
        <v>1</v>
      </c>
      <c r="G175" s="31">
        <v>24131</v>
      </c>
      <c r="H175" s="28">
        <f t="shared" si="6"/>
        <v>24131</v>
      </c>
      <c r="I175" s="9"/>
      <c r="J175" s="31" t="s">
        <v>281</v>
      </c>
      <c r="K175" s="9" t="s">
        <v>232</v>
      </c>
      <c r="L175" s="33" t="s">
        <v>198</v>
      </c>
      <c r="M175" s="10">
        <v>46058</v>
      </c>
      <c r="N175" s="8"/>
      <c r="O175" s="15"/>
      <c r="P175" s="10">
        <v>46063</v>
      </c>
      <c r="Q175" s="10"/>
    </row>
    <row r="176" spans="2:17" s="3" customFormat="1" ht="19.5" customHeight="1" x14ac:dyDescent="0.15">
      <c r="B176" s="79"/>
      <c r="C176" s="8" t="s">
        <v>37</v>
      </c>
      <c r="D176" s="8" t="s">
        <v>37</v>
      </c>
      <c r="E176" s="31" t="s">
        <v>178</v>
      </c>
      <c r="F176" s="9">
        <v>2</v>
      </c>
      <c r="G176" s="31">
        <v>326</v>
      </c>
      <c r="H176" s="28">
        <f t="shared" si="6"/>
        <v>652</v>
      </c>
      <c r="I176" s="9"/>
      <c r="J176" s="31" t="s">
        <v>280</v>
      </c>
      <c r="K176" s="9" t="s">
        <v>232</v>
      </c>
      <c r="L176" s="33" t="s">
        <v>198</v>
      </c>
      <c r="M176" s="10">
        <v>46058</v>
      </c>
      <c r="N176" s="8"/>
      <c r="O176" s="9"/>
      <c r="P176" s="10">
        <v>46063</v>
      </c>
      <c r="Q176" s="11"/>
    </row>
    <row r="177" spans="2:17" s="3" customFormat="1" ht="19.7" customHeight="1" x14ac:dyDescent="0.15">
      <c r="B177" s="79"/>
      <c r="C177" s="8" t="s">
        <v>37</v>
      </c>
      <c r="D177" s="8" t="s">
        <v>37</v>
      </c>
      <c r="E177" s="31" t="s">
        <v>162</v>
      </c>
      <c r="F177" s="9" t="s">
        <v>27</v>
      </c>
      <c r="G177" s="28">
        <v>650</v>
      </c>
      <c r="H177" s="28">
        <f t="shared" si="6"/>
        <v>650</v>
      </c>
      <c r="I177" s="9"/>
      <c r="J177" s="31" t="s">
        <v>308</v>
      </c>
      <c r="K177" s="9" t="s">
        <v>232</v>
      </c>
      <c r="L177" s="33" t="s">
        <v>198</v>
      </c>
      <c r="M177" s="10">
        <v>46070</v>
      </c>
      <c r="N177" s="8"/>
      <c r="O177" s="15"/>
      <c r="P177" s="10">
        <v>46071</v>
      </c>
      <c r="Q177" s="11"/>
    </row>
    <row r="178" spans="2:17" s="3" customFormat="1" ht="19.5" customHeight="1" x14ac:dyDescent="0.15">
      <c r="B178" s="79"/>
      <c r="C178" s="8" t="s">
        <v>37</v>
      </c>
      <c r="D178" s="8" t="s">
        <v>37</v>
      </c>
      <c r="E178" s="31" t="s">
        <v>310</v>
      </c>
      <c r="F178" s="9">
        <v>1</v>
      </c>
      <c r="G178" s="31">
        <v>5780</v>
      </c>
      <c r="H178" s="28">
        <f t="shared" si="6"/>
        <v>5780</v>
      </c>
      <c r="I178" s="9"/>
      <c r="J178" s="31" t="s">
        <v>282</v>
      </c>
      <c r="K178" s="9" t="s">
        <v>232</v>
      </c>
      <c r="L178" s="33" t="s">
        <v>198</v>
      </c>
      <c r="M178" s="10">
        <v>46070</v>
      </c>
      <c r="N178" s="8"/>
      <c r="O178" s="9"/>
      <c r="P178" s="10">
        <v>46077</v>
      </c>
      <c r="Q178" s="11"/>
    </row>
    <row r="179" spans="2:17" s="3" customFormat="1" ht="19.5" customHeight="1" x14ac:dyDescent="0.15">
      <c r="B179" s="79"/>
      <c r="C179" s="8" t="s">
        <v>37</v>
      </c>
      <c r="D179" s="8" t="s">
        <v>37</v>
      </c>
      <c r="E179" s="31" t="s">
        <v>311</v>
      </c>
      <c r="F179" s="9">
        <v>1</v>
      </c>
      <c r="G179" s="31">
        <v>1545</v>
      </c>
      <c r="H179" s="28">
        <f t="shared" si="6"/>
        <v>1545</v>
      </c>
      <c r="I179" s="9"/>
      <c r="J179" s="31" t="s">
        <v>185</v>
      </c>
      <c r="K179" s="9" t="s">
        <v>232</v>
      </c>
      <c r="L179" s="33" t="s">
        <v>198</v>
      </c>
      <c r="M179" s="10">
        <v>46070</v>
      </c>
      <c r="N179" s="8"/>
      <c r="O179" s="9"/>
      <c r="P179" s="10">
        <v>46077</v>
      </c>
      <c r="Q179" s="11"/>
    </row>
    <row r="180" spans="2:17" s="3" customFormat="1" ht="19.5" customHeight="1" x14ac:dyDescent="0.15">
      <c r="B180" s="79"/>
      <c r="C180" s="8" t="s">
        <v>37</v>
      </c>
      <c r="D180" s="8" t="s">
        <v>37</v>
      </c>
      <c r="E180" s="31" t="s">
        <v>314</v>
      </c>
      <c r="F180" s="9">
        <v>1</v>
      </c>
      <c r="G180" s="31">
        <v>8900</v>
      </c>
      <c r="H180" s="28">
        <f t="shared" ref="H180:H184" si="8">F180*G180</f>
        <v>8900</v>
      </c>
      <c r="I180" s="9"/>
      <c r="J180" s="31" t="s">
        <v>313</v>
      </c>
      <c r="K180" s="9" t="s">
        <v>232</v>
      </c>
      <c r="L180" s="33" t="s">
        <v>198</v>
      </c>
      <c r="M180" s="10">
        <v>46070</v>
      </c>
      <c r="N180" s="8"/>
      <c r="O180" s="9"/>
      <c r="P180" s="10">
        <v>46072</v>
      </c>
      <c r="Q180" s="11"/>
    </row>
    <row r="181" spans="2:17" s="97" customFormat="1" ht="19.5" customHeight="1" x14ac:dyDescent="0.15">
      <c r="B181" s="79"/>
      <c r="C181" s="90" t="s">
        <v>37</v>
      </c>
      <c r="D181" s="90" t="s">
        <v>37</v>
      </c>
      <c r="E181" s="91" t="s">
        <v>326</v>
      </c>
      <c r="F181" s="92">
        <v>2</v>
      </c>
      <c r="G181" s="91">
        <v>862</v>
      </c>
      <c r="H181" s="93">
        <f t="shared" si="8"/>
        <v>1724</v>
      </c>
      <c r="I181" s="92"/>
      <c r="J181" s="91" t="s">
        <v>330</v>
      </c>
      <c r="K181" s="92" t="s">
        <v>332</v>
      </c>
      <c r="L181" s="94"/>
      <c r="M181" s="95">
        <v>46087</v>
      </c>
      <c r="N181" s="90"/>
      <c r="O181" s="92"/>
      <c r="P181" s="95">
        <v>46089</v>
      </c>
      <c r="Q181" s="96"/>
    </row>
    <row r="182" spans="2:17" s="97" customFormat="1" ht="19.5" customHeight="1" x14ac:dyDescent="0.15">
      <c r="B182" s="79"/>
      <c r="C182" s="90" t="s">
        <v>37</v>
      </c>
      <c r="D182" s="90" t="s">
        <v>37</v>
      </c>
      <c r="E182" s="91" t="s">
        <v>327</v>
      </c>
      <c r="F182" s="92">
        <v>2</v>
      </c>
      <c r="G182" s="91">
        <v>1254</v>
      </c>
      <c r="H182" s="93">
        <f t="shared" si="8"/>
        <v>2508</v>
      </c>
      <c r="I182" s="92"/>
      <c r="J182" s="91" t="s">
        <v>330</v>
      </c>
      <c r="K182" s="92" t="s">
        <v>332</v>
      </c>
      <c r="L182" s="94"/>
      <c r="M182" s="95">
        <v>46087</v>
      </c>
      <c r="N182" s="90"/>
      <c r="O182" s="92"/>
      <c r="P182" s="95">
        <v>46089</v>
      </c>
      <c r="Q182" s="96"/>
    </row>
    <row r="183" spans="2:17" s="97" customFormat="1" ht="19.5" customHeight="1" x14ac:dyDescent="0.15">
      <c r="B183" s="79"/>
      <c r="C183" s="90" t="s">
        <v>37</v>
      </c>
      <c r="D183" s="90" t="s">
        <v>37</v>
      </c>
      <c r="E183" s="91" t="s">
        <v>328</v>
      </c>
      <c r="F183" s="92">
        <v>1</v>
      </c>
      <c r="G183" s="91">
        <v>890</v>
      </c>
      <c r="H183" s="93">
        <f t="shared" si="8"/>
        <v>890</v>
      </c>
      <c r="I183" s="92"/>
      <c r="J183" s="91" t="s">
        <v>331</v>
      </c>
      <c r="K183" s="92" t="s">
        <v>332</v>
      </c>
      <c r="L183" s="94"/>
      <c r="M183" s="95">
        <v>46087</v>
      </c>
      <c r="N183" s="90"/>
      <c r="O183" s="92"/>
      <c r="P183" s="95">
        <v>46089</v>
      </c>
      <c r="Q183" s="96"/>
    </row>
    <row r="184" spans="2:17" s="97" customFormat="1" ht="19.5" customHeight="1" x14ac:dyDescent="0.15">
      <c r="B184" s="80"/>
      <c r="C184" s="90" t="s">
        <v>37</v>
      </c>
      <c r="D184" s="90" t="s">
        <v>37</v>
      </c>
      <c r="E184" s="91" t="s">
        <v>329</v>
      </c>
      <c r="F184" s="92">
        <v>2</v>
      </c>
      <c r="G184" s="91">
        <v>800</v>
      </c>
      <c r="H184" s="93">
        <f t="shared" si="8"/>
        <v>1600</v>
      </c>
      <c r="I184" s="92"/>
      <c r="J184" s="91" t="s">
        <v>331</v>
      </c>
      <c r="K184" s="92" t="s">
        <v>332</v>
      </c>
      <c r="L184" s="94"/>
      <c r="M184" s="95">
        <v>46087</v>
      </c>
      <c r="N184" s="90"/>
      <c r="O184" s="92"/>
      <c r="P184" s="95">
        <v>46089</v>
      </c>
      <c r="Q184" s="96"/>
    </row>
    <row r="185" spans="2:17" s="3" customFormat="1" ht="19.7" customHeight="1" x14ac:dyDescent="0.15">
      <c r="B185" s="8"/>
      <c r="C185" s="8"/>
      <c r="D185" s="8"/>
      <c r="E185" s="31"/>
      <c r="F185" s="9"/>
      <c r="G185" s="28"/>
      <c r="H185" s="28">
        <f t="shared" ref="H185" si="9">F185*G185</f>
        <v>0</v>
      </c>
      <c r="I185" s="9"/>
      <c r="J185" s="31"/>
      <c r="K185" s="33"/>
      <c r="L185" s="22"/>
      <c r="M185" s="10"/>
      <c r="N185" s="8"/>
      <c r="O185" s="15"/>
      <c r="P185" s="10"/>
      <c r="Q185" s="11"/>
    </row>
  </sheetData>
  <autoFilter ref="B9:O16" xr:uid="{00000000-0009-0000-0000-000000000000}"/>
  <sortState xmlns:xlrd2="http://schemas.microsoft.com/office/spreadsheetml/2017/richdata2" ref="E101:F106">
    <sortCondition ref="E100:E106"/>
  </sortState>
  <mergeCells count="16">
    <mergeCell ref="B108:B126"/>
    <mergeCell ref="B154:B184"/>
    <mergeCell ref="B127:B141"/>
    <mergeCell ref="B6:D6"/>
    <mergeCell ref="G2:I2"/>
    <mergeCell ref="B2:D2"/>
    <mergeCell ref="B3:D3"/>
    <mergeCell ref="B4:D4"/>
    <mergeCell ref="B5:D5"/>
    <mergeCell ref="B81:B83"/>
    <mergeCell ref="B142:B153"/>
    <mergeCell ref="B12:B61"/>
    <mergeCell ref="B62:B80"/>
    <mergeCell ref="B10:B11"/>
    <mergeCell ref="B84:B85"/>
    <mergeCell ref="B86:B107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佐藤マネジャー</cp:lastModifiedBy>
  <cp:lastPrinted>2023-01-10T11:04:14Z</cp:lastPrinted>
  <dcterms:created xsi:type="dcterms:W3CDTF">2011-12-13T06:48:43Z</dcterms:created>
  <dcterms:modified xsi:type="dcterms:W3CDTF">2026-03-13T09:12:37Z</dcterms:modified>
</cp:coreProperties>
</file>