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9AFF0E38-F1E5-4B5B-982D-71C111400BF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①原価一覧 (20260126) " sheetId="16" r:id="rId1"/>
    <sheet name="Sheet3" sheetId="3" r:id="rId2"/>
  </sheets>
  <definedNames>
    <definedName name="_xlnm._FilterDatabase" localSheetId="0" hidden="1">'①原価一覧 (20260126) '!$C$8:$P$34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6" l="1"/>
  <c r="I21" i="16"/>
  <c r="I30" i="16"/>
  <c r="I29" i="16"/>
  <c r="I28" i="16"/>
  <c r="I14" i="16"/>
  <c r="I12" i="16"/>
  <c r="K2" i="16"/>
  <c r="C13" i="16"/>
  <c r="C14" i="16" s="1"/>
  <c r="C21" i="16" s="1"/>
  <c r="F24" i="16" l="1"/>
  <c r="F16" i="16"/>
  <c r="C22" i="16"/>
</calcChain>
</file>

<file path=xl/sharedStrings.xml><?xml version="1.0" encoding="utf-8"?>
<sst xmlns="http://schemas.openxmlformats.org/spreadsheetml/2006/main" count="71" uniqueCount="51">
  <si>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</si>
  <si>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</si>
  <si>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</si>
  <si>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</si>
  <si>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</si>
  <si>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</si>
  <si>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</si>
  <si>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</si>
  <si>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</si>
  <si>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</si>
  <si>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</si>
  <si>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</si>
  <si>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</si>
  <si>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</si>
  <si>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</si>
  <si>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</si>
  <si>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</si>
  <si>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</si>
  <si>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</si>
  <si>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</si>
  <si>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</si>
  <si>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</si>
  <si>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運送費</t>
  </si>
  <si>
    <t>設計費</t>
  </si>
  <si>
    <t>組立調整費</t>
  </si>
  <si>
    <t>出荷依頼項目NO.</t>
    <rPh sb="0" eb="4">
      <t>シュッカイライ</t>
    </rPh>
    <rPh sb="4" eb="6">
      <t>コウモク</t>
    </rPh>
    <phoneticPr fontId="9"/>
  </si>
  <si>
    <t>スリーハイ社</t>
    <phoneticPr fontId="9"/>
  </si>
  <si>
    <t>納期</t>
    <rPh sb="0" eb="2">
      <t>ノウキ</t>
    </rPh>
    <phoneticPr fontId="9"/>
  </si>
  <si>
    <t xml:space="preserve">
シリコーンスポンジ断熱材付
10mmt
マジックテープ脱着式</t>
    <phoneticPr fontId="9"/>
  </si>
  <si>
    <t xml:space="preserve"> 過昇温防止器ユニット</t>
    <phoneticPr fontId="11"/>
  </si>
  <si>
    <t>ｱｽﾞﾜﾝ</t>
    <phoneticPr fontId="11"/>
  </si>
  <si>
    <t>TXN800WAL 過昇温防止器</t>
    <phoneticPr fontId="11"/>
  </si>
  <si>
    <t>3-6824-01　温度過昇防止器 （アラート用出力付）</t>
    <phoneticPr fontId="11"/>
  </si>
  <si>
    <t>30日目</t>
    <rPh sb="2" eb="3">
      <t>ヒ</t>
    </rPh>
    <rPh sb="3" eb="4">
      <t>メ</t>
    </rPh>
    <phoneticPr fontId="11"/>
  </si>
  <si>
    <t>送料</t>
    <rPh sb="0" eb="2">
      <t>ソウリョウ</t>
    </rPh>
    <phoneticPr fontId="9"/>
  </si>
  <si>
    <t>石鍋</t>
    <rPh sb="0" eb="2">
      <t>イシナベ</t>
    </rPh>
    <phoneticPr fontId="9"/>
  </si>
  <si>
    <t>村田機械株式会社様</t>
    <phoneticPr fontId="11"/>
  </si>
  <si>
    <t>米谷　氏</t>
    <rPh sb="0" eb="2">
      <t>ヨネタニ</t>
    </rPh>
    <rPh sb="3" eb="4">
      <t>シ</t>
    </rPh>
    <phoneticPr fontId="11"/>
  </si>
  <si>
    <t>ATD200Wｵｰﾄﾁｭｰﾌﾞ温調　ﾕﾆｯﾄ</t>
    <rPh sb="15" eb="17">
      <t>オンチョウ</t>
    </rPh>
    <phoneticPr fontId="11"/>
  </si>
  <si>
    <t>仕様：100V 94W φ49X高さ195mm リード線1m/端末処理なし
K熱電対付　2本 1m/端末処理なし</t>
    <rPh sb="45" eb="46">
      <t>ホン</t>
    </rPh>
    <phoneticPr fontId="9"/>
  </si>
  <si>
    <t>　　　図面NO.　SETB-0313-A01</t>
    <rPh sb="3" eb="5">
      <t>ズメン</t>
    </rPh>
    <phoneticPr fontId="9"/>
  </si>
  <si>
    <t xml:space="preserve">Ｎo.229903 </t>
    <phoneticPr fontId="9"/>
  </si>
  <si>
    <t>3セット   SETB0313-A01　SV51+ATD200W　ｵｰﾄﾁｭｰﾌﾞﾂｰﾙ治具　20260109</t>
    <phoneticPr fontId="9"/>
  </si>
  <si>
    <t>書類番号 16157</t>
    <phoneticPr fontId="9"/>
  </si>
  <si>
    <t>書類番号　16157内容　　ヒーター+熱電対</t>
    <rPh sb="0" eb="2">
      <t>ショルイ</t>
    </rPh>
    <rPh sb="2" eb="4">
      <t>バンゴウ</t>
    </rPh>
    <rPh sb="10" eb="12">
      <t>ナイヨウ</t>
    </rPh>
    <rPh sb="19" eb="22">
      <t>ネツデンツイ</t>
    </rPh>
    <phoneticPr fontId="11"/>
  </si>
  <si>
    <t>書類番号　16157内容　断熱ｽﾎﾟﾝｼﾞ</t>
    <rPh sb="13" eb="15">
      <t>ダンネツ</t>
    </rPh>
    <phoneticPr fontId="11"/>
  </si>
  <si>
    <t>書類番号　16157内容　　送料</t>
    <rPh sb="14" eb="16">
      <t>ソウリョウ</t>
    </rPh>
    <phoneticPr fontId="9"/>
  </si>
  <si>
    <t>①</t>
    <phoneticPr fontId="9"/>
  </si>
  <si>
    <t>仙台営業所納品へ</t>
    <rPh sb="0" eb="2">
      <t>センダイ</t>
    </rPh>
    <rPh sb="2" eb="5">
      <t>エイギョウショ</t>
    </rPh>
    <rPh sb="5" eb="7">
      <t>ノウヒン</t>
    </rPh>
    <phoneticPr fontId="9"/>
  </si>
  <si>
    <t>3/3仙台(営)</t>
    <rPh sb="3" eb="8">
      <t>センダイエイ</t>
    </rPh>
    <phoneticPr fontId="9"/>
  </si>
  <si>
    <t>見積もり　NO.381265-1</t>
    <rPh sb="0" eb="2">
      <t>ミツ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</si>
</sst>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#,##0_ "/>
    <numFmt numFmtId="181" formatCode="&quot;¥&quot;#,##0_);[Red]\(&quot;¥&quot;#,##0\)"/>
  </numFmts>
  <fonts count="21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b/>
      <sz val="11"/>
      <color theme="9" tint="-0.249977111117893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b/>
      <sz val="14"/>
      <color indexed="8"/>
      <name val="ＭＳ Ｐゴシック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</cellStyleXfs>
  <cellXfs count="105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76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17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6" xfId="0" applyNumberFormat="1" applyBorder="1">
      <alignment vertical="center"/>
    </xf>
    <xf numFmtId="176" fontId="0" fillId="0" borderId="6" xfId="0" applyNumberFormat="1" applyBorder="1" applyAlignment="1"/>
    <xf numFmtId="0" fontId="0" fillId="0" borderId="6" xfId="0" applyBorder="1" applyAlignment="1">
      <alignment horizontal="left" vertical="center" shrinkToFit="1"/>
    </xf>
    <xf numFmtId="176" fontId="0" fillId="0" borderId="7" xfId="0" applyNumberFormat="1" applyBorder="1" applyAlignment="1"/>
    <xf numFmtId="176" fontId="0" fillId="0" borderId="3" xfId="0" applyNumberForma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5" xfId="0" applyBorder="1" applyAlignment="1">
      <alignment vertical="center" shrinkToFit="1"/>
    </xf>
    <xf numFmtId="176" fontId="7" fillId="0" borderId="12" xfId="0" applyNumberFormat="1" applyFont="1" applyBorder="1" applyAlignment="1">
      <alignment horizontal="center" vertical="center"/>
    </xf>
    <xf numFmtId="3" fontId="0" fillId="7" borderId="6" xfId="0" applyNumberFormat="1" applyFill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10" fillId="0" borderId="6" xfId="0" applyFont="1" applyBorder="1">
      <alignment vertical="center"/>
    </xf>
    <xf numFmtId="176" fontId="7" fillId="0" borderId="13" xfId="0" applyNumberFormat="1" applyFont="1" applyBorder="1" applyAlignment="1">
      <alignment horizontal="center" vertical="center"/>
    </xf>
    <xf numFmtId="176" fontId="17" fillId="4" borderId="6" xfId="0" applyNumberFormat="1" applyFont="1" applyFill="1" applyBorder="1" applyAlignment="1">
      <alignment horizontal="center" vertical="center"/>
    </xf>
    <xf numFmtId="3" fontId="0" fillId="7" borderId="8" xfId="0" applyNumberForma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8" fillId="0" borderId="5" xfId="0" applyFont="1" applyBorder="1" applyAlignment="1">
      <alignment vertical="center" shrinkToFit="1"/>
    </xf>
    <xf numFmtId="0" fontId="12" fillId="0" borderId="6" xfId="0" applyFont="1" applyBorder="1">
      <alignment vertical="center"/>
    </xf>
    <xf numFmtId="181" fontId="14" fillId="4" borderId="6" xfId="0" applyNumberFormat="1" applyFont="1" applyFill="1" applyBorder="1" applyAlignment="1">
      <alignment horizontal="center" vertical="center"/>
    </xf>
    <xf numFmtId="3" fontId="13" fillId="7" borderId="6" xfId="0" applyNumberFormat="1" applyFont="1" applyFill="1" applyBorder="1" applyAlignment="1">
      <alignment horizontal="center" vertical="center"/>
    </xf>
    <xf numFmtId="3" fontId="0" fillId="9" borderId="6" xfId="0" applyNumberFormat="1" applyFill="1" applyBorder="1" applyAlignment="1">
      <alignment horizontal="center" vertical="center"/>
    </xf>
    <xf numFmtId="0" fontId="12" fillId="9" borderId="6" xfId="0" applyFont="1" applyFill="1" applyBorder="1">
      <alignment vertical="center"/>
    </xf>
    <xf numFmtId="176" fontId="0" fillId="9" borderId="6" xfId="0" applyNumberFormat="1" applyFill="1" applyBorder="1" applyAlignment="1">
      <alignment horizontal="center" vertical="center"/>
    </xf>
    <xf numFmtId="0" fontId="0" fillId="8" borderId="6" xfId="0" applyFill="1" applyBorder="1">
      <alignment vertical="center"/>
    </xf>
    <xf numFmtId="0" fontId="8" fillId="0" borderId="0" xfId="0" applyFont="1" applyAlignment="1">
      <alignment vertical="center" wrapText="1"/>
    </xf>
    <xf numFmtId="3" fontId="8" fillId="9" borderId="6" xfId="0" applyNumberFormat="1" applyFont="1" applyFill="1" applyBorder="1" applyAlignment="1">
      <alignment horizontal="center" vertical="center"/>
    </xf>
    <xf numFmtId="0" fontId="20" fillId="0" borderId="6" xfId="0" applyFont="1" applyBorder="1" applyAlignment="1">
      <alignment horizontal="center" vertical="center" shrinkToFit="1"/>
    </xf>
    <xf numFmtId="0" fontId="20" fillId="0" borderId="6" xfId="0" applyFont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18" fillId="7" borderId="6" xfId="0" applyFont="1" applyFill="1" applyBorder="1" applyAlignment="1">
      <alignment horizontal="center" vertical="center"/>
    </xf>
    <xf numFmtId="176" fontId="0" fillId="0" borderId="6" xfId="0" applyNumberFormat="1" applyBorder="1" applyAlignment="1">
      <alignment horizontal="right" vertical="center"/>
    </xf>
    <xf numFmtId="3" fontId="0" fillId="0" borderId="8" xfId="0" applyNumberFormat="1" applyBorder="1" applyAlignment="1">
      <alignment horizontal="center" vertical="center"/>
    </xf>
    <xf numFmtId="49" fontId="13" fillId="0" borderId="6" xfId="0" applyNumberFormat="1" applyFont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38" fontId="13" fillId="0" borderId="6" xfId="0" applyNumberFormat="1" applyFont="1" applyBorder="1" applyAlignment="1">
      <alignment horizontal="right" vertical="center"/>
    </xf>
    <xf numFmtId="176" fontId="7" fillId="0" borderId="6" xfId="0" applyNumberFormat="1" applyFont="1" applyBorder="1" applyAlignment="1">
      <alignment horizontal="center" vertical="center"/>
    </xf>
    <xf numFmtId="176" fontId="13" fillId="0" borderId="6" xfId="0" applyNumberFormat="1" applyFont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8" fillId="0" borderId="6" xfId="0" applyFont="1" applyBorder="1">
      <alignment vertical="center"/>
    </xf>
    <xf numFmtId="180" fontId="13" fillId="0" borderId="6" xfId="0" applyNumberFormat="1" applyFont="1" applyBorder="1" applyAlignment="1">
      <alignment horizontal="center" vertical="center"/>
    </xf>
    <xf numFmtId="0" fontId="8" fillId="13" borderId="12" xfId="0" applyFont="1" applyFill="1" applyBorder="1" applyAlignment="1">
      <alignment horizontal="center" vertical="center"/>
    </xf>
    <xf numFmtId="0" fontId="8" fillId="13" borderId="6" xfId="0" applyFont="1" applyFill="1" applyBorder="1" applyAlignment="1">
      <alignment horizontal="left" vertical="center"/>
    </xf>
    <xf numFmtId="0" fontId="8" fillId="13" borderId="6" xfId="0" applyFont="1" applyFill="1" applyBorder="1">
      <alignment vertical="center"/>
    </xf>
    <xf numFmtId="0" fontId="0" fillId="13" borderId="6" xfId="0" applyFill="1" applyBorder="1" applyAlignment="1">
      <alignment horizontal="center" vertical="center"/>
    </xf>
    <xf numFmtId="0" fontId="8" fillId="5" borderId="5" xfId="0" applyFont="1" applyFill="1" applyBorder="1" applyAlignment="1">
      <alignment vertical="center" shrinkToFit="1"/>
    </xf>
    <xf numFmtId="0" fontId="16" fillId="0" borderId="1" xfId="0" applyFont="1" applyBorder="1" applyAlignment="1">
      <alignment horizontal="center" vertical="center" shrinkToFit="1"/>
    </xf>
    <xf numFmtId="179" fontId="8" fillId="0" borderId="1" xfId="0" applyNumberFormat="1" applyFont="1" applyBorder="1" applyAlignment="1">
      <alignment horizontal="center" vertical="center"/>
    </xf>
    <xf numFmtId="176" fontId="0" fillId="14" borderId="6" xfId="0" applyNumberFormat="1" applyFill="1" applyBorder="1" applyAlignment="1">
      <alignment horizontal="center" vertical="center"/>
    </xf>
    <xf numFmtId="176" fontId="12" fillId="9" borderId="6" xfId="0" applyNumberFormat="1" applyFont="1" applyFill="1" applyBorder="1" applyAlignment="1">
      <alignment horizontal="center" vertical="center"/>
    </xf>
    <xf numFmtId="0" fontId="8" fillId="14" borderId="5" xfId="0" applyFont="1" applyFill="1" applyBorder="1" applyAlignment="1">
      <alignment vertical="center" shrinkToFit="1"/>
    </xf>
    <xf numFmtId="176" fontId="7" fillId="0" borderId="2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3" fontId="15" fillId="3" borderId="9" xfId="0" applyNumberFormat="1" applyFont="1" applyFill="1" applyBorder="1" applyAlignment="1">
      <alignment horizontal="center" vertical="center"/>
    </xf>
    <xf numFmtId="3" fontId="15" fillId="3" borderId="14" xfId="0" applyNumberFormat="1" applyFont="1" applyFill="1" applyBorder="1" applyAlignment="1">
      <alignment horizontal="center" vertical="center"/>
    </xf>
    <xf numFmtId="3" fontId="15" fillId="3" borderId="10" xfId="0" applyNumberFormat="1" applyFont="1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3" fontId="2" fillId="11" borderId="7" xfId="0" applyNumberFormat="1" applyFont="1" applyFill="1" applyBorder="1" applyAlignment="1">
      <alignment horizontal="center" vertical="center"/>
    </xf>
    <xf numFmtId="3" fontId="2" fillId="11" borderId="11" xfId="0" applyNumberFormat="1" applyFont="1" applyFill="1" applyBorder="1" applyAlignment="1">
      <alignment horizontal="center" vertical="center"/>
    </xf>
    <xf numFmtId="3" fontId="2" fillId="11" borderId="10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</cellXfs>
  <cellStyles count="5">
    <cellStyle name="ハイパーリンク" xfId="2" xr:uid="{00000000-0005-0000-0000-000000000000}"/>
    <cellStyle name="標準" xfId="0" builtinId="0"/>
    <cellStyle name="標準 2" xfId="4" xr:uid="{C2CBC382-4BC1-4D3B-B64A-4DC2C10C5618}"/>
    <cellStyle name="標準 3" xfId="3" xr:uid="{1B9717F3-D5E1-4047-8E84-2BA2544C8F2B}"/>
    <cellStyle name="表示済みのハイパーリンク" xfId="1" xr:uid="{00000000-0005-0000-0000-000003000000}"/>
  </cellStyles>
  <dxfs count="0"/>
  <tableStyles count="0" defaultTableStyle="TableStyleMedium9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F12C-160B-44BD-BB13-B9E42E367A14}">
  <sheetPr>
    <tabColor rgb="FFFFFF00"/>
  </sheetPr>
  <dimension ref="A2:R34"/>
  <sheetViews>
    <sheetView tabSelected="1" zoomScale="85" zoomScaleNormal="85" workbookViewId="0">
      <pane ySplit="8" topLeftCell="A9" activePane="bottomLeft" state="frozen"/>
      <selection activeCell="B1" sqref="B1"/>
      <selection pane="bottomLeft" activeCell="N21" sqref="N21:Q22"/>
    </sheetView>
  </sheetViews>
  <sheetFormatPr defaultColWidth="11.81640625" defaultRowHeight="13.5" customHeight="1" x14ac:dyDescent="0.2"/>
  <cols>
    <col min="1" max="1" width="15.08984375" customWidth="1"/>
    <col min="2" max="2" width="12.453125" customWidth="1"/>
    <col min="3" max="3" width="6.1796875" style="5" customWidth="1"/>
    <col min="4" max="4" width="15.1796875" customWidth="1"/>
    <col min="5" max="5" width="15.453125" customWidth="1"/>
    <col min="6" max="6" width="54.08984375" customWidth="1"/>
    <col min="7" max="7" width="10.81640625" style="5" customWidth="1"/>
    <col min="8" max="9" width="12.08984375" style="5" customWidth="1"/>
    <col min="10" max="10" width="7.08984375" style="10" customWidth="1"/>
    <col min="11" max="11" width="50.453125" customWidth="1"/>
    <col min="12" max="12" width="18.08984375" customWidth="1"/>
    <col min="13" max="13" width="24.36328125" style="5" customWidth="1"/>
    <col min="14" max="14" width="17" style="5" customWidth="1"/>
    <col min="15" max="15" width="9.1796875" customWidth="1"/>
    <col min="16" max="16" width="16.36328125" style="5" customWidth="1"/>
    <col min="17" max="17" width="17.90625" style="26" customWidth="1"/>
    <col min="18" max="18" width="19.36328125" style="26" customWidth="1"/>
  </cols>
  <sheetData>
    <row r="2" spans="1:18" ht="20.149999999999999" customHeight="1" x14ac:dyDescent="0.2">
      <c r="C2" s="90" t="s">
        <v>0</v>
      </c>
      <c r="D2" s="90"/>
      <c r="E2" s="90"/>
      <c r="F2" s="60" t="s">
        <v>36</v>
      </c>
      <c r="H2" s="100" t="s">
        <v>1</v>
      </c>
      <c r="I2" s="101"/>
      <c r="J2" s="102"/>
      <c r="K2" s="9">
        <f>SUM(I:I)</f>
        <v>477300</v>
      </c>
    </row>
    <row r="3" spans="1:18" ht="20.149999999999999" customHeight="1" x14ac:dyDescent="0.2">
      <c r="C3" s="90" t="s">
        <v>2</v>
      </c>
      <c r="D3" s="90"/>
      <c r="E3" s="90"/>
      <c r="F3" s="61" t="s">
        <v>37</v>
      </c>
    </row>
    <row r="4" spans="1:18" ht="20.149999999999999" customHeight="1" x14ac:dyDescent="0.2">
      <c r="C4" s="90" t="s">
        <v>3</v>
      </c>
      <c r="D4" s="90"/>
      <c r="E4" s="90"/>
      <c r="F4" s="7" t="s">
        <v>41</v>
      </c>
      <c r="H4" s="103" t="s">
        <v>47</v>
      </c>
      <c r="I4" s="58"/>
      <c r="J4" s="104" t="s">
        <v>42</v>
      </c>
      <c r="K4" s="104"/>
      <c r="L4" s="104"/>
    </row>
    <row r="5" spans="1:18" ht="20.149999999999999" customHeight="1" x14ac:dyDescent="0.2">
      <c r="C5" s="90" t="s">
        <v>4</v>
      </c>
      <c r="D5" s="90"/>
      <c r="E5" s="90"/>
      <c r="F5" s="8">
        <v>46068</v>
      </c>
      <c r="H5" s="103"/>
      <c r="I5" s="58"/>
      <c r="J5" s="104"/>
      <c r="K5" s="104"/>
      <c r="L5" s="104"/>
    </row>
    <row r="6" spans="1:18" ht="20.149999999999999" customHeight="1" x14ac:dyDescent="0.2">
      <c r="C6" s="90" t="s">
        <v>5</v>
      </c>
      <c r="D6" s="90"/>
      <c r="E6" s="90"/>
      <c r="F6" s="8">
        <v>46069</v>
      </c>
      <c r="H6" s="91" t="s">
        <v>40</v>
      </c>
      <c r="I6" s="91"/>
      <c r="J6" s="91"/>
      <c r="K6" s="91"/>
    </row>
    <row r="8" spans="1:18" s="5" customFormat="1" ht="19.5" customHeight="1" x14ac:dyDescent="0.2">
      <c r="A8" s="49" t="s">
        <v>27</v>
      </c>
      <c r="B8" s="38" t="s">
        <v>25</v>
      </c>
      <c r="C8" s="37" t="s">
        <v>6</v>
      </c>
      <c r="D8" s="2" t="s">
        <v>7</v>
      </c>
      <c r="E8" s="2" t="s">
        <v>8</v>
      </c>
      <c r="F8" s="17" t="s">
        <v>9</v>
      </c>
      <c r="G8" s="17" t="s">
        <v>10</v>
      </c>
      <c r="H8" s="17" t="s">
        <v>11</v>
      </c>
      <c r="I8" s="1" t="s">
        <v>12</v>
      </c>
      <c r="J8" s="1" t="s">
        <v>13</v>
      </c>
      <c r="K8" s="17" t="s">
        <v>14</v>
      </c>
      <c r="L8" s="17" t="s">
        <v>15</v>
      </c>
      <c r="M8" s="17" t="s">
        <v>16</v>
      </c>
      <c r="N8" s="19" t="s">
        <v>17</v>
      </c>
      <c r="O8" s="2" t="s">
        <v>18</v>
      </c>
      <c r="P8" s="17" t="s">
        <v>19</v>
      </c>
      <c r="Q8" s="19" t="s">
        <v>20</v>
      </c>
      <c r="R8" s="6" t="s">
        <v>21</v>
      </c>
    </row>
    <row r="9" spans="1:18" s="5" customFormat="1" ht="19.5" customHeight="1" x14ac:dyDescent="0.2">
      <c r="C9" s="40"/>
      <c r="D9" s="41"/>
      <c r="E9" s="41"/>
      <c r="F9" s="34"/>
      <c r="G9" s="15"/>
      <c r="H9" s="15"/>
      <c r="I9" s="15"/>
      <c r="J9" s="11"/>
      <c r="K9" s="16"/>
      <c r="L9" s="17"/>
      <c r="M9" s="17"/>
      <c r="N9" s="19"/>
      <c r="O9" s="2"/>
      <c r="P9" s="17"/>
      <c r="Q9" s="19"/>
      <c r="R9" s="6"/>
    </row>
    <row r="10" spans="1:18" ht="18" customHeight="1" x14ac:dyDescent="0.2">
      <c r="A10" s="21"/>
      <c r="B10" s="21"/>
      <c r="C10" s="33"/>
      <c r="D10" s="24"/>
      <c r="E10" s="28"/>
      <c r="F10" s="70"/>
      <c r="G10" s="35"/>
      <c r="H10" s="35"/>
      <c r="I10" s="35"/>
      <c r="J10" s="29"/>
      <c r="K10" s="25"/>
      <c r="L10" s="34"/>
      <c r="M10" s="3"/>
      <c r="N10" s="19"/>
      <c r="O10" s="6"/>
      <c r="P10" s="6"/>
      <c r="Q10" s="19"/>
      <c r="R10" s="12"/>
    </row>
    <row r="11" spans="1:18" ht="18" customHeight="1" x14ac:dyDescent="0.2">
      <c r="A11" s="21"/>
      <c r="B11" s="57"/>
      <c r="C11" s="33"/>
      <c r="D11" s="92" t="s">
        <v>38</v>
      </c>
      <c r="E11" s="93"/>
      <c r="F11" s="94"/>
      <c r="G11" s="35"/>
      <c r="H11" s="35"/>
      <c r="I11" s="35"/>
      <c r="J11" s="29"/>
      <c r="K11" s="25"/>
      <c r="L11" s="34"/>
      <c r="M11" s="3"/>
      <c r="N11" s="19"/>
      <c r="O11" s="6"/>
      <c r="P11" s="6"/>
      <c r="Q11" s="19"/>
      <c r="R11" s="12"/>
    </row>
    <row r="12" spans="1:18" ht="18" customHeight="1" x14ac:dyDescent="0.2">
      <c r="A12" s="62" t="s">
        <v>33</v>
      </c>
      <c r="B12" s="44">
        <v>9</v>
      </c>
      <c r="C12" s="36">
        <v>1</v>
      </c>
      <c r="D12" s="77" t="s">
        <v>26</v>
      </c>
      <c r="E12" s="77" t="s">
        <v>26</v>
      </c>
      <c r="F12" s="78" t="s">
        <v>44</v>
      </c>
      <c r="G12" s="95">
        <v>3</v>
      </c>
      <c r="H12" s="68">
        <v>78300</v>
      </c>
      <c r="I12" s="71">
        <f t="shared" ref="I12:I14" si="0">G12*H12</f>
        <v>234900</v>
      </c>
      <c r="J12" s="74"/>
      <c r="K12" s="73" t="s">
        <v>39</v>
      </c>
      <c r="L12" s="81" t="s">
        <v>43</v>
      </c>
      <c r="M12" s="82" t="s">
        <v>48</v>
      </c>
      <c r="N12" s="19">
        <v>46049</v>
      </c>
      <c r="O12" s="6"/>
      <c r="P12" s="6"/>
      <c r="Q12" s="83" t="s">
        <v>49</v>
      </c>
      <c r="R12" s="12"/>
    </row>
    <row r="13" spans="1:18" ht="18" customHeight="1" x14ac:dyDescent="0.2">
      <c r="A13" s="63" t="s">
        <v>33</v>
      </c>
      <c r="B13" s="44">
        <v>9</v>
      </c>
      <c r="C13" s="48">
        <f>+C12+1</f>
        <v>2</v>
      </c>
      <c r="D13" s="77" t="s">
        <v>26</v>
      </c>
      <c r="E13" s="77" t="s">
        <v>26</v>
      </c>
      <c r="F13" s="79" t="s">
        <v>45</v>
      </c>
      <c r="G13" s="96"/>
      <c r="H13" s="68"/>
      <c r="I13" s="76"/>
      <c r="J13" s="25"/>
      <c r="K13" s="75" t="s">
        <v>28</v>
      </c>
      <c r="L13" s="81" t="s">
        <v>43</v>
      </c>
      <c r="M13" s="82" t="s">
        <v>48</v>
      </c>
      <c r="N13" s="19">
        <v>46049</v>
      </c>
      <c r="O13" s="6"/>
      <c r="P13" s="6"/>
      <c r="Q13" s="83" t="s">
        <v>49</v>
      </c>
      <c r="R13" s="12"/>
    </row>
    <row r="14" spans="1:18" ht="18" customHeight="1" x14ac:dyDescent="0.2">
      <c r="A14" s="63" t="s">
        <v>33</v>
      </c>
      <c r="B14" s="44">
        <v>9</v>
      </c>
      <c r="C14" s="48">
        <f t="shared" ref="C14" si="1">+C13+1</f>
        <v>3</v>
      </c>
      <c r="D14" s="77" t="s">
        <v>26</v>
      </c>
      <c r="E14" s="77" t="s">
        <v>26</v>
      </c>
      <c r="F14" s="79" t="s">
        <v>46</v>
      </c>
      <c r="G14" s="80">
        <v>1</v>
      </c>
      <c r="H14" s="68">
        <v>2000</v>
      </c>
      <c r="I14" s="71">
        <f t="shared" si="0"/>
        <v>2000</v>
      </c>
      <c r="J14" s="74"/>
      <c r="K14" s="75" t="s">
        <v>34</v>
      </c>
      <c r="L14" s="81" t="s">
        <v>43</v>
      </c>
      <c r="M14" s="82" t="s">
        <v>48</v>
      </c>
      <c r="N14" s="19">
        <v>46049</v>
      </c>
      <c r="O14" s="6"/>
      <c r="P14" s="6"/>
      <c r="Q14" s="83" t="s">
        <v>49</v>
      </c>
      <c r="R14" s="12"/>
    </row>
    <row r="15" spans="1:18" ht="18" customHeight="1" x14ac:dyDescent="0.2">
      <c r="A15" s="22"/>
      <c r="B15" s="38"/>
      <c r="C15" s="66"/>
      <c r="D15" s="24"/>
      <c r="E15" s="24"/>
      <c r="F15" s="67"/>
      <c r="G15" s="68"/>
      <c r="H15" s="69"/>
      <c r="I15" s="65"/>
      <c r="J15" s="23"/>
      <c r="K15" s="45"/>
      <c r="L15" s="50"/>
      <c r="M15" s="82"/>
      <c r="N15" s="19"/>
      <c r="O15" s="6"/>
      <c r="P15" s="6"/>
      <c r="Q15" s="19"/>
      <c r="R15" s="12"/>
    </row>
    <row r="16" spans="1:18" ht="18" customHeight="1" x14ac:dyDescent="0.2">
      <c r="A16" s="21"/>
      <c r="B16" s="21"/>
      <c r="C16" s="33"/>
      <c r="D16" s="24"/>
      <c r="E16" s="28"/>
      <c r="F16" s="47">
        <f>SUM(I12:I15)</f>
        <v>236900</v>
      </c>
      <c r="G16" s="35"/>
      <c r="H16" s="35"/>
      <c r="I16" s="35"/>
      <c r="J16" s="29"/>
      <c r="K16" s="25"/>
      <c r="L16" s="34"/>
      <c r="M16" s="82"/>
      <c r="N16" s="19"/>
      <c r="O16" s="6"/>
      <c r="P16" s="6"/>
      <c r="Q16" s="19"/>
      <c r="R16" s="12"/>
    </row>
    <row r="17" spans="1:18" ht="18" customHeight="1" x14ac:dyDescent="0.2">
      <c r="A17" s="21"/>
      <c r="B17" s="21"/>
      <c r="C17" s="33"/>
      <c r="D17" s="24"/>
      <c r="E17" s="28"/>
      <c r="F17" s="46"/>
      <c r="G17" s="35"/>
      <c r="H17" s="35"/>
      <c r="I17" s="35"/>
      <c r="J17" s="29"/>
      <c r="K17" s="25"/>
      <c r="L17" s="34"/>
      <c r="M17" s="82"/>
      <c r="N17" s="19"/>
      <c r="O17" s="6"/>
      <c r="P17" s="6"/>
      <c r="Q17" s="19"/>
      <c r="R17" s="12"/>
    </row>
    <row r="18" spans="1:18" ht="18" customHeight="1" x14ac:dyDescent="0.2">
      <c r="A18" s="21"/>
      <c r="B18" s="21"/>
      <c r="C18" s="33"/>
      <c r="D18" s="24"/>
      <c r="E18" s="28"/>
      <c r="F18" s="46"/>
      <c r="G18" s="35"/>
      <c r="H18" s="35"/>
      <c r="I18" s="35"/>
      <c r="J18" s="29"/>
      <c r="K18" s="25"/>
      <c r="L18" s="34"/>
      <c r="M18" s="82"/>
      <c r="N18" s="19"/>
      <c r="O18" s="6"/>
      <c r="P18" s="6"/>
      <c r="Q18" s="19"/>
      <c r="R18" s="12"/>
    </row>
    <row r="19" spans="1:18" ht="18" customHeight="1" x14ac:dyDescent="0.2">
      <c r="A19" s="21"/>
      <c r="B19" s="21"/>
      <c r="C19" s="33"/>
      <c r="D19" s="24"/>
      <c r="E19" s="28"/>
      <c r="F19" s="46"/>
      <c r="G19" s="35"/>
      <c r="H19" s="35"/>
      <c r="I19" s="35"/>
      <c r="J19" s="29"/>
      <c r="K19" s="25"/>
      <c r="L19" s="34"/>
      <c r="M19" s="82"/>
      <c r="N19" s="19"/>
      <c r="O19" s="6"/>
      <c r="P19" s="6"/>
      <c r="Q19" s="19"/>
      <c r="R19" s="12"/>
    </row>
    <row r="20" spans="1:18" ht="18" customHeight="1" x14ac:dyDescent="0.2">
      <c r="A20" s="21"/>
      <c r="B20" s="57"/>
      <c r="C20" s="24"/>
      <c r="D20" s="97" t="s">
        <v>29</v>
      </c>
      <c r="E20" s="98"/>
      <c r="F20" s="98"/>
      <c r="G20" s="99"/>
      <c r="H20" s="28"/>
      <c r="I20" s="28"/>
      <c r="J20" s="31"/>
      <c r="K20" s="25"/>
      <c r="L20" s="34"/>
      <c r="M20" s="82"/>
      <c r="N20" s="19"/>
      <c r="O20" s="6"/>
      <c r="P20" s="6"/>
      <c r="Q20" s="19"/>
      <c r="R20" s="12"/>
    </row>
    <row r="21" spans="1:18" ht="18" customHeight="1" x14ac:dyDescent="0.2">
      <c r="A21" s="64" t="s">
        <v>33</v>
      </c>
      <c r="B21" s="72">
        <v>10</v>
      </c>
      <c r="C21" s="53">
        <f>+C14+1</f>
        <v>4</v>
      </c>
      <c r="D21" s="54" t="s">
        <v>30</v>
      </c>
      <c r="E21" s="59" t="s">
        <v>35</v>
      </c>
      <c r="F21" s="55" t="s">
        <v>31</v>
      </c>
      <c r="G21" s="56">
        <v>6</v>
      </c>
      <c r="H21" s="84">
        <v>39900</v>
      </c>
      <c r="I21" s="85">
        <f>G21*H21</f>
        <v>239400</v>
      </c>
      <c r="J21" s="31"/>
      <c r="K21" s="25" t="s">
        <v>32</v>
      </c>
      <c r="L21" s="86" t="s">
        <v>50</v>
      </c>
      <c r="M21" s="82" t="s">
        <v>48</v>
      </c>
      <c r="N21" s="19">
        <v>46050</v>
      </c>
      <c r="O21" s="6"/>
      <c r="P21" s="19">
        <v>46063</v>
      </c>
      <c r="Q21" s="19">
        <v>46056</v>
      </c>
      <c r="R21" s="12"/>
    </row>
    <row r="22" spans="1:18" ht="18" customHeight="1" x14ac:dyDescent="0.2">
      <c r="A22" s="64"/>
      <c r="B22" s="72">
        <v>10</v>
      </c>
      <c r="C22" s="53">
        <f>+C21+1</f>
        <v>5</v>
      </c>
      <c r="D22" s="54"/>
      <c r="E22" s="59"/>
      <c r="F22" s="55" t="s">
        <v>34</v>
      </c>
      <c r="G22" s="56">
        <v>1</v>
      </c>
      <c r="H22" s="84">
        <v>1000</v>
      </c>
      <c r="I22" s="85">
        <f>G22*H22</f>
        <v>1000</v>
      </c>
      <c r="J22" s="31"/>
      <c r="K22" s="25"/>
      <c r="L22" s="86" t="s">
        <v>50</v>
      </c>
      <c r="M22" s="82" t="s">
        <v>48</v>
      </c>
      <c r="N22" s="19">
        <v>46050</v>
      </c>
      <c r="O22" s="6"/>
      <c r="P22" s="19">
        <v>46063</v>
      </c>
      <c r="Q22" s="19">
        <v>46056</v>
      </c>
      <c r="R22" s="12"/>
    </row>
    <row r="23" spans="1:18" ht="18" customHeight="1" x14ac:dyDescent="0.2">
      <c r="A23" s="21"/>
      <c r="B23" s="21"/>
      <c r="C23" s="24"/>
      <c r="D23" s="24"/>
      <c r="E23" s="24"/>
      <c r="F23" s="51"/>
      <c r="G23" s="27"/>
      <c r="H23" s="28"/>
      <c r="I23" s="28"/>
      <c r="J23" s="31"/>
      <c r="K23" s="25"/>
      <c r="L23" s="34"/>
      <c r="M23" s="3"/>
      <c r="N23" s="19"/>
      <c r="O23" s="6"/>
      <c r="P23" s="6"/>
      <c r="Q23" s="19"/>
      <c r="R23" s="12"/>
    </row>
    <row r="24" spans="1:18" ht="18" customHeight="1" x14ac:dyDescent="0.2">
      <c r="A24" s="21"/>
      <c r="B24" s="21"/>
      <c r="C24" s="24"/>
      <c r="D24" s="22"/>
      <c r="E24" s="22"/>
      <c r="F24" s="52">
        <f>SUM(I21:I22)</f>
        <v>240400</v>
      </c>
      <c r="G24" s="27"/>
      <c r="H24" s="28"/>
      <c r="I24" s="28"/>
      <c r="J24" s="31"/>
      <c r="K24" s="30"/>
      <c r="L24" s="34"/>
      <c r="M24" s="3"/>
      <c r="N24" s="19"/>
      <c r="O24" s="6"/>
      <c r="P24" s="6"/>
      <c r="Q24" s="19"/>
      <c r="R24" s="12"/>
    </row>
    <row r="25" spans="1:18" ht="18" customHeight="1" x14ac:dyDescent="0.2">
      <c r="A25" s="21"/>
      <c r="B25" s="21"/>
      <c r="C25" s="33"/>
      <c r="D25" s="24"/>
      <c r="E25" s="28"/>
      <c r="F25" s="46"/>
      <c r="G25" s="35"/>
      <c r="H25" s="35"/>
      <c r="I25" s="35"/>
      <c r="J25" s="29"/>
      <c r="K25" s="25"/>
      <c r="L25" s="34"/>
      <c r="M25" s="3"/>
      <c r="N25" s="19"/>
      <c r="O25" s="6"/>
      <c r="P25" s="6"/>
      <c r="Q25" s="19"/>
      <c r="R25" s="12"/>
    </row>
    <row r="26" spans="1:18" ht="18" customHeight="1" x14ac:dyDescent="0.2">
      <c r="A26" s="21"/>
      <c r="B26" s="21"/>
      <c r="C26" s="33"/>
      <c r="D26" s="24"/>
      <c r="E26" s="28"/>
      <c r="F26" s="46"/>
      <c r="G26" s="35"/>
      <c r="H26" s="35"/>
      <c r="I26" s="35"/>
      <c r="J26" s="29"/>
      <c r="K26" s="25"/>
      <c r="L26" s="34"/>
      <c r="M26" s="3"/>
      <c r="N26" s="19"/>
      <c r="O26" s="6"/>
      <c r="P26" s="6"/>
      <c r="Q26" s="19"/>
      <c r="R26" s="12"/>
    </row>
    <row r="27" spans="1:18" ht="18" customHeight="1" x14ac:dyDescent="0.2">
      <c r="C27" s="17"/>
      <c r="D27" s="2"/>
      <c r="E27" s="2"/>
      <c r="F27" s="13"/>
      <c r="G27" s="43"/>
      <c r="H27" s="43"/>
      <c r="I27" s="32"/>
      <c r="J27" s="1"/>
      <c r="K27" s="13"/>
      <c r="L27" s="18"/>
      <c r="M27" s="3"/>
      <c r="N27" s="19"/>
      <c r="O27" s="6"/>
      <c r="P27" s="6"/>
      <c r="Q27" s="19"/>
      <c r="R27" s="12"/>
    </row>
    <row r="28" spans="1:18" ht="18" customHeight="1" x14ac:dyDescent="0.2">
      <c r="C28" s="17"/>
      <c r="D28" s="17"/>
      <c r="E28" s="17"/>
      <c r="F28" s="18" t="s">
        <v>22</v>
      </c>
      <c r="G28" s="15"/>
      <c r="H28" s="15"/>
      <c r="I28" s="15">
        <f>G28*H28</f>
        <v>0</v>
      </c>
      <c r="J28" s="11"/>
      <c r="K28" s="13" t="s">
        <v>23</v>
      </c>
      <c r="L28" s="20"/>
      <c r="M28" s="17"/>
      <c r="N28" s="19"/>
      <c r="O28" s="20"/>
      <c r="P28" s="17"/>
      <c r="Q28" s="19"/>
      <c r="R28" s="12"/>
    </row>
    <row r="29" spans="1:18" ht="18" customHeight="1" x14ac:dyDescent="0.2">
      <c r="B29" s="39">
        <v>4</v>
      </c>
      <c r="C29" s="42"/>
      <c r="D29" s="2"/>
      <c r="E29" s="2"/>
      <c r="F29" s="18" t="s">
        <v>23</v>
      </c>
      <c r="G29" s="15"/>
      <c r="H29" s="15">
        <v>5000</v>
      </c>
      <c r="I29" s="15">
        <f>G29*H29</f>
        <v>0</v>
      </c>
      <c r="J29" s="11"/>
      <c r="K29" s="13" t="s">
        <v>24</v>
      </c>
      <c r="L29" s="20"/>
      <c r="M29" s="17"/>
      <c r="N29" s="19"/>
      <c r="O29" s="20"/>
      <c r="P29" s="17"/>
      <c r="Q29" s="19"/>
      <c r="R29" s="6"/>
    </row>
    <row r="30" spans="1:18" ht="18" customHeight="1" x14ac:dyDescent="0.2">
      <c r="C30" s="17"/>
      <c r="D30" s="2"/>
      <c r="E30" s="2"/>
      <c r="F30" s="18" t="s">
        <v>24</v>
      </c>
      <c r="G30" s="15"/>
      <c r="H30" s="15"/>
      <c r="I30" s="15">
        <f>G30*H30</f>
        <v>0</v>
      </c>
      <c r="J30" s="11"/>
      <c r="K30" s="3"/>
      <c r="L30" s="20"/>
      <c r="M30" s="17"/>
      <c r="N30" s="17"/>
      <c r="O30" s="20"/>
      <c r="P30" s="17"/>
      <c r="Q30" s="6"/>
      <c r="R30" s="6"/>
    </row>
    <row r="31" spans="1:18" ht="18" customHeight="1" x14ac:dyDescent="0.2">
      <c r="C31" s="17"/>
      <c r="D31" s="2"/>
      <c r="E31" s="2"/>
      <c r="F31" s="87"/>
      <c r="G31" s="88"/>
      <c r="H31" s="88"/>
      <c r="I31" s="89"/>
      <c r="J31" s="4"/>
      <c r="K31" s="14"/>
    </row>
    <row r="32" spans="1:18" ht="18" customHeight="1" x14ac:dyDescent="0.2"/>
    <row r="33" ht="18" customHeight="1" x14ac:dyDescent="0.2"/>
    <row r="34" ht="18" customHeight="1" x14ac:dyDescent="0.2"/>
  </sheetData>
  <autoFilter ref="C8:P34" xr:uid="{00000000-0009-0000-0000-000003000000}"/>
  <mergeCells count="13">
    <mergeCell ref="C2:E2"/>
    <mergeCell ref="H2:J2"/>
    <mergeCell ref="C3:E3"/>
    <mergeCell ref="C4:E4"/>
    <mergeCell ref="H4:H5"/>
    <mergeCell ref="J4:L5"/>
    <mergeCell ref="C5:E5"/>
    <mergeCell ref="F31:I31"/>
    <mergeCell ref="C6:E6"/>
    <mergeCell ref="H6:K6"/>
    <mergeCell ref="D11:F11"/>
    <mergeCell ref="G12:G13"/>
    <mergeCell ref="D20:G20"/>
  </mergeCells>
  <phoneticPr fontId="9"/>
  <dataValidations count="2">
    <dataValidation imeMode="hiragana" allowBlank="1" showInputMessage="1" showErrorMessage="1" sqref="K20:K23" xr:uid="{1C6BEDE3-2C04-4D88-A910-01DF3EB006B0}"/>
    <dataValidation allowBlank="1" showInputMessage="1" showErrorMessage="1" sqref="K16:K19 K25:K26 K10:K11" xr:uid="{4E2E34E5-2205-4C0D-8C34-9DC89DC4140C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G25" sqref="G25"/>
    </sheetView>
  </sheetViews>
  <sheetFormatPr defaultColWidth="11.81640625" defaultRowHeight="13.5" customHeight="1" x14ac:dyDescent="0.2"/>
  <sheetData/>
  <phoneticPr fontId="9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①原価一覧 (20260126) 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松丸Ｍ</cp:lastModifiedBy>
  <cp:lastPrinted>2023-01-13T04:52:35Z</cp:lastPrinted>
  <dcterms:created xsi:type="dcterms:W3CDTF">2016-05-16T08:05:24Z</dcterms:created>
  <dcterms:modified xsi:type="dcterms:W3CDTF">2026-02-03T04:48:24Z</dcterms:modified>
</cp:coreProperties>
</file>