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A53E6F4-7345-45E2-80C3-5FEFA6299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原価表" sheetId="1" r:id="rId1"/>
  </sheets>
  <definedNames>
    <definedName name="_xlnm._FilterDatabase" localSheetId="0" hidden="1">原価表!$B$9:$O$98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86" i="1"/>
  <c r="H85" i="1"/>
  <c r="H84" i="1"/>
  <c r="H83" i="1"/>
  <c r="H82" i="1"/>
  <c r="H90" i="1"/>
  <c r="H89" i="1"/>
  <c r="H88" i="1"/>
  <c r="H81" i="1"/>
  <c r="H80" i="1"/>
  <c r="H79" i="1"/>
  <c r="H78" i="1"/>
  <c r="H91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6" i="1"/>
  <c r="H97" i="1"/>
  <c r="H96" i="1"/>
  <c r="H95" i="1"/>
  <c r="H94" i="1"/>
  <c r="H93" i="1"/>
  <c r="H92" i="1"/>
  <c r="H18" i="1"/>
  <c r="H17" i="1"/>
  <c r="H13" i="1"/>
  <c r="H12" i="1"/>
  <c r="H11" i="1"/>
  <c r="H10" i="1"/>
  <c r="H14" i="1"/>
  <c r="H15" i="1"/>
  <c r="J2" i="1" l="1"/>
</calcChain>
</file>

<file path=xl/sharedStrings.xml><?xml version="1.0" encoding="utf-8"?>
<sst xmlns="http://schemas.openxmlformats.org/spreadsheetml/2006/main" count="360" uniqueCount="157">
  <si>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</si>
  <si>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</si>
  <si>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</si>
  <si>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</si>
  <si>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</si>
  <si>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</si>
  <si>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</si>
  <si>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</si>
  <si>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</si>
  <si>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</si>
  <si>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</si>
  <si>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</si>
  <si>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</si>
  <si>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</si>
  <si>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</si>
  <si>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</si>
  <si>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</si>
  <si>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</si>
  <si>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</si>
  <si>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</si>
  <si>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</si>
  <si>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</si>
  <si>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AXA200-HV</t>
    <phoneticPr fontId="1"/>
  </si>
  <si>
    <t xml:space="preserve">AXHD-01001K </t>
    <phoneticPr fontId="1"/>
  </si>
  <si>
    <t>AXELIAｼﾘｰｽﾞAXA-HV（200角</t>
  </si>
  <si>
    <t>ﾁｯﾌﾟﾊｲﾄﾃﾞｨﾃｸﾄｷｯﾄ</t>
    <phoneticPr fontId="1"/>
  </si>
  <si>
    <t>発注願います</t>
    <rPh sb="0" eb="3">
      <t>ハッチュウネガ</t>
    </rPh>
    <phoneticPr fontId="1"/>
  </si>
  <si>
    <t>平河ヒューテック</t>
    <rPh sb="0" eb="2">
      <t>ヒラカワ</t>
    </rPh>
    <phoneticPr fontId="1"/>
  </si>
  <si>
    <t>EP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</si>
  <si>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</si>
  <si>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</si>
  <si>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モリシン工業</t>
    <rPh sb="4" eb="6">
      <t>コウギョウ</t>
    </rPh>
    <phoneticPr fontId="1"/>
  </si>
  <si>
    <t>SETE251211-X01微細孔吸着ベース</t>
    <rPh sb="14" eb="17">
      <t>ビサイコウ</t>
    </rPh>
    <rPh sb="17" eb="19">
      <t>キュウチャク</t>
    </rPh>
    <phoneticPr fontId="1"/>
  </si>
  <si>
    <t>ｱﾙﾐﾊﾆｶﾑﾊﾟﾈﾙt15x40x40 吸着ｴﾘｱ:φ0.15xP0.6 黒ｱﾙﾏｲﾄ</t>
    <rPh sb="21" eb="23">
      <t>キュウチャク</t>
    </rPh>
    <rPh sb="38" eb="39">
      <t>クロ</t>
    </rPh>
    <phoneticPr fontId="1"/>
  </si>
  <si>
    <t>見積No.20251218-01</t>
    <rPh sb="0" eb="2">
      <t>ミツ</t>
    </rPh>
    <phoneticPr fontId="1"/>
  </si>
  <si>
    <t>米山(則包)</t>
    <rPh sb="0" eb="2">
      <t>ヨネヤマ</t>
    </rPh>
    <rPh sb="3" eb="5">
      <t>ノリカネ</t>
    </rPh>
    <phoneticPr fontId="1"/>
  </si>
  <si>
    <t>SMC</t>
    <phoneticPr fontId="1"/>
  </si>
  <si>
    <t>ACS</t>
    <phoneticPr fontId="1"/>
  </si>
  <si>
    <t>AW20-01BE-D</t>
    <phoneticPr fontId="1"/>
  </si>
  <si>
    <t>ﾌｨﾙﾀﾚｷﾞｭﾚｰﾀ</t>
  </si>
  <si>
    <t>KQ2L06-01AS</t>
    <phoneticPr fontId="1"/>
  </si>
  <si>
    <t>ｴﾙﾎﾞ</t>
  </si>
  <si>
    <t>KQ2T06-00A</t>
    <phoneticPr fontId="1"/>
  </si>
  <si>
    <t>ﾃｨｰ</t>
  </si>
  <si>
    <t>KQ2H06-M5A</t>
    <phoneticPr fontId="1"/>
  </si>
  <si>
    <t>ﾕﾆｵﾝ</t>
  </si>
  <si>
    <t>KQ2L04-M5A</t>
    <phoneticPr fontId="1"/>
  </si>
  <si>
    <t>ARP20K-01H-1</t>
    <phoneticPr fontId="1"/>
  </si>
  <si>
    <t>ﾚｷﾞｭﾚｰﾀ(0.2Mpa)</t>
  </si>
  <si>
    <t>KQ2L04-01AS</t>
    <phoneticPr fontId="1"/>
  </si>
  <si>
    <t>G46-2-01M-C</t>
    <phoneticPr fontId="1"/>
  </si>
  <si>
    <t>圧力計(0.2Mpa)</t>
  </si>
  <si>
    <t>KQ2H04-M5A</t>
    <phoneticPr fontId="1"/>
  </si>
  <si>
    <t>KQ2U04-00A</t>
    <phoneticPr fontId="1"/>
  </si>
  <si>
    <t>ﾕﾆｵﾝﾜｲ</t>
  </si>
  <si>
    <t>AR20-01H-D</t>
    <phoneticPr fontId="1"/>
  </si>
  <si>
    <t>ﾚｷﾞｭﾚｰﾀ</t>
  </si>
  <si>
    <t>G46-7-01M-C</t>
    <phoneticPr fontId="1"/>
  </si>
  <si>
    <t>圧力計(0～0.7Mpa)</t>
  </si>
  <si>
    <t>ZH10DSA-06-06-08N</t>
    <phoneticPr fontId="1"/>
  </si>
  <si>
    <t>真空ｴｼﾞｪｸﾀ</t>
  </si>
  <si>
    <t>KQ2P-04</t>
    <phoneticPr fontId="1"/>
  </si>
  <si>
    <t>ﾌﾟﾗｸﾞ</t>
  </si>
  <si>
    <t>KQ2H08-00A</t>
    <phoneticPr fontId="1"/>
  </si>
  <si>
    <t>ｽﾄﾚｰﾄ</t>
  </si>
  <si>
    <t>AN15-C08</t>
    <phoneticPr fontId="1"/>
  </si>
  <si>
    <t>ｻｲﾚﾝｻ</t>
  </si>
  <si>
    <t>KQ2H04-01AS</t>
    <phoneticPr fontId="1"/>
  </si>
  <si>
    <t>タキゲン</t>
    <phoneticPr fontId="1"/>
  </si>
  <si>
    <t>C-30-SG-14A-EP-UL</t>
    <phoneticPr fontId="1"/>
  </si>
  <si>
    <t>ｸﾞﾛﾒｯﾄ</t>
  </si>
  <si>
    <t>PISCO</t>
    <phoneticPr fontId="1"/>
  </si>
  <si>
    <t>VFU1-44-15P</t>
    <phoneticPr fontId="1"/>
  </si>
  <si>
    <t>真空ﾌｨﾙﾀ</t>
  </si>
  <si>
    <t>イマオ</t>
    <phoneticPr fontId="1"/>
  </si>
  <si>
    <t>CP135-08001AL</t>
    <phoneticPr fontId="1"/>
  </si>
  <si>
    <t>ｸﾗﾝﾌﾟ</t>
  </si>
  <si>
    <t>メビー</t>
    <phoneticPr fontId="1"/>
  </si>
  <si>
    <t>ミスミ</t>
    <phoneticPr fontId="1"/>
  </si>
  <si>
    <t>MVSHM-3N0204A-4FJ-LPJJ6</t>
    <phoneticPr fontId="1"/>
  </si>
  <si>
    <t>SETE0283-Z01レギュレータ取付板金</t>
    <phoneticPr fontId="1"/>
  </si>
  <si>
    <t>229935(NORIKANE)で発注済み</t>
    <rPh sb="17" eb="20">
      <t>ハッチュウズ</t>
    </rPh>
    <phoneticPr fontId="1"/>
  </si>
  <si>
    <t>MVSHM-3N02048-4FJ-GE2S7</t>
    <phoneticPr fontId="1"/>
  </si>
  <si>
    <t>SETE0283-Z02液圧レギュレータ板金</t>
    <phoneticPr fontId="1"/>
  </si>
  <si>
    <t>MVSHM-3N02048-4FJ-T3F6C</t>
    <phoneticPr fontId="1"/>
  </si>
  <si>
    <t>SETE0283-Z03吸着レギュレータ板金</t>
    <phoneticPr fontId="1"/>
  </si>
  <si>
    <t>MSHRT3</t>
    <phoneticPr fontId="1"/>
  </si>
  <si>
    <t>手動ﾊﾞﾙﾌﾞ</t>
  </si>
  <si>
    <t>MSHBT3</t>
    <phoneticPr fontId="1"/>
  </si>
  <si>
    <t>HFS5-2020-360-Z5-XA37-XB87</t>
    <phoneticPr fontId="1"/>
  </si>
  <si>
    <t>ｱﾙﾐﾌﾚｰﾑ</t>
  </si>
  <si>
    <t>HFCB5-2020-B</t>
    <phoneticPr fontId="1"/>
  </si>
  <si>
    <t>ﾌﾚｰﾑｷｬｯﾌﾟ</t>
  </si>
  <si>
    <t>SHNTU5-5</t>
    <phoneticPr fontId="1"/>
  </si>
  <si>
    <t>先入れﾅｯﾄ</t>
  </si>
  <si>
    <t>DSNYL4-6</t>
    <phoneticPr fontId="1"/>
  </si>
  <si>
    <t>ﾀﾞﾌﾞﾙﾕﾆｵﾝﾜｲ</t>
    <phoneticPr fontId="1"/>
  </si>
  <si>
    <t>SUNCO</t>
    <phoneticPr fontId="1"/>
  </si>
  <si>
    <t>CSPCSZ-SUS-M3-4</t>
    <phoneticPr fontId="1"/>
  </si>
  <si>
    <t>皿小ﾈｼﾞ</t>
  </si>
  <si>
    <t>HFCN5PACK-B</t>
    <phoneticPr fontId="1"/>
  </si>
  <si>
    <t>ｹｰﾌﾞﾙｸﾗﾝﾌﾟ</t>
  </si>
  <si>
    <t>KPMCSN4-1</t>
    <phoneticPr fontId="1"/>
  </si>
  <si>
    <t>耐熱ﾕﾆｵﾝ</t>
    <phoneticPr fontId="1"/>
  </si>
  <si>
    <t>MVSHM-3N02040-4FJ-FGYTR</t>
    <phoneticPr fontId="1"/>
  </si>
  <si>
    <t>SETE0283-Z04押さえ板金</t>
    <phoneticPr fontId="1"/>
  </si>
  <si>
    <t>MVSHM-3N0204A-4FK-2CJJ4</t>
    <phoneticPr fontId="1"/>
  </si>
  <si>
    <t>SETE0283-Z05バルブ固定板金</t>
    <phoneticPr fontId="1"/>
  </si>
  <si>
    <t>NEDUL-PT-JS-9-2</t>
    <phoneticPr fontId="1"/>
  </si>
  <si>
    <t>Dsub9Pｺﾈｸﾀ付ﾊｰﾈｽ</t>
  </si>
  <si>
    <t>MR7904TJ3</t>
    <phoneticPr fontId="1"/>
  </si>
  <si>
    <t>OAﾀｯﾌﾟ</t>
    <phoneticPr fontId="1"/>
  </si>
  <si>
    <t>日産ﾈｼﾞ</t>
    <rPh sb="0" eb="2">
      <t>ニッサン</t>
    </rPh>
    <phoneticPr fontId="1"/>
  </si>
  <si>
    <t>CSHSM-SUS-M4-6</t>
    <phoneticPr fontId="1"/>
  </si>
  <si>
    <t>小頭ﾎﾞﾙﾄ</t>
  </si>
  <si>
    <t>SSEBZ13-45-MC</t>
    <phoneticPr fontId="1"/>
  </si>
  <si>
    <t>ﾘﾆｱｶﾞｲﾄﾞ</t>
  </si>
  <si>
    <t>SSHC-SUS-M6-30</t>
    <phoneticPr fontId="1"/>
  </si>
  <si>
    <t>止ﾈｼﾞ</t>
  </si>
  <si>
    <t>RBNH-SUS-M6</t>
    <phoneticPr fontId="1"/>
  </si>
  <si>
    <t>ﾛｰﾚｯﾄﾅｯﾄ</t>
  </si>
  <si>
    <t>NPJS-N5-5</t>
    <phoneticPr fontId="1"/>
  </si>
  <si>
    <t>ﾌﾟﾗﾝｼﾞｬ</t>
  </si>
  <si>
    <t>CSPTRT-SUS-M3-8</t>
    <phoneticPr fontId="1"/>
  </si>
  <si>
    <t>ﾄﾗｽ @4/5</t>
    <phoneticPr fontId="1"/>
  </si>
  <si>
    <t>MVBLK-AMW-4FJ-4G285</t>
    <phoneticPr fontId="1"/>
  </si>
  <si>
    <t>SETE0283-Y01ツール板</t>
    <phoneticPr fontId="1"/>
  </si>
  <si>
    <t>MVBLK-AMW-4FJ-EACHC</t>
    <phoneticPr fontId="1"/>
  </si>
  <si>
    <t>SETE0283-Y02連結ブロック</t>
    <phoneticPr fontId="1"/>
  </si>
  <si>
    <t>MVBLK-AMW-4FJ-BH6HG</t>
    <phoneticPr fontId="1"/>
  </si>
  <si>
    <t>SETE0283-Y03バルブベース</t>
    <phoneticPr fontId="1"/>
  </si>
  <si>
    <t>MVBLK-AMW-4FJ-2FDX4</t>
    <phoneticPr fontId="1"/>
  </si>
  <si>
    <t>SETE0283-Y04バルブホルダ</t>
    <phoneticPr fontId="1"/>
  </si>
  <si>
    <t>MVSHM-3N02042-4FJ-3B4LJ</t>
    <phoneticPr fontId="1"/>
  </si>
  <si>
    <t>SETE0283-Y05ストッパー</t>
    <phoneticPr fontId="1"/>
  </si>
  <si>
    <t>APPEC3-P4.5-L10-B8-R1</t>
    <phoneticPr fontId="1"/>
  </si>
  <si>
    <t>位置決めﾋﾟﾝ</t>
  </si>
  <si>
    <t>CUG3-15</t>
    <phoneticPr fontId="1"/>
  </si>
  <si>
    <t>MVBLK-AMW-4FJ-T5D1D</t>
    <phoneticPr fontId="1"/>
  </si>
  <si>
    <t>SETE0283-X01ベース板</t>
    <phoneticPr fontId="1"/>
  </si>
  <si>
    <t>MVSHM-6N00100-4FJ-MUKPY</t>
    <phoneticPr fontId="1"/>
  </si>
  <si>
    <t>SETE0283-X02ワークガイド(t0.1)</t>
    <phoneticPr fontId="1"/>
  </si>
  <si>
    <t>AN10-01</t>
    <phoneticPr fontId="1"/>
  </si>
  <si>
    <t>ｻｲﾚﾝｻ</t>
    <phoneticPr fontId="1"/>
  </si>
  <si>
    <t>TAP-EX21001</t>
    <phoneticPr fontId="1"/>
  </si>
  <si>
    <t>電源延長ｺｰﾄﾞ</t>
    <rPh sb="0" eb="4">
      <t>デンゲンエンチョウ</t>
    </rPh>
    <phoneticPr fontId="1"/>
  </si>
  <si>
    <t>見積No.22-2600213A</t>
    <phoneticPr fontId="1"/>
  </si>
  <si>
    <t>MVSHM-3N01040-4GB-5K9HM-E</t>
    <phoneticPr fontId="1"/>
  </si>
  <si>
    <t>SETE0283-X03ガイド板</t>
    <phoneticPr fontId="1"/>
  </si>
  <si>
    <t>CBSTSR4-20</t>
    <phoneticPr fontId="1"/>
  </si>
  <si>
    <t>超極低頭六角穴付ﾎﾞﾙﾄ</t>
    <phoneticPr fontId="1"/>
  </si>
  <si>
    <t>MVSHM-6N00000-4GF-UF4XT-E</t>
    <phoneticPr fontId="1"/>
  </si>
  <si>
    <t>SETE0283-X11ワークガイド(t0.05)</t>
    <phoneticPr fontId="1"/>
  </si>
  <si>
    <t>MVSHM-6N00100-4GF-YD936-E</t>
    <phoneticPr fontId="1"/>
  </si>
  <si>
    <t>SETE0283-X12ワークガイド(t0.1)</t>
    <phoneticPr fontId="1"/>
  </si>
  <si>
    <t>MVSHM-6N00200-4GF-EM4UE-E</t>
    <phoneticPr fontId="1"/>
  </si>
  <si>
    <t>SETE0283-X13ワークガイド(t0.2)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</si>
</sst>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38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right" vertical="center"/>
    </xf>
    <xf numFmtId="38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>
      <alignment vertical="center"/>
    </xf>
    <xf numFmtId="0" fontId="8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8"/>
  <sheetViews>
    <sheetView tabSelected="1" zoomScale="85" zoomScaleNormal="85" workbookViewId="0">
      <pane xSplit="10" ySplit="9" topLeftCell="K15" activePane="bottomRight" state="frozen"/>
      <selection pane="topRight" activeCell="K1" sqref="K1"/>
      <selection pane="bottomLeft" activeCell="A9" sqref="A9"/>
      <selection pane="bottomRight" activeCell="Q18" sqref="Q18"/>
    </sheetView>
  </sheetViews>
  <sheetFormatPr defaultColWidth="9" defaultRowHeight="13.5" x14ac:dyDescent="0.15"/>
  <cols>
    <col min="1" max="1" width="2.625" customWidth="1"/>
    <col min="2" max="2" width="5.875" style="3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16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3" customWidth="1"/>
    <col min="13" max="13" width="13.75" style="4" customWidth="1"/>
    <col min="14" max="14" width="6.375" customWidth="1"/>
    <col min="15" max="15" width="13.25" style="3" customWidth="1"/>
    <col min="16" max="16" width="14.5" style="4" customWidth="1"/>
    <col min="17" max="17" width="15.625" style="23" customWidth="1"/>
  </cols>
  <sheetData>
    <row r="2" spans="2:17" ht="20.100000000000001" customHeight="1" x14ac:dyDescent="0.15">
      <c r="B2" s="42" t="s">
        <v>11</v>
      </c>
      <c r="C2" s="42"/>
      <c r="D2" s="42"/>
      <c r="E2" s="18" t="s">
        <v>27</v>
      </c>
      <c r="G2" s="43" t="s">
        <v>15</v>
      </c>
      <c r="H2" s="44"/>
      <c r="I2" s="45"/>
      <c r="J2" s="2">
        <f>SUM(H:H)</f>
        <v>232731</v>
      </c>
    </row>
    <row r="3" spans="2:17" ht="20.100000000000001" customHeight="1" x14ac:dyDescent="0.15">
      <c r="B3" s="42" t="s">
        <v>10</v>
      </c>
      <c r="C3" s="42"/>
      <c r="D3" s="42"/>
      <c r="E3" s="19" t="s">
        <v>35</v>
      </c>
    </row>
    <row r="4" spans="2:17" ht="20.100000000000001" customHeight="1" x14ac:dyDescent="0.15">
      <c r="B4" s="42" t="s">
        <v>12</v>
      </c>
      <c r="C4" s="42"/>
      <c r="D4" s="42"/>
      <c r="E4" s="19">
        <v>229935</v>
      </c>
      <c r="J4" s="5"/>
    </row>
    <row r="5" spans="2:17" ht="20.100000000000001" customHeight="1" x14ac:dyDescent="0.15">
      <c r="B5" s="42" t="s">
        <v>13</v>
      </c>
      <c r="C5" s="42"/>
      <c r="D5" s="42"/>
      <c r="E5" s="20">
        <v>46090</v>
      </c>
      <c r="J5" s="5"/>
    </row>
    <row r="6" spans="2:17" ht="20.100000000000001" customHeight="1" x14ac:dyDescent="0.15">
      <c r="B6" s="42" t="s">
        <v>14</v>
      </c>
      <c r="C6" s="42"/>
      <c r="D6" s="42"/>
      <c r="E6" s="20">
        <v>46106</v>
      </c>
      <c r="J6" s="5"/>
    </row>
    <row r="7" spans="2:17" ht="20.100000000000001" customHeight="1" x14ac:dyDescent="0.15">
      <c r="B7" s="6"/>
      <c r="C7" s="6"/>
      <c r="D7" s="6"/>
      <c r="E7" s="21"/>
      <c r="J7" s="5"/>
      <c r="L7" s="7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14" t="s">
        <v>1</v>
      </c>
      <c r="H9" s="15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1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5" customHeight="1" x14ac:dyDescent="0.15">
      <c r="B10" s="8"/>
      <c r="C10" s="8"/>
      <c r="D10" s="8"/>
      <c r="E10" s="27"/>
      <c r="F10" s="9"/>
      <c r="G10" s="28">
        <v>0</v>
      </c>
      <c r="H10" s="28">
        <f t="shared" ref="H10:H13" si="0">F10*G10</f>
        <v>0</v>
      </c>
      <c r="I10" s="10"/>
      <c r="J10" s="29"/>
      <c r="K10" s="13"/>
      <c r="L10" s="9"/>
      <c r="M10" s="11"/>
      <c r="N10" s="8"/>
      <c r="O10" s="9"/>
      <c r="P10" s="11"/>
      <c r="Q10" s="12"/>
    </row>
    <row r="11" spans="2:17" s="3" customFormat="1" ht="19.7" customHeight="1" x14ac:dyDescent="0.15">
      <c r="B11" s="8"/>
      <c r="C11" s="30"/>
      <c r="D11" s="30"/>
      <c r="E11" s="31" t="s">
        <v>29</v>
      </c>
      <c r="F11" s="32">
        <v>0</v>
      </c>
      <c r="G11" s="33">
        <v>5000</v>
      </c>
      <c r="H11" s="34">
        <f t="shared" si="0"/>
        <v>0</v>
      </c>
      <c r="I11" s="35"/>
      <c r="J11" s="36"/>
      <c r="K11" s="13"/>
      <c r="L11" s="9"/>
      <c r="M11" s="11"/>
      <c r="N11" s="8"/>
      <c r="O11" s="9"/>
      <c r="P11" s="11"/>
      <c r="Q11" s="12"/>
    </row>
    <row r="12" spans="2:17" s="3" customFormat="1" ht="19.7" customHeight="1" x14ac:dyDescent="0.15">
      <c r="B12" s="8"/>
      <c r="C12" s="37"/>
      <c r="D12" s="37"/>
      <c r="E12" s="31" t="s">
        <v>30</v>
      </c>
      <c r="F12" s="32">
        <v>0</v>
      </c>
      <c r="G12" s="33">
        <v>5000</v>
      </c>
      <c r="H12" s="34">
        <f t="shared" si="0"/>
        <v>0</v>
      </c>
      <c r="I12" s="35"/>
      <c r="J12" s="36"/>
      <c r="K12" s="13"/>
      <c r="L12" s="9"/>
      <c r="M12" s="11"/>
      <c r="N12" s="8"/>
      <c r="O12" s="9"/>
      <c r="P12" s="11"/>
      <c r="Q12" s="12"/>
    </row>
    <row r="13" spans="2:17" s="3" customFormat="1" ht="19.7" customHeight="1" x14ac:dyDescent="0.15">
      <c r="B13" s="38"/>
      <c r="C13" s="38"/>
      <c r="D13" s="38"/>
      <c r="E13" s="31"/>
      <c r="F13" s="32"/>
      <c r="G13" s="39">
        <v>0</v>
      </c>
      <c r="H13" s="34">
        <f t="shared" si="0"/>
        <v>0</v>
      </c>
      <c r="I13" s="35"/>
      <c r="J13" s="36"/>
      <c r="K13" s="13"/>
      <c r="L13" s="9"/>
      <c r="M13" s="11"/>
      <c r="N13" s="8"/>
      <c r="O13" s="9"/>
      <c r="P13" s="11"/>
      <c r="Q13" s="12"/>
    </row>
    <row r="14" spans="2:17" ht="19.5" customHeight="1" x14ac:dyDescent="0.15">
      <c r="B14" s="24">
        <v>1</v>
      </c>
      <c r="C14" s="8" t="s">
        <v>28</v>
      </c>
      <c r="D14" s="8" t="s">
        <v>28</v>
      </c>
      <c r="E14" s="13" t="s">
        <v>22</v>
      </c>
      <c r="F14" s="13">
        <v>1</v>
      </c>
      <c r="G14" s="13"/>
      <c r="H14" s="17">
        <f t="shared" ref="H14:H97" si="1">F14*G14</f>
        <v>0</v>
      </c>
      <c r="I14" s="22"/>
      <c r="J14" s="13" t="s">
        <v>24</v>
      </c>
      <c r="K14" s="25" t="s">
        <v>26</v>
      </c>
      <c r="L14" s="9"/>
      <c r="M14" s="11">
        <v>46049</v>
      </c>
      <c r="N14" s="13"/>
      <c r="O14" s="26">
        <v>46080</v>
      </c>
      <c r="P14" s="11"/>
      <c r="Q14" s="12"/>
    </row>
    <row r="15" spans="2:17" ht="19.5" customHeight="1" x14ac:dyDescent="0.15">
      <c r="B15" s="9">
        <v>2</v>
      </c>
      <c r="C15" s="8" t="s">
        <v>28</v>
      </c>
      <c r="D15" s="8" t="s">
        <v>28</v>
      </c>
      <c r="E15" s="13" t="s">
        <v>23</v>
      </c>
      <c r="F15" s="13">
        <v>1</v>
      </c>
      <c r="G15" s="13"/>
      <c r="H15" s="17">
        <f t="shared" si="1"/>
        <v>0</v>
      </c>
      <c r="I15" s="22"/>
      <c r="J15" s="13" t="s">
        <v>25</v>
      </c>
      <c r="K15" s="25" t="s">
        <v>26</v>
      </c>
      <c r="L15" s="9"/>
      <c r="M15" s="11">
        <v>46049</v>
      </c>
      <c r="N15" s="13"/>
      <c r="O15" s="26">
        <v>46080</v>
      </c>
      <c r="P15" s="11"/>
      <c r="Q15" s="12"/>
    </row>
    <row r="16" spans="2:17" s="3" customFormat="1" ht="19.7" customHeight="1" x14ac:dyDescent="0.15">
      <c r="B16" s="38"/>
      <c r="C16" s="38"/>
      <c r="D16" s="38"/>
      <c r="E16" s="31"/>
      <c r="F16" s="32"/>
      <c r="G16" s="39">
        <v>0</v>
      </c>
      <c r="H16" s="34">
        <f t="shared" si="1"/>
        <v>0</v>
      </c>
      <c r="I16" s="35"/>
      <c r="J16" s="36"/>
      <c r="K16" s="13"/>
      <c r="L16" s="9"/>
      <c r="M16" s="11"/>
      <c r="N16" s="8"/>
      <c r="O16" s="9"/>
      <c r="P16" s="11"/>
      <c r="Q16" s="12"/>
    </row>
    <row r="17" spans="2:17" s="3" customFormat="1" ht="19.7" customHeight="1" x14ac:dyDescent="0.15">
      <c r="B17" s="38">
        <v>15</v>
      </c>
      <c r="C17" s="38" t="s">
        <v>31</v>
      </c>
      <c r="D17" s="38" t="s">
        <v>31</v>
      </c>
      <c r="E17" s="31" t="s">
        <v>32</v>
      </c>
      <c r="F17" s="32">
        <v>1</v>
      </c>
      <c r="G17" s="28">
        <v>45000</v>
      </c>
      <c r="H17" s="28">
        <f t="shared" si="1"/>
        <v>45000</v>
      </c>
      <c r="I17" s="10"/>
      <c r="J17" s="13" t="s">
        <v>33</v>
      </c>
      <c r="K17" s="13" t="s">
        <v>34</v>
      </c>
      <c r="L17" s="9"/>
      <c r="M17" s="11"/>
      <c r="N17" s="8"/>
      <c r="O17" s="9"/>
      <c r="P17" s="11"/>
      <c r="Q17" s="12">
        <v>46111</v>
      </c>
    </row>
    <row r="18" spans="2:17" s="3" customFormat="1" ht="19.7" customHeight="1" x14ac:dyDescent="0.15">
      <c r="B18" s="38"/>
      <c r="C18" s="38"/>
      <c r="D18" s="38"/>
      <c r="E18" s="31"/>
      <c r="F18" s="32"/>
      <c r="G18" s="28">
        <v>0</v>
      </c>
      <c r="H18" s="28">
        <f t="shared" si="1"/>
        <v>0</v>
      </c>
      <c r="I18" s="10"/>
      <c r="J18" s="13"/>
      <c r="K18" s="13"/>
      <c r="L18" s="9"/>
      <c r="M18" s="11"/>
      <c r="N18" s="8"/>
      <c r="O18" s="9"/>
      <c r="P18" s="11"/>
      <c r="Q18" s="12"/>
    </row>
    <row r="19" spans="2:17" s="3" customFormat="1" ht="19.7" customHeight="1" x14ac:dyDescent="0.15">
      <c r="B19" s="38">
        <v>16</v>
      </c>
      <c r="C19" s="38" t="s">
        <v>36</v>
      </c>
      <c r="D19" s="38" t="s">
        <v>37</v>
      </c>
      <c r="E19" s="31" t="s">
        <v>38</v>
      </c>
      <c r="F19" s="32">
        <v>1</v>
      </c>
      <c r="G19" s="39">
        <v>4240</v>
      </c>
      <c r="H19" s="34">
        <f t="shared" si="1"/>
        <v>4240</v>
      </c>
      <c r="I19" s="35"/>
      <c r="J19" s="36" t="s">
        <v>39</v>
      </c>
      <c r="K19" s="13" t="s">
        <v>146</v>
      </c>
      <c r="L19" s="9"/>
      <c r="M19" s="11">
        <v>46073</v>
      </c>
      <c r="N19" s="8"/>
      <c r="O19" s="26">
        <v>46090</v>
      </c>
      <c r="P19" s="11">
        <v>46085</v>
      </c>
      <c r="Q19" s="12">
        <v>46085</v>
      </c>
    </row>
    <row r="20" spans="2:17" s="3" customFormat="1" ht="19.7" customHeight="1" x14ac:dyDescent="0.15">
      <c r="B20" s="38">
        <v>16</v>
      </c>
      <c r="C20" s="38" t="s">
        <v>36</v>
      </c>
      <c r="D20" s="38" t="s">
        <v>37</v>
      </c>
      <c r="E20" s="31" t="s">
        <v>40</v>
      </c>
      <c r="F20" s="32">
        <v>2</v>
      </c>
      <c r="G20" s="39">
        <v>170</v>
      </c>
      <c r="H20" s="34">
        <f t="shared" si="1"/>
        <v>340</v>
      </c>
      <c r="I20" s="35"/>
      <c r="J20" s="36" t="s">
        <v>41</v>
      </c>
      <c r="K20" s="13" t="s">
        <v>146</v>
      </c>
      <c r="L20" s="9"/>
      <c r="M20" s="11">
        <v>46073</v>
      </c>
      <c r="N20" s="8"/>
      <c r="O20" s="26">
        <v>46090</v>
      </c>
      <c r="P20" s="11">
        <v>46085</v>
      </c>
      <c r="Q20" s="12">
        <v>46085</v>
      </c>
    </row>
    <row r="21" spans="2:17" s="3" customFormat="1" ht="19.7" customHeight="1" x14ac:dyDescent="0.15">
      <c r="B21" s="38">
        <v>16</v>
      </c>
      <c r="C21" s="38" t="s">
        <v>36</v>
      </c>
      <c r="D21" s="38" t="s">
        <v>37</v>
      </c>
      <c r="E21" s="31" t="s">
        <v>42</v>
      </c>
      <c r="F21" s="32">
        <v>1</v>
      </c>
      <c r="G21" s="28">
        <v>260</v>
      </c>
      <c r="H21" s="28">
        <f t="shared" si="1"/>
        <v>260</v>
      </c>
      <c r="I21" s="10"/>
      <c r="J21" s="13" t="s">
        <v>43</v>
      </c>
      <c r="K21" s="13" t="s">
        <v>146</v>
      </c>
      <c r="L21" s="9"/>
      <c r="M21" s="11">
        <v>46073</v>
      </c>
      <c r="N21" s="8"/>
      <c r="O21" s="26">
        <v>46090</v>
      </c>
      <c r="P21" s="11">
        <v>46085</v>
      </c>
      <c r="Q21" s="12">
        <v>46085</v>
      </c>
    </row>
    <row r="22" spans="2:17" s="3" customFormat="1" ht="19.7" customHeight="1" x14ac:dyDescent="0.15">
      <c r="B22" s="38">
        <v>16</v>
      </c>
      <c r="C22" s="38" t="s">
        <v>36</v>
      </c>
      <c r="D22" s="38" t="s">
        <v>37</v>
      </c>
      <c r="E22" s="31" t="s">
        <v>44</v>
      </c>
      <c r="F22" s="32">
        <v>1</v>
      </c>
      <c r="G22" s="28">
        <v>160</v>
      </c>
      <c r="H22" s="28">
        <f t="shared" si="1"/>
        <v>160</v>
      </c>
      <c r="I22" s="10"/>
      <c r="J22" s="13" t="s">
        <v>45</v>
      </c>
      <c r="K22" s="13" t="s">
        <v>146</v>
      </c>
      <c r="L22" s="9"/>
      <c r="M22" s="11">
        <v>46073</v>
      </c>
      <c r="N22" s="8"/>
      <c r="O22" s="26">
        <v>46090</v>
      </c>
      <c r="P22" s="11">
        <v>46085</v>
      </c>
      <c r="Q22" s="12">
        <v>46085</v>
      </c>
    </row>
    <row r="23" spans="2:17" s="3" customFormat="1" ht="19.7" customHeight="1" x14ac:dyDescent="0.15">
      <c r="B23" s="38">
        <v>16</v>
      </c>
      <c r="C23" s="38" t="s">
        <v>36</v>
      </c>
      <c r="D23" s="38" t="s">
        <v>37</v>
      </c>
      <c r="E23" s="31" t="s">
        <v>46</v>
      </c>
      <c r="F23" s="32">
        <v>1</v>
      </c>
      <c r="G23" s="28">
        <v>200</v>
      </c>
      <c r="H23" s="28">
        <f t="shared" si="1"/>
        <v>200</v>
      </c>
      <c r="I23" s="10"/>
      <c r="J23" s="13" t="s">
        <v>41</v>
      </c>
      <c r="K23" s="13" t="s">
        <v>146</v>
      </c>
      <c r="L23" s="9"/>
      <c r="M23" s="11">
        <v>46073</v>
      </c>
      <c r="N23" s="8"/>
      <c r="O23" s="26">
        <v>46090</v>
      </c>
      <c r="P23" s="11">
        <v>46085</v>
      </c>
      <c r="Q23" s="12">
        <v>46085</v>
      </c>
    </row>
    <row r="24" spans="2:17" s="3" customFormat="1" ht="19.7" customHeight="1" x14ac:dyDescent="0.15">
      <c r="B24" s="38">
        <v>16</v>
      </c>
      <c r="C24" s="38" t="s">
        <v>36</v>
      </c>
      <c r="D24" s="38" t="s">
        <v>37</v>
      </c>
      <c r="E24" s="31" t="s">
        <v>47</v>
      </c>
      <c r="F24" s="32">
        <v>1</v>
      </c>
      <c r="G24" s="28">
        <v>4490</v>
      </c>
      <c r="H24" s="28">
        <f t="shared" si="1"/>
        <v>4490</v>
      </c>
      <c r="I24" s="10"/>
      <c r="J24" s="13" t="s">
        <v>48</v>
      </c>
      <c r="K24" s="13" t="s">
        <v>146</v>
      </c>
      <c r="L24" s="9"/>
      <c r="M24" s="11">
        <v>46073</v>
      </c>
      <c r="N24" s="8"/>
      <c r="O24" s="26">
        <v>46090</v>
      </c>
      <c r="P24" s="11">
        <v>46085</v>
      </c>
      <c r="Q24" s="12">
        <v>46085</v>
      </c>
    </row>
    <row r="25" spans="2:17" s="3" customFormat="1" ht="19.7" customHeight="1" x14ac:dyDescent="0.15">
      <c r="B25" s="38">
        <v>16</v>
      </c>
      <c r="C25" s="38" t="s">
        <v>36</v>
      </c>
      <c r="D25" s="38" t="s">
        <v>37</v>
      </c>
      <c r="E25" s="31" t="s">
        <v>49</v>
      </c>
      <c r="F25" s="32">
        <v>2</v>
      </c>
      <c r="G25" s="39">
        <v>160</v>
      </c>
      <c r="H25" s="34">
        <f t="shared" si="1"/>
        <v>320</v>
      </c>
      <c r="I25" s="35"/>
      <c r="J25" s="36" t="s">
        <v>41</v>
      </c>
      <c r="K25" s="13" t="s">
        <v>146</v>
      </c>
      <c r="L25" s="9"/>
      <c r="M25" s="11">
        <v>46073</v>
      </c>
      <c r="N25" s="8"/>
      <c r="O25" s="26">
        <v>46090</v>
      </c>
      <c r="P25" s="11">
        <v>46085</v>
      </c>
      <c r="Q25" s="12">
        <v>46085</v>
      </c>
    </row>
    <row r="26" spans="2:17" s="3" customFormat="1" ht="19.7" customHeight="1" x14ac:dyDescent="0.15">
      <c r="B26" s="38">
        <v>16</v>
      </c>
      <c r="C26" s="38" t="s">
        <v>36</v>
      </c>
      <c r="D26" s="38" t="s">
        <v>37</v>
      </c>
      <c r="E26" s="31" t="s">
        <v>50</v>
      </c>
      <c r="F26" s="32">
        <v>1</v>
      </c>
      <c r="G26" s="39">
        <v>1350</v>
      </c>
      <c r="H26" s="34">
        <f t="shared" si="1"/>
        <v>1350</v>
      </c>
      <c r="I26" s="35"/>
      <c r="J26" s="36" t="s">
        <v>51</v>
      </c>
      <c r="K26" s="13" t="s">
        <v>146</v>
      </c>
      <c r="L26" s="9"/>
      <c r="M26" s="11">
        <v>46073</v>
      </c>
      <c r="N26" s="8"/>
      <c r="O26" s="26">
        <v>46090</v>
      </c>
      <c r="P26" s="11">
        <v>46085</v>
      </c>
      <c r="Q26" s="12">
        <v>46085</v>
      </c>
    </row>
    <row r="27" spans="2:17" s="3" customFormat="1" ht="19.5" customHeight="1" x14ac:dyDescent="0.15">
      <c r="B27" s="38">
        <v>16</v>
      </c>
      <c r="C27" s="38" t="s">
        <v>36</v>
      </c>
      <c r="D27" s="38" t="s">
        <v>37</v>
      </c>
      <c r="E27" s="31" t="s">
        <v>52</v>
      </c>
      <c r="F27" s="32">
        <v>1</v>
      </c>
      <c r="G27" s="28">
        <v>140</v>
      </c>
      <c r="H27" s="28">
        <f t="shared" si="1"/>
        <v>140</v>
      </c>
      <c r="I27" s="10"/>
      <c r="J27" s="13" t="s">
        <v>45</v>
      </c>
      <c r="K27" s="13" t="s">
        <v>146</v>
      </c>
      <c r="L27" s="9"/>
      <c r="M27" s="11">
        <v>46073</v>
      </c>
      <c r="N27" s="8"/>
      <c r="O27" s="26">
        <v>46090</v>
      </c>
      <c r="P27" s="11">
        <v>46085</v>
      </c>
      <c r="Q27" s="12">
        <v>46085</v>
      </c>
    </row>
    <row r="28" spans="2:17" s="3" customFormat="1" ht="19.7" customHeight="1" x14ac:dyDescent="0.15">
      <c r="B28" s="38">
        <v>16</v>
      </c>
      <c r="C28" s="38" t="s">
        <v>36</v>
      </c>
      <c r="D28" s="38" t="s">
        <v>37</v>
      </c>
      <c r="E28" s="31" t="s">
        <v>53</v>
      </c>
      <c r="F28" s="32">
        <v>1</v>
      </c>
      <c r="G28" s="28">
        <v>250</v>
      </c>
      <c r="H28" s="28">
        <f t="shared" si="1"/>
        <v>250</v>
      </c>
      <c r="I28" s="10"/>
      <c r="J28" s="13" t="s">
        <v>54</v>
      </c>
      <c r="K28" s="13" t="s">
        <v>146</v>
      </c>
      <c r="L28" s="9"/>
      <c r="M28" s="11">
        <v>46073</v>
      </c>
      <c r="N28" s="8"/>
      <c r="O28" s="26">
        <v>46090</v>
      </c>
      <c r="P28" s="11">
        <v>46085</v>
      </c>
      <c r="Q28" s="12">
        <v>46085</v>
      </c>
    </row>
    <row r="29" spans="2:17" s="3" customFormat="1" ht="19.7" customHeight="1" x14ac:dyDescent="0.15">
      <c r="B29" s="38">
        <v>16</v>
      </c>
      <c r="C29" s="38" t="s">
        <v>36</v>
      </c>
      <c r="D29" s="38" t="s">
        <v>37</v>
      </c>
      <c r="E29" s="31" t="s">
        <v>55</v>
      </c>
      <c r="F29" s="32">
        <v>1</v>
      </c>
      <c r="G29" s="28">
        <v>2060</v>
      </c>
      <c r="H29" s="28">
        <f t="shared" si="1"/>
        <v>2060</v>
      </c>
      <c r="I29" s="10"/>
      <c r="J29" s="13" t="s">
        <v>56</v>
      </c>
      <c r="K29" s="13" t="s">
        <v>146</v>
      </c>
      <c r="L29" s="9"/>
      <c r="M29" s="11">
        <v>46073</v>
      </c>
      <c r="N29" s="8"/>
      <c r="O29" s="26">
        <v>46090</v>
      </c>
      <c r="P29" s="11">
        <v>46085</v>
      </c>
      <c r="Q29" s="12">
        <v>46085</v>
      </c>
    </row>
    <row r="30" spans="2:17" s="3" customFormat="1" ht="19.7" customHeight="1" x14ac:dyDescent="0.15">
      <c r="B30" s="38">
        <v>16</v>
      </c>
      <c r="C30" s="38" t="s">
        <v>36</v>
      </c>
      <c r="D30" s="38" t="s">
        <v>37</v>
      </c>
      <c r="E30" s="31" t="s">
        <v>49</v>
      </c>
      <c r="F30" s="32">
        <v>1</v>
      </c>
      <c r="G30" s="28">
        <v>160</v>
      </c>
      <c r="H30" s="28">
        <f t="shared" si="1"/>
        <v>160</v>
      </c>
      <c r="I30" s="10"/>
      <c r="J30" s="13" t="s">
        <v>41</v>
      </c>
      <c r="K30" s="13" t="s">
        <v>146</v>
      </c>
      <c r="L30" s="9"/>
      <c r="M30" s="11">
        <v>46073</v>
      </c>
      <c r="N30" s="8"/>
      <c r="O30" s="26">
        <v>46090</v>
      </c>
      <c r="P30" s="11">
        <v>46085</v>
      </c>
      <c r="Q30" s="12">
        <v>46085</v>
      </c>
    </row>
    <row r="31" spans="2:17" s="3" customFormat="1" ht="19.7" customHeight="1" x14ac:dyDescent="0.15">
      <c r="B31" s="38">
        <v>16</v>
      </c>
      <c r="C31" s="38" t="s">
        <v>36</v>
      </c>
      <c r="D31" s="38" t="s">
        <v>37</v>
      </c>
      <c r="E31" s="31" t="s">
        <v>40</v>
      </c>
      <c r="F31" s="32">
        <v>4</v>
      </c>
      <c r="G31" s="28">
        <v>170</v>
      </c>
      <c r="H31" s="28">
        <f t="shared" si="1"/>
        <v>680</v>
      </c>
      <c r="I31" s="10"/>
      <c r="J31" s="13" t="s">
        <v>41</v>
      </c>
      <c r="K31" s="13" t="s">
        <v>146</v>
      </c>
      <c r="L31" s="9"/>
      <c r="M31" s="11">
        <v>46073</v>
      </c>
      <c r="N31" s="8"/>
      <c r="O31" s="26">
        <v>46090</v>
      </c>
      <c r="P31" s="11">
        <v>46085</v>
      </c>
      <c r="Q31" s="12">
        <v>46085</v>
      </c>
    </row>
    <row r="32" spans="2:17" s="3" customFormat="1" ht="19.7" customHeight="1" x14ac:dyDescent="0.15">
      <c r="B32" s="38">
        <v>16</v>
      </c>
      <c r="C32" s="38" t="s">
        <v>36</v>
      </c>
      <c r="D32" s="38" t="s">
        <v>37</v>
      </c>
      <c r="E32" s="31" t="s">
        <v>57</v>
      </c>
      <c r="F32" s="32">
        <v>1</v>
      </c>
      <c r="G32" s="28">
        <v>1510</v>
      </c>
      <c r="H32" s="28">
        <f t="shared" si="1"/>
        <v>1510</v>
      </c>
      <c r="I32" s="10"/>
      <c r="J32" s="13" t="s">
        <v>58</v>
      </c>
      <c r="K32" s="13" t="s">
        <v>146</v>
      </c>
      <c r="L32" s="9"/>
      <c r="M32" s="11">
        <v>46073</v>
      </c>
      <c r="N32" s="8"/>
      <c r="O32" s="26">
        <v>46090</v>
      </c>
      <c r="P32" s="11">
        <v>46085</v>
      </c>
      <c r="Q32" s="12">
        <v>46085</v>
      </c>
    </row>
    <row r="33" spans="2:17" s="3" customFormat="1" ht="19.7" customHeight="1" x14ac:dyDescent="0.15">
      <c r="B33" s="38">
        <v>16</v>
      </c>
      <c r="C33" s="38" t="s">
        <v>36</v>
      </c>
      <c r="D33" s="38" t="s">
        <v>37</v>
      </c>
      <c r="E33" s="31" t="s">
        <v>46</v>
      </c>
      <c r="F33" s="32">
        <v>1</v>
      </c>
      <c r="G33" s="28">
        <v>200</v>
      </c>
      <c r="H33" s="28">
        <f t="shared" si="1"/>
        <v>200</v>
      </c>
      <c r="I33" s="10"/>
      <c r="J33" s="13" t="s">
        <v>41</v>
      </c>
      <c r="K33" s="13" t="s">
        <v>146</v>
      </c>
      <c r="L33" s="9"/>
      <c r="M33" s="11">
        <v>46073</v>
      </c>
      <c r="N33" s="8"/>
      <c r="O33" s="26">
        <v>46090</v>
      </c>
      <c r="P33" s="11">
        <v>46085</v>
      </c>
      <c r="Q33" s="12">
        <v>46085</v>
      </c>
    </row>
    <row r="34" spans="2:17" s="3" customFormat="1" ht="19.7" customHeight="1" x14ac:dyDescent="0.15">
      <c r="B34" s="38">
        <v>16</v>
      </c>
      <c r="C34" s="38" t="s">
        <v>36</v>
      </c>
      <c r="D34" s="38" t="s">
        <v>37</v>
      </c>
      <c r="E34" s="31" t="s">
        <v>59</v>
      </c>
      <c r="F34" s="32">
        <v>1</v>
      </c>
      <c r="G34" s="28">
        <v>1100</v>
      </c>
      <c r="H34" s="28">
        <f t="shared" si="1"/>
        <v>1100</v>
      </c>
      <c r="I34" s="10"/>
      <c r="J34" s="13" t="s">
        <v>60</v>
      </c>
      <c r="K34" s="13" t="s">
        <v>146</v>
      </c>
      <c r="L34" s="9"/>
      <c r="M34" s="11">
        <v>46073</v>
      </c>
      <c r="N34" s="8"/>
      <c r="O34" s="26">
        <v>46090</v>
      </c>
      <c r="P34" s="11">
        <v>46085</v>
      </c>
      <c r="Q34" s="12">
        <v>46085</v>
      </c>
    </row>
    <row r="35" spans="2:17" s="3" customFormat="1" ht="19.7" customHeight="1" x14ac:dyDescent="0.15">
      <c r="B35" s="38">
        <v>16</v>
      </c>
      <c r="C35" s="38" t="s">
        <v>36</v>
      </c>
      <c r="D35" s="38" t="s">
        <v>37</v>
      </c>
      <c r="E35" s="31" t="s">
        <v>61</v>
      </c>
      <c r="F35" s="32">
        <v>2</v>
      </c>
      <c r="G35" s="28">
        <v>70</v>
      </c>
      <c r="H35" s="28">
        <f t="shared" si="1"/>
        <v>140</v>
      </c>
      <c r="I35" s="10"/>
      <c r="J35" s="13" t="s">
        <v>62</v>
      </c>
      <c r="K35" s="13" t="s">
        <v>146</v>
      </c>
      <c r="L35" s="9"/>
      <c r="M35" s="11">
        <v>46073</v>
      </c>
      <c r="N35" s="8"/>
      <c r="O35" s="26">
        <v>46090</v>
      </c>
      <c r="P35" s="11">
        <v>46085</v>
      </c>
      <c r="Q35" s="12">
        <v>46085</v>
      </c>
    </row>
    <row r="36" spans="2:17" s="3" customFormat="1" ht="19.7" customHeight="1" x14ac:dyDescent="0.15">
      <c r="B36" s="38">
        <v>16</v>
      </c>
      <c r="C36" s="38" t="s">
        <v>36</v>
      </c>
      <c r="D36" s="38" t="s">
        <v>37</v>
      </c>
      <c r="E36" s="31" t="s">
        <v>63</v>
      </c>
      <c r="F36" s="32">
        <v>1</v>
      </c>
      <c r="G36" s="39">
        <v>230</v>
      </c>
      <c r="H36" s="34">
        <f t="shared" si="1"/>
        <v>230</v>
      </c>
      <c r="I36" s="35"/>
      <c r="J36" s="36" t="s">
        <v>64</v>
      </c>
      <c r="K36" s="13" t="s">
        <v>146</v>
      </c>
      <c r="L36" s="9"/>
      <c r="M36" s="11">
        <v>46073</v>
      </c>
      <c r="N36" s="8"/>
      <c r="O36" s="26">
        <v>46090</v>
      </c>
      <c r="P36" s="11">
        <v>46085</v>
      </c>
      <c r="Q36" s="12">
        <v>46085</v>
      </c>
    </row>
    <row r="37" spans="2:17" s="3" customFormat="1" ht="19.7" customHeight="1" x14ac:dyDescent="0.15">
      <c r="B37" s="38">
        <v>16</v>
      </c>
      <c r="C37" s="38" t="s">
        <v>36</v>
      </c>
      <c r="D37" s="38" t="s">
        <v>37</v>
      </c>
      <c r="E37" s="31" t="s">
        <v>65</v>
      </c>
      <c r="F37" s="32">
        <v>1</v>
      </c>
      <c r="G37" s="39">
        <v>340</v>
      </c>
      <c r="H37" s="34">
        <f t="shared" si="1"/>
        <v>340</v>
      </c>
      <c r="I37" s="35"/>
      <c r="J37" s="36" t="s">
        <v>66</v>
      </c>
      <c r="K37" s="13" t="s">
        <v>146</v>
      </c>
      <c r="L37" s="9"/>
      <c r="M37" s="11">
        <v>46073</v>
      </c>
      <c r="N37" s="8"/>
      <c r="O37" s="26">
        <v>46090</v>
      </c>
      <c r="P37" s="11">
        <v>46085</v>
      </c>
      <c r="Q37" s="12">
        <v>46085</v>
      </c>
    </row>
    <row r="38" spans="2:17" s="3" customFormat="1" ht="19.7" customHeight="1" x14ac:dyDescent="0.15">
      <c r="B38" s="38">
        <v>16</v>
      </c>
      <c r="C38" s="38" t="s">
        <v>36</v>
      </c>
      <c r="D38" s="38" t="s">
        <v>37</v>
      </c>
      <c r="E38" s="31" t="s">
        <v>49</v>
      </c>
      <c r="F38" s="32">
        <v>2</v>
      </c>
      <c r="G38" s="28">
        <v>160</v>
      </c>
      <c r="H38" s="28">
        <f t="shared" si="1"/>
        <v>320</v>
      </c>
      <c r="I38" s="10"/>
      <c r="J38" s="13" t="s">
        <v>41</v>
      </c>
      <c r="K38" s="13" t="s">
        <v>146</v>
      </c>
      <c r="L38" s="9"/>
      <c r="M38" s="11">
        <v>46073</v>
      </c>
      <c r="N38" s="8"/>
      <c r="O38" s="26">
        <v>46090</v>
      </c>
      <c r="P38" s="11">
        <v>46085</v>
      </c>
      <c r="Q38" s="12">
        <v>46085</v>
      </c>
    </row>
    <row r="39" spans="2:17" s="3" customFormat="1" ht="19.7" customHeight="1" x14ac:dyDescent="0.15">
      <c r="B39" s="38">
        <v>16</v>
      </c>
      <c r="C39" s="38" t="s">
        <v>36</v>
      </c>
      <c r="D39" s="38" t="s">
        <v>37</v>
      </c>
      <c r="E39" s="31" t="s">
        <v>67</v>
      </c>
      <c r="F39" s="32">
        <v>2</v>
      </c>
      <c r="G39" s="28">
        <v>110</v>
      </c>
      <c r="H39" s="28">
        <f t="shared" si="1"/>
        <v>220</v>
      </c>
      <c r="I39" s="10"/>
      <c r="J39" s="13" t="s">
        <v>45</v>
      </c>
      <c r="K39" s="13" t="s">
        <v>146</v>
      </c>
      <c r="L39" s="9"/>
      <c r="M39" s="11">
        <v>46073</v>
      </c>
      <c r="N39" s="8"/>
      <c r="O39" s="26">
        <v>46090</v>
      </c>
      <c r="P39" s="11">
        <v>46085</v>
      </c>
      <c r="Q39" s="12">
        <v>46085</v>
      </c>
    </row>
    <row r="40" spans="2:17" s="3" customFormat="1" ht="19.7" customHeight="1" x14ac:dyDescent="0.15">
      <c r="B40" s="38">
        <v>16</v>
      </c>
      <c r="C40" s="38" t="s">
        <v>68</v>
      </c>
      <c r="D40" s="38" t="s">
        <v>37</v>
      </c>
      <c r="E40" s="31" t="s">
        <v>69</v>
      </c>
      <c r="F40" s="32">
        <v>2</v>
      </c>
      <c r="G40" s="28">
        <v>25</v>
      </c>
      <c r="H40" s="28">
        <f t="shared" si="1"/>
        <v>50</v>
      </c>
      <c r="I40" s="10"/>
      <c r="J40" s="13" t="s">
        <v>70</v>
      </c>
      <c r="K40" s="13" t="s">
        <v>146</v>
      </c>
      <c r="L40" s="9"/>
      <c r="M40" s="11">
        <v>2825</v>
      </c>
      <c r="N40" s="8"/>
      <c r="O40" s="26">
        <v>46090</v>
      </c>
      <c r="P40" s="11">
        <v>46086</v>
      </c>
      <c r="Q40" s="12">
        <v>46086</v>
      </c>
    </row>
    <row r="41" spans="2:17" s="3" customFormat="1" ht="19.7" customHeight="1" x14ac:dyDescent="0.15">
      <c r="B41" s="38">
        <v>16</v>
      </c>
      <c r="C41" s="38" t="s">
        <v>71</v>
      </c>
      <c r="D41" s="38" t="s">
        <v>37</v>
      </c>
      <c r="E41" s="31" t="s">
        <v>72</v>
      </c>
      <c r="F41" s="32">
        <v>2</v>
      </c>
      <c r="G41" s="39">
        <v>640</v>
      </c>
      <c r="H41" s="34">
        <f t="shared" si="1"/>
        <v>1280</v>
      </c>
      <c r="I41" s="35"/>
      <c r="J41" s="36" t="s">
        <v>73</v>
      </c>
      <c r="K41" s="13" t="s">
        <v>146</v>
      </c>
      <c r="L41" s="9"/>
      <c r="M41" s="11">
        <v>46073</v>
      </c>
      <c r="N41" s="8"/>
      <c r="O41" s="26">
        <v>46090</v>
      </c>
      <c r="P41" s="11">
        <v>46085</v>
      </c>
      <c r="Q41" s="12">
        <v>46085</v>
      </c>
    </row>
    <row r="42" spans="2:17" s="3" customFormat="1" ht="19.7" customHeight="1" x14ac:dyDescent="0.15">
      <c r="B42" s="38">
        <v>14</v>
      </c>
      <c r="C42" s="38" t="s">
        <v>74</v>
      </c>
      <c r="D42" s="38" t="s">
        <v>37</v>
      </c>
      <c r="E42" s="31" t="s">
        <v>75</v>
      </c>
      <c r="F42" s="32">
        <v>2</v>
      </c>
      <c r="G42" s="28">
        <v>4000</v>
      </c>
      <c r="H42" s="28">
        <f t="shared" si="1"/>
        <v>8000</v>
      </c>
      <c r="I42" s="10"/>
      <c r="J42" s="13" t="s">
        <v>76</v>
      </c>
      <c r="K42" s="13" t="s">
        <v>146</v>
      </c>
      <c r="L42" s="9"/>
      <c r="M42" s="11">
        <v>46073</v>
      </c>
      <c r="N42" s="8"/>
      <c r="O42" s="26">
        <v>46090</v>
      </c>
      <c r="P42" s="11">
        <v>46085</v>
      </c>
      <c r="Q42" s="12">
        <v>46085</v>
      </c>
    </row>
    <row r="43" spans="2:17" s="3" customFormat="1" ht="19.7" customHeight="1" x14ac:dyDescent="0.15">
      <c r="B43" s="38"/>
      <c r="C43" s="38"/>
      <c r="D43" s="38"/>
      <c r="E43" s="31"/>
      <c r="F43" s="32"/>
      <c r="G43" s="39">
        <v>0</v>
      </c>
      <c r="H43" s="34">
        <f t="shared" si="1"/>
        <v>0</v>
      </c>
      <c r="I43" s="35"/>
      <c r="J43" s="36"/>
      <c r="K43" s="13"/>
      <c r="L43" s="9"/>
      <c r="M43" s="11"/>
      <c r="N43" s="8"/>
      <c r="O43" s="9"/>
      <c r="P43" s="11"/>
      <c r="Q43" s="12"/>
    </row>
    <row r="44" spans="2:17" s="3" customFormat="1" ht="19.7" customHeight="1" x14ac:dyDescent="0.15">
      <c r="B44" s="38">
        <v>16</v>
      </c>
      <c r="C44" s="38" t="s">
        <v>77</v>
      </c>
      <c r="D44" s="38" t="s">
        <v>78</v>
      </c>
      <c r="E44" s="31" t="s">
        <v>79</v>
      </c>
      <c r="F44" s="32">
        <v>1</v>
      </c>
      <c r="G44" s="28">
        <v>3096</v>
      </c>
      <c r="H44" s="28">
        <f t="shared" si="1"/>
        <v>3096</v>
      </c>
      <c r="I44" s="10"/>
      <c r="J44" s="27" t="s">
        <v>80</v>
      </c>
      <c r="K44" s="13" t="s">
        <v>81</v>
      </c>
      <c r="L44" s="9"/>
      <c r="M44" s="11">
        <v>46071</v>
      </c>
      <c r="N44" s="8"/>
      <c r="O44" s="9"/>
      <c r="P44" s="11">
        <v>46085</v>
      </c>
      <c r="Q44" s="12"/>
    </row>
    <row r="45" spans="2:17" s="3" customFormat="1" ht="19.7" customHeight="1" x14ac:dyDescent="0.15">
      <c r="B45" s="38">
        <v>16</v>
      </c>
      <c r="C45" s="38" t="s">
        <v>77</v>
      </c>
      <c r="D45" s="38" t="s">
        <v>78</v>
      </c>
      <c r="E45" s="31" t="s">
        <v>82</v>
      </c>
      <c r="F45" s="32">
        <v>1</v>
      </c>
      <c r="G45" s="39">
        <v>3624</v>
      </c>
      <c r="H45" s="34">
        <f t="shared" si="1"/>
        <v>3624</v>
      </c>
      <c r="I45" s="35"/>
      <c r="J45" s="31" t="s">
        <v>83</v>
      </c>
      <c r="K45" s="13" t="s">
        <v>81</v>
      </c>
      <c r="L45" s="9"/>
      <c r="M45" s="11">
        <v>46071</v>
      </c>
      <c r="N45" s="8"/>
      <c r="O45" s="9"/>
      <c r="P45" s="11">
        <v>46085</v>
      </c>
      <c r="Q45" s="12"/>
    </row>
    <row r="46" spans="2:17" s="3" customFormat="1" ht="19.7" customHeight="1" x14ac:dyDescent="0.15">
      <c r="B46" s="38">
        <v>16</v>
      </c>
      <c r="C46" s="38" t="s">
        <v>77</v>
      </c>
      <c r="D46" s="38" t="s">
        <v>78</v>
      </c>
      <c r="E46" s="31" t="s">
        <v>84</v>
      </c>
      <c r="F46" s="32">
        <v>1</v>
      </c>
      <c r="G46" s="39">
        <v>4415</v>
      </c>
      <c r="H46" s="34">
        <f t="shared" si="1"/>
        <v>4415</v>
      </c>
      <c r="I46" s="35"/>
      <c r="J46" s="31" t="s">
        <v>85</v>
      </c>
      <c r="K46" s="13" t="s">
        <v>81</v>
      </c>
      <c r="L46" s="9"/>
      <c r="M46" s="11">
        <v>46071</v>
      </c>
      <c r="N46" s="8"/>
      <c r="O46" s="9"/>
      <c r="P46" s="11">
        <v>46085</v>
      </c>
      <c r="Q46" s="12"/>
    </row>
    <row r="47" spans="2:17" s="3" customFormat="1" ht="19.7" customHeight="1" x14ac:dyDescent="0.15">
      <c r="B47" s="38">
        <v>16</v>
      </c>
      <c r="C47" s="38" t="s">
        <v>78</v>
      </c>
      <c r="D47" s="38" t="s">
        <v>78</v>
      </c>
      <c r="E47" s="31" t="s">
        <v>86</v>
      </c>
      <c r="F47" s="32">
        <v>1</v>
      </c>
      <c r="G47" s="39">
        <v>3270</v>
      </c>
      <c r="H47" s="34">
        <f t="shared" si="1"/>
        <v>3270</v>
      </c>
      <c r="I47" s="35"/>
      <c r="J47" s="36" t="s">
        <v>87</v>
      </c>
      <c r="K47" s="13" t="s">
        <v>81</v>
      </c>
      <c r="L47" s="9"/>
      <c r="M47" s="11">
        <v>46071</v>
      </c>
      <c r="N47" s="8"/>
      <c r="O47" s="9"/>
      <c r="P47" s="11">
        <v>46085</v>
      </c>
      <c r="Q47" s="12"/>
    </row>
    <row r="48" spans="2:17" s="3" customFormat="1" ht="19.7" customHeight="1" x14ac:dyDescent="0.15">
      <c r="B48" s="38">
        <v>16</v>
      </c>
      <c r="C48" s="38" t="s">
        <v>78</v>
      </c>
      <c r="D48" s="38" t="s">
        <v>78</v>
      </c>
      <c r="E48" s="31" t="s">
        <v>88</v>
      </c>
      <c r="F48" s="32">
        <v>1</v>
      </c>
      <c r="G48" s="39">
        <v>4460</v>
      </c>
      <c r="H48" s="34">
        <f t="shared" si="1"/>
        <v>4460</v>
      </c>
      <c r="I48" s="35"/>
      <c r="J48" s="36" t="s">
        <v>87</v>
      </c>
      <c r="K48" s="13" t="s">
        <v>81</v>
      </c>
      <c r="L48" s="9"/>
      <c r="M48" s="11">
        <v>46071</v>
      </c>
      <c r="N48" s="8"/>
      <c r="O48" s="9"/>
      <c r="P48" s="11">
        <v>46085</v>
      </c>
      <c r="Q48" s="12"/>
    </row>
    <row r="49" spans="2:17" s="3" customFormat="1" ht="19.7" customHeight="1" x14ac:dyDescent="0.15">
      <c r="B49" s="38">
        <v>16</v>
      </c>
      <c r="C49" s="38" t="s">
        <v>78</v>
      </c>
      <c r="D49" s="38" t="s">
        <v>78</v>
      </c>
      <c r="E49" s="31" t="s">
        <v>89</v>
      </c>
      <c r="F49" s="32">
        <v>1</v>
      </c>
      <c r="G49" s="28">
        <v>690</v>
      </c>
      <c r="H49" s="28">
        <f t="shared" si="1"/>
        <v>690</v>
      </c>
      <c r="I49" s="10"/>
      <c r="J49" s="13" t="s">
        <v>90</v>
      </c>
      <c r="K49" s="13" t="s">
        <v>81</v>
      </c>
      <c r="L49" s="9"/>
      <c r="M49" s="11">
        <v>46071</v>
      </c>
      <c r="N49" s="8"/>
      <c r="O49" s="9"/>
      <c r="P49" s="11">
        <v>46085</v>
      </c>
      <c r="Q49" s="12"/>
    </row>
    <row r="50" spans="2:17" s="3" customFormat="1" ht="19.7" customHeight="1" x14ac:dyDescent="0.15">
      <c r="B50" s="38">
        <v>16</v>
      </c>
      <c r="C50" s="38" t="s">
        <v>78</v>
      </c>
      <c r="D50" s="38" t="s">
        <v>78</v>
      </c>
      <c r="E50" s="31" t="s">
        <v>91</v>
      </c>
      <c r="F50" s="32">
        <v>2</v>
      </c>
      <c r="G50" s="28">
        <v>245</v>
      </c>
      <c r="H50" s="28">
        <f t="shared" si="1"/>
        <v>490</v>
      </c>
      <c r="I50" s="10"/>
      <c r="J50" s="13" t="s">
        <v>92</v>
      </c>
      <c r="K50" s="13" t="s">
        <v>81</v>
      </c>
      <c r="L50" s="9"/>
      <c r="M50" s="11">
        <v>46071</v>
      </c>
      <c r="N50" s="8"/>
      <c r="O50" s="9"/>
      <c r="P50" s="11">
        <v>46085</v>
      </c>
      <c r="Q50" s="12"/>
    </row>
    <row r="51" spans="2:17" s="3" customFormat="1" ht="19.7" customHeight="1" x14ac:dyDescent="0.15">
      <c r="B51" s="38">
        <v>16</v>
      </c>
      <c r="C51" s="38" t="s">
        <v>78</v>
      </c>
      <c r="D51" s="38" t="s">
        <v>78</v>
      </c>
      <c r="E51" s="31" t="s">
        <v>93</v>
      </c>
      <c r="F51" s="32">
        <v>2</v>
      </c>
      <c r="G51" s="39">
        <v>75</v>
      </c>
      <c r="H51" s="34">
        <f t="shared" si="1"/>
        <v>150</v>
      </c>
      <c r="I51" s="35"/>
      <c r="J51" s="36" t="s">
        <v>94</v>
      </c>
      <c r="K51" s="13" t="s">
        <v>81</v>
      </c>
      <c r="L51" s="9"/>
      <c r="M51" s="11">
        <v>46071</v>
      </c>
      <c r="N51" s="8"/>
      <c r="O51" s="9"/>
      <c r="P51" s="11">
        <v>46085</v>
      </c>
      <c r="Q51" s="12"/>
    </row>
    <row r="52" spans="2:17" s="3" customFormat="1" ht="19.7" customHeight="1" x14ac:dyDescent="0.15">
      <c r="B52" s="38">
        <v>16</v>
      </c>
      <c r="C52" s="38" t="s">
        <v>78</v>
      </c>
      <c r="D52" s="38" t="s">
        <v>78</v>
      </c>
      <c r="E52" s="31" t="s">
        <v>95</v>
      </c>
      <c r="F52" s="32">
        <v>1</v>
      </c>
      <c r="G52" s="28">
        <v>470</v>
      </c>
      <c r="H52" s="28">
        <f t="shared" si="1"/>
        <v>470</v>
      </c>
      <c r="I52" s="10"/>
      <c r="J52" s="13" t="s">
        <v>96</v>
      </c>
      <c r="K52" s="13" t="s">
        <v>81</v>
      </c>
      <c r="L52" s="9"/>
      <c r="M52" s="11">
        <v>46071</v>
      </c>
      <c r="N52" s="8"/>
      <c r="O52" s="9"/>
      <c r="P52" s="11">
        <v>46085</v>
      </c>
      <c r="Q52" s="12"/>
    </row>
    <row r="53" spans="2:17" s="3" customFormat="1" ht="19.7" customHeight="1" x14ac:dyDescent="0.15">
      <c r="B53" s="38">
        <v>16</v>
      </c>
      <c r="C53" s="38" t="s">
        <v>78</v>
      </c>
      <c r="D53" s="38" t="s">
        <v>78</v>
      </c>
      <c r="E53" s="31" t="s">
        <v>88</v>
      </c>
      <c r="F53" s="32">
        <v>2</v>
      </c>
      <c r="G53" s="28">
        <v>4460</v>
      </c>
      <c r="H53" s="28">
        <f t="shared" si="1"/>
        <v>8920</v>
      </c>
      <c r="I53" s="10"/>
      <c r="J53" s="13" t="s">
        <v>87</v>
      </c>
      <c r="K53" s="13" t="s">
        <v>81</v>
      </c>
      <c r="L53" s="9"/>
      <c r="M53" s="11">
        <v>46071</v>
      </c>
      <c r="N53" s="8"/>
      <c r="O53" s="9"/>
      <c r="P53" s="11">
        <v>46085</v>
      </c>
      <c r="Q53" s="12"/>
    </row>
    <row r="54" spans="2:17" s="3" customFormat="1" ht="19.7" customHeight="1" x14ac:dyDescent="0.15">
      <c r="B54" s="38">
        <v>16</v>
      </c>
      <c r="C54" s="30" t="s">
        <v>97</v>
      </c>
      <c r="D54" s="38" t="s">
        <v>78</v>
      </c>
      <c r="E54" s="31" t="s">
        <v>98</v>
      </c>
      <c r="F54" s="32">
        <v>4</v>
      </c>
      <c r="G54" s="39">
        <v>28</v>
      </c>
      <c r="H54" s="34">
        <f t="shared" si="1"/>
        <v>112</v>
      </c>
      <c r="I54" s="35"/>
      <c r="J54" s="36" t="s">
        <v>99</v>
      </c>
      <c r="K54" s="13" t="s">
        <v>81</v>
      </c>
      <c r="L54" s="9"/>
      <c r="M54" s="11">
        <v>46071</v>
      </c>
      <c r="N54" s="8"/>
      <c r="O54" s="9"/>
      <c r="P54" s="11">
        <v>46085</v>
      </c>
      <c r="Q54" s="12"/>
    </row>
    <row r="55" spans="2:17" s="3" customFormat="1" ht="19.7" customHeight="1" x14ac:dyDescent="0.15">
      <c r="B55" s="38">
        <v>16</v>
      </c>
      <c r="C55" s="38" t="s">
        <v>78</v>
      </c>
      <c r="D55" s="38" t="s">
        <v>78</v>
      </c>
      <c r="E55" s="31" t="s">
        <v>100</v>
      </c>
      <c r="F55" s="32">
        <v>1</v>
      </c>
      <c r="G55" s="39">
        <v>2560</v>
      </c>
      <c r="H55" s="34">
        <f t="shared" si="1"/>
        <v>2560</v>
      </c>
      <c r="I55" s="35"/>
      <c r="J55" s="36" t="s">
        <v>101</v>
      </c>
      <c r="K55" s="13" t="s">
        <v>81</v>
      </c>
      <c r="L55" s="9"/>
      <c r="M55" s="11">
        <v>46071</v>
      </c>
      <c r="N55" s="8"/>
      <c r="O55" s="9"/>
      <c r="P55" s="11">
        <v>46085</v>
      </c>
      <c r="Q55" s="12"/>
    </row>
    <row r="56" spans="2:17" s="3" customFormat="1" ht="19.7" customHeight="1" x14ac:dyDescent="0.15">
      <c r="B56" s="38">
        <v>16</v>
      </c>
      <c r="C56" s="38" t="s">
        <v>78</v>
      </c>
      <c r="D56" s="38" t="s">
        <v>78</v>
      </c>
      <c r="E56" s="31" t="s">
        <v>102</v>
      </c>
      <c r="F56" s="32">
        <v>2</v>
      </c>
      <c r="G56" s="28">
        <v>350</v>
      </c>
      <c r="H56" s="28">
        <f t="shared" si="1"/>
        <v>700</v>
      </c>
      <c r="I56" s="10"/>
      <c r="J56" s="13" t="s">
        <v>103</v>
      </c>
      <c r="K56" s="13" t="s">
        <v>81</v>
      </c>
      <c r="L56" s="9"/>
      <c r="M56" s="11">
        <v>46071</v>
      </c>
      <c r="N56" s="8"/>
      <c r="O56" s="9"/>
      <c r="P56" s="11">
        <v>46085</v>
      </c>
      <c r="Q56" s="12"/>
    </row>
    <row r="57" spans="2:17" s="3" customFormat="1" ht="19.7" customHeight="1" x14ac:dyDescent="0.15">
      <c r="B57" s="38">
        <v>16</v>
      </c>
      <c r="C57" s="38" t="s">
        <v>77</v>
      </c>
      <c r="D57" s="38" t="s">
        <v>78</v>
      </c>
      <c r="E57" s="31" t="s">
        <v>104</v>
      </c>
      <c r="F57" s="32">
        <v>1</v>
      </c>
      <c r="G57" s="28">
        <v>2225</v>
      </c>
      <c r="H57" s="28">
        <f t="shared" si="1"/>
        <v>2225</v>
      </c>
      <c r="I57" s="10"/>
      <c r="J57" s="27" t="s">
        <v>105</v>
      </c>
      <c r="K57" s="13" t="s">
        <v>81</v>
      </c>
      <c r="L57" s="9"/>
      <c r="M57" s="11">
        <v>46071</v>
      </c>
      <c r="N57" s="8"/>
      <c r="O57" s="9"/>
      <c r="P57" s="11">
        <v>46085</v>
      </c>
      <c r="Q57" s="12"/>
    </row>
    <row r="58" spans="2:17" s="3" customFormat="1" ht="19.5" customHeight="1" x14ac:dyDescent="0.15">
      <c r="B58" s="38">
        <v>16</v>
      </c>
      <c r="C58" s="38" t="s">
        <v>77</v>
      </c>
      <c r="D58" s="38" t="s">
        <v>78</v>
      </c>
      <c r="E58" s="31" t="s">
        <v>106</v>
      </c>
      <c r="F58" s="32">
        <v>1</v>
      </c>
      <c r="G58" s="28">
        <v>4117</v>
      </c>
      <c r="H58" s="28">
        <f t="shared" si="1"/>
        <v>4117</v>
      </c>
      <c r="I58" s="10"/>
      <c r="J58" s="27" t="s">
        <v>107</v>
      </c>
      <c r="K58" s="13" t="s">
        <v>81</v>
      </c>
      <c r="L58" s="9"/>
      <c r="M58" s="11">
        <v>46071</v>
      </c>
      <c r="N58" s="8"/>
      <c r="O58" s="9"/>
      <c r="P58" s="11">
        <v>46085</v>
      </c>
      <c r="Q58" s="12"/>
    </row>
    <row r="59" spans="2:17" s="3" customFormat="1" ht="19.7" customHeight="1" x14ac:dyDescent="0.15">
      <c r="B59" s="38">
        <v>3</v>
      </c>
      <c r="C59" s="38" t="s">
        <v>78</v>
      </c>
      <c r="D59" s="38" t="s">
        <v>78</v>
      </c>
      <c r="E59" s="31" t="s">
        <v>108</v>
      </c>
      <c r="F59" s="32">
        <v>1</v>
      </c>
      <c r="G59" s="39">
        <v>3170</v>
      </c>
      <c r="H59" s="34">
        <f t="shared" si="1"/>
        <v>3170</v>
      </c>
      <c r="I59" s="35"/>
      <c r="J59" s="36" t="s">
        <v>109</v>
      </c>
      <c r="K59" s="13" t="s">
        <v>81</v>
      </c>
      <c r="L59" s="9"/>
      <c r="M59" s="11">
        <v>46071</v>
      </c>
      <c r="N59" s="8"/>
      <c r="O59" s="9"/>
      <c r="P59" s="11">
        <v>46085</v>
      </c>
      <c r="Q59" s="12"/>
    </row>
    <row r="60" spans="2:17" s="3" customFormat="1" ht="19.7" customHeight="1" x14ac:dyDescent="0.15">
      <c r="B60" s="38">
        <v>3</v>
      </c>
      <c r="C60" s="38" t="s">
        <v>78</v>
      </c>
      <c r="D60" s="38" t="s">
        <v>78</v>
      </c>
      <c r="E60" s="31" t="s">
        <v>110</v>
      </c>
      <c r="F60" s="32">
        <v>1</v>
      </c>
      <c r="G60" s="28">
        <v>4129</v>
      </c>
      <c r="H60" s="28">
        <f>F60*G60</f>
        <v>4129</v>
      </c>
      <c r="I60" s="10"/>
      <c r="J60" s="13" t="s">
        <v>111</v>
      </c>
      <c r="K60" s="13" t="s">
        <v>81</v>
      </c>
      <c r="L60" s="9"/>
      <c r="M60" s="11">
        <v>46071</v>
      </c>
      <c r="N60" s="8"/>
      <c r="O60" s="9"/>
      <c r="P60" s="11">
        <v>46085</v>
      </c>
      <c r="Q60" s="12"/>
    </row>
    <row r="61" spans="2:17" s="3" customFormat="1" ht="19.7" customHeight="1" x14ac:dyDescent="0.15">
      <c r="B61" s="38">
        <v>4</v>
      </c>
      <c r="C61" s="38" t="s">
        <v>112</v>
      </c>
      <c r="D61" s="38" t="s">
        <v>78</v>
      </c>
      <c r="E61" s="31" t="s">
        <v>113</v>
      </c>
      <c r="F61" s="32">
        <v>4</v>
      </c>
      <c r="G61" s="28">
        <v>193</v>
      </c>
      <c r="H61" s="28">
        <f t="shared" si="1"/>
        <v>772</v>
      </c>
      <c r="I61" s="10"/>
      <c r="J61" s="13" t="s">
        <v>114</v>
      </c>
      <c r="K61" s="13" t="s">
        <v>81</v>
      </c>
      <c r="L61" s="9"/>
      <c r="M61" s="11">
        <v>46071</v>
      </c>
      <c r="N61" s="8"/>
      <c r="O61" s="9"/>
      <c r="P61" s="11">
        <v>46085</v>
      </c>
      <c r="Q61" s="12"/>
    </row>
    <row r="62" spans="2:17" s="3" customFormat="1" ht="19.7" customHeight="1" x14ac:dyDescent="0.15">
      <c r="B62" s="38">
        <v>5</v>
      </c>
      <c r="C62" s="38" t="s">
        <v>78</v>
      </c>
      <c r="D62" s="38" t="s">
        <v>78</v>
      </c>
      <c r="E62" s="31" t="s">
        <v>115</v>
      </c>
      <c r="F62" s="32">
        <v>1</v>
      </c>
      <c r="G62" s="28">
        <v>3220</v>
      </c>
      <c r="H62" s="28">
        <f t="shared" si="1"/>
        <v>3220</v>
      </c>
      <c r="I62" s="10"/>
      <c r="J62" s="13" t="s">
        <v>116</v>
      </c>
      <c r="K62" s="13" t="s">
        <v>81</v>
      </c>
      <c r="L62" s="9"/>
      <c r="M62" s="11">
        <v>46071</v>
      </c>
      <c r="N62" s="8"/>
      <c r="O62" s="9"/>
      <c r="P62" s="11">
        <v>46090</v>
      </c>
      <c r="Q62" s="12"/>
    </row>
    <row r="63" spans="2:17" s="3" customFormat="1" ht="19.7" customHeight="1" x14ac:dyDescent="0.15">
      <c r="B63" s="38">
        <v>5</v>
      </c>
      <c r="C63" s="38" t="s">
        <v>97</v>
      </c>
      <c r="D63" s="38" t="s">
        <v>78</v>
      </c>
      <c r="E63" s="31" t="s">
        <v>117</v>
      </c>
      <c r="F63" s="32">
        <v>1</v>
      </c>
      <c r="G63" s="39">
        <v>83</v>
      </c>
      <c r="H63" s="34">
        <f t="shared" si="1"/>
        <v>83</v>
      </c>
      <c r="I63" s="35"/>
      <c r="J63" s="36" t="s">
        <v>118</v>
      </c>
      <c r="K63" s="13" t="s">
        <v>81</v>
      </c>
      <c r="L63" s="9"/>
      <c r="M63" s="11">
        <v>46071</v>
      </c>
      <c r="N63" s="8"/>
      <c r="O63" s="9"/>
      <c r="P63" s="11">
        <v>46085</v>
      </c>
      <c r="Q63" s="12"/>
    </row>
    <row r="64" spans="2:17" s="3" customFormat="1" ht="19.7" customHeight="1" x14ac:dyDescent="0.15">
      <c r="B64" s="38">
        <v>5</v>
      </c>
      <c r="C64" s="38" t="s">
        <v>97</v>
      </c>
      <c r="D64" s="38" t="s">
        <v>78</v>
      </c>
      <c r="E64" s="31" t="s">
        <v>119</v>
      </c>
      <c r="F64" s="32">
        <v>1</v>
      </c>
      <c r="G64" s="28">
        <v>326</v>
      </c>
      <c r="H64" s="28">
        <f t="shared" si="1"/>
        <v>326</v>
      </c>
      <c r="I64" s="10"/>
      <c r="J64" s="13" t="s">
        <v>120</v>
      </c>
      <c r="K64" s="13" t="s">
        <v>81</v>
      </c>
      <c r="L64" s="9"/>
      <c r="M64" s="11">
        <v>46071</v>
      </c>
      <c r="N64" s="8"/>
      <c r="O64" s="9"/>
      <c r="P64" s="11">
        <v>46085</v>
      </c>
      <c r="Q64" s="12"/>
    </row>
    <row r="65" spans="2:17" s="3" customFormat="1" ht="19.7" customHeight="1" x14ac:dyDescent="0.15">
      <c r="B65" s="38">
        <v>5</v>
      </c>
      <c r="C65" s="38" t="s">
        <v>78</v>
      </c>
      <c r="D65" s="38" t="s">
        <v>78</v>
      </c>
      <c r="E65" s="31" t="s">
        <v>121</v>
      </c>
      <c r="F65" s="32">
        <v>1</v>
      </c>
      <c r="G65" s="39">
        <v>410</v>
      </c>
      <c r="H65" s="34">
        <f t="shared" si="1"/>
        <v>410</v>
      </c>
      <c r="I65" s="35"/>
      <c r="J65" s="36" t="s">
        <v>122</v>
      </c>
      <c r="K65" s="13" t="s">
        <v>81</v>
      </c>
      <c r="L65" s="9"/>
      <c r="M65" s="11">
        <v>46071</v>
      </c>
      <c r="N65" s="8"/>
      <c r="O65" s="9"/>
      <c r="P65" s="11">
        <v>46085</v>
      </c>
      <c r="Q65" s="12"/>
    </row>
    <row r="66" spans="2:17" s="3" customFormat="1" ht="19.7" customHeight="1" x14ac:dyDescent="0.15">
      <c r="B66" s="38">
        <v>5</v>
      </c>
      <c r="C66" s="38" t="s">
        <v>97</v>
      </c>
      <c r="D66" s="38" t="s">
        <v>78</v>
      </c>
      <c r="E66" s="31" t="s">
        <v>123</v>
      </c>
      <c r="F66" s="32">
        <v>5</v>
      </c>
      <c r="G66" s="39">
        <v>15</v>
      </c>
      <c r="H66" s="34">
        <f t="shared" si="1"/>
        <v>75</v>
      </c>
      <c r="I66" s="35"/>
      <c r="J66" s="36" t="s">
        <v>124</v>
      </c>
      <c r="K66" s="13" t="s">
        <v>81</v>
      </c>
      <c r="L66" s="9"/>
      <c r="M66" s="11">
        <v>46071</v>
      </c>
      <c r="N66" s="8"/>
      <c r="O66" s="9"/>
      <c r="P66" s="11">
        <v>46085</v>
      </c>
      <c r="Q66" s="12"/>
    </row>
    <row r="67" spans="2:17" s="3" customFormat="1" ht="19.7" customHeight="1" x14ac:dyDescent="0.15">
      <c r="B67" s="38">
        <v>4</v>
      </c>
      <c r="C67" s="38" t="s">
        <v>77</v>
      </c>
      <c r="D67" s="38" t="s">
        <v>78</v>
      </c>
      <c r="E67" s="31" t="s">
        <v>125</v>
      </c>
      <c r="F67" s="32">
        <v>1</v>
      </c>
      <c r="G67" s="28">
        <v>10511</v>
      </c>
      <c r="H67" s="28">
        <f t="shared" si="1"/>
        <v>10511</v>
      </c>
      <c r="I67" s="10"/>
      <c r="J67" s="27" t="s">
        <v>126</v>
      </c>
      <c r="K67" s="13" t="s">
        <v>81</v>
      </c>
      <c r="L67" s="9"/>
      <c r="M67" s="11">
        <v>46071</v>
      </c>
      <c r="N67" s="8"/>
      <c r="O67" s="9"/>
      <c r="P67" s="11">
        <v>46085</v>
      </c>
      <c r="Q67" s="12"/>
    </row>
    <row r="68" spans="2:17" s="3" customFormat="1" ht="19.7" customHeight="1" x14ac:dyDescent="0.15">
      <c r="B68" s="38">
        <v>5</v>
      </c>
      <c r="C68" s="38" t="s">
        <v>77</v>
      </c>
      <c r="D68" s="38" t="s">
        <v>78</v>
      </c>
      <c r="E68" s="31" t="s">
        <v>127</v>
      </c>
      <c r="F68" s="32">
        <v>1</v>
      </c>
      <c r="G68" s="28">
        <v>9547</v>
      </c>
      <c r="H68" s="28">
        <f t="shared" si="1"/>
        <v>9547</v>
      </c>
      <c r="I68" s="10"/>
      <c r="J68" s="27" t="s">
        <v>128</v>
      </c>
      <c r="K68" s="13" t="s">
        <v>81</v>
      </c>
      <c r="L68" s="9"/>
      <c r="M68" s="11">
        <v>46071</v>
      </c>
      <c r="N68" s="8"/>
      <c r="O68" s="9"/>
      <c r="P68" s="11">
        <v>46085</v>
      </c>
      <c r="Q68" s="12"/>
    </row>
    <row r="69" spans="2:17" s="3" customFormat="1" ht="19.7" customHeight="1" x14ac:dyDescent="0.15">
      <c r="B69" s="38">
        <v>5</v>
      </c>
      <c r="C69" s="38" t="s">
        <v>77</v>
      </c>
      <c r="D69" s="38" t="s">
        <v>78</v>
      </c>
      <c r="E69" s="31" t="s">
        <v>129</v>
      </c>
      <c r="F69" s="32">
        <v>1</v>
      </c>
      <c r="G69" s="28">
        <v>12771</v>
      </c>
      <c r="H69" s="28">
        <f t="shared" si="1"/>
        <v>12771</v>
      </c>
      <c r="I69" s="10"/>
      <c r="J69" s="27" t="s">
        <v>130</v>
      </c>
      <c r="K69" s="13" t="s">
        <v>81</v>
      </c>
      <c r="L69" s="9"/>
      <c r="M69" s="11">
        <v>46071</v>
      </c>
      <c r="N69" s="8"/>
      <c r="O69" s="9"/>
      <c r="P69" s="11">
        <v>46085</v>
      </c>
      <c r="Q69" s="12"/>
    </row>
    <row r="70" spans="2:17" s="3" customFormat="1" ht="19.7" customHeight="1" x14ac:dyDescent="0.15">
      <c r="B70" s="38">
        <v>5</v>
      </c>
      <c r="C70" s="38" t="s">
        <v>77</v>
      </c>
      <c r="D70" s="38" t="s">
        <v>78</v>
      </c>
      <c r="E70" s="31" t="s">
        <v>131</v>
      </c>
      <c r="F70" s="32">
        <v>1</v>
      </c>
      <c r="G70" s="39">
        <v>8708</v>
      </c>
      <c r="H70" s="34">
        <f t="shared" si="1"/>
        <v>8708</v>
      </c>
      <c r="I70" s="35"/>
      <c r="J70" s="31" t="s">
        <v>132</v>
      </c>
      <c r="K70" s="13" t="s">
        <v>81</v>
      </c>
      <c r="L70" s="9"/>
      <c r="M70" s="11">
        <v>46071</v>
      </c>
      <c r="N70" s="8"/>
      <c r="O70" s="9"/>
      <c r="P70" s="11">
        <v>46085</v>
      </c>
      <c r="Q70" s="12"/>
    </row>
    <row r="71" spans="2:17" s="3" customFormat="1" ht="19.7" customHeight="1" x14ac:dyDescent="0.15">
      <c r="B71" s="38">
        <v>5</v>
      </c>
      <c r="C71" s="38" t="s">
        <v>77</v>
      </c>
      <c r="D71" s="38" t="s">
        <v>78</v>
      </c>
      <c r="E71" s="31" t="s">
        <v>133</v>
      </c>
      <c r="F71" s="32">
        <v>2</v>
      </c>
      <c r="G71" s="28">
        <v>2030</v>
      </c>
      <c r="H71" s="28">
        <f t="shared" si="1"/>
        <v>4060</v>
      </c>
      <c r="I71" s="10"/>
      <c r="J71" s="27" t="s">
        <v>134</v>
      </c>
      <c r="K71" s="13" t="s">
        <v>81</v>
      </c>
      <c r="L71" s="9"/>
      <c r="M71" s="11">
        <v>46071</v>
      </c>
      <c r="N71" s="8"/>
      <c r="O71" s="9"/>
      <c r="P71" s="11">
        <v>46085</v>
      </c>
      <c r="Q71" s="12"/>
    </row>
    <row r="72" spans="2:17" s="3" customFormat="1" ht="19.7" customHeight="1" x14ac:dyDescent="0.15">
      <c r="B72" s="38">
        <v>14</v>
      </c>
      <c r="C72" s="38" t="s">
        <v>78</v>
      </c>
      <c r="D72" s="38" t="s">
        <v>78</v>
      </c>
      <c r="E72" s="31" t="s">
        <v>113</v>
      </c>
      <c r="F72" s="32">
        <v>2</v>
      </c>
      <c r="G72" s="39">
        <v>193</v>
      </c>
      <c r="H72" s="34">
        <f t="shared" si="1"/>
        <v>386</v>
      </c>
      <c r="I72" s="35"/>
      <c r="J72" s="36" t="s">
        <v>114</v>
      </c>
      <c r="K72" s="13" t="s">
        <v>81</v>
      </c>
      <c r="L72" s="9"/>
      <c r="M72" s="11">
        <v>46071</v>
      </c>
      <c r="N72" s="8"/>
      <c r="O72" s="9"/>
      <c r="P72" s="11">
        <v>46085</v>
      </c>
      <c r="Q72" s="12"/>
    </row>
    <row r="73" spans="2:17" s="3" customFormat="1" ht="19.7" customHeight="1" x14ac:dyDescent="0.15">
      <c r="B73" s="38">
        <v>14</v>
      </c>
      <c r="C73" s="38" t="s">
        <v>78</v>
      </c>
      <c r="D73" s="38" t="s">
        <v>78</v>
      </c>
      <c r="E73" s="31" t="s">
        <v>135</v>
      </c>
      <c r="F73" s="32">
        <v>8</v>
      </c>
      <c r="G73" s="39">
        <v>550</v>
      </c>
      <c r="H73" s="34">
        <f t="shared" si="1"/>
        <v>4400</v>
      </c>
      <c r="I73" s="35"/>
      <c r="J73" s="36" t="s">
        <v>136</v>
      </c>
      <c r="K73" s="13" t="s">
        <v>81</v>
      </c>
      <c r="L73" s="9"/>
      <c r="M73" s="11">
        <v>46071</v>
      </c>
      <c r="N73" s="8"/>
      <c r="O73" s="9"/>
      <c r="P73" s="11">
        <v>46085</v>
      </c>
      <c r="Q73" s="12"/>
    </row>
    <row r="74" spans="2:17" s="3" customFormat="1" ht="19.7" customHeight="1" x14ac:dyDescent="0.15">
      <c r="B74" s="38">
        <v>15</v>
      </c>
      <c r="C74" s="38" t="s">
        <v>78</v>
      </c>
      <c r="D74" s="38" t="s">
        <v>78</v>
      </c>
      <c r="E74" s="31" t="s">
        <v>137</v>
      </c>
      <c r="F74" s="32">
        <v>4</v>
      </c>
      <c r="G74" s="28">
        <v>325</v>
      </c>
      <c r="H74" s="28">
        <f t="shared" si="1"/>
        <v>1300</v>
      </c>
      <c r="I74" s="10"/>
      <c r="J74" s="13" t="s">
        <v>136</v>
      </c>
      <c r="K74" s="13" t="s">
        <v>81</v>
      </c>
      <c r="L74" s="9"/>
      <c r="M74" s="11">
        <v>46071</v>
      </c>
      <c r="N74" s="8"/>
      <c r="O74" s="9"/>
      <c r="P74" s="11">
        <v>46085</v>
      </c>
      <c r="Q74" s="12"/>
    </row>
    <row r="75" spans="2:17" s="3" customFormat="1" ht="19.7" customHeight="1" x14ac:dyDescent="0.15">
      <c r="B75" s="38">
        <v>14</v>
      </c>
      <c r="C75" s="38" t="s">
        <v>77</v>
      </c>
      <c r="D75" s="38" t="s">
        <v>78</v>
      </c>
      <c r="E75" s="31" t="s">
        <v>138</v>
      </c>
      <c r="F75" s="32">
        <v>1</v>
      </c>
      <c r="G75" s="39">
        <v>9232</v>
      </c>
      <c r="H75" s="34">
        <f t="shared" si="1"/>
        <v>9232</v>
      </c>
      <c r="I75" s="35"/>
      <c r="J75" s="31" t="s">
        <v>139</v>
      </c>
      <c r="K75" s="13" t="s">
        <v>81</v>
      </c>
      <c r="L75" s="9"/>
      <c r="M75" s="11">
        <v>46071</v>
      </c>
      <c r="N75" s="8"/>
      <c r="O75" s="9"/>
      <c r="P75" s="11">
        <v>46085</v>
      </c>
      <c r="Q75" s="12"/>
    </row>
    <row r="76" spans="2:17" s="3" customFormat="1" ht="19.7" customHeight="1" x14ac:dyDescent="0.15">
      <c r="B76" s="38">
        <v>15</v>
      </c>
      <c r="C76" s="38" t="s">
        <v>77</v>
      </c>
      <c r="D76" s="38" t="s">
        <v>78</v>
      </c>
      <c r="E76" s="31" t="s">
        <v>140</v>
      </c>
      <c r="F76" s="32">
        <v>2</v>
      </c>
      <c r="G76" s="28">
        <v>2225</v>
      </c>
      <c r="H76" s="28">
        <f t="shared" si="1"/>
        <v>4450</v>
      </c>
      <c r="I76" s="10"/>
      <c r="J76" s="27" t="s">
        <v>141</v>
      </c>
      <c r="K76" s="13" t="s">
        <v>81</v>
      </c>
      <c r="L76" s="9"/>
      <c r="M76" s="11">
        <v>46071</v>
      </c>
      <c r="N76" s="8"/>
      <c r="O76" s="9"/>
      <c r="P76" s="11">
        <v>46085</v>
      </c>
      <c r="Q76" s="12"/>
    </row>
    <row r="77" spans="2:17" s="3" customFormat="1" ht="19.7" customHeight="1" x14ac:dyDescent="0.15">
      <c r="B77" s="38"/>
      <c r="C77" s="38"/>
      <c r="D77" s="38"/>
      <c r="E77" s="31"/>
      <c r="F77" s="32"/>
      <c r="G77" s="28">
        <v>0</v>
      </c>
      <c r="H77" s="28">
        <f t="shared" si="1"/>
        <v>0</v>
      </c>
      <c r="I77" s="10"/>
      <c r="J77" s="13"/>
      <c r="K77" s="13"/>
      <c r="L77" s="9"/>
      <c r="M77" s="11"/>
      <c r="N77" s="8"/>
      <c r="O77" s="9"/>
      <c r="P77" s="11"/>
      <c r="Q77" s="12"/>
    </row>
    <row r="78" spans="2:17" s="3" customFormat="1" ht="19.7" customHeight="1" x14ac:dyDescent="0.15">
      <c r="B78" s="38">
        <v>16</v>
      </c>
      <c r="C78" s="38" t="s">
        <v>36</v>
      </c>
      <c r="D78" s="38" t="s">
        <v>37</v>
      </c>
      <c r="E78" s="31" t="s">
        <v>142</v>
      </c>
      <c r="F78" s="32">
        <v>2</v>
      </c>
      <c r="G78" s="28">
        <v>290</v>
      </c>
      <c r="H78" s="28">
        <f t="shared" si="1"/>
        <v>580</v>
      </c>
      <c r="I78" s="10"/>
      <c r="J78" s="13" t="s">
        <v>143</v>
      </c>
      <c r="K78" s="13"/>
      <c r="L78" s="9"/>
      <c r="M78" s="11">
        <v>46073</v>
      </c>
      <c r="N78" s="8"/>
      <c r="O78" s="9"/>
      <c r="P78" s="11">
        <v>46085</v>
      </c>
      <c r="Q78" s="12">
        <v>46084</v>
      </c>
    </row>
    <row r="79" spans="2:17" s="3" customFormat="1" ht="19.7" customHeight="1" x14ac:dyDescent="0.15">
      <c r="B79" s="38"/>
      <c r="C79" s="38"/>
      <c r="D79" s="38"/>
      <c r="E79" s="31"/>
      <c r="F79" s="32"/>
      <c r="G79" s="28">
        <v>0</v>
      </c>
      <c r="H79" s="28">
        <f t="shared" si="1"/>
        <v>0</v>
      </c>
      <c r="I79" s="10"/>
      <c r="J79" s="13"/>
      <c r="K79" s="13"/>
      <c r="L79" s="9"/>
      <c r="M79" s="11"/>
      <c r="N79" s="8"/>
      <c r="O79" s="9"/>
      <c r="P79" s="11"/>
      <c r="Q79" s="12"/>
    </row>
    <row r="80" spans="2:17" s="3" customFormat="1" ht="19.7" customHeight="1" x14ac:dyDescent="0.15">
      <c r="B80" s="38">
        <v>3</v>
      </c>
      <c r="C80" s="38" t="s">
        <v>78</v>
      </c>
      <c r="D80" s="38" t="s">
        <v>78</v>
      </c>
      <c r="E80" s="41" t="s">
        <v>144</v>
      </c>
      <c r="F80" s="32">
        <v>1</v>
      </c>
      <c r="G80" s="39">
        <v>828</v>
      </c>
      <c r="H80" s="34">
        <f t="shared" si="1"/>
        <v>828</v>
      </c>
      <c r="I80" s="35"/>
      <c r="J80" s="36" t="s">
        <v>145</v>
      </c>
      <c r="K80" s="13" t="s">
        <v>81</v>
      </c>
      <c r="L80" s="9"/>
      <c r="M80" s="11">
        <v>46072</v>
      </c>
      <c r="N80" s="8"/>
      <c r="O80" s="9"/>
      <c r="P80" s="11">
        <v>46085</v>
      </c>
      <c r="Q80" s="12"/>
    </row>
    <row r="81" spans="2:17" s="3" customFormat="1" ht="19.7" customHeight="1" x14ac:dyDescent="0.15">
      <c r="B81" s="8"/>
      <c r="C81" s="8"/>
      <c r="D81" s="8"/>
      <c r="E81" s="27"/>
      <c r="F81" s="9"/>
      <c r="G81" s="28">
        <v>0</v>
      </c>
      <c r="H81" s="28">
        <f t="shared" si="1"/>
        <v>0</v>
      </c>
      <c r="I81" s="10"/>
      <c r="J81" s="13"/>
      <c r="K81" s="13"/>
      <c r="L81" s="9"/>
      <c r="M81" s="11"/>
      <c r="N81" s="8"/>
      <c r="O81" s="9"/>
      <c r="P81" s="11"/>
      <c r="Q81" s="12"/>
    </row>
    <row r="82" spans="2:17" s="3" customFormat="1" ht="19.7" customHeight="1" x14ac:dyDescent="0.15">
      <c r="B82" s="8">
        <v>14</v>
      </c>
      <c r="C82" s="8" t="s">
        <v>77</v>
      </c>
      <c r="D82" s="8" t="s">
        <v>78</v>
      </c>
      <c r="E82" s="27" t="s">
        <v>147</v>
      </c>
      <c r="F82" s="9">
        <v>1</v>
      </c>
      <c r="G82" s="28">
        <v>5918</v>
      </c>
      <c r="H82" s="28">
        <f t="shared" si="1"/>
        <v>5918</v>
      </c>
      <c r="I82" s="10"/>
      <c r="J82" s="13" t="s">
        <v>148</v>
      </c>
      <c r="K82" s="13" t="s">
        <v>81</v>
      </c>
      <c r="L82" s="9"/>
      <c r="M82" s="11">
        <v>46094</v>
      </c>
      <c r="N82" s="8"/>
      <c r="O82" s="9"/>
      <c r="P82" s="11">
        <v>46098</v>
      </c>
      <c r="Q82" s="12"/>
    </row>
    <row r="83" spans="2:17" s="3" customFormat="1" ht="19.7" customHeight="1" x14ac:dyDescent="0.15">
      <c r="B83" s="8">
        <v>14</v>
      </c>
      <c r="C83" s="8" t="s">
        <v>78</v>
      </c>
      <c r="D83" s="8" t="s">
        <v>78</v>
      </c>
      <c r="E83" s="27" t="s">
        <v>149</v>
      </c>
      <c r="F83" s="9">
        <v>2</v>
      </c>
      <c r="G83" s="28">
        <v>280</v>
      </c>
      <c r="H83" s="28">
        <f t="shared" si="1"/>
        <v>560</v>
      </c>
      <c r="I83" s="10"/>
      <c r="J83" s="13" t="s">
        <v>150</v>
      </c>
      <c r="K83" s="13" t="s">
        <v>81</v>
      </c>
      <c r="L83" s="9"/>
      <c r="M83" s="11">
        <v>46094</v>
      </c>
      <c r="N83" s="8"/>
      <c r="O83" s="9"/>
      <c r="P83" s="11">
        <v>46098</v>
      </c>
      <c r="Q83" s="12"/>
    </row>
    <row r="84" spans="2:17" s="3" customFormat="1" ht="19.7" customHeight="1" x14ac:dyDescent="0.15">
      <c r="B84" s="8"/>
      <c r="C84" s="8"/>
      <c r="D84" s="8"/>
      <c r="E84" s="27"/>
      <c r="F84" s="9"/>
      <c r="G84" s="28">
        <v>0</v>
      </c>
      <c r="H84" s="28">
        <f t="shared" si="1"/>
        <v>0</v>
      </c>
      <c r="I84" s="10"/>
      <c r="J84" s="13"/>
      <c r="K84" s="13"/>
      <c r="L84" s="9"/>
      <c r="M84" s="11"/>
      <c r="N84" s="8"/>
      <c r="O84" s="9"/>
      <c r="P84" s="11"/>
      <c r="Q84" s="12"/>
    </row>
    <row r="85" spans="2:17" s="3" customFormat="1" ht="19.7" customHeight="1" x14ac:dyDescent="0.15">
      <c r="B85" s="38">
        <v>14</v>
      </c>
      <c r="C85" s="38" t="s">
        <v>77</v>
      </c>
      <c r="D85" s="38" t="s">
        <v>78</v>
      </c>
      <c r="E85" s="31" t="s">
        <v>151</v>
      </c>
      <c r="F85" s="32">
        <v>2</v>
      </c>
      <c r="G85" s="28">
        <v>5826</v>
      </c>
      <c r="H85" s="28">
        <f>F85*G85</f>
        <v>11652</v>
      </c>
      <c r="I85" s="10"/>
      <c r="J85" s="13" t="s">
        <v>152</v>
      </c>
      <c r="K85" s="13" t="s">
        <v>81</v>
      </c>
      <c r="L85" s="9"/>
      <c r="M85" s="11">
        <v>46098</v>
      </c>
      <c r="N85" s="8"/>
      <c r="O85" s="9"/>
      <c r="P85" s="11">
        <v>46100</v>
      </c>
      <c r="Q85" s="12"/>
    </row>
    <row r="86" spans="2:17" s="3" customFormat="1" ht="19.7" customHeight="1" x14ac:dyDescent="0.15">
      <c r="B86" s="38">
        <v>14</v>
      </c>
      <c r="C86" s="38" t="s">
        <v>77</v>
      </c>
      <c r="D86" s="38" t="s">
        <v>78</v>
      </c>
      <c r="E86" s="31" t="s">
        <v>153</v>
      </c>
      <c r="F86" s="32">
        <v>2</v>
      </c>
      <c r="G86" s="28">
        <v>5826</v>
      </c>
      <c r="H86" s="28">
        <f>F86*G86</f>
        <v>11652</v>
      </c>
      <c r="I86" s="10"/>
      <c r="J86" s="13" t="s">
        <v>154</v>
      </c>
      <c r="K86" s="13" t="s">
        <v>81</v>
      </c>
      <c r="L86" s="9"/>
      <c r="M86" s="11">
        <v>46098</v>
      </c>
      <c r="N86" s="8"/>
      <c r="O86" s="9"/>
      <c r="P86" s="11">
        <v>46100</v>
      </c>
      <c r="Q86" s="12"/>
    </row>
    <row r="87" spans="2:17" s="3" customFormat="1" ht="19.7" customHeight="1" x14ac:dyDescent="0.15">
      <c r="B87" s="38">
        <v>14</v>
      </c>
      <c r="C87" s="38" t="s">
        <v>77</v>
      </c>
      <c r="D87" s="38" t="s">
        <v>78</v>
      </c>
      <c r="E87" s="31" t="s">
        <v>155</v>
      </c>
      <c r="F87" s="32">
        <v>2</v>
      </c>
      <c r="G87" s="28">
        <v>5826</v>
      </c>
      <c r="H87" s="28">
        <f>F87*G87</f>
        <v>11652</v>
      </c>
      <c r="I87" s="10"/>
      <c r="J87" s="13" t="s">
        <v>156</v>
      </c>
      <c r="K87" s="13" t="s">
        <v>81</v>
      </c>
      <c r="L87" s="9"/>
      <c r="M87" s="11">
        <v>46098</v>
      </c>
      <c r="N87" s="8"/>
      <c r="O87" s="9"/>
      <c r="P87" s="11">
        <v>46100</v>
      </c>
      <c r="Q87" s="12"/>
    </row>
    <row r="88" spans="2:17" s="3" customFormat="1" ht="19.7" customHeight="1" x14ac:dyDescent="0.15">
      <c r="B88" s="8"/>
      <c r="C88" s="8"/>
      <c r="D88" s="8"/>
      <c r="E88" s="27"/>
      <c r="F88" s="9"/>
      <c r="G88" s="28">
        <v>0</v>
      </c>
      <c r="H88" s="28">
        <f t="shared" si="1"/>
        <v>0</v>
      </c>
      <c r="I88" s="10"/>
      <c r="J88" s="13"/>
      <c r="K88" s="13"/>
      <c r="L88" s="9"/>
      <c r="M88" s="11"/>
      <c r="N88" s="8"/>
      <c r="O88" s="9"/>
      <c r="P88" s="11"/>
      <c r="Q88" s="12"/>
    </row>
    <row r="89" spans="2:17" s="3" customFormat="1" ht="19.7" customHeight="1" x14ac:dyDescent="0.15">
      <c r="B89" s="8"/>
      <c r="C89" s="8"/>
      <c r="D89" s="8"/>
      <c r="E89" s="27"/>
      <c r="F89" s="9"/>
      <c r="G89" s="28">
        <v>0</v>
      </c>
      <c r="H89" s="28">
        <f t="shared" si="1"/>
        <v>0</v>
      </c>
      <c r="I89" s="10"/>
      <c r="J89" s="13"/>
      <c r="K89" s="13"/>
      <c r="L89" s="9"/>
      <c r="M89" s="11"/>
      <c r="N89" s="8"/>
      <c r="O89" s="9"/>
      <c r="P89" s="11"/>
      <c r="Q89" s="12"/>
    </row>
    <row r="90" spans="2:17" s="3" customFormat="1" ht="19.7" customHeight="1" x14ac:dyDescent="0.15">
      <c r="B90" s="8"/>
      <c r="C90" s="8"/>
      <c r="D90" s="8"/>
      <c r="E90" s="27"/>
      <c r="F90" s="9"/>
      <c r="G90" s="28">
        <v>0</v>
      </c>
      <c r="H90" s="28">
        <f t="shared" si="1"/>
        <v>0</v>
      </c>
      <c r="I90" s="10"/>
      <c r="J90" s="13"/>
      <c r="K90" s="13"/>
      <c r="L90" s="9"/>
      <c r="M90" s="11"/>
      <c r="N90" s="8"/>
      <c r="O90" s="9"/>
      <c r="P90" s="11"/>
      <c r="Q90" s="12"/>
    </row>
    <row r="91" spans="2:17" s="3" customFormat="1" ht="19.7" customHeight="1" x14ac:dyDescent="0.15">
      <c r="B91" s="8"/>
      <c r="C91" s="8"/>
      <c r="D91" s="8"/>
      <c r="E91" s="27"/>
      <c r="F91" s="9"/>
      <c r="G91" s="28">
        <v>0</v>
      </c>
      <c r="H91" s="28">
        <f>F91*G91</f>
        <v>0</v>
      </c>
      <c r="I91" s="10"/>
      <c r="J91" s="13"/>
      <c r="K91" s="13"/>
      <c r="L91" s="9"/>
      <c r="M91" s="11"/>
      <c r="N91" s="8"/>
      <c r="O91" s="9"/>
      <c r="P91" s="11"/>
      <c r="Q91" s="12"/>
    </row>
    <row r="92" spans="2:17" s="3" customFormat="1" ht="19.7" customHeight="1" x14ac:dyDescent="0.15">
      <c r="B92" s="38"/>
      <c r="C92" s="38"/>
      <c r="D92" s="38"/>
      <c r="E92" s="40"/>
      <c r="F92" s="32"/>
      <c r="G92" s="39">
        <v>0</v>
      </c>
      <c r="H92" s="34">
        <f t="shared" si="1"/>
        <v>0</v>
      </c>
      <c r="I92" s="35"/>
      <c r="J92" s="36"/>
      <c r="K92" s="13"/>
      <c r="L92" s="9"/>
      <c r="M92" s="11"/>
      <c r="N92" s="8"/>
      <c r="O92" s="9"/>
      <c r="P92" s="11"/>
      <c r="Q92" s="12"/>
    </row>
    <row r="93" spans="2:17" s="3" customFormat="1" ht="19.7" customHeight="1" x14ac:dyDescent="0.15">
      <c r="B93" s="8"/>
      <c r="C93" s="30"/>
      <c r="D93" s="30"/>
      <c r="E93" s="31"/>
      <c r="F93" s="32"/>
      <c r="G93" s="39">
        <v>0</v>
      </c>
      <c r="H93" s="34">
        <f t="shared" si="1"/>
        <v>0</v>
      </c>
      <c r="I93" s="35"/>
      <c r="J93" s="36"/>
      <c r="K93" s="13"/>
      <c r="L93" s="9"/>
      <c r="M93" s="11"/>
      <c r="N93" s="8"/>
      <c r="O93" s="9"/>
      <c r="P93" s="11"/>
      <c r="Q93" s="12"/>
    </row>
    <row r="94" spans="2:17" s="3" customFormat="1" ht="19.7" customHeight="1" x14ac:dyDescent="0.15">
      <c r="B94" s="8"/>
      <c r="C94" s="30"/>
      <c r="D94" s="30"/>
      <c r="E94" s="31"/>
      <c r="F94" s="32"/>
      <c r="G94" s="39">
        <v>0</v>
      </c>
      <c r="H94" s="34">
        <f t="shared" si="1"/>
        <v>0</v>
      </c>
      <c r="I94" s="35"/>
      <c r="J94" s="36"/>
      <c r="K94" s="13"/>
      <c r="L94" s="9"/>
      <c r="M94" s="11"/>
      <c r="N94" s="8"/>
      <c r="O94" s="9"/>
      <c r="P94" s="11"/>
      <c r="Q94" s="12"/>
    </row>
    <row r="95" spans="2:17" s="3" customFormat="1" ht="19.7" customHeight="1" x14ac:dyDescent="0.15">
      <c r="B95" s="8"/>
      <c r="C95" s="8"/>
      <c r="D95" s="8"/>
      <c r="E95" s="27"/>
      <c r="F95" s="9"/>
      <c r="G95" s="28">
        <v>0</v>
      </c>
      <c r="H95" s="28">
        <f t="shared" si="1"/>
        <v>0</v>
      </c>
      <c r="I95" s="10"/>
      <c r="J95" s="13"/>
      <c r="K95" s="13"/>
      <c r="L95" s="9"/>
      <c r="M95" s="11"/>
      <c r="N95" s="8"/>
      <c r="O95" s="9"/>
      <c r="P95" s="11"/>
      <c r="Q95" s="12"/>
    </row>
    <row r="96" spans="2:17" s="3" customFormat="1" ht="19.7" customHeight="1" x14ac:dyDescent="0.15">
      <c r="B96" s="8"/>
      <c r="C96" s="8"/>
      <c r="D96" s="8"/>
      <c r="E96" s="27"/>
      <c r="F96" s="9"/>
      <c r="G96" s="28">
        <v>0</v>
      </c>
      <c r="H96" s="28">
        <f t="shared" si="1"/>
        <v>0</v>
      </c>
      <c r="I96" s="10"/>
      <c r="J96" s="13"/>
      <c r="K96" s="13"/>
      <c r="L96" s="9"/>
      <c r="M96" s="11"/>
      <c r="N96" s="8"/>
      <c r="O96" s="9"/>
      <c r="P96" s="11"/>
      <c r="Q96" s="12"/>
    </row>
    <row r="97" spans="2:17" s="3" customFormat="1" ht="19.7" customHeight="1" x14ac:dyDescent="0.15">
      <c r="B97" s="8"/>
      <c r="C97" s="8"/>
      <c r="D97" s="8"/>
      <c r="E97" s="27"/>
      <c r="F97" s="9"/>
      <c r="G97" s="28">
        <v>0</v>
      </c>
      <c r="H97" s="28">
        <f t="shared" si="1"/>
        <v>0</v>
      </c>
      <c r="I97" s="10"/>
      <c r="J97" s="13"/>
      <c r="K97" s="13"/>
      <c r="L97" s="9"/>
      <c r="M97" s="11"/>
      <c r="N97" s="8"/>
      <c r="O97" s="9"/>
      <c r="P97" s="11"/>
      <c r="Q97" s="12"/>
    </row>
    <row r="98" spans="2:17" ht="19.5" customHeight="1" x14ac:dyDescent="0.15">
      <c r="B98" s="9"/>
      <c r="C98" s="8"/>
      <c r="D98" s="8"/>
      <c r="E98" s="13"/>
      <c r="F98" s="13"/>
      <c r="G98" s="13"/>
      <c r="H98" s="17"/>
      <c r="I98" s="22"/>
      <c r="J98" s="13"/>
      <c r="K98" s="8"/>
      <c r="L98" s="9"/>
      <c r="M98" s="11"/>
      <c r="N98" s="13"/>
      <c r="O98" s="9"/>
      <c r="P98" s="11"/>
      <c r="Q98" s="12"/>
    </row>
  </sheetData>
  <autoFilter ref="B9:O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2026-03-30T04:39:20Z</dcterms:modified>
</cp:coreProperties>
</file>