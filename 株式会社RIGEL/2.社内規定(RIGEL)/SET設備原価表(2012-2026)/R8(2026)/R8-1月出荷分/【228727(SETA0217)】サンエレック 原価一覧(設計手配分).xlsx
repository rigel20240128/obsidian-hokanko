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6AADFFB2-7A47-4CFD-8445-0B3B790F427D}" xr6:coauthVersionLast="47" xr6:coauthVersionMax="47" xr10:uidLastSave="{00000000-0000-0000-0000-000000000000}"/>
  <bookViews>
    <workbookView xWindow="-120" yWindow="-120" windowWidth="29040" windowHeight="15720" xr2:uid="{8BB87D5E-A9B8-4A3F-9997-B4B972EF253B}"/>
  </bookViews>
  <sheets>
    <sheet name="Sheet1" sheetId="1" r:id="rId1"/>
  </sheets>
  <definedNames>
    <definedName name="_xlnm._FilterDatabase" localSheetId="0" hidden="1">Sheet1!$B$8:$O$22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1" l="1"/>
  <c r="H26" i="1"/>
  <c r="H9" i="1"/>
  <c r="H10" i="1"/>
  <c r="H17" i="1"/>
  <c r="H18" i="1"/>
  <c r="H19" i="1"/>
  <c r="H20" i="1"/>
  <c r="H21" i="1"/>
  <c r="H22" i="1"/>
  <c r="H23" i="1"/>
  <c r="H24" i="1"/>
  <c r="H25" i="1"/>
  <c r="H27" i="1"/>
  <c r="H11" i="1"/>
  <c r="H12" i="1"/>
  <c r="H13" i="1"/>
  <c r="H14" i="1"/>
  <c r="H16" i="1"/>
  <c r="H28" i="1"/>
  <c r="H29" i="1"/>
  <c r="J2" i="1" l="1"/>
</calcChain>
</file>

<file path=xl/sharedStrings.xml><?xml version="1.0" encoding="utf-8"?>
<sst xmlns="http://schemas.openxmlformats.org/spreadsheetml/2006/main" count="128" uniqueCount="73">
  <si>
    <t>数量</t>
  </si>
  <si>
    <t>単価</t>
  </si>
  <si>
    <t>金額</t>
  </si>
  <si>
    <t>詳細</t>
    <rPh sb="0" eb="2">
      <t>ショウサイ</t>
    </rPh>
    <phoneticPr fontId="2"/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</si>
  <si>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</si>
  <si>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</si>
  <si>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</si>
  <si>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</si>
  <si>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</si>
  <si>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</si>
  <si>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</si>
  <si>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</si>
  <si>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</si>
  <si>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</si>
  <si>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</si>
  <si>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</si>
  <si>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</si>
  <si>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</si>
  <si>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</si>
  <si>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</si>
  <si>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</si>
  <si>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</si>
  <si>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田中（佐藤）</t>
    <rPh sb="0" eb="2">
      <t>タナカ</t>
    </rPh>
    <rPh sb="3" eb="5">
      <t>サトウ</t>
    </rPh>
    <phoneticPr fontId="1"/>
  </si>
  <si>
    <t>設計費</t>
    <rPh sb="0" eb="2">
      <t>セッケイ</t>
    </rPh>
    <rPh sb="2" eb="3">
      <t>ヒ</t>
    </rPh>
    <phoneticPr fontId="1"/>
  </si>
  <si>
    <t>組立費</t>
    <rPh sb="0" eb="2">
      <t>クミタテ</t>
    </rPh>
    <rPh sb="2" eb="3">
      <t>ヒ</t>
    </rPh>
    <phoneticPr fontId="1"/>
  </si>
  <si>
    <t>SET</t>
    <phoneticPr fontId="1"/>
  </si>
  <si>
    <t>MISUMI</t>
    <phoneticPr fontId="1"/>
  </si>
  <si>
    <t>サンエレック</t>
    <phoneticPr fontId="1"/>
  </si>
  <si>
    <t>MISUMI</t>
    <phoneticPr fontId="1"/>
  </si>
  <si>
    <t>MVSHM-3N02050-3TX-4967N</t>
  </si>
  <si>
    <t>■RPR-A(ﾚｷﾞｭｰﾚｰﾀｰﾌﾟﾚｰﾄ_ｱﾅﾛｸﾞ用)</t>
  </si>
  <si>
    <t>SMC</t>
    <phoneticPr fontId="1"/>
  </si>
  <si>
    <t>MNCN4-M5</t>
  </si>
  <si>
    <t>MSCNL6-M5</t>
  </si>
  <si>
    <t>MSELL4-1</t>
  </si>
  <si>
    <t>MSELL4-M5</t>
  </si>
  <si>
    <t>MSHRT3</t>
  </si>
  <si>
    <t>MSTEL4-1</t>
  </si>
  <si>
    <t>USYL6</t>
  </si>
  <si>
    <t>圧力計</t>
    <rPh sb="0" eb="2">
      <t>アツリョク</t>
    </rPh>
    <phoneticPr fontId="1"/>
  </si>
  <si>
    <t>WEB発注済</t>
    <rPh sb="3" eb="6">
      <t>ハッチュウスミ</t>
    </rPh>
    <phoneticPr fontId="1"/>
  </si>
  <si>
    <t>NEDUL-PT-JS-9-3</t>
  </si>
  <si>
    <t>ﾜﾝﾀｯﾁﾂｷﾞﾃ(USYL)</t>
  </si>
  <si>
    <t>ﾜﾝﾀｯﾁﾂｷﾞﾃ(MSTEL)</t>
  </si>
  <si>
    <t>ｼｭﾄﾞｳｷﾘｶｴﾍﾞﾝ(MSHRT)</t>
  </si>
  <si>
    <t>ﾜﾝﾀｯﾁﾂｷﾞﾃ(MSELL)</t>
  </si>
  <si>
    <t>ﾜﾝﾀｯﾁﾂｷﾞﾃ(MSCNL)</t>
  </si>
  <si>
    <t>ﾐﾆﾁｭｱﾜﾝﾀｯﾁﾂｷﾞﾃ (MNCN)</t>
  </si>
  <si>
    <t>■SETA0217-Y01-A(ﾂｰﾙﾌﾟﾚｰﾄ)</t>
  </si>
  <si>
    <t>■SETA0217-Y02-A(CCDﾌﾟﾚｰﾄ)</t>
  </si>
  <si>
    <t>発注願います</t>
    <rPh sb="0" eb="3">
      <t>ハッチュウネガ</t>
    </rPh>
    <phoneticPr fontId="1"/>
  </si>
  <si>
    <t>Dｻﾌﾞﾊｰﾈｽ(ﾏﾙ)</t>
    <phoneticPr fontId="1"/>
  </si>
  <si>
    <t>■SETA0217-Z01-A(ｶｯﾌﾟﾍﾞｰｽ)</t>
  </si>
  <si>
    <t>■SETA0217-Z02-A(ﾌﾟﾚｰﾄ)</t>
  </si>
  <si>
    <t>■SETA0217-Z04-1(ｶｯﾌﾟﾌﾟﾚｰﾄ)</t>
  </si>
  <si>
    <t>C-PLSBWRK7-20</t>
  </si>
  <si>
    <t>ACS</t>
    <phoneticPr fontId="1"/>
  </si>
  <si>
    <t>MVSHM-3N02052-4DA-KB2BH-E</t>
  </si>
  <si>
    <t>MVBLK-AMW-4DA-9HHCA-E</t>
  </si>
  <si>
    <t>MVSHM-3N01000-3TX-KNS3B-E</t>
  </si>
  <si>
    <t>MVSHM-3N02050-3TX-P7BJL-E</t>
  </si>
  <si>
    <t>MVBLK-AMW-3TX-BT11G-E</t>
  </si>
  <si>
    <t>ｴｺﾉﾐｰｼﾘｰｽﾞ_ｼﾁｭｳ</t>
  </si>
  <si>
    <t xml:space="preserve">ﾚｷﾞｭﾚｰﾀｰ </t>
    <phoneticPr fontId="1"/>
  </si>
  <si>
    <t>ARP20-01-1</t>
    <phoneticPr fontId="1"/>
  </si>
  <si>
    <t>AR23P-260S</t>
    <phoneticPr fontId="1"/>
  </si>
  <si>
    <t>G46E-2-01M-C</t>
    <phoneticPr fontId="1"/>
  </si>
  <si>
    <t>ﾅｯﾄ</t>
    <phoneticPr fontId="1"/>
  </si>
  <si>
    <t>5-079-02</t>
    <phoneticPr fontId="1"/>
  </si>
  <si>
    <t>ﾐﾆｶｯﾌﾟ(10ml)</t>
    <phoneticPr fontId="1"/>
  </si>
  <si>
    <t>ﾏﾙｴﾑ</t>
    <phoneticPr fontId="1"/>
  </si>
  <si>
    <t>石鍋</t>
    <rPh sb="0" eb="2">
      <t>イシナベ</t>
    </rPh>
    <phoneticPr fontId="1"/>
  </si>
  <si>
    <t>1/20吉澤ｾﾝﾀｰ長へ</t>
    <rPh sb="4" eb="6">
      <t>ヨシザワ</t>
    </rPh>
    <rPh sb="10" eb="11">
      <t>チョウ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</si>
</sst>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</numFmts>
  <fonts count="8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4" fillId="0" borderId="1" xfId="0" applyFont="1" applyBorder="1" applyAlignment="1">
      <alignment horizontal="center" vertical="center" shrinkToFit="1"/>
    </xf>
    <xf numFmtId="0" fontId="0" fillId="0" borderId="1" xfId="0" applyBorder="1">
      <alignment vertical="center"/>
    </xf>
    <xf numFmtId="179" fontId="0" fillId="0" borderId="0" xfId="0" applyNumberFormat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0" fillId="0" borderId="1" xfId="0" applyNumberFormat="1" applyBorder="1" applyAlignment="1">
      <alignment horizontal="center" vertical="center"/>
    </xf>
    <xf numFmtId="38" fontId="0" fillId="0" borderId="1" xfId="0" applyNumberFormat="1" applyBorder="1" applyAlignment="1">
      <alignment horizontal="right" vertical="center"/>
    </xf>
    <xf numFmtId="38" fontId="0" fillId="0" borderId="1" xfId="0" applyNumberFormat="1" applyBorder="1">
      <alignment vertical="center"/>
    </xf>
    <xf numFmtId="56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38" fontId="7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left" vertical="center" shrinkToFit="1"/>
    </xf>
    <xf numFmtId="3" fontId="0" fillId="0" borderId="3" xfId="0" applyNumberFormat="1" applyBorder="1" applyAlignment="1">
      <alignment horizontal="center" vertical="center" wrapText="1"/>
    </xf>
    <xf numFmtId="3" fontId="0" fillId="4" borderId="1" xfId="0" applyNumberFormat="1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179" fontId="0" fillId="4" borderId="1" xfId="0" applyNumberFormat="1" applyFill="1" applyBorder="1" applyAlignment="1">
      <alignment horizontal="center" vertical="center"/>
    </xf>
    <xf numFmtId="56" fontId="6" fillId="4" borderId="1" xfId="0" applyNumberFormat="1" applyFont="1" applyFill="1" applyBorder="1" applyAlignment="1">
      <alignment horizontal="center" vertical="center"/>
    </xf>
    <xf numFmtId="178" fontId="0" fillId="4" borderId="1" xfId="0" applyNumberForma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3" fontId="0" fillId="0" borderId="1" xfId="0" applyNumberFormat="1" applyBorder="1" applyAlignment="1">
      <alignment horizontal="left" vertical="center"/>
    </xf>
    <xf numFmtId="3" fontId="0" fillId="5" borderId="1" xfId="0" applyNumberFormat="1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0" fillId="5" borderId="1" xfId="0" applyFill="1" applyBorder="1" applyAlignment="1">
      <alignment horizontal="center" vertical="center"/>
    </xf>
    <xf numFmtId="38" fontId="0" fillId="5" borderId="1" xfId="0" applyNumberFormat="1" applyFill="1" applyBorder="1">
      <alignment vertical="center"/>
    </xf>
    <xf numFmtId="0" fontId="0" fillId="5" borderId="5" xfId="0" applyFill="1" applyBorder="1">
      <alignment vertical="center"/>
    </xf>
    <xf numFmtId="0" fontId="5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179" fontId="0" fillId="5" borderId="1" xfId="0" applyNumberFormat="1" applyFill="1" applyBorder="1" applyAlignment="1">
      <alignment horizontal="center" vertical="center"/>
    </xf>
    <xf numFmtId="56" fontId="6" fillId="5" borderId="1" xfId="0" applyNumberFormat="1" applyFont="1" applyFill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 wrapText="1"/>
    </xf>
    <xf numFmtId="3" fontId="0" fillId="0" borderId="5" xfId="0" applyNumberForma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BF46E-B438-4D05-B82A-9A06F4E4FA83}">
  <dimension ref="B2:Q30"/>
  <sheetViews>
    <sheetView tabSelected="1" zoomScale="85" zoomScaleNormal="85" workbookViewId="0">
      <pane xSplit="10" ySplit="8" topLeftCell="L9" activePane="bottomRight" state="frozen"/>
      <selection pane="topRight" activeCell="K1" sqref="K1"/>
      <selection pane="bottomLeft" activeCell="A9" sqref="A9"/>
      <selection pane="bottomRight" activeCell="R20" sqref="R20"/>
    </sheetView>
  </sheetViews>
  <sheetFormatPr defaultRowHeight="13.5" x14ac:dyDescent="0.15"/>
  <cols>
    <col min="1" max="1" width="2.625" customWidth="1"/>
    <col min="2" max="2" width="22" style="3" customWidth="1"/>
    <col min="3" max="4" width="20.625" customWidth="1"/>
    <col min="5" max="5" width="40.625" customWidth="1"/>
    <col min="6" max="6" width="6.25" style="3" customWidth="1"/>
    <col min="7" max="8" width="9.875" bestFit="1" customWidth="1"/>
    <col min="9" max="9" width="13.5" style="8" bestFit="1" customWidth="1"/>
    <col min="10" max="10" width="29.5" customWidth="1"/>
    <col min="11" max="11" width="21.5" bestFit="1" customWidth="1"/>
    <col min="12" max="12" width="20.625" style="3" customWidth="1"/>
    <col min="13" max="13" width="13.75" style="11" customWidth="1"/>
    <col min="14" max="14" width="6.375" customWidth="1"/>
    <col min="15" max="15" width="13.25" style="8" customWidth="1"/>
    <col min="16" max="16" width="14.5" style="13" customWidth="1"/>
    <col min="17" max="17" width="15.625" style="14" customWidth="1"/>
  </cols>
  <sheetData>
    <row r="2" spans="2:17" ht="20.100000000000001" customHeight="1" x14ac:dyDescent="0.15">
      <c r="B2" s="50" t="s">
        <v>11</v>
      </c>
      <c r="C2" s="50"/>
      <c r="D2" s="50"/>
      <c r="E2" s="9" t="s">
        <v>27</v>
      </c>
      <c r="G2" s="51" t="s">
        <v>15</v>
      </c>
      <c r="H2" s="52"/>
      <c r="I2" s="53"/>
      <c r="J2" s="7">
        <f>SUM(H:H)</f>
        <v>237385</v>
      </c>
    </row>
    <row r="3" spans="2:17" ht="20.100000000000001" customHeight="1" x14ac:dyDescent="0.15">
      <c r="B3" s="50" t="s">
        <v>10</v>
      </c>
      <c r="C3" s="50"/>
      <c r="D3" s="50"/>
      <c r="E3" s="5" t="s">
        <v>22</v>
      </c>
    </row>
    <row r="4" spans="2:17" ht="20.100000000000001" customHeight="1" x14ac:dyDescent="0.15">
      <c r="B4" s="50" t="s">
        <v>12</v>
      </c>
      <c r="C4" s="50"/>
      <c r="D4" s="50"/>
      <c r="E4" s="5">
        <v>228727</v>
      </c>
    </row>
    <row r="5" spans="2:17" ht="20.100000000000001" customHeight="1" x14ac:dyDescent="0.15">
      <c r="B5" s="50" t="s">
        <v>13</v>
      </c>
      <c r="C5" s="50"/>
      <c r="D5" s="50"/>
      <c r="E5" s="6">
        <v>46035</v>
      </c>
    </row>
    <row r="6" spans="2:17" ht="20.100000000000001" customHeight="1" x14ac:dyDescent="0.15">
      <c r="B6" s="50" t="s">
        <v>14</v>
      </c>
      <c r="C6" s="50"/>
      <c r="D6" s="50"/>
      <c r="E6" s="6">
        <v>46041</v>
      </c>
    </row>
    <row r="8" spans="2:17" s="3" customFormat="1" ht="19.7" customHeight="1" x14ac:dyDescent="0.15">
      <c r="B8" s="4" t="s">
        <v>4</v>
      </c>
      <c r="C8" s="4" t="s">
        <v>9</v>
      </c>
      <c r="D8" s="4" t="s">
        <v>5</v>
      </c>
      <c r="E8" s="1" t="s">
        <v>8</v>
      </c>
      <c r="F8" s="1" t="s">
        <v>0</v>
      </c>
      <c r="G8" s="1" t="s">
        <v>1</v>
      </c>
      <c r="H8" s="2" t="s">
        <v>2</v>
      </c>
      <c r="I8" s="2" t="s">
        <v>18</v>
      </c>
      <c r="J8" s="1" t="s">
        <v>3</v>
      </c>
      <c r="K8" s="1" t="s">
        <v>17</v>
      </c>
      <c r="L8" s="1" t="s">
        <v>16</v>
      </c>
      <c r="M8" s="12" t="s">
        <v>6</v>
      </c>
      <c r="N8" s="4" t="s">
        <v>19</v>
      </c>
      <c r="O8" s="1" t="s">
        <v>7</v>
      </c>
      <c r="P8" s="12" t="s">
        <v>20</v>
      </c>
      <c r="Q8" s="15" t="s">
        <v>21</v>
      </c>
    </row>
    <row r="9" spans="2:17" s="3" customFormat="1" ht="19.5" customHeight="1" x14ac:dyDescent="0.15">
      <c r="B9" s="48">
        <v>2</v>
      </c>
      <c r="C9" s="4" t="s">
        <v>28</v>
      </c>
      <c r="D9" s="4" t="s">
        <v>28</v>
      </c>
      <c r="E9" s="10" t="s">
        <v>58</v>
      </c>
      <c r="F9" s="27">
        <v>1</v>
      </c>
      <c r="G9" s="10">
        <v>21180</v>
      </c>
      <c r="H9" s="17">
        <f t="shared" ref="H9:H29" si="0">F9*G9</f>
        <v>21180</v>
      </c>
      <c r="I9" s="2"/>
      <c r="J9" s="23" t="s">
        <v>48</v>
      </c>
      <c r="K9" s="21"/>
      <c r="L9" s="1" t="s">
        <v>40</v>
      </c>
      <c r="M9" s="12">
        <v>46028</v>
      </c>
      <c r="N9" s="4"/>
      <c r="O9" s="18"/>
      <c r="P9" s="12">
        <v>46036</v>
      </c>
      <c r="Q9" s="15"/>
    </row>
    <row r="10" spans="2:17" s="3" customFormat="1" ht="19.5" customHeight="1" x14ac:dyDescent="0.15">
      <c r="B10" s="54"/>
      <c r="C10" s="4" t="s">
        <v>28</v>
      </c>
      <c r="D10" s="4" t="s">
        <v>28</v>
      </c>
      <c r="E10" s="10" t="s">
        <v>57</v>
      </c>
      <c r="F10" s="27">
        <v>1</v>
      </c>
      <c r="G10" s="10">
        <v>8350</v>
      </c>
      <c r="H10" s="17">
        <f t="shared" si="0"/>
        <v>8350</v>
      </c>
      <c r="I10" s="2"/>
      <c r="J10" s="23" t="s">
        <v>49</v>
      </c>
      <c r="K10" s="21"/>
      <c r="L10" s="1" t="s">
        <v>40</v>
      </c>
      <c r="M10" s="12">
        <v>46028</v>
      </c>
      <c r="N10" s="4"/>
      <c r="O10" s="18"/>
      <c r="P10" s="12">
        <v>46032</v>
      </c>
      <c r="Q10" s="15"/>
    </row>
    <row r="11" spans="2:17" s="33" customFormat="1" ht="19.5" customHeight="1" x14ac:dyDescent="0.15">
      <c r="B11" s="46">
        <v>3</v>
      </c>
      <c r="C11" s="4" t="s">
        <v>26</v>
      </c>
      <c r="D11" s="4" t="s">
        <v>26</v>
      </c>
      <c r="E11" s="10" t="s">
        <v>61</v>
      </c>
      <c r="F11" s="27">
        <v>1</v>
      </c>
      <c r="G11" s="10">
        <v>16119</v>
      </c>
      <c r="H11" s="17">
        <f t="shared" ref="H11:H16" si="1">F11*G11</f>
        <v>16119</v>
      </c>
      <c r="I11" s="27"/>
      <c r="J11" s="26" t="s">
        <v>52</v>
      </c>
      <c r="K11" s="29"/>
      <c r="L11" s="1" t="s">
        <v>40</v>
      </c>
      <c r="M11" s="12">
        <v>46028</v>
      </c>
      <c r="N11" s="25"/>
      <c r="O11" s="31"/>
      <c r="P11" s="12">
        <v>46036</v>
      </c>
      <c r="Q11" s="32"/>
    </row>
    <row r="12" spans="2:17" s="33" customFormat="1" ht="19.5" customHeight="1" x14ac:dyDescent="0.15">
      <c r="B12" s="49"/>
      <c r="C12" s="4" t="s">
        <v>26</v>
      </c>
      <c r="D12" s="4" t="s">
        <v>26</v>
      </c>
      <c r="E12" s="10" t="s">
        <v>60</v>
      </c>
      <c r="F12" s="27">
        <v>1</v>
      </c>
      <c r="G12" s="10">
        <v>5637</v>
      </c>
      <c r="H12" s="17">
        <f t="shared" si="1"/>
        <v>5637</v>
      </c>
      <c r="I12" s="27"/>
      <c r="J12" s="26" t="s">
        <v>53</v>
      </c>
      <c r="K12" s="29"/>
      <c r="L12" s="1" t="s">
        <v>40</v>
      </c>
      <c r="M12" s="12">
        <v>46028</v>
      </c>
      <c r="N12" s="25"/>
      <c r="O12" s="31"/>
      <c r="P12" s="12">
        <v>46032</v>
      </c>
      <c r="Q12" s="32"/>
    </row>
    <row r="13" spans="2:17" s="33" customFormat="1" ht="19.5" customHeight="1" x14ac:dyDescent="0.15">
      <c r="B13" s="49"/>
      <c r="C13" s="4" t="s">
        <v>26</v>
      </c>
      <c r="D13" s="4" t="s">
        <v>26</v>
      </c>
      <c r="E13" s="10" t="s">
        <v>59</v>
      </c>
      <c r="F13" s="27">
        <v>1</v>
      </c>
      <c r="G13" s="10">
        <v>5335</v>
      </c>
      <c r="H13" s="17">
        <f t="shared" si="1"/>
        <v>5335</v>
      </c>
      <c r="I13" s="27"/>
      <c r="J13" s="26" t="s">
        <v>54</v>
      </c>
      <c r="K13" s="29"/>
      <c r="L13" s="1" t="s">
        <v>40</v>
      </c>
      <c r="M13" s="12">
        <v>46028</v>
      </c>
      <c r="N13" s="25"/>
      <c r="O13" s="31"/>
      <c r="P13" s="12">
        <v>46032</v>
      </c>
      <c r="Q13" s="32"/>
    </row>
    <row r="14" spans="2:17" s="33" customFormat="1" ht="19.5" customHeight="1" x14ac:dyDescent="0.15">
      <c r="B14" s="49"/>
      <c r="C14" s="4" t="s">
        <v>26</v>
      </c>
      <c r="D14" s="4" t="s">
        <v>26</v>
      </c>
      <c r="E14" s="10" t="s">
        <v>55</v>
      </c>
      <c r="F14" s="27">
        <v>4</v>
      </c>
      <c r="G14" s="10">
        <v>165</v>
      </c>
      <c r="H14" s="17">
        <f t="shared" si="1"/>
        <v>660</v>
      </c>
      <c r="I14" s="27"/>
      <c r="J14" t="s">
        <v>62</v>
      </c>
      <c r="K14" s="29"/>
      <c r="L14" s="1" t="s">
        <v>40</v>
      </c>
      <c r="M14" s="12">
        <v>46028</v>
      </c>
      <c r="N14" s="25"/>
      <c r="O14" s="31"/>
      <c r="P14" s="12">
        <v>46032</v>
      </c>
      <c r="Q14" s="32"/>
    </row>
    <row r="15" spans="2:17" s="45" customFormat="1" ht="19.5" customHeight="1" x14ac:dyDescent="0.15">
      <c r="B15" s="47"/>
      <c r="C15" s="35" t="s">
        <v>70</v>
      </c>
      <c r="D15" s="35" t="s">
        <v>71</v>
      </c>
      <c r="E15" s="36" t="s">
        <v>68</v>
      </c>
      <c r="F15" s="37">
        <v>1</v>
      </c>
      <c r="G15" s="36">
        <v>1280</v>
      </c>
      <c r="H15" s="38">
        <f t="shared" si="1"/>
        <v>1280</v>
      </c>
      <c r="I15" s="37"/>
      <c r="J15" s="39" t="s">
        <v>69</v>
      </c>
      <c r="K15" s="40"/>
      <c r="L15" s="41" t="s">
        <v>50</v>
      </c>
      <c r="M15" s="42"/>
      <c r="N15" s="35"/>
      <c r="O15" s="43"/>
      <c r="P15" s="42"/>
      <c r="Q15" s="44" t="s">
        <v>72</v>
      </c>
    </row>
    <row r="16" spans="2:17" s="3" customFormat="1" ht="19.5" customHeight="1" x14ac:dyDescent="0.15">
      <c r="B16" s="24">
        <v>4</v>
      </c>
      <c r="C16" s="4" t="s">
        <v>26</v>
      </c>
      <c r="D16" s="4" t="s">
        <v>26</v>
      </c>
      <c r="E16" s="10" t="s">
        <v>41</v>
      </c>
      <c r="F16" s="27">
        <v>1</v>
      </c>
      <c r="G16" s="10">
        <v>3548</v>
      </c>
      <c r="H16" s="17">
        <f t="shared" si="1"/>
        <v>3548</v>
      </c>
      <c r="I16" s="1"/>
      <c r="J16" s="10" t="s">
        <v>51</v>
      </c>
      <c r="K16" s="21"/>
      <c r="L16" s="1" t="s">
        <v>40</v>
      </c>
      <c r="M16" s="12">
        <v>46028</v>
      </c>
      <c r="N16" s="4"/>
      <c r="O16" s="18"/>
      <c r="P16" s="12">
        <v>46032</v>
      </c>
      <c r="Q16" s="15"/>
    </row>
    <row r="17" spans="2:17" s="3" customFormat="1" ht="19.5" customHeight="1" x14ac:dyDescent="0.15">
      <c r="B17" s="48">
        <v>13</v>
      </c>
      <c r="C17" s="4" t="s">
        <v>26</v>
      </c>
      <c r="D17" s="4" t="s">
        <v>26</v>
      </c>
      <c r="E17" s="10" t="s">
        <v>29</v>
      </c>
      <c r="F17" s="27">
        <v>1</v>
      </c>
      <c r="G17" s="10">
        <v>3726</v>
      </c>
      <c r="H17" s="17">
        <f t="shared" si="0"/>
        <v>3726</v>
      </c>
      <c r="I17" s="2"/>
      <c r="J17" s="10" t="s">
        <v>30</v>
      </c>
      <c r="K17" s="21"/>
      <c r="L17" s="1" t="s">
        <v>40</v>
      </c>
      <c r="M17" s="12">
        <v>46028</v>
      </c>
      <c r="N17" s="4"/>
      <c r="O17" s="18"/>
      <c r="P17" s="12">
        <v>46032</v>
      </c>
      <c r="Q17" s="15"/>
    </row>
    <row r="18" spans="2:17" s="3" customFormat="1" ht="19.5" customHeight="1" x14ac:dyDescent="0.15">
      <c r="B18" s="49"/>
      <c r="C18" s="4" t="s">
        <v>26</v>
      </c>
      <c r="D18" s="4" t="s">
        <v>26</v>
      </c>
      <c r="E18" s="10" t="s">
        <v>32</v>
      </c>
      <c r="F18" s="27">
        <v>1</v>
      </c>
      <c r="G18" s="10">
        <v>260</v>
      </c>
      <c r="H18" s="17">
        <f t="shared" si="0"/>
        <v>260</v>
      </c>
      <c r="I18" s="2"/>
      <c r="J18" s="10" t="s">
        <v>47</v>
      </c>
      <c r="K18" s="21"/>
      <c r="L18" s="1" t="s">
        <v>40</v>
      </c>
      <c r="M18" s="12">
        <v>46028</v>
      </c>
      <c r="N18" s="4"/>
      <c r="O18" s="18"/>
      <c r="P18" s="12">
        <v>46032</v>
      </c>
      <c r="Q18" s="15"/>
    </row>
    <row r="19" spans="2:17" s="3" customFormat="1" ht="19.5" customHeight="1" x14ac:dyDescent="0.15">
      <c r="B19" s="49"/>
      <c r="C19" s="4" t="s">
        <v>26</v>
      </c>
      <c r="D19" s="4" t="s">
        <v>26</v>
      </c>
      <c r="E19" s="10" t="s">
        <v>33</v>
      </c>
      <c r="F19" s="27">
        <v>1</v>
      </c>
      <c r="G19" s="10">
        <v>200</v>
      </c>
      <c r="H19" s="17">
        <f t="shared" si="0"/>
        <v>200</v>
      </c>
      <c r="I19" s="2"/>
      <c r="J19" s="10" t="s">
        <v>46</v>
      </c>
      <c r="K19" s="21"/>
      <c r="L19" s="1" t="s">
        <v>40</v>
      </c>
      <c r="M19" s="12">
        <v>46028</v>
      </c>
      <c r="N19" s="4"/>
      <c r="O19" s="18"/>
      <c r="P19" s="12">
        <v>46032</v>
      </c>
      <c r="Q19" s="15"/>
    </row>
    <row r="20" spans="2:17" s="3" customFormat="1" ht="19.5" customHeight="1" x14ac:dyDescent="0.15">
      <c r="B20" s="49"/>
      <c r="C20" s="4" t="s">
        <v>26</v>
      </c>
      <c r="D20" s="4" t="s">
        <v>26</v>
      </c>
      <c r="E20" s="10" t="s">
        <v>34</v>
      </c>
      <c r="F20" s="27">
        <v>1</v>
      </c>
      <c r="G20" s="10">
        <v>220</v>
      </c>
      <c r="H20" s="17">
        <f t="shared" si="0"/>
        <v>220</v>
      </c>
      <c r="I20" s="2"/>
      <c r="J20" s="10" t="s">
        <v>45</v>
      </c>
      <c r="K20" s="21"/>
      <c r="L20" s="1" t="s">
        <v>40</v>
      </c>
      <c r="M20" s="12">
        <v>46028</v>
      </c>
      <c r="N20" s="4"/>
      <c r="O20" s="18"/>
      <c r="P20" s="12">
        <v>46032</v>
      </c>
      <c r="Q20" s="15"/>
    </row>
    <row r="21" spans="2:17" s="3" customFormat="1" ht="19.5" customHeight="1" x14ac:dyDescent="0.15">
      <c r="B21" s="49"/>
      <c r="C21" s="4" t="s">
        <v>26</v>
      </c>
      <c r="D21" s="4" t="s">
        <v>26</v>
      </c>
      <c r="E21" s="10" t="s">
        <v>35</v>
      </c>
      <c r="F21" s="27">
        <v>1</v>
      </c>
      <c r="G21" s="10">
        <v>260</v>
      </c>
      <c r="H21" s="17">
        <f t="shared" si="0"/>
        <v>260</v>
      </c>
      <c r="I21" s="2"/>
      <c r="J21" s="10" t="s">
        <v>45</v>
      </c>
      <c r="K21" s="21"/>
      <c r="L21" s="1" t="s">
        <v>40</v>
      </c>
      <c r="M21" s="12">
        <v>46028</v>
      </c>
      <c r="N21" s="4"/>
      <c r="O21" s="18"/>
      <c r="P21" s="12">
        <v>46032</v>
      </c>
      <c r="Q21" s="15"/>
    </row>
    <row r="22" spans="2:17" s="3" customFormat="1" ht="19.5" customHeight="1" x14ac:dyDescent="0.15">
      <c r="B22" s="49"/>
      <c r="C22" s="4" t="s">
        <v>26</v>
      </c>
      <c r="D22" s="4" t="s">
        <v>26</v>
      </c>
      <c r="E22" s="10" t="s">
        <v>36</v>
      </c>
      <c r="F22" s="27">
        <v>1</v>
      </c>
      <c r="G22" s="10">
        <v>3270</v>
      </c>
      <c r="H22" s="17">
        <f t="shared" si="0"/>
        <v>3270</v>
      </c>
      <c r="I22" s="2"/>
      <c r="J22" s="10" t="s">
        <v>44</v>
      </c>
      <c r="K22" s="1"/>
      <c r="L22" s="1" t="s">
        <v>40</v>
      </c>
      <c r="M22" s="12">
        <v>46028</v>
      </c>
      <c r="N22" s="4"/>
      <c r="O22" s="1"/>
      <c r="P22" s="12">
        <v>46032</v>
      </c>
      <c r="Q22" s="15"/>
    </row>
    <row r="23" spans="2:17" s="3" customFormat="1" ht="19.5" customHeight="1" x14ac:dyDescent="0.15">
      <c r="B23" s="49"/>
      <c r="C23" s="4" t="s">
        <v>26</v>
      </c>
      <c r="D23" s="4" t="s">
        <v>26</v>
      </c>
      <c r="E23" s="10" t="s">
        <v>37</v>
      </c>
      <c r="F23" s="27">
        <v>1</v>
      </c>
      <c r="G23" s="10">
        <v>320</v>
      </c>
      <c r="H23" s="17">
        <f t="shared" si="0"/>
        <v>320</v>
      </c>
      <c r="I23" s="2"/>
      <c r="J23" s="10" t="s">
        <v>43</v>
      </c>
      <c r="K23" s="1"/>
      <c r="L23" s="1" t="s">
        <v>40</v>
      </c>
      <c r="M23" s="12">
        <v>46028</v>
      </c>
      <c r="N23" s="4"/>
      <c r="O23" s="1"/>
      <c r="P23" s="12">
        <v>46032</v>
      </c>
      <c r="Q23" s="15"/>
    </row>
    <row r="24" spans="2:17" s="3" customFormat="1" ht="19.5" customHeight="1" x14ac:dyDescent="0.15">
      <c r="B24" s="49"/>
      <c r="C24" s="4" t="s">
        <v>26</v>
      </c>
      <c r="D24" s="4" t="s">
        <v>26</v>
      </c>
      <c r="E24" s="10" t="s">
        <v>38</v>
      </c>
      <c r="F24" s="27">
        <v>1</v>
      </c>
      <c r="G24" s="10">
        <v>350</v>
      </c>
      <c r="H24" s="17">
        <f t="shared" si="0"/>
        <v>350</v>
      </c>
      <c r="I24" s="2"/>
      <c r="J24" s="10" t="s">
        <v>42</v>
      </c>
      <c r="K24" s="21"/>
      <c r="L24" s="1" t="s">
        <v>40</v>
      </c>
      <c r="M24" s="12">
        <v>46028</v>
      </c>
      <c r="N24" s="4"/>
      <c r="O24" s="18"/>
      <c r="P24" s="12">
        <v>46032</v>
      </c>
      <c r="Q24" s="15"/>
    </row>
    <row r="25" spans="2:17" s="33" customFormat="1" ht="19.5" customHeight="1" x14ac:dyDescent="0.15">
      <c r="B25" s="49"/>
      <c r="C25" s="4" t="s">
        <v>31</v>
      </c>
      <c r="D25" s="4" t="s">
        <v>56</v>
      </c>
      <c r="E25" s="26" t="s">
        <v>64</v>
      </c>
      <c r="F25" s="27">
        <v>1</v>
      </c>
      <c r="G25" s="26">
        <v>4430</v>
      </c>
      <c r="H25" s="17">
        <f t="shared" si="0"/>
        <v>4430</v>
      </c>
      <c r="I25" s="28"/>
      <c r="J25" s="26" t="s">
        <v>63</v>
      </c>
      <c r="K25" s="21"/>
      <c r="L25" s="22" t="s">
        <v>50</v>
      </c>
      <c r="M25" s="12">
        <v>46030</v>
      </c>
      <c r="N25" s="25"/>
      <c r="O25" s="18">
        <v>46035</v>
      </c>
      <c r="P25" s="30">
        <v>46036</v>
      </c>
      <c r="Q25" s="32">
        <v>46035</v>
      </c>
    </row>
    <row r="26" spans="2:17" s="33" customFormat="1" ht="19.5" customHeight="1" x14ac:dyDescent="0.15">
      <c r="B26" s="49"/>
      <c r="C26" s="4" t="s">
        <v>31</v>
      </c>
      <c r="D26" s="4" t="s">
        <v>56</v>
      </c>
      <c r="E26" s="26" t="s">
        <v>65</v>
      </c>
      <c r="F26" s="27">
        <v>1</v>
      </c>
      <c r="G26" s="26">
        <v>60</v>
      </c>
      <c r="H26" s="17">
        <f t="shared" si="0"/>
        <v>60</v>
      </c>
      <c r="I26" s="28"/>
      <c r="J26" s="26" t="s">
        <v>67</v>
      </c>
      <c r="K26" s="21"/>
      <c r="L26" s="22" t="s">
        <v>50</v>
      </c>
      <c r="M26" s="12">
        <v>46030</v>
      </c>
      <c r="N26" s="25"/>
      <c r="O26" s="18">
        <v>46035</v>
      </c>
      <c r="P26" s="30">
        <v>46036</v>
      </c>
      <c r="Q26" s="32">
        <v>46035</v>
      </c>
    </row>
    <row r="27" spans="2:17" s="33" customFormat="1" ht="19.5" customHeight="1" x14ac:dyDescent="0.15">
      <c r="B27" s="47"/>
      <c r="C27" s="4" t="s">
        <v>31</v>
      </c>
      <c r="D27" s="4" t="s">
        <v>56</v>
      </c>
      <c r="E27" s="26" t="s">
        <v>66</v>
      </c>
      <c r="F27" s="27">
        <v>1</v>
      </c>
      <c r="G27" s="26">
        <v>2180</v>
      </c>
      <c r="H27" s="17">
        <f t="shared" si="0"/>
        <v>2180</v>
      </c>
      <c r="I27" s="27"/>
      <c r="J27" s="26" t="s">
        <v>39</v>
      </c>
      <c r="K27" s="21"/>
      <c r="L27" s="22" t="s">
        <v>50</v>
      </c>
      <c r="M27" s="12">
        <v>46030</v>
      </c>
      <c r="N27" s="25"/>
      <c r="O27" s="18">
        <v>46035</v>
      </c>
      <c r="P27" s="30">
        <v>46036</v>
      </c>
      <c r="Q27" s="32">
        <v>46035</v>
      </c>
    </row>
    <row r="28" spans="2:17" s="3" customFormat="1" ht="19.5" customHeight="1" x14ac:dyDescent="0.15">
      <c r="B28" s="46">
        <v>14</v>
      </c>
      <c r="C28" s="4" t="s">
        <v>25</v>
      </c>
      <c r="D28" s="4" t="s">
        <v>25</v>
      </c>
      <c r="E28" s="34" t="s">
        <v>23</v>
      </c>
      <c r="F28" s="19">
        <v>20</v>
      </c>
      <c r="G28" s="20">
        <v>5000</v>
      </c>
      <c r="H28" s="17">
        <f t="shared" si="0"/>
        <v>100000</v>
      </c>
      <c r="I28" s="2"/>
      <c r="J28" s="34" t="s">
        <v>23</v>
      </c>
      <c r="K28" s="21"/>
      <c r="L28" s="22"/>
      <c r="M28" s="12"/>
      <c r="N28" s="4"/>
      <c r="O28" s="18"/>
      <c r="P28" s="12"/>
      <c r="Q28" s="15"/>
    </row>
    <row r="29" spans="2:17" s="3" customFormat="1" ht="19.5" customHeight="1" x14ac:dyDescent="0.15">
      <c r="B29" s="47"/>
      <c r="C29" s="4" t="s">
        <v>25</v>
      </c>
      <c r="D29" s="4" t="s">
        <v>25</v>
      </c>
      <c r="E29" s="34" t="s">
        <v>24</v>
      </c>
      <c r="F29" s="1">
        <v>12</v>
      </c>
      <c r="G29" s="16">
        <v>5000</v>
      </c>
      <c r="H29" s="17">
        <f t="shared" si="0"/>
        <v>60000</v>
      </c>
      <c r="I29" s="2"/>
      <c r="J29" s="34" t="s">
        <v>24</v>
      </c>
      <c r="K29" s="1"/>
      <c r="L29" s="1"/>
      <c r="M29" s="12"/>
      <c r="N29" s="4"/>
      <c r="O29" s="1"/>
      <c r="P29" s="12"/>
      <c r="Q29" s="15"/>
    </row>
    <row r="30" spans="2:17" ht="19.5" customHeight="1" x14ac:dyDescent="0.15"/>
  </sheetData>
  <autoFilter ref="B8:O22" xr:uid="{5445119D-ED0C-46E2-9EF8-E1C0F6663E51}"/>
  <mergeCells count="10">
    <mergeCell ref="B28:B29"/>
    <mergeCell ref="B17:B27"/>
    <mergeCell ref="B6:D6"/>
    <mergeCell ref="G2:I2"/>
    <mergeCell ref="B2:D2"/>
    <mergeCell ref="B3:D3"/>
    <mergeCell ref="B4:D4"/>
    <mergeCell ref="B5:D5"/>
    <mergeCell ref="B9:B10"/>
    <mergeCell ref="B11:B15"/>
  </mergeCells>
  <phoneticPr fontId="1"/>
  <pageMargins left="0.2" right="0.2" top="0.36" bottom="0.41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2012-01-12T04:44:33Z</cp:lastPrinted>
  <dcterms:created xsi:type="dcterms:W3CDTF">2011-12-13T06:48:43Z</dcterms:created>
  <dcterms:modified xsi:type="dcterms:W3CDTF">2026-01-20T07:04:13Z</dcterms:modified>
</cp:coreProperties>
</file>