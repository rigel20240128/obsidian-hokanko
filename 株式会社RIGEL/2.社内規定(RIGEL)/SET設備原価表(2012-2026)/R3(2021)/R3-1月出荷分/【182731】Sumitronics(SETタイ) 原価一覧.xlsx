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A975ADED-93D6-4A3A-8F25-EEA27ECE6FB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Sheet1!$B$8:$O$62</definedName>
  </definedNames>
  <calcPr calcId="181029"/>
</workbook>
</file>

<file path=xl/calcChain.xml><?xml version="1.0" encoding="utf-8"?>
<calcChain xmlns="http://schemas.openxmlformats.org/spreadsheetml/2006/main">
  <c r="H58" i="1" l="1"/>
  <c r="H59" i="1"/>
  <c r="H60" i="1"/>
  <c r="H61" i="1"/>
  <c r="H10" i="1"/>
  <c r="H49" i="1" l="1"/>
  <c r="H50" i="1"/>
  <c r="H52" i="1"/>
  <c r="H53" i="1"/>
  <c r="H54" i="1"/>
  <c r="H55" i="1"/>
  <c r="H56" i="1"/>
  <c r="H51" i="1"/>
  <c r="H57" i="1"/>
  <c r="H62" i="1"/>
  <c r="H39" i="1"/>
  <c r="H26" i="1"/>
  <c r="H27" i="1"/>
  <c r="H38" i="1"/>
  <c r="H25" i="1"/>
  <c r="H47" i="1"/>
  <c r="H46" i="1"/>
  <c r="H12" i="1"/>
  <c r="H17" i="1"/>
  <c r="H37" i="1"/>
  <c r="H16" i="1"/>
  <c r="H40" i="1"/>
  <c r="H13" i="1"/>
  <c r="H36" i="1"/>
  <c r="H43" i="1"/>
  <c r="H29" i="1"/>
  <c r="H32" i="1"/>
  <c r="H23" i="1"/>
  <c r="H24" i="1"/>
  <c r="H21" i="1"/>
  <c r="H15" i="1"/>
  <c r="H14" i="1"/>
  <c r="H28" i="1"/>
  <c r="H31" i="1"/>
  <c r="H30" i="1"/>
  <c r="H41" i="1"/>
  <c r="H22" i="1"/>
  <c r="H33" i="1"/>
  <c r="H34" i="1"/>
  <c r="H44" i="1"/>
  <c r="H42" i="1"/>
  <c r="H35" i="1"/>
  <c r="H9" i="1"/>
  <c r="H11" i="1"/>
  <c r="H48" i="1"/>
  <c r="H18" i="1"/>
  <c r="H19" i="1"/>
  <c r="H20" i="1"/>
  <c r="H45" i="1"/>
  <c r="J2" i="1" l="1"/>
</calcChain>
</file>

<file path=xl/sharedStrings.xml><?xml version="1.0" encoding="utf-8"?>
<sst xmlns="http://schemas.openxmlformats.org/spreadsheetml/2006/main" count="240" uniqueCount="126">
  <si>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</si>
  <si>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</si>
  <si>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</si>
  <si>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</si>
  <si>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</si>
  <si>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</si>
  <si>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</si>
  <si>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</si>
  <si>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</si>
  <si>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</si>
  <si>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</si>
  <si>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</si>
  <si>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</si>
  <si>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</si>
  <si>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</si>
  <si>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</si>
  <si>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</si>
  <si>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</si>
  <si>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</si>
  <si>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</si>
  <si>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</si>
  <si>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</si>
  <si>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ミスミ</t>
    <phoneticPr fontId="1"/>
  </si>
  <si>
    <t>イグス</t>
    <phoneticPr fontId="1"/>
  </si>
  <si>
    <t>ケーブルキャリア</t>
    <phoneticPr fontId="1"/>
  </si>
  <si>
    <t>FADAS-SUD-T2-A45-B45-L44-H14-G22-M3-V30-S38-NA4</t>
    <phoneticPr fontId="1"/>
  </si>
  <si>
    <t>MNUN6</t>
    <phoneticPr fontId="1"/>
  </si>
  <si>
    <t>ワンタッチ継手</t>
    <rPh sb="5" eb="6">
      <t>ツギ</t>
    </rPh>
    <rPh sb="6" eb="7">
      <t>テ</t>
    </rPh>
    <phoneticPr fontId="1"/>
  </si>
  <si>
    <t>エア継手</t>
    <rPh sb="2" eb="3">
      <t>ツギ</t>
    </rPh>
    <rPh sb="3" eb="4">
      <t>テ</t>
    </rPh>
    <phoneticPr fontId="1"/>
  </si>
  <si>
    <t>MNUNY6</t>
    <phoneticPr fontId="1"/>
  </si>
  <si>
    <t>蛇の目</t>
    <rPh sb="0" eb="1">
      <t>ジャ</t>
    </rPh>
    <rPh sb="2" eb="3">
      <t>メ</t>
    </rPh>
    <phoneticPr fontId="1"/>
  </si>
  <si>
    <t>Ｌ型板金</t>
    <rPh sb="1" eb="2">
      <t>ガタ</t>
    </rPh>
    <rPh sb="2" eb="4">
      <t>バンキン</t>
    </rPh>
    <phoneticPr fontId="1"/>
  </si>
  <si>
    <t>FAMBS-SUD-T2-A90-B50-L130-X12-F106-H80-N4-Y65-V25-S13-W30-MA4</t>
    <phoneticPr fontId="1"/>
  </si>
  <si>
    <t>エア配管用</t>
    <rPh sb="2" eb="4">
      <t>ハイカン</t>
    </rPh>
    <rPh sb="4" eb="5">
      <t>ヨウ</t>
    </rPh>
    <phoneticPr fontId="1"/>
  </si>
  <si>
    <t>PUT6-10-B</t>
    <phoneticPr fontId="1"/>
  </si>
  <si>
    <t>ポリウレタンチューブφ6 黒</t>
    <rPh sb="13" eb="14">
      <t>クロ</t>
    </rPh>
    <phoneticPr fontId="1"/>
  </si>
  <si>
    <t>WSSS8-4-5</t>
    <phoneticPr fontId="1"/>
  </si>
  <si>
    <t>金属ワッシャ</t>
    <rPh sb="0" eb="2">
      <t>キンゾク</t>
    </rPh>
    <phoneticPr fontId="1"/>
  </si>
  <si>
    <t>ＳＵＮＣＯ</t>
    <phoneticPr fontId="1"/>
  </si>
  <si>
    <t>十字穴付（+）皿小ねじ</t>
    <phoneticPr fontId="1"/>
  </si>
  <si>
    <t>Z08.30.048.0-34-080.30.12PZ</t>
    <phoneticPr fontId="1"/>
  </si>
  <si>
    <t>竹内</t>
    <rPh sb="0" eb="2">
      <t>タケウチ</t>
    </rPh>
    <phoneticPr fontId="1"/>
  </si>
  <si>
    <t>NWNMC5E-STN-SSMB-GY-2</t>
    <phoneticPr fontId="1"/>
  </si>
  <si>
    <t>CAT5e STP(より線)</t>
    <phoneticPr fontId="1"/>
  </si>
  <si>
    <t>JR3-Cpts2</t>
    <phoneticPr fontId="1"/>
  </si>
  <si>
    <t>エナジーチェーン</t>
    <phoneticPr fontId="1"/>
  </si>
  <si>
    <t>CSHCSHAS-SUS-M3-4</t>
    <phoneticPr fontId="1"/>
  </si>
  <si>
    <t>CBSTSR4-12</t>
    <phoneticPr fontId="1"/>
  </si>
  <si>
    <t>超極低頭六角穴付ボルト</t>
    <phoneticPr fontId="1"/>
  </si>
  <si>
    <t>端子台</t>
    <rPh sb="0" eb="2">
      <t>タンシ</t>
    </rPh>
    <rPh sb="2" eb="3">
      <t>ダイ</t>
    </rPh>
    <phoneticPr fontId="1"/>
  </si>
  <si>
    <t>BSU-415</t>
    <phoneticPr fontId="1"/>
  </si>
  <si>
    <t>廣杉計器</t>
    <phoneticPr fontId="1"/>
  </si>
  <si>
    <t>MRB-300</t>
    <phoneticPr fontId="1"/>
  </si>
  <si>
    <t>DINレール</t>
    <phoneticPr fontId="1"/>
  </si>
  <si>
    <t>MWS-DS37A-HT37</t>
    <phoneticPr fontId="1"/>
  </si>
  <si>
    <t>Dsubコネクタ端子台</t>
    <phoneticPr fontId="1"/>
  </si>
  <si>
    <t>MWI-COM-P10N10</t>
    <phoneticPr fontId="1"/>
  </si>
  <si>
    <t>P/Nコモン端子台</t>
    <phoneticPr fontId="1"/>
  </si>
  <si>
    <t>NEDJL-PS-SB-37-1.5</t>
    <phoneticPr fontId="1"/>
  </si>
  <si>
    <t>Dsubコネクタハーネス</t>
    <phoneticPr fontId="1"/>
  </si>
  <si>
    <t>I/O-SYS⇔端子台</t>
    <rPh sb="8" eb="10">
      <t>タンシ</t>
    </rPh>
    <rPh sb="10" eb="11">
      <t>ダイ</t>
    </rPh>
    <phoneticPr fontId="1"/>
  </si>
  <si>
    <t>NEDJL-PT-SB-9-3-00F</t>
    <phoneticPr fontId="1"/>
  </si>
  <si>
    <t>SDP400⇔端子台</t>
    <rPh sb="7" eb="9">
      <t>タンシ</t>
    </rPh>
    <rPh sb="9" eb="10">
      <t>ダイ</t>
    </rPh>
    <phoneticPr fontId="1"/>
  </si>
  <si>
    <t>MTRF1.25-3</t>
    <phoneticPr fontId="1"/>
  </si>
  <si>
    <t>裸圧着端子 Y型</t>
    <phoneticPr fontId="1"/>
  </si>
  <si>
    <t>156226-Z01</t>
    <phoneticPr fontId="1"/>
  </si>
  <si>
    <t>背面板金</t>
    <rPh sb="0" eb="2">
      <t>ハイメン</t>
    </rPh>
    <rPh sb="2" eb="4">
      <t>バンキン</t>
    </rPh>
    <phoneticPr fontId="1"/>
  </si>
  <si>
    <t>タイショー</t>
    <phoneticPr fontId="1"/>
  </si>
  <si>
    <t>MCLPTK6-1</t>
    <phoneticPr fontId="1"/>
  </si>
  <si>
    <t>チューブ用継手</t>
    <phoneticPr fontId="1"/>
  </si>
  <si>
    <t>バルブ用継手</t>
    <rPh sb="3" eb="4">
      <t>ヨウ</t>
    </rPh>
    <rPh sb="4" eb="5">
      <t>ツギ</t>
    </rPh>
    <rPh sb="5" eb="6">
      <t>テ</t>
    </rPh>
    <phoneticPr fontId="1"/>
  </si>
  <si>
    <t>MCPTK6-3</t>
    <phoneticPr fontId="1"/>
  </si>
  <si>
    <t>タンク用継手</t>
    <rPh sb="3" eb="4">
      <t>ヨウ</t>
    </rPh>
    <rPh sb="4" eb="5">
      <t>ツギ</t>
    </rPh>
    <rPh sb="5" eb="6">
      <t>テ</t>
    </rPh>
    <phoneticPr fontId="1"/>
  </si>
  <si>
    <t>JPLRS5-P6-B7</t>
    <phoneticPr fontId="1"/>
  </si>
  <si>
    <t>位置決めピン</t>
    <rPh sb="0" eb="2">
      <t>イチ</t>
    </rPh>
    <rPh sb="2" eb="3">
      <t>キ</t>
    </rPh>
    <phoneticPr fontId="1"/>
  </si>
  <si>
    <t>ツール冶具ユニット</t>
    <rPh sb="3" eb="4">
      <t>ジ</t>
    </rPh>
    <rPh sb="4" eb="5">
      <t>グ</t>
    </rPh>
    <phoneticPr fontId="1"/>
  </si>
  <si>
    <t>164600-Y01</t>
    <phoneticPr fontId="1"/>
  </si>
  <si>
    <t>ツール板</t>
    <phoneticPr fontId="1"/>
  </si>
  <si>
    <t>XYSG40-CR</t>
    <phoneticPr fontId="1"/>
  </si>
  <si>
    <t>XYステージ</t>
    <phoneticPr fontId="1"/>
  </si>
  <si>
    <t>164600-Y02</t>
  </si>
  <si>
    <t>XSG40-CR</t>
    <phoneticPr fontId="1"/>
  </si>
  <si>
    <t>Xステージ</t>
    <phoneticPr fontId="1"/>
  </si>
  <si>
    <t>164600-Y03</t>
  </si>
  <si>
    <t>164600-Y04</t>
  </si>
  <si>
    <t>バルブ取付板</t>
    <phoneticPr fontId="1"/>
  </si>
  <si>
    <t>バルブホルダ</t>
    <phoneticPr fontId="1"/>
  </si>
  <si>
    <t>130172-Y02</t>
    <phoneticPr fontId="1"/>
  </si>
  <si>
    <t>P1-JUDA-19210575</t>
    <phoneticPr fontId="1"/>
  </si>
  <si>
    <t>取付ブラケット</t>
    <phoneticPr fontId="1"/>
  </si>
  <si>
    <t>漬け置き、捨て打ちカップユニット</t>
    <phoneticPr fontId="1"/>
  </si>
  <si>
    <t>AJPNGB3-P4.30-B6.0-G4-GC</t>
    <phoneticPr fontId="1"/>
  </si>
  <si>
    <t>RSCB4-15</t>
    <phoneticPr fontId="1"/>
  </si>
  <si>
    <t>六角ボルト</t>
    <phoneticPr fontId="1"/>
  </si>
  <si>
    <t>CHNS4</t>
    <phoneticPr fontId="1"/>
  </si>
  <si>
    <t>蝶ナット</t>
    <phoneticPr fontId="1"/>
  </si>
  <si>
    <t>P1-LSBC-19210560</t>
    <phoneticPr fontId="1"/>
  </si>
  <si>
    <t>Lブラケット</t>
    <phoneticPr fontId="1"/>
  </si>
  <si>
    <t>カップホルダダブル</t>
    <phoneticPr fontId="1"/>
  </si>
  <si>
    <t>CRKB4-8</t>
    <phoneticPr fontId="1"/>
  </si>
  <si>
    <t>樹脂ローレットねじ</t>
    <phoneticPr fontId="1"/>
  </si>
  <si>
    <t>5-079-04</t>
    <phoneticPr fontId="1"/>
  </si>
  <si>
    <t>ミニカップ No.30（アズワン）</t>
    <phoneticPr fontId="1"/>
  </si>
  <si>
    <t>MNUN4</t>
    <phoneticPr fontId="1"/>
  </si>
  <si>
    <t>PUT4-10-B</t>
    <phoneticPr fontId="1"/>
  </si>
  <si>
    <t>ポリウレタンチューブφ4 黒</t>
    <rPh sb="13" eb="14">
      <t>クロ</t>
    </rPh>
    <phoneticPr fontId="1"/>
  </si>
  <si>
    <t>新工</t>
    <rPh sb="0" eb="2">
      <t>シンコウ</t>
    </rPh>
    <phoneticPr fontId="1"/>
  </si>
  <si>
    <t>SC40156-C</t>
    <phoneticPr fontId="1"/>
  </si>
  <si>
    <t>液送タンク用落し蓋　3L用</t>
    <rPh sb="0" eb="1">
      <t>エキ</t>
    </rPh>
    <rPh sb="1" eb="2">
      <t>ソウ</t>
    </rPh>
    <rPh sb="5" eb="6">
      <t>ヨウ</t>
    </rPh>
    <rPh sb="6" eb="7">
      <t>オト</t>
    </rPh>
    <rPh sb="8" eb="9">
      <t>ブタ</t>
    </rPh>
    <rPh sb="12" eb="13">
      <t>ヨウ</t>
    </rPh>
    <phoneticPr fontId="1"/>
  </si>
  <si>
    <t>アズワン</t>
    <phoneticPr fontId="1"/>
  </si>
  <si>
    <t>□40mmステージアングル</t>
    <phoneticPr fontId="1"/>
  </si>
  <si>
    <t>□40mmステージブロック</t>
    <phoneticPr fontId="1"/>
  </si>
  <si>
    <t>164600-Z01</t>
    <phoneticPr fontId="1"/>
  </si>
  <si>
    <t>PCソフト</t>
  </si>
  <si>
    <t>Sumitronics(SETタイ)</t>
    <phoneticPr fontId="1"/>
  </si>
  <si>
    <t>JR C Point2 Ver8 ＊英語版</t>
    <rPh sb="18" eb="20">
      <t>エイゴ</t>
    </rPh>
    <rPh sb="20" eb="21">
      <t>バン</t>
    </rPh>
    <phoneticPr fontId="1"/>
  </si>
  <si>
    <t>興和化成</t>
  </si>
  <si>
    <t>KD-36-20-T</t>
    <phoneticPr fontId="1"/>
  </si>
  <si>
    <t>タカチ電機工業</t>
    <phoneticPr fontId="1"/>
  </si>
  <si>
    <t>TKR-TWE1</t>
    <phoneticPr fontId="1"/>
  </si>
  <si>
    <t>カッチンダクト（興和化成）</t>
    <phoneticPr fontId="1"/>
  </si>
  <si>
    <t>DINレール止め金具（タカチ電機工業）</t>
    <phoneticPr fontId="1"/>
  </si>
  <si>
    <t>NAUL1007-20-BE-10</t>
    <phoneticPr fontId="1"/>
  </si>
  <si>
    <t>単芯電線 UL</t>
    <phoneticPr fontId="1"/>
  </si>
  <si>
    <t>ステンレススペーサー（廣杉計器）</t>
    <phoneticPr fontId="1"/>
  </si>
  <si>
    <t>発注№48601</t>
    <rPh sb="0" eb="3">
      <t>ハッチュウナンバー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</si>
</sst>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</numFmts>
  <fonts count="8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47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right" vertical="center"/>
    </xf>
    <xf numFmtId="38" fontId="0" fillId="0" borderId="1" xfId="0" applyNumberFormat="1" applyFill="1" applyBorder="1" applyAlignment="1">
      <alignment vertical="center"/>
    </xf>
    <xf numFmtId="3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38" fontId="7" fillId="0" borderId="1" xfId="0" applyNumberFormat="1" applyFont="1" applyFill="1" applyBorder="1" applyAlignment="1">
      <alignment horizontal="right" vertical="center"/>
    </xf>
    <xf numFmtId="38" fontId="7" fillId="0" borderId="1" xfId="0" applyNumberFormat="1" applyFont="1" applyFill="1" applyBorder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5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3" borderId="1" xfId="0" applyFont="1" applyFill="1" applyBorder="1">
      <alignment vertical="center"/>
    </xf>
    <xf numFmtId="180" fontId="5" fillId="0" borderId="1" xfId="0" applyNumberFormat="1" applyFont="1" applyFill="1" applyBorder="1" applyAlignment="1">
      <alignment horizontal="right" vertical="center"/>
    </xf>
    <xf numFmtId="176" fontId="5" fillId="0" borderId="2" xfId="0" applyNumberFormat="1" applyFont="1" applyFill="1" applyBorder="1" applyAlignment="1">
      <alignment vertical="center"/>
    </xf>
    <xf numFmtId="180" fontId="0" fillId="0" borderId="1" xfId="0" applyNumberFormat="1" applyFill="1" applyBorder="1" applyAlignment="1">
      <alignment horizontal="right" vertical="center"/>
    </xf>
    <xf numFmtId="180" fontId="7" fillId="0" borderId="1" xfId="0" applyNumberFormat="1" applyFont="1" applyFill="1" applyBorder="1" applyAlignment="1">
      <alignment horizontal="right" vertical="center"/>
    </xf>
    <xf numFmtId="38" fontId="7" fillId="3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80" fontId="6" fillId="0" borderId="1" xfId="1" applyNumberFormat="1" applyFont="1" applyBorder="1" applyAlignment="1">
      <alignment vertical="center"/>
    </xf>
    <xf numFmtId="0" fontId="0" fillId="0" borderId="3" xfId="0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2">
    <cellStyle name="標準" xfId="0" builtinId="0"/>
    <cellStyle name="標準_発注管理表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9"/>
  <sheetViews>
    <sheetView tabSelected="1" zoomScale="85" zoomScaleNormal="85" workbookViewId="0">
      <pane xSplit="10" ySplit="8" topLeftCell="M9" activePane="bottomRight" state="frozen"/>
      <selection pane="topRight" activeCell="K1" sqref="K1"/>
      <selection pane="bottomLeft" activeCell="A9" sqref="A9"/>
      <selection pane="bottomRight" activeCell="E7" sqref="E7"/>
    </sheetView>
  </sheetViews>
  <sheetFormatPr defaultRowHeight="13.5" x14ac:dyDescent="0.15"/>
  <cols>
    <col min="1" max="1" width="2.625" customWidth="1"/>
    <col min="2" max="2" width="5.625" style="5" customWidth="1"/>
    <col min="3" max="4" width="20.625" customWidth="1"/>
    <col min="5" max="5" width="75.75" customWidth="1"/>
    <col min="6" max="6" width="8.75" customWidth="1"/>
    <col min="7" max="8" width="9.875" bestFit="1" customWidth="1"/>
    <col min="9" max="9" width="5.75" style="11" customWidth="1"/>
    <col min="10" max="10" width="35.75" customWidth="1"/>
    <col min="11" max="11" width="40.75" customWidth="1"/>
    <col min="12" max="12" width="30.75" style="5" customWidth="1"/>
    <col min="13" max="13" width="13.75" style="15" customWidth="1"/>
    <col min="14" max="14" width="6.375" customWidth="1"/>
    <col min="15" max="15" width="13.25" style="11" customWidth="1"/>
    <col min="16" max="16" width="14.5" style="19" customWidth="1"/>
    <col min="17" max="17" width="15.625" style="20" customWidth="1"/>
  </cols>
  <sheetData>
    <row r="2" spans="2:17" ht="20.100000000000001" customHeight="1" x14ac:dyDescent="0.15">
      <c r="B2" s="43" t="s">
        <v>11</v>
      </c>
      <c r="C2" s="43"/>
      <c r="D2" s="43"/>
      <c r="E2" s="12" t="s">
        <v>114</v>
      </c>
      <c r="G2" s="44" t="s">
        <v>15</v>
      </c>
      <c r="H2" s="45"/>
      <c r="I2" s="46"/>
      <c r="J2" s="10">
        <f>SUM(H:H)</f>
        <v>201529</v>
      </c>
      <c r="K2" s="6"/>
      <c r="L2" s="7"/>
    </row>
    <row r="3" spans="2:17" ht="20.100000000000001" customHeight="1" x14ac:dyDescent="0.15">
      <c r="B3" s="43" t="s">
        <v>10</v>
      </c>
      <c r="C3" s="43"/>
      <c r="D3" s="43"/>
      <c r="E3" s="8" t="s">
        <v>41</v>
      </c>
    </row>
    <row r="4" spans="2:17" ht="20.100000000000001" customHeight="1" x14ac:dyDescent="0.15">
      <c r="B4" s="43" t="s">
        <v>12</v>
      </c>
      <c r="C4" s="43"/>
      <c r="D4" s="43"/>
      <c r="E4" s="8">
        <v>182731</v>
      </c>
    </row>
    <row r="5" spans="2:17" ht="20.100000000000001" customHeight="1" x14ac:dyDescent="0.15">
      <c r="B5" s="43" t="s">
        <v>13</v>
      </c>
      <c r="C5" s="43"/>
      <c r="D5" s="43"/>
      <c r="E5" s="9">
        <v>44187</v>
      </c>
    </row>
    <row r="6" spans="2:17" ht="20.100000000000001" customHeight="1" x14ac:dyDescent="0.15">
      <c r="B6" s="43" t="s">
        <v>14</v>
      </c>
      <c r="C6" s="43"/>
      <c r="D6" s="43"/>
      <c r="E6" s="9">
        <v>44218</v>
      </c>
    </row>
    <row r="8" spans="2:17" s="3" customFormat="1" ht="19.7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6" t="s">
        <v>6</v>
      </c>
      <c r="N8" s="4" t="s">
        <v>19</v>
      </c>
      <c r="O8" s="1" t="s">
        <v>7</v>
      </c>
      <c r="P8" s="16" t="s">
        <v>20</v>
      </c>
      <c r="Q8" s="21" t="s">
        <v>21</v>
      </c>
    </row>
    <row r="9" spans="2:17" s="3" customFormat="1" ht="19.7" customHeight="1" x14ac:dyDescent="0.15">
      <c r="B9" s="4">
        <v>4</v>
      </c>
      <c r="C9" s="24" t="s">
        <v>30</v>
      </c>
      <c r="D9" s="24" t="s">
        <v>30</v>
      </c>
      <c r="E9" s="31" t="s">
        <v>115</v>
      </c>
      <c r="F9" s="36">
        <v>1</v>
      </c>
      <c r="G9" s="26">
        <v>30000</v>
      </c>
      <c r="H9" s="23">
        <f>F9*G9</f>
        <v>30000</v>
      </c>
      <c r="I9" s="2"/>
      <c r="J9" s="32" t="s">
        <v>113</v>
      </c>
      <c r="K9" s="1" t="s">
        <v>125</v>
      </c>
      <c r="L9" s="1" t="s">
        <v>44</v>
      </c>
      <c r="M9" s="16">
        <v>44173</v>
      </c>
      <c r="N9" s="4"/>
      <c r="O9" s="30">
        <v>43843</v>
      </c>
      <c r="P9" s="16"/>
      <c r="Q9" s="21">
        <v>44214</v>
      </c>
    </row>
    <row r="10" spans="2:17" s="3" customFormat="1" ht="19.7" customHeight="1" x14ac:dyDescent="0.15">
      <c r="B10" s="4"/>
      <c r="C10" s="24"/>
      <c r="D10" s="24"/>
      <c r="E10" s="25"/>
      <c r="F10" s="37"/>
      <c r="G10" s="22">
        <v>0</v>
      </c>
      <c r="H10" s="23">
        <f t="shared" ref="H10:H47" si="0">F10*G10</f>
        <v>0</v>
      </c>
      <c r="I10" s="28"/>
      <c r="J10" s="29"/>
      <c r="K10" s="1"/>
      <c r="L10" s="1"/>
      <c r="M10" s="16"/>
      <c r="N10" s="4"/>
      <c r="O10" s="30"/>
      <c r="P10" s="16"/>
      <c r="Q10" s="21"/>
    </row>
    <row r="11" spans="2:17" s="3" customFormat="1" ht="19.7" customHeight="1" x14ac:dyDescent="0.15">
      <c r="B11" s="4"/>
      <c r="C11" s="4"/>
      <c r="D11" s="4"/>
      <c r="E11" s="13"/>
      <c r="F11" s="36"/>
      <c r="G11" s="22">
        <v>0</v>
      </c>
      <c r="H11" s="23">
        <f t="shared" si="0"/>
        <v>0</v>
      </c>
      <c r="I11" s="2"/>
      <c r="J11" s="14"/>
      <c r="K11" s="1"/>
      <c r="L11" s="1"/>
      <c r="M11" s="16"/>
      <c r="N11" s="4"/>
      <c r="O11" s="1"/>
      <c r="P11" s="16"/>
      <c r="Q11" s="21"/>
    </row>
    <row r="12" spans="2:17" s="3" customFormat="1" ht="19.7" customHeight="1" x14ac:dyDescent="0.15">
      <c r="B12" s="4">
        <v>22</v>
      </c>
      <c r="C12" s="4" t="s">
        <v>109</v>
      </c>
      <c r="D12" s="4" t="s">
        <v>22</v>
      </c>
      <c r="E12" s="13" t="s">
        <v>101</v>
      </c>
      <c r="F12" s="36">
        <v>1</v>
      </c>
      <c r="G12" s="22">
        <v>1800</v>
      </c>
      <c r="H12" s="27">
        <f t="shared" ref="H12:H45" si="1">F12*G12</f>
        <v>1800</v>
      </c>
      <c r="I12" s="1"/>
      <c r="J12" s="42" t="s">
        <v>102</v>
      </c>
      <c r="K12" s="1"/>
      <c r="L12" s="1" t="s">
        <v>44</v>
      </c>
      <c r="M12" s="16">
        <v>44174</v>
      </c>
      <c r="N12" s="4"/>
      <c r="O12" s="30">
        <v>44187</v>
      </c>
      <c r="P12" s="16">
        <v>44182</v>
      </c>
      <c r="Q12" s="21">
        <v>44182</v>
      </c>
    </row>
    <row r="13" spans="2:17" s="3" customFormat="1" ht="19.7" customHeight="1" x14ac:dyDescent="0.15">
      <c r="B13" s="4">
        <v>22</v>
      </c>
      <c r="C13" s="4" t="s">
        <v>22</v>
      </c>
      <c r="D13" s="4" t="s">
        <v>22</v>
      </c>
      <c r="E13" s="13" t="s">
        <v>91</v>
      </c>
      <c r="F13" s="36">
        <v>2</v>
      </c>
      <c r="G13" s="22">
        <v>680</v>
      </c>
      <c r="H13" s="27">
        <f t="shared" si="1"/>
        <v>1360</v>
      </c>
      <c r="I13" s="2"/>
      <c r="J13" s="42" t="s">
        <v>74</v>
      </c>
      <c r="K13" s="1"/>
      <c r="L13" s="1" t="s">
        <v>24</v>
      </c>
      <c r="M13" s="16">
        <v>44174</v>
      </c>
      <c r="N13" s="4"/>
      <c r="O13" s="30">
        <v>44187</v>
      </c>
      <c r="P13" s="16">
        <v>44182</v>
      </c>
      <c r="Q13" s="21">
        <v>44182</v>
      </c>
    </row>
    <row r="14" spans="2:17" s="3" customFormat="1" ht="19.7" customHeight="1" x14ac:dyDescent="0.15">
      <c r="B14" s="4">
        <v>5</v>
      </c>
      <c r="C14" s="4" t="s">
        <v>51</v>
      </c>
      <c r="D14" s="4" t="s">
        <v>22</v>
      </c>
      <c r="E14" s="13" t="s">
        <v>50</v>
      </c>
      <c r="F14" s="36">
        <v>3</v>
      </c>
      <c r="G14" s="22">
        <v>252</v>
      </c>
      <c r="H14" s="27">
        <f t="shared" si="1"/>
        <v>756</v>
      </c>
      <c r="I14" s="2"/>
      <c r="J14" s="14" t="s">
        <v>124</v>
      </c>
      <c r="K14" s="14"/>
      <c r="L14" s="1" t="s">
        <v>24</v>
      </c>
      <c r="M14" s="16">
        <v>44174</v>
      </c>
      <c r="N14" s="4"/>
      <c r="O14" s="30">
        <v>44187</v>
      </c>
      <c r="P14" s="16">
        <v>44182</v>
      </c>
      <c r="Q14" s="21">
        <v>44182</v>
      </c>
    </row>
    <row r="15" spans="2:17" s="3" customFormat="1" ht="19.7" customHeight="1" x14ac:dyDescent="0.15">
      <c r="B15" s="4">
        <v>5</v>
      </c>
      <c r="C15" s="4" t="s">
        <v>22</v>
      </c>
      <c r="D15" s="4" t="s">
        <v>22</v>
      </c>
      <c r="E15" s="13" t="s">
        <v>47</v>
      </c>
      <c r="F15" s="36">
        <v>2</v>
      </c>
      <c r="G15" s="22">
        <v>280</v>
      </c>
      <c r="H15" s="27">
        <f t="shared" si="1"/>
        <v>560</v>
      </c>
      <c r="I15" s="2"/>
      <c r="J15" s="14" t="s">
        <v>48</v>
      </c>
      <c r="K15" s="14"/>
      <c r="L15" s="1" t="s">
        <v>24</v>
      </c>
      <c r="M15" s="16">
        <v>44174</v>
      </c>
      <c r="N15" s="4"/>
      <c r="O15" s="30">
        <v>44187</v>
      </c>
      <c r="P15" s="16">
        <v>44182</v>
      </c>
      <c r="Q15" s="21">
        <v>44182</v>
      </c>
    </row>
    <row r="16" spans="2:17" s="3" customFormat="1" ht="19.5" customHeight="1" x14ac:dyDescent="0.15">
      <c r="B16" s="4">
        <v>22</v>
      </c>
      <c r="C16" s="4" t="s">
        <v>22</v>
      </c>
      <c r="D16" s="4" t="s">
        <v>22</v>
      </c>
      <c r="E16" s="13" t="s">
        <v>94</v>
      </c>
      <c r="F16" s="36">
        <v>2</v>
      </c>
      <c r="G16" s="22">
        <v>71</v>
      </c>
      <c r="H16" s="27">
        <f t="shared" si="1"/>
        <v>142</v>
      </c>
      <c r="I16" s="2"/>
      <c r="J16" s="14" t="s">
        <v>95</v>
      </c>
      <c r="K16" s="14"/>
      <c r="L16" s="1" t="s">
        <v>24</v>
      </c>
      <c r="M16" s="16">
        <v>44174</v>
      </c>
      <c r="N16" s="4"/>
      <c r="O16" s="30">
        <v>44187</v>
      </c>
      <c r="P16" s="16">
        <v>44182</v>
      </c>
      <c r="Q16" s="21">
        <v>44182</v>
      </c>
    </row>
    <row r="17" spans="2:17" s="3" customFormat="1" ht="19.7" customHeight="1" x14ac:dyDescent="0.15">
      <c r="B17" s="4">
        <v>22</v>
      </c>
      <c r="C17" s="4" t="s">
        <v>22</v>
      </c>
      <c r="D17" s="4" t="s">
        <v>22</v>
      </c>
      <c r="E17" s="13" t="s">
        <v>99</v>
      </c>
      <c r="F17" s="36">
        <v>2</v>
      </c>
      <c r="G17" s="22">
        <v>70</v>
      </c>
      <c r="H17" s="27">
        <f t="shared" si="1"/>
        <v>140</v>
      </c>
      <c r="I17" s="2"/>
      <c r="J17" s="14" t="s">
        <v>100</v>
      </c>
      <c r="K17" s="14"/>
      <c r="L17" s="1" t="s">
        <v>24</v>
      </c>
      <c r="M17" s="16">
        <v>44174</v>
      </c>
      <c r="N17" s="4"/>
      <c r="O17" s="30">
        <v>44187</v>
      </c>
      <c r="P17" s="16">
        <v>44182</v>
      </c>
      <c r="Q17" s="21">
        <v>44182</v>
      </c>
    </row>
    <row r="18" spans="2:17" s="3" customFormat="1" ht="19.7" customHeight="1" x14ac:dyDescent="0.15">
      <c r="B18" s="4">
        <v>5</v>
      </c>
      <c r="C18" s="4" t="s">
        <v>38</v>
      </c>
      <c r="D18" s="4" t="s">
        <v>22</v>
      </c>
      <c r="E18" s="13" t="s">
        <v>46</v>
      </c>
      <c r="F18" s="36">
        <v>10</v>
      </c>
      <c r="G18" s="22">
        <v>38</v>
      </c>
      <c r="H18" s="23">
        <f t="shared" si="1"/>
        <v>380</v>
      </c>
      <c r="I18" s="2"/>
      <c r="J18" s="14" t="s">
        <v>39</v>
      </c>
      <c r="K18" s="14"/>
      <c r="L18" s="1" t="s">
        <v>49</v>
      </c>
      <c r="M18" s="16">
        <v>44174</v>
      </c>
      <c r="N18" s="4"/>
      <c r="O18" s="30">
        <v>44187</v>
      </c>
      <c r="P18" s="16">
        <v>44182</v>
      </c>
      <c r="Q18" s="21">
        <v>44182</v>
      </c>
    </row>
    <row r="19" spans="2:17" s="3" customFormat="1" ht="19.7" customHeight="1" x14ac:dyDescent="0.15">
      <c r="B19" s="4">
        <v>5</v>
      </c>
      <c r="C19" s="4" t="s">
        <v>22</v>
      </c>
      <c r="D19" s="4" t="s">
        <v>22</v>
      </c>
      <c r="E19" s="13" t="s">
        <v>25</v>
      </c>
      <c r="F19" s="36">
        <v>1</v>
      </c>
      <c r="G19" s="22">
        <v>2030</v>
      </c>
      <c r="H19" s="23">
        <f t="shared" si="1"/>
        <v>2030</v>
      </c>
      <c r="I19" s="2"/>
      <c r="J19" s="14" t="s">
        <v>31</v>
      </c>
      <c r="K19" s="14"/>
      <c r="L19" s="1" t="s">
        <v>49</v>
      </c>
      <c r="M19" s="16">
        <v>44174</v>
      </c>
      <c r="N19" s="4"/>
      <c r="O19" s="30">
        <v>44187</v>
      </c>
      <c r="P19" s="16">
        <v>44182</v>
      </c>
      <c r="Q19" s="21">
        <v>44182</v>
      </c>
    </row>
    <row r="20" spans="2:17" s="3" customFormat="1" ht="19.7" customHeight="1" x14ac:dyDescent="0.15">
      <c r="B20" s="4">
        <v>5</v>
      </c>
      <c r="C20" s="4" t="s">
        <v>22</v>
      </c>
      <c r="D20" s="4" t="s">
        <v>22</v>
      </c>
      <c r="E20" s="13" t="s">
        <v>32</v>
      </c>
      <c r="F20" s="36">
        <v>1</v>
      </c>
      <c r="G20" s="22">
        <v>4110</v>
      </c>
      <c r="H20" s="23">
        <f t="shared" si="1"/>
        <v>4110</v>
      </c>
      <c r="I20" s="2"/>
      <c r="J20" s="14" t="s">
        <v>31</v>
      </c>
      <c r="K20" s="14"/>
      <c r="L20" s="1" t="s">
        <v>49</v>
      </c>
      <c r="M20" s="16">
        <v>44174</v>
      </c>
      <c r="N20" s="4"/>
      <c r="O20" s="30">
        <v>44187</v>
      </c>
      <c r="P20" s="16">
        <v>44182</v>
      </c>
      <c r="Q20" s="21">
        <v>44182</v>
      </c>
    </row>
    <row r="21" spans="2:17" s="3" customFormat="1" ht="19.7" customHeight="1" x14ac:dyDescent="0.15">
      <c r="B21" s="4">
        <v>20</v>
      </c>
      <c r="C21" s="4" t="s">
        <v>22</v>
      </c>
      <c r="D21" s="4" t="s">
        <v>22</v>
      </c>
      <c r="E21" s="13" t="s">
        <v>73</v>
      </c>
      <c r="F21" s="36">
        <v>2</v>
      </c>
      <c r="G21" s="22">
        <v>1320</v>
      </c>
      <c r="H21" s="27">
        <f t="shared" si="1"/>
        <v>2640</v>
      </c>
      <c r="I21" s="2"/>
      <c r="J21" s="14" t="s">
        <v>74</v>
      </c>
      <c r="K21" s="14"/>
      <c r="L21" s="1" t="s">
        <v>49</v>
      </c>
      <c r="M21" s="16">
        <v>44174</v>
      </c>
      <c r="N21" s="4"/>
      <c r="O21" s="30">
        <v>44187</v>
      </c>
      <c r="P21" s="16">
        <v>44182</v>
      </c>
      <c r="Q21" s="21">
        <v>44182</v>
      </c>
    </row>
    <row r="22" spans="2:17" s="3" customFormat="1" ht="19.7" customHeight="1" x14ac:dyDescent="0.15">
      <c r="B22" s="4">
        <v>5</v>
      </c>
      <c r="C22" s="39" t="s">
        <v>116</v>
      </c>
      <c r="D22" s="39" t="s">
        <v>22</v>
      </c>
      <c r="E22" s="40" t="s">
        <v>117</v>
      </c>
      <c r="F22" s="36">
        <v>1</v>
      </c>
      <c r="G22" s="22">
        <v>1097</v>
      </c>
      <c r="H22" s="27">
        <f t="shared" si="1"/>
        <v>1097</v>
      </c>
      <c r="I22" s="2"/>
      <c r="J22" s="40" t="s">
        <v>120</v>
      </c>
      <c r="K22" s="14"/>
      <c r="L22" s="1" t="s">
        <v>49</v>
      </c>
      <c r="M22" s="16">
        <v>44174</v>
      </c>
      <c r="N22" s="4"/>
      <c r="O22" s="30">
        <v>44187</v>
      </c>
      <c r="P22" s="16">
        <v>44182</v>
      </c>
      <c r="Q22" s="21">
        <v>44182</v>
      </c>
    </row>
    <row r="23" spans="2:17" s="3" customFormat="1" ht="19.7" customHeight="1" x14ac:dyDescent="0.15">
      <c r="B23" s="4">
        <v>20</v>
      </c>
      <c r="C23" s="4" t="s">
        <v>22</v>
      </c>
      <c r="D23" s="4" t="s">
        <v>22</v>
      </c>
      <c r="E23" s="13" t="s">
        <v>68</v>
      </c>
      <c r="F23" s="36">
        <v>1</v>
      </c>
      <c r="G23" s="22">
        <v>1360</v>
      </c>
      <c r="H23" s="27">
        <f t="shared" si="1"/>
        <v>1360</v>
      </c>
      <c r="I23" s="2"/>
      <c r="J23" s="14" t="s">
        <v>69</v>
      </c>
      <c r="K23" s="14"/>
      <c r="L23" s="1" t="s">
        <v>49</v>
      </c>
      <c r="M23" s="16">
        <v>44174</v>
      </c>
      <c r="N23" s="4"/>
      <c r="O23" s="30">
        <v>44187</v>
      </c>
      <c r="P23" s="16">
        <v>44182</v>
      </c>
      <c r="Q23" s="21">
        <v>44182</v>
      </c>
    </row>
    <row r="24" spans="2:17" s="3" customFormat="1" ht="19.7" customHeight="1" x14ac:dyDescent="0.15">
      <c r="B24" s="4">
        <v>20</v>
      </c>
      <c r="C24" s="4" t="s">
        <v>22</v>
      </c>
      <c r="D24" s="4" t="s">
        <v>22</v>
      </c>
      <c r="E24" s="13" t="s">
        <v>71</v>
      </c>
      <c r="F24" s="36">
        <v>1</v>
      </c>
      <c r="G24" s="22">
        <v>810</v>
      </c>
      <c r="H24" s="27">
        <f t="shared" si="1"/>
        <v>810</v>
      </c>
      <c r="I24" s="2"/>
      <c r="J24" s="14" t="s">
        <v>69</v>
      </c>
      <c r="K24" s="14"/>
      <c r="L24" s="1" t="s">
        <v>49</v>
      </c>
      <c r="M24" s="16">
        <v>44174</v>
      </c>
      <c r="N24" s="4"/>
      <c r="O24" s="30">
        <v>44187</v>
      </c>
      <c r="P24" s="16">
        <v>44182</v>
      </c>
      <c r="Q24" s="21">
        <v>44182</v>
      </c>
    </row>
    <row r="25" spans="2:17" s="3" customFormat="1" ht="19.7" customHeight="1" x14ac:dyDescent="0.15">
      <c r="B25" s="4">
        <v>20</v>
      </c>
      <c r="C25" s="24" t="s">
        <v>22</v>
      </c>
      <c r="D25" s="24" t="s">
        <v>22</v>
      </c>
      <c r="E25" s="13" t="s">
        <v>103</v>
      </c>
      <c r="F25" s="36">
        <v>5</v>
      </c>
      <c r="G25" s="22">
        <v>250</v>
      </c>
      <c r="H25" s="23">
        <f t="shared" si="1"/>
        <v>1250</v>
      </c>
      <c r="I25" s="2"/>
      <c r="J25" s="14" t="s">
        <v>27</v>
      </c>
      <c r="K25" s="14"/>
      <c r="L25" s="1" t="s">
        <v>60</v>
      </c>
      <c r="M25" s="16">
        <v>44174</v>
      </c>
      <c r="N25" s="4"/>
      <c r="O25" s="30">
        <v>44187</v>
      </c>
      <c r="P25" s="16">
        <v>44182</v>
      </c>
      <c r="Q25" s="21">
        <v>44182</v>
      </c>
    </row>
    <row r="26" spans="2:17" s="3" customFormat="1" ht="19.7" customHeight="1" x14ac:dyDescent="0.15">
      <c r="B26" s="4">
        <v>20</v>
      </c>
      <c r="C26" s="4" t="s">
        <v>22</v>
      </c>
      <c r="D26" s="4" t="s">
        <v>22</v>
      </c>
      <c r="E26" s="13" t="s">
        <v>26</v>
      </c>
      <c r="F26" s="36">
        <v>5</v>
      </c>
      <c r="G26" s="22">
        <v>260</v>
      </c>
      <c r="H26" s="23">
        <f t="shared" si="1"/>
        <v>1300</v>
      </c>
      <c r="I26" s="2"/>
      <c r="J26" s="14" t="s">
        <v>27</v>
      </c>
      <c r="K26" s="14"/>
      <c r="L26" s="1" t="s">
        <v>62</v>
      </c>
      <c r="M26" s="16">
        <v>44174</v>
      </c>
      <c r="N26" s="4"/>
      <c r="O26" s="30">
        <v>44187</v>
      </c>
      <c r="P26" s="16">
        <v>44182</v>
      </c>
      <c r="Q26" s="21">
        <v>44182</v>
      </c>
    </row>
    <row r="27" spans="2:17" s="3" customFormat="1" ht="19.7" customHeight="1" x14ac:dyDescent="0.15">
      <c r="B27" s="4">
        <v>20</v>
      </c>
      <c r="C27" s="24" t="s">
        <v>22</v>
      </c>
      <c r="D27" s="24" t="s">
        <v>22</v>
      </c>
      <c r="E27" s="25" t="s">
        <v>29</v>
      </c>
      <c r="F27" s="37">
        <v>5</v>
      </c>
      <c r="G27" s="22">
        <v>370</v>
      </c>
      <c r="H27" s="27">
        <f t="shared" si="1"/>
        <v>1850</v>
      </c>
      <c r="I27" s="28"/>
      <c r="J27" s="29" t="s">
        <v>28</v>
      </c>
      <c r="K27" s="14"/>
      <c r="L27" s="1" t="s">
        <v>49</v>
      </c>
      <c r="M27" s="16">
        <v>44174</v>
      </c>
      <c r="N27" s="4"/>
      <c r="O27" s="30">
        <v>44187</v>
      </c>
      <c r="P27" s="16">
        <v>44182</v>
      </c>
      <c r="Q27" s="21">
        <v>44182</v>
      </c>
    </row>
    <row r="28" spans="2:17" s="3" customFormat="1" ht="19.7" customHeight="1" x14ac:dyDescent="0.15">
      <c r="B28" s="4">
        <v>5</v>
      </c>
      <c r="C28" s="4" t="s">
        <v>22</v>
      </c>
      <c r="D28" s="4" t="s">
        <v>22</v>
      </c>
      <c r="E28" s="13" t="s">
        <v>52</v>
      </c>
      <c r="F28" s="36">
        <v>1</v>
      </c>
      <c r="G28" s="22">
        <v>977</v>
      </c>
      <c r="H28" s="27">
        <f t="shared" si="1"/>
        <v>977</v>
      </c>
      <c r="I28" s="2"/>
      <c r="J28" s="14" t="s">
        <v>53</v>
      </c>
      <c r="K28" s="14"/>
      <c r="L28" s="1" t="s">
        <v>49</v>
      </c>
      <c r="M28" s="16">
        <v>44174</v>
      </c>
      <c r="N28" s="4"/>
      <c r="O28" s="30">
        <v>44187</v>
      </c>
      <c r="P28" s="16">
        <v>44182</v>
      </c>
      <c r="Q28" s="21">
        <v>44182</v>
      </c>
    </row>
    <row r="29" spans="2:17" s="3" customFormat="1" ht="19.7" customHeight="1" x14ac:dyDescent="0.15">
      <c r="B29" s="4">
        <v>5</v>
      </c>
      <c r="C29" s="4" t="s">
        <v>22</v>
      </c>
      <c r="D29" s="4" t="s">
        <v>22</v>
      </c>
      <c r="E29" s="13" t="s">
        <v>63</v>
      </c>
      <c r="F29" s="36">
        <v>1</v>
      </c>
      <c r="G29" s="22">
        <v>427</v>
      </c>
      <c r="H29" s="27">
        <f t="shared" si="1"/>
        <v>427</v>
      </c>
      <c r="I29" s="2"/>
      <c r="J29" s="14" t="s">
        <v>64</v>
      </c>
      <c r="K29" s="14"/>
      <c r="L29" s="1" t="s">
        <v>70</v>
      </c>
      <c r="M29" s="16">
        <v>44174</v>
      </c>
      <c r="N29" s="4"/>
      <c r="O29" s="30">
        <v>44187</v>
      </c>
      <c r="P29" s="16">
        <v>44182</v>
      </c>
      <c r="Q29" s="21">
        <v>44182</v>
      </c>
    </row>
    <row r="30" spans="2:17" s="3" customFormat="1" ht="19.7" customHeight="1" x14ac:dyDescent="0.15">
      <c r="B30" s="4">
        <v>5</v>
      </c>
      <c r="C30" s="4" t="s">
        <v>22</v>
      </c>
      <c r="D30" s="4" t="s">
        <v>22</v>
      </c>
      <c r="E30" s="13" t="s">
        <v>56</v>
      </c>
      <c r="F30" s="36">
        <v>1</v>
      </c>
      <c r="G30" s="22">
        <v>3853</v>
      </c>
      <c r="H30" s="27">
        <f t="shared" si="1"/>
        <v>3853</v>
      </c>
      <c r="I30" s="2"/>
      <c r="J30" s="14" t="s">
        <v>57</v>
      </c>
      <c r="K30" s="14"/>
      <c r="L30" s="1" t="s">
        <v>72</v>
      </c>
      <c r="M30" s="16">
        <v>44174</v>
      </c>
      <c r="N30" s="4"/>
      <c r="O30" s="30">
        <v>44187</v>
      </c>
      <c r="P30" s="16">
        <v>44182</v>
      </c>
      <c r="Q30" s="21">
        <v>44182</v>
      </c>
    </row>
    <row r="31" spans="2:17" s="3" customFormat="1" ht="19.7" customHeight="1" x14ac:dyDescent="0.15">
      <c r="B31" s="4">
        <v>5</v>
      </c>
      <c r="C31" s="4" t="s">
        <v>22</v>
      </c>
      <c r="D31" s="4" t="s">
        <v>22</v>
      </c>
      <c r="E31" s="13" t="s">
        <v>54</v>
      </c>
      <c r="F31" s="36">
        <v>1</v>
      </c>
      <c r="G31" s="22">
        <v>4570</v>
      </c>
      <c r="H31" s="27">
        <f t="shared" si="1"/>
        <v>4570</v>
      </c>
      <c r="I31" s="2"/>
      <c r="J31" s="14" t="s">
        <v>55</v>
      </c>
      <c r="K31" s="14"/>
      <c r="L31" s="1" t="s">
        <v>75</v>
      </c>
      <c r="M31" s="16">
        <v>44174</v>
      </c>
      <c r="N31" s="4"/>
      <c r="O31" s="30">
        <v>44187</v>
      </c>
      <c r="P31" s="16">
        <v>44182</v>
      </c>
      <c r="Q31" s="21">
        <v>44182</v>
      </c>
    </row>
    <row r="32" spans="2:17" s="3" customFormat="1" ht="19.7" customHeight="1" x14ac:dyDescent="0.15">
      <c r="B32" s="4">
        <v>5</v>
      </c>
      <c r="C32" s="39" t="s">
        <v>22</v>
      </c>
      <c r="D32" s="39" t="s">
        <v>22</v>
      </c>
      <c r="E32" s="40" t="s">
        <v>122</v>
      </c>
      <c r="F32" s="36">
        <v>1</v>
      </c>
      <c r="G32" s="22">
        <v>739</v>
      </c>
      <c r="H32" s="27">
        <f t="shared" si="1"/>
        <v>739</v>
      </c>
      <c r="I32" s="2"/>
      <c r="J32" s="14" t="s">
        <v>123</v>
      </c>
      <c r="K32" s="14"/>
      <c r="L32" s="1" t="s">
        <v>75</v>
      </c>
      <c r="M32" s="16">
        <v>44174</v>
      </c>
      <c r="N32" s="4"/>
      <c r="O32" s="30">
        <v>44187</v>
      </c>
      <c r="P32" s="16">
        <v>44182</v>
      </c>
      <c r="Q32" s="21">
        <v>44182</v>
      </c>
    </row>
    <row r="33" spans="2:17" s="3" customFormat="1" ht="19.7" customHeight="1" x14ac:dyDescent="0.15">
      <c r="B33" s="4">
        <v>3</v>
      </c>
      <c r="C33" s="4" t="s">
        <v>22</v>
      </c>
      <c r="D33" s="4" t="s">
        <v>22</v>
      </c>
      <c r="E33" s="13" t="s">
        <v>58</v>
      </c>
      <c r="F33" s="36">
        <v>1</v>
      </c>
      <c r="G33" s="22">
        <v>6005</v>
      </c>
      <c r="H33" s="27">
        <f t="shared" si="1"/>
        <v>6005</v>
      </c>
      <c r="I33" s="2"/>
      <c r="J33" s="14" t="s">
        <v>59</v>
      </c>
      <c r="K33" s="14"/>
      <c r="L33" s="1" t="s">
        <v>75</v>
      </c>
      <c r="M33" s="16">
        <v>44174</v>
      </c>
      <c r="N33" s="4"/>
      <c r="O33" s="30">
        <v>44187</v>
      </c>
      <c r="P33" s="16">
        <v>44182</v>
      </c>
      <c r="Q33" s="21">
        <v>44182</v>
      </c>
    </row>
    <row r="34" spans="2:17" s="3" customFormat="1" ht="19.7" customHeight="1" x14ac:dyDescent="0.15">
      <c r="B34" s="4">
        <v>3</v>
      </c>
      <c r="C34" s="4" t="s">
        <v>22</v>
      </c>
      <c r="D34" s="4" t="s">
        <v>22</v>
      </c>
      <c r="E34" s="13" t="s">
        <v>61</v>
      </c>
      <c r="F34" s="36">
        <v>1</v>
      </c>
      <c r="G34" s="22">
        <v>2319</v>
      </c>
      <c r="H34" s="27">
        <f t="shared" si="1"/>
        <v>2319</v>
      </c>
      <c r="I34" s="2"/>
      <c r="J34" s="14" t="s">
        <v>59</v>
      </c>
      <c r="K34" s="14"/>
      <c r="L34" s="1" t="s">
        <v>90</v>
      </c>
      <c r="M34" s="16">
        <v>44174</v>
      </c>
      <c r="N34" s="4"/>
      <c r="O34" s="30">
        <v>44187</v>
      </c>
      <c r="P34" s="16">
        <v>44182</v>
      </c>
      <c r="Q34" s="21">
        <v>44182</v>
      </c>
    </row>
    <row r="35" spans="2:17" s="3" customFormat="1" ht="19.7" customHeight="1" x14ac:dyDescent="0.15">
      <c r="B35" s="4">
        <v>4</v>
      </c>
      <c r="C35" s="4" t="s">
        <v>22</v>
      </c>
      <c r="D35" s="4" t="s">
        <v>22</v>
      </c>
      <c r="E35" s="33" t="s">
        <v>42</v>
      </c>
      <c r="F35" s="34">
        <v>1</v>
      </c>
      <c r="G35" s="22">
        <v>382</v>
      </c>
      <c r="H35" s="38">
        <f t="shared" si="1"/>
        <v>382</v>
      </c>
      <c r="I35" s="35"/>
      <c r="J35" s="32" t="s">
        <v>43</v>
      </c>
      <c r="K35" s="14"/>
      <c r="L35" s="1" t="s">
        <v>90</v>
      </c>
      <c r="M35" s="16">
        <v>44174</v>
      </c>
      <c r="N35" s="4"/>
      <c r="O35" s="30">
        <v>44187</v>
      </c>
      <c r="P35" s="16">
        <v>44182</v>
      </c>
      <c r="Q35" s="21">
        <v>44182</v>
      </c>
    </row>
    <row r="36" spans="2:17" s="3" customFormat="1" ht="19.7" customHeight="1" x14ac:dyDescent="0.15">
      <c r="B36" s="4">
        <v>22</v>
      </c>
      <c r="C36" s="4" t="s">
        <v>22</v>
      </c>
      <c r="D36" s="4" t="s">
        <v>22</v>
      </c>
      <c r="E36" s="13" t="s">
        <v>88</v>
      </c>
      <c r="F36" s="36">
        <v>1</v>
      </c>
      <c r="G36" s="22">
        <v>6221</v>
      </c>
      <c r="H36" s="27">
        <f t="shared" si="1"/>
        <v>6221</v>
      </c>
      <c r="I36" s="2"/>
      <c r="J36" s="14" t="s">
        <v>89</v>
      </c>
      <c r="K36" s="14"/>
      <c r="L36" s="1" t="s">
        <v>90</v>
      </c>
      <c r="M36" s="16">
        <v>44174</v>
      </c>
      <c r="N36" s="4"/>
      <c r="O36" s="30">
        <v>44187</v>
      </c>
      <c r="P36" s="16">
        <v>44182</v>
      </c>
      <c r="Q36" s="21">
        <v>44182</v>
      </c>
    </row>
    <row r="37" spans="2:17" s="3" customFormat="1" ht="19.7" customHeight="1" x14ac:dyDescent="0.15">
      <c r="B37" s="4">
        <v>22</v>
      </c>
      <c r="C37" s="4" t="s">
        <v>22</v>
      </c>
      <c r="D37" s="4" t="s">
        <v>22</v>
      </c>
      <c r="E37" s="13" t="s">
        <v>96</v>
      </c>
      <c r="F37" s="36">
        <v>1</v>
      </c>
      <c r="G37" s="22">
        <v>2288</v>
      </c>
      <c r="H37" s="27">
        <f t="shared" si="1"/>
        <v>2288</v>
      </c>
      <c r="I37" s="2"/>
      <c r="J37" s="14" t="s">
        <v>97</v>
      </c>
      <c r="K37" s="14"/>
      <c r="L37" s="1" t="s">
        <v>90</v>
      </c>
      <c r="M37" s="16">
        <v>44174</v>
      </c>
      <c r="N37" s="4"/>
      <c r="O37" s="30">
        <v>44187</v>
      </c>
      <c r="P37" s="16">
        <v>44182</v>
      </c>
      <c r="Q37" s="21">
        <v>44182</v>
      </c>
    </row>
    <row r="38" spans="2:17" s="3" customFormat="1" ht="19.7" customHeight="1" x14ac:dyDescent="0.15">
      <c r="B38" s="4">
        <v>20</v>
      </c>
      <c r="C38" s="24" t="s">
        <v>22</v>
      </c>
      <c r="D38" s="24" t="s">
        <v>22</v>
      </c>
      <c r="E38" s="13" t="s">
        <v>104</v>
      </c>
      <c r="F38" s="36">
        <v>1</v>
      </c>
      <c r="G38" s="22">
        <v>690</v>
      </c>
      <c r="H38" s="23">
        <f t="shared" si="1"/>
        <v>690</v>
      </c>
      <c r="I38" s="2"/>
      <c r="J38" s="14" t="s">
        <v>105</v>
      </c>
      <c r="K38" s="14"/>
      <c r="L38" s="1" t="s">
        <v>90</v>
      </c>
      <c r="M38" s="16">
        <v>44174</v>
      </c>
      <c r="N38" s="4"/>
      <c r="O38" s="30">
        <v>44187</v>
      </c>
      <c r="P38" s="16">
        <v>44182</v>
      </c>
      <c r="Q38" s="21">
        <v>44182</v>
      </c>
    </row>
    <row r="39" spans="2:17" s="3" customFormat="1" ht="19.7" customHeight="1" x14ac:dyDescent="0.15">
      <c r="B39" s="4">
        <v>20</v>
      </c>
      <c r="C39" s="4" t="s">
        <v>22</v>
      </c>
      <c r="D39" s="4" t="s">
        <v>22</v>
      </c>
      <c r="E39" s="13" t="s">
        <v>34</v>
      </c>
      <c r="F39" s="36">
        <v>1</v>
      </c>
      <c r="G39" s="22">
        <v>990</v>
      </c>
      <c r="H39" s="23">
        <f t="shared" si="1"/>
        <v>990</v>
      </c>
      <c r="I39" s="2"/>
      <c r="J39" s="14" t="s">
        <v>35</v>
      </c>
      <c r="K39" s="14"/>
      <c r="L39" s="1" t="s">
        <v>90</v>
      </c>
      <c r="M39" s="16">
        <v>44174</v>
      </c>
      <c r="N39" s="4"/>
      <c r="O39" s="30">
        <v>44187</v>
      </c>
      <c r="P39" s="16">
        <v>44182</v>
      </c>
      <c r="Q39" s="21">
        <v>44182</v>
      </c>
    </row>
    <row r="40" spans="2:17" s="3" customFormat="1" ht="19.7" customHeight="1" x14ac:dyDescent="0.15">
      <c r="B40" s="4">
        <v>22</v>
      </c>
      <c r="C40" s="4" t="s">
        <v>22</v>
      </c>
      <c r="D40" s="4" t="s">
        <v>22</v>
      </c>
      <c r="E40" s="13" t="s">
        <v>92</v>
      </c>
      <c r="F40" s="36">
        <v>2</v>
      </c>
      <c r="G40" s="22">
        <v>30</v>
      </c>
      <c r="H40" s="27">
        <f t="shared" si="1"/>
        <v>60</v>
      </c>
      <c r="I40" s="2"/>
      <c r="J40" s="14" t="s">
        <v>93</v>
      </c>
      <c r="K40" s="14"/>
      <c r="L40" s="1" t="s">
        <v>90</v>
      </c>
      <c r="M40" s="16">
        <v>44174</v>
      </c>
      <c r="N40" s="4"/>
      <c r="O40" s="30">
        <v>44187</v>
      </c>
      <c r="P40" s="16">
        <v>44182</v>
      </c>
      <c r="Q40" s="21">
        <v>44182</v>
      </c>
    </row>
    <row r="41" spans="2:17" s="3" customFormat="1" ht="19.7" customHeight="1" x14ac:dyDescent="0.15">
      <c r="B41" s="4">
        <v>5</v>
      </c>
      <c r="C41" s="39" t="s">
        <v>118</v>
      </c>
      <c r="D41" s="39" t="s">
        <v>22</v>
      </c>
      <c r="E41" s="40" t="s">
        <v>119</v>
      </c>
      <c r="F41" s="41">
        <v>5</v>
      </c>
      <c r="G41" s="22">
        <v>187</v>
      </c>
      <c r="H41" s="27">
        <f t="shared" si="1"/>
        <v>935</v>
      </c>
      <c r="I41" s="2"/>
      <c r="J41" s="40" t="s">
        <v>121</v>
      </c>
      <c r="K41" s="1"/>
      <c r="L41" s="1" t="s">
        <v>33</v>
      </c>
      <c r="M41" s="16">
        <v>44174</v>
      </c>
      <c r="N41" s="4"/>
      <c r="O41" s="30">
        <v>44187</v>
      </c>
      <c r="P41" s="16">
        <v>44182</v>
      </c>
      <c r="Q41" s="21">
        <v>44182</v>
      </c>
    </row>
    <row r="42" spans="2:17" s="3" customFormat="1" ht="19.7" customHeight="1" x14ac:dyDescent="0.15">
      <c r="B42" s="4">
        <v>5</v>
      </c>
      <c r="C42" s="4" t="s">
        <v>22</v>
      </c>
      <c r="D42" s="4" t="s">
        <v>22</v>
      </c>
      <c r="E42" s="33" t="s">
        <v>36</v>
      </c>
      <c r="F42" s="34">
        <v>2</v>
      </c>
      <c r="G42" s="22">
        <v>190</v>
      </c>
      <c r="H42" s="23">
        <f t="shared" si="1"/>
        <v>380</v>
      </c>
      <c r="I42" s="35"/>
      <c r="J42" s="32" t="s">
        <v>37</v>
      </c>
      <c r="K42" s="1"/>
      <c r="L42" s="1" t="s">
        <v>33</v>
      </c>
      <c r="M42" s="16">
        <v>44174</v>
      </c>
      <c r="N42" s="4"/>
      <c r="O42" s="30">
        <v>44187</v>
      </c>
      <c r="P42" s="16">
        <v>44182</v>
      </c>
      <c r="Q42" s="21">
        <v>44182</v>
      </c>
    </row>
    <row r="43" spans="2:17" s="3" customFormat="1" ht="19.7" customHeight="1" x14ac:dyDescent="0.15">
      <c r="B43" s="4">
        <v>21</v>
      </c>
      <c r="C43" s="4" t="s">
        <v>22</v>
      </c>
      <c r="D43" s="4" t="s">
        <v>22</v>
      </c>
      <c r="E43" s="13" t="s">
        <v>81</v>
      </c>
      <c r="F43" s="36">
        <v>1</v>
      </c>
      <c r="G43" s="22">
        <v>16800</v>
      </c>
      <c r="H43" s="27">
        <f t="shared" si="1"/>
        <v>16800</v>
      </c>
      <c r="I43" s="2"/>
      <c r="J43" s="14" t="s">
        <v>82</v>
      </c>
      <c r="K43" s="1"/>
      <c r="L43" s="1" t="s">
        <v>33</v>
      </c>
      <c r="M43" s="16">
        <v>44174</v>
      </c>
      <c r="N43" s="4"/>
      <c r="O43" s="30">
        <v>44187</v>
      </c>
      <c r="P43" s="16">
        <v>44182</v>
      </c>
      <c r="Q43" s="21">
        <v>44182</v>
      </c>
    </row>
    <row r="44" spans="2:17" s="3" customFormat="1" ht="19.7" customHeight="1" x14ac:dyDescent="0.15">
      <c r="B44" s="4">
        <v>21</v>
      </c>
      <c r="C44" s="4" t="s">
        <v>22</v>
      </c>
      <c r="D44" s="4" t="s">
        <v>22</v>
      </c>
      <c r="E44" s="13" t="s">
        <v>78</v>
      </c>
      <c r="F44" s="36">
        <v>1</v>
      </c>
      <c r="G44" s="22">
        <v>33600</v>
      </c>
      <c r="H44" s="27">
        <f t="shared" si="1"/>
        <v>33600</v>
      </c>
      <c r="I44" s="2"/>
      <c r="J44" s="14" t="s">
        <v>79</v>
      </c>
      <c r="K44" s="1"/>
      <c r="L44" s="1" t="s">
        <v>33</v>
      </c>
      <c r="M44" s="16">
        <v>44174</v>
      </c>
      <c r="N44" s="4"/>
      <c r="O44" s="30">
        <v>44187</v>
      </c>
      <c r="P44" s="16">
        <v>44182</v>
      </c>
      <c r="Q44" s="21">
        <v>44182</v>
      </c>
    </row>
    <row r="45" spans="2:17" s="3" customFormat="1" ht="19.7" customHeight="1" x14ac:dyDescent="0.15">
      <c r="B45" s="4">
        <v>5</v>
      </c>
      <c r="C45" s="4" t="s">
        <v>23</v>
      </c>
      <c r="D45" s="4" t="s">
        <v>22</v>
      </c>
      <c r="E45" s="13" t="s">
        <v>40</v>
      </c>
      <c r="F45" s="36">
        <v>1</v>
      </c>
      <c r="G45" s="22">
        <v>4008</v>
      </c>
      <c r="H45" s="23">
        <f t="shared" si="1"/>
        <v>4008</v>
      </c>
      <c r="I45" s="2"/>
      <c r="J45" s="14" t="s">
        <v>45</v>
      </c>
      <c r="K45" s="1"/>
      <c r="L45" s="1" t="s">
        <v>33</v>
      </c>
      <c r="M45" s="16">
        <v>44174</v>
      </c>
      <c r="N45" s="4"/>
      <c r="O45" s="30">
        <v>44187</v>
      </c>
      <c r="P45" s="16">
        <v>44182</v>
      </c>
      <c r="Q45" s="21">
        <v>44182</v>
      </c>
    </row>
    <row r="46" spans="2:17" s="3" customFormat="1" ht="19.7" customHeight="1" x14ac:dyDescent="0.15">
      <c r="B46" s="4"/>
      <c r="C46" s="4"/>
      <c r="D46" s="4"/>
      <c r="E46" s="25"/>
      <c r="F46" s="37"/>
      <c r="G46" s="22"/>
      <c r="H46" s="27">
        <f t="shared" si="0"/>
        <v>0</v>
      </c>
      <c r="I46" s="28"/>
      <c r="J46" s="29"/>
      <c r="K46" s="1"/>
      <c r="L46" s="1"/>
      <c r="M46" s="16"/>
      <c r="N46" s="4"/>
      <c r="O46" s="1"/>
      <c r="P46" s="16"/>
      <c r="Q46" s="21"/>
    </row>
    <row r="47" spans="2:17" s="3" customFormat="1" ht="19.7" customHeight="1" x14ac:dyDescent="0.15">
      <c r="B47" s="4"/>
      <c r="C47" s="24"/>
      <c r="D47" s="24"/>
      <c r="E47" s="13"/>
      <c r="F47" s="36"/>
      <c r="G47" s="22"/>
      <c r="H47" s="23">
        <f t="shared" si="0"/>
        <v>0</v>
      </c>
      <c r="I47" s="2"/>
      <c r="J47" s="14"/>
      <c r="K47" s="1"/>
      <c r="L47" s="1"/>
      <c r="M47" s="16"/>
      <c r="N47" s="4"/>
      <c r="O47" s="1"/>
      <c r="P47" s="16"/>
      <c r="Q47" s="21"/>
    </row>
    <row r="48" spans="2:17" s="3" customFormat="1" ht="19.7" customHeight="1" x14ac:dyDescent="0.15">
      <c r="B48" s="4">
        <v>18</v>
      </c>
      <c r="C48" s="4" t="s">
        <v>106</v>
      </c>
      <c r="D48" s="4" t="s">
        <v>106</v>
      </c>
      <c r="E48" s="13" t="s">
        <v>107</v>
      </c>
      <c r="F48" s="36">
        <v>1</v>
      </c>
      <c r="G48" s="22">
        <v>12500</v>
      </c>
      <c r="H48" s="23">
        <f t="shared" ref="H48:H62" si="2">F48*G48</f>
        <v>12500</v>
      </c>
      <c r="I48" s="2"/>
      <c r="J48" s="14" t="s">
        <v>108</v>
      </c>
      <c r="K48" s="1"/>
      <c r="L48" s="14" t="s">
        <v>108</v>
      </c>
      <c r="M48" s="16">
        <v>44173</v>
      </c>
      <c r="N48" s="4"/>
      <c r="O48" s="30">
        <v>44187</v>
      </c>
      <c r="P48" s="16">
        <v>44187</v>
      </c>
      <c r="Q48" s="21">
        <v>44187</v>
      </c>
    </row>
    <row r="49" spans="2:17" s="3" customFormat="1" ht="19.7" customHeight="1" x14ac:dyDescent="0.15">
      <c r="B49" s="4"/>
      <c r="C49" s="4"/>
      <c r="D49" s="4"/>
      <c r="E49" s="13"/>
      <c r="F49" s="36"/>
      <c r="G49" s="22"/>
      <c r="H49" s="23">
        <f t="shared" si="2"/>
        <v>0</v>
      </c>
      <c r="I49" s="2"/>
      <c r="J49" s="14"/>
      <c r="K49" s="1"/>
      <c r="L49" s="1"/>
      <c r="M49" s="16"/>
      <c r="N49" s="4"/>
      <c r="O49" s="1"/>
      <c r="P49" s="16"/>
      <c r="Q49" s="21"/>
    </row>
    <row r="50" spans="2:17" s="3" customFormat="1" ht="19.7" customHeight="1" x14ac:dyDescent="0.15">
      <c r="B50" s="4"/>
      <c r="C50" s="4"/>
      <c r="D50" s="4"/>
      <c r="E50" s="13"/>
      <c r="F50" s="36"/>
      <c r="G50" s="22"/>
      <c r="H50" s="23">
        <f t="shared" si="2"/>
        <v>0</v>
      </c>
      <c r="I50" s="2"/>
      <c r="J50" s="14"/>
      <c r="K50" s="1"/>
      <c r="L50" s="1"/>
      <c r="M50" s="16"/>
      <c r="N50" s="4"/>
      <c r="O50" s="1"/>
      <c r="P50" s="16"/>
      <c r="Q50" s="21"/>
    </row>
    <row r="51" spans="2:17" s="3" customFormat="1" ht="19.7" customHeight="1" x14ac:dyDescent="0.15">
      <c r="B51" s="4">
        <v>20</v>
      </c>
      <c r="C51" s="4" t="s">
        <v>67</v>
      </c>
      <c r="D51" s="4" t="s">
        <v>67</v>
      </c>
      <c r="E51" s="13" t="s">
        <v>87</v>
      </c>
      <c r="F51" s="36">
        <v>1</v>
      </c>
      <c r="G51" s="22">
        <v>8200</v>
      </c>
      <c r="H51" s="23">
        <f t="shared" ref="H51:H57" si="3">F51*G51</f>
        <v>8200</v>
      </c>
      <c r="I51" s="2"/>
      <c r="J51" s="14" t="s">
        <v>86</v>
      </c>
      <c r="K51" s="1"/>
      <c r="L51" s="1" t="s">
        <v>75</v>
      </c>
      <c r="M51" s="16">
        <v>44174</v>
      </c>
      <c r="N51" s="4"/>
      <c r="O51" s="30">
        <v>44187</v>
      </c>
      <c r="P51" s="16"/>
      <c r="Q51" s="21">
        <v>44187</v>
      </c>
    </row>
    <row r="52" spans="2:17" s="3" customFormat="1" ht="19.7" customHeight="1" x14ac:dyDescent="0.15">
      <c r="B52" s="4">
        <v>5</v>
      </c>
      <c r="C52" s="4" t="s">
        <v>67</v>
      </c>
      <c r="D52" s="4" t="s">
        <v>67</v>
      </c>
      <c r="E52" s="13" t="s">
        <v>65</v>
      </c>
      <c r="F52" s="36">
        <v>1</v>
      </c>
      <c r="G52" s="22">
        <v>10000</v>
      </c>
      <c r="H52" s="23">
        <f t="shared" si="3"/>
        <v>10000</v>
      </c>
      <c r="I52" s="2"/>
      <c r="J52" s="14" t="s">
        <v>66</v>
      </c>
      <c r="K52" s="1"/>
      <c r="L52" s="1" t="s">
        <v>49</v>
      </c>
      <c r="M52" s="16">
        <v>44174</v>
      </c>
      <c r="N52" s="4"/>
      <c r="O52" s="30">
        <v>44187</v>
      </c>
      <c r="P52" s="16"/>
      <c r="Q52" s="21">
        <v>44187</v>
      </c>
    </row>
    <row r="53" spans="2:17" s="3" customFormat="1" ht="19.7" customHeight="1" x14ac:dyDescent="0.15">
      <c r="B53" s="4">
        <v>20</v>
      </c>
      <c r="C53" s="4" t="s">
        <v>67</v>
      </c>
      <c r="D53" s="4" t="s">
        <v>67</v>
      </c>
      <c r="E53" s="13" t="s">
        <v>76</v>
      </c>
      <c r="F53" s="36">
        <v>1</v>
      </c>
      <c r="G53" s="22">
        <v>8800</v>
      </c>
      <c r="H53" s="23">
        <f t="shared" si="3"/>
        <v>8800</v>
      </c>
      <c r="I53" s="2"/>
      <c r="J53" s="14" t="s">
        <v>77</v>
      </c>
      <c r="K53" s="1"/>
      <c r="L53" s="1" t="s">
        <v>75</v>
      </c>
      <c r="M53" s="16">
        <v>44174</v>
      </c>
      <c r="N53" s="4"/>
      <c r="O53" s="30">
        <v>44187</v>
      </c>
      <c r="P53" s="16"/>
      <c r="Q53" s="21">
        <v>44187</v>
      </c>
    </row>
    <row r="54" spans="2:17" s="3" customFormat="1" ht="19.7" customHeight="1" x14ac:dyDescent="0.15">
      <c r="B54" s="4">
        <v>21</v>
      </c>
      <c r="C54" s="4" t="s">
        <v>67</v>
      </c>
      <c r="D54" s="4" t="s">
        <v>67</v>
      </c>
      <c r="E54" s="13" t="s">
        <v>80</v>
      </c>
      <c r="F54" s="36">
        <v>1</v>
      </c>
      <c r="G54" s="22">
        <v>8500</v>
      </c>
      <c r="H54" s="23">
        <f t="shared" si="3"/>
        <v>8500</v>
      </c>
      <c r="I54" s="2"/>
      <c r="J54" s="14" t="s">
        <v>110</v>
      </c>
      <c r="K54" s="1"/>
      <c r="L54" s="1" t="s">
        <v>75</v>
      </c>
      <c r="M54" s="16">
        <v>44174</v>
      </c>
      <c r="N54" s="4"/>
      <c r="O54" s="30">
        <v>44187</v>
      </c>
      <c r="P54" s="16"/>
      <c r="Q54" s="21">
        <v>44187</v>
      </c>
    </row>
    <row r="55" spans="2:17" s="3" customFormat="1" ht="19.7" customHeight="1" x14ac:dyDescent="0.15">
      <c r="B55" s="4">
        <v>21</v>
      </c>
      <c r="C55" s="4" t="s">
        <v>67</v>
      </c>
      <c r="D55" s="4" t="s">
        <v>67</v>
      </c>
      <c r="E55" s="13" t="s">
        <v>83</v>
      </c>
      <c r="F55" s="36">
        <v>1</v>
      </c>
      <c r="G55" s="22">
        <v>5400</v>
      </c>
      <c r="H55" s="23">
        <f t="shared" si="3"/>
        <v>5400</v>
      </c>
      <c r="I55" s="2"/>
      <c r="J55" s="14" t="s">
        <v>111</v>
      </c>
      <c r="K55" s="1"/>
      <c r="L55" s="1" t="s">
        <v>75</v>
      </c>
      <c r="M55" s="16">
        <v>44174</v>
      </c>
      <c r="N55" s="4"/>
      <c r="O55" s="30">
        <v>44187</v>
      </c>
      <c r="P55" s="16"/>
      <c r="Q55" s="21">
        <v>44187</v>
      </c>
    </row>
    <row r="56" spans="2:17" s="3" customFormat="1" ht="19.7" customHeight="1" x14ac:dyDescent="0.15">
      <c r="B56" s="4">
        <v>21</v>
      </c>
      <c r="C56" s="4" t="s">
        <v>67</v>
      </c>
      <c r="D56" s="4" t="s">
        <v>67</v>
      </c>
      <c r="E56" s="13" t="s">
        <v>84</v>
      </c>
      <c r="F56" s="36">
        <v>1</v>
      </c>
      <c r="G56" s="22">
        <v>6300</v>
      </c>
      <c r="H56" s="23">
        <f t="shared" si="3"/>
        <v>6300</v>
      </c>
      <c r="I56" s="2"/>
      <c r="J56" s="14" t="s">
        <v>85</v>
      </c>
      <c r="K56" s="1"/>
      <c r="L56" s="1" t="s">
        <v>75</v>
      </c>
      <c r="M56" s="16">
        <v>44174</v>
      </c>
      <c r="N56" s="4"/>
      <c r="O56" s="30">
        <v>44187</v>
      </c>
      <c r="P56" s="16"/>
      <c r="Q56" s="21">
        <v>44187</v>
      </c>
    </row>
    <row r="57" spans="2:17" s="3" customFormat="1" ht="19.7" customHeight="1" x14ac:dyDescent="0.15">
      <c r="B57" s="4">
        <v>22</v>
      </c>
      <c r="C57" s="4" t="s">
        <v>67</v>
      </c>
      <c r="D57" s="4" t="s">
        <v>67</v>
      </c>
      <c r="E57" s="13" t="s">
        <v>112</v>
      </c>
      <c r="F57" s="36">
        <v>1</v>
      </c>
      <c r="G57" s="22">
        <v>5000</v>
      </c>
      <c r="H57" s="23">
        <f t="shared" si="3"/>
        <v>5000</v>
      </c>
      <c r="I57" s="2"/>
      <c r="J57" s="14" t="s">
        <v>98</v>
      </c>
      <c r="K57" s="1"/>
      <c r="L57" s="1" t="s">
        <v>90</v>
      </c>
      <c r="M57" s="16">
        <v>44174</v>
      </c>
      <c r="N57" s="4"/>
      <c r="O57" s="30">
        <v>44187</v>
      </c>
      <c r="P57" s="16"/>
      <c r="Q57" s="21">
        <v>44187</v>
      </c>
    </row>
    <row r="58" spans="2:17" s="3" customFormat="1" ht="19.7" customHeight="1" x14ac:dyDescent="0.15">
      <c r="B58" s="4"/>
      <c r="C58" s="4"/>
      <c r="D58" s="4"/>
      <c r="E58" s="13"/>
      <c r="F58" s="36"/>
      <c r="G58" s="22"/>
      <c r="H58" s="23">
        <f t="shared" si="2"/>
        <v>0</v>
      </c>
      <c r="I58" s="2"/>
      <c r="J58" s="14"/>
      <c r="K58" s="1"/>
      <c r="L58" s="1"/>
      <c r="M58" s="16"/>
      <c r="N58" s="4"/>
      <c r="O58" s="1"/>
      <c r="P58" s="16"/>
      <c r="Q58" s="21"/>
    </row>
    <row r="59" spans="2:17" s="3" customFormat="1" ht="19.7" customHeight="1" x14ac:dyDescent="0.15">
      <c r="B59" s="4"/>
      <c r="C59" s="4"/>
      <c r="D59" s="4"/>
      <c r="E59" s="13"/>
      <c r="F59" s="36"/>
      <c r="G59" s="22"/>
      <c r="H59" s="23">
        <f t="shared" si="2"/>
        <v>0</v>
      </c>
      <c r="I59" s="2"/>
      <c r="J59" s="14"/>
      <c r="K59" s="1"/>
      <c r="L59" s="1"/>
      <c r="M59" s="16"/>
      <c r="N59" s="4"/>
      <c r="O59" s="1"/>
      <c r="P59" s="16"/>
      <c r="Q59" s="21"/>
    </row>
    <row r="60" spans="2:17" s="3" customFormat="1" ht="19.7" customHeight="1" x14ac:dyDescent="0.15">
      <c r="B60" s="4"/>
      <c r="C60" s="4"/>
      <c r="D60" s="4"/>
      <c r="E60" s="13"/>
      <c r="F60" s="36"/>
      <c r="G60" s="22"/>
      <c r="H60" s="23">
        <f t="shared" si="2"/>
        <v>0</v>
      </c>
      <c r="I60" s="2"/>
      <c r="J60" s="14"/>
      <c r="K60" s="1"/>
      <c r="L60" s="1"/>
      <c r="M60" s="16"/>
      <c r="N60" s="4"/>
      <c r="O60" s="1"/>
      <c r="P60" s="16"/>
      <c r="Q60" s="21"/>
    </row>
    <row r="61" spans="2:17" s="3" customFormat="1" ht="19.7" customHeight="1" x14ac:dyDescent="0.15">
      <c r="B61" s="4"/>
      <c r="C61" s="4"/>
      <c r="D61" s="4"/>
      <c r="E61" s="13"/>
      <c r="F61" s="36"/>
      <c r="G61" s="22"/>
      <c r="H61" s="23">
        <f t="shared" si="2"/>
        <v>0</v>
      </c>
      <c r="I61" s="2"/>
      <c r="J61" s="14"/>
      <c r="K61" s="1"/>
      <c r="L61" s="1"/>
      <c r="M61" s="16"/>
      <c r="N61" s="4"/>
      <c r="O61" s="1"/>
      <c r="P61" s="16"/>
      <c r="Q61" s="21"/>
    </row>
    <row r="62" spans="2:17" s="3" customFormat="1" ht="19.7" customHeight="1" x14ac:dyDescent="0.15">
      <c r="B62" s="4"/>
      <c r="C62" s="4"/>
      <c r="D62" s="4"/>
      <c r="E62" s="13"/>
      <c r="F62" s="36"/>
      <c r="G62" s="22"/>
      <c r="H62" s="23">
        <f t="shared" si="2"/>
        <v>0</v>
      </c>
      <c r="I62" s="2"/>
      <c r="J62" s="14"/>
      <c r="K62" s="1"/>
      <c r="L62" s="1"/>
      <c r="M62" s="16"/>
      <c r="N62" s="4"/>
      <c r="O62" s="1"/>
      <c r="P62" s="16"/>
      <c r="Q62" s="21"/>
    </row>
    <row r="66" spans="13:13" x14ac:dyDescent="0.15">
      <c r="M66" s="17"/>
    </row>
    <row r="67" spans="13:13" x14ac:dyDescent="0.15">
      <c r="M67" s="18"/>
    </row>
    <row r="68" spans="13:13" x14ac:dyDescent="0.15">
      <c r="M68" s="17"/>
    </row>
    <row r="69" spans="13:13" x14ac:dyDescent="0.15">
      <c r="M69" s="18"/>
    </row>
  </sheetData>
  <autoFilter ref="B8:O62" xr:uid="{00000000-0009-0000-0000-000000000000}"/>
  <sortState xmlns:xlrd2="http://schemas.microsoft.com/office/spreadsheetml/2017/richdata2" ref="B12:J45">
    <sortCondition ref="E12:E45"/>
  </sortState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斉藤鉄也</cp:lastModifiedBy>
  <cp:lastPrinted>2012-01-12T04:44:33Z</cp:lastPrinted>
  <dcterms:created xsi:type="dcterms:W3CDTF">2011-12-13T06:48:43Z</dcterms:created>
  <dcterms:modified xsi:type="dcterms:W3CDTF">2021-01-29T02:21:51Z</dcterms:modified>
</cp:coreProperties>
</file>