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313052AD-2902-4FD0-9421-0BB3CBDABE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  <sheet name="治具手配数量" sheetId="2" r:id="rId2"/>
    <sheet name="表紙" sheetId="4" r:id="rId3"/>
    <sheet name="Sheet3" sheetId="3" r:id="rId4"/>
  </sheets>
  <definedNames>
    <definedName name="_xlnm._FilterDatabase" localSheetId="0" hidden="1">原価表!$B$9:$O$54</definedName>
  </definedNames>
  <calcPr calcId="181029"/>
  <fileRecoveryPr autoRecover="0"/>
</workbook>
</file>

<file path=xl/calcChain.xml><?xml version="1.0" encoding="utf-8"?>
<calcChain xmlns="http://schemas.openxmlformats.org/spreadsheetml/2006/main">
  <c r="H63" i="1" l="1"/>
  <c r="H62" i="1"/>
  <c r="H61" i="1"/>
  <c r="H60" i="1"/>
  <c r="H59" i="1"/>
  <c r="H57" i="1"/>
  <c r="H52" i="1"/>
  <c r="H56" i="1"/>
  <c r="H55" i="1"/>
  <c r="H54" i="1"/>
  <c r="H53" i="1"/>
  <c r="H51" i="1"/>
  <c r="H50" i="1"/>
  <c r="H49" i="1"/>
  <c r="H48" i="1"/>
  <c r="H47" i="1"/>
  <c r="J2" i="1" l="1"/>
</calcChain>
</file>

<file path=xl/sharedStrings.xml><?xml version="1.0" encoding="utf-8"?>
<sst xmlns="http://schemas.openxmlformats.org/spreadsheetml/2006/main" count="305" uniqueCount="164">
  <si>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</si>
  <si>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</si>
  <si>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</si>
  <si>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</si>
  <si>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</si>
  <si>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</si>
  <si>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</si>
  <si>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</si>
  <si>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</si>
  <si>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</si>
  <si>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</si>
  <si>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</si>
  <si>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</si>
  <si>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</si>
  <si>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</si>
  <si>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</si>
  <si>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</si>
  <si>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</si>
  <si>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</si>
  <si>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</si>
  <si>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</si>
  <si>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</si>
  <si>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型　式</t>
    <rPh sb="0" eb="1">
      <t>ガタ</t>
    </rPh>
    <rPh sb="2" eb="3">
      <t>シキ</t>
    </rPh>
    <phoneticPr fontId="2"/>
  </si>
  <si>
    <t>図　番</t>
    <rPh sb="0" eb="1">
      <t>ズ</t>
    </rPh>
    <rPh sb="2" eb="3">
      <t>バン</t>
    </rPh>
    <phoneticPr fontId="2"/>
  </si>
  <si>
    <t>数 量</t>
    <rPh sb="0" eb="1">
      <t>スウ</t>
    </rPh>
    <rPh sb="2" eb="3">
      <t>リョウ</t>
    </rPh>
    <phoneticPr fontId="2"/>
  </si>
  <si>
    <t>№</t>
    <phoneticPr fontId="2"/>
  </si>
  <si>
    <t>備 考</t>
    <rPh sb="0" eb="1">
      <t>ビ</t>
    </rPh>
    <rPh sb="2" eb="3">
      <t>コウ</t>
    </rPh>
    <phoneticPr fontId="2"/>
  </si>
  <si>
    <t>SS40079</t>
    <phoneticPr fontId="2"/>
  </si>
  <si>
    <t>740,752,780用ﾎﾙﾀﾞ(P=25)</t>
    <rPh sb="11" eb="12">
      <t>ヨウ</t>
    </rPh>
    <phoneticPr fontId="2"/>
  </si>
  <si>
    <t>147826-Y01</t>
    <phoneticPr fontId="2"/>
  </si>
  <si>
    <t>ﾂｰﾙ取付板</t>
    <rPh sb="3" eb="5">
      <t>トリツケ</t>
    </rPh>
    <rPh sb="5" eb="6">
      <t>イタ</t>
    </rPh>
    <phoneticPr fontId="2"/>
  </si>
  <si>
    <t>ﾌﾞｻﾞｰBOX(残検付)</t>
    <rPh sb="9" eb="10">
      <t>ザン</t>
    </rPh>
    <rPh sb="10" eb="11">
      <t>ケン</t>
    </rPh>
    <rPh sb="11" eb="12">
      <t>ツキ</t>
    </rPh>
    <phoneticPr fontId="2"/>
  </si>
  <si>
    <t>TJ0040-02-001A</t>
    <phoneticPr fontId="2"/>
  </si>
  <si>
    <t>冶具加工品</t>
    <rPh sb="0" eb="2">
      <t>ジグ</t>
    </rPh>
    <rPh sb="2" eb="5">
      <t>カコウヒン</t>
    </rPh>
    <phoneticPr fontId="2"/>
  </si>
  <si>
    <t>製作品</t>
    <rPh sb="0" eb="3">
      <t>セイサクヒン</t>
    </rPh>
    <phoneticPr fontId="2"/>
  </si>
  <si>
    <t>★SKG(155591)向け 治具・製作品 数量</t>
    <rPh sb="12" eb="13">
      <t>ム</t>
    </rPh>
    <rPh sb="15" eb="17">
      <t>ジグ</t>
    </rPh>
    <rPh sb="18" eb="21">
      <t>セイサクヒン</t>
    </rPh>
    <rPh sb="22" eb="24">
      <t>スウリョウ</t>
    </rPh>
    <phoneticPr fontId="2"/>
  </si>
  <si>
    <t>作成：2018.02.27</t>
    <rPh sb="0" eb="2">
      <t>サクセイ</t>
    </rPh>
    <phoneticPr fontId="2"/>
  </si>
  <si>
    <t>150688-Z01</t>
    <phoneticPr fontId="2"/>
  </si>
  <si>
    <t>ｱﾝﾌﾟ固定L板金</t>
    <rPh sb="4" eb="6">
      <t>コテイ</t>
    </rPh>
    <rPh sb="7" eb="9">
      <t>バンキン</t>
    </rPh>
    <phoneticPr fontId="2"/>
  </si>
  <si>
    <t>関口</t>
    <rPh sb="0" eb="2">
      <t>セキグチ</t>
    </rPh>
    <phoneticPr fontId="2"/>
  </si>
  <si>
    <t>A寸法</t>
    <rPh sb="1" eb="3">
      <t>スンポウ</t>
    </rPh>
    <phoneticPr fontId="2"/>
  </si>
  <si>
    <t>図面番号</t>
    <rPh sb="0" eb="2">
      <t>ズメン</t>
    </rPh>
    <rPh sb="2" eb="4">
      <t>バンゴウ</t>
    </rPh>
    <phoneticPr fontId="2"/>
  </si>
  <si>
    <t>数量</t>
    <rPh sb="0" eb="2">
      <t>スウリョウ</t>
    </rPh>
    <phoneticPr fontId="2"/>
  </si>
  <si>
    <t>183216-X04(10.0mmﾌﾟﾚｰﾄ）</t>
    <phoneticPr fontId="2"/>
  </si>
  <si>
    <t>183216-X05(22.5mmﾌﾟﾚｰﾄ）</t>
    <phoneticPr fontId="2"/>
  </si>
  <si>
    <t>183216-X06(30.0mmﾌﾟﾚｰﾄ）</t>
    <phoneticPr fontId="2"/>
  </si>
  <si>
    <t>183216-X07(35.0mmﾌﾟﾚｰﾄ）</t>
    <phoneticPr fontId="2"/>
  </si>
  <si>
    <t>SET</t>
    <phoneticPr fontId="2"/>
  </si>
  <si>
    <t>AXUB-1301M</t>
    <phoneticPr fontId="2"/>
  </si>
  <si>
    <t>AXUB-1201M</t>
    <phoneticPr fontId="2"/>
  </si>
  <si>
    <t>AXHD-01001K</t>
    <phoneticPr fontId="2"/>
  </si>
  <si>
    <t>AXHS-01002</t>
    <phoneticPr fontId="2"/>
  </si>
  <si>
    <t>AXA-300</t>
    <phoneticPr fontId="2"/>
  </si>
  <si>
    <t>Standard vision module</t>
    <phoneticPr fontId="2"/>
  </si>
  <si>
    <t>High vision module</t>
    <phoneticPr fontId="2"/>
  </si>
  <si>
    <t>Tip Height Detect Kit</t>
    <phoneticPr fontId="2"/>
  </si>
  <si>
    <t>タッチ式ワークハイトセンサー</t>
    <rPh sb="3" eb="4">
      <t>シキ</t>
    </rPh>
    <phoneticPr fontId="2"/>
  </si>
  <si>
    <t>山崎工業（松崎化成）</t>
    <rPh sb="0" eb="4">
      <t>ヤマザキコウギョウ</t>
    </rPh>
    <rPh sb="5" eb="7">
      <t>マツザキ</t>
    </rPh>
    <rPh sb="7" eb="9">
      <t>カセイ</t>
    </rPh>
    <phoneticPr fontId="2"/>
  </si>
  <si>
    <t>AXA300-SV</t>
    <phoneticPr fontId="2"/>
  </si>
  <si>
    <t>在庫（AXA-300SV）使用</t>
    <rPh sb="0" eb="2">
      <t>ザイコ</t>
    </rPh>
    <rPh sb="13" eb="15">
      <t>シヨウ</t>
    </rPh>
    <phoneticPr fontId="2"/>
  </si>
  <si>
    <t>在庫（AXA-300SV）よりｶﾒﾗ載せ替え</t>
    <rPh sb="0" eb="2">
      <t>ザイコ</t>
    </rPh>
    <rPh sb="18" eb="19">
      <t>ノ</t>
    </rPh>
    <rPh sb="20" eb="21">
      <t>カ</t>
    </rPh>
    <phoneticPr fontId="2"/>
  </si>
  <si>
    <t>KKC在庫使用</t>
    <rPh sb="3" eb="7">
      <t>ザイコシヨウ</t>
    </rPh>
    <phoneticPr fontId="2"/>
  </si>
  <si>
    <t>SET</t>
    <phoneticPr fontId="10"/>
  </si>
  <si>
    <t xml:space="preserve">SAR91V </t>
    <phoneticPr fontId="10"/>
  </si>
  <si>
    <t>外容器・保持キャップセット</t>
    <phoneticPr fontId="10"/>
  </si>
  <si>
    <t>580091A</t>
    <phoneticPr fontId="10"/>
  </si>
  <si>
    <t>MISUMI</t>
    <phoneticPr fontId="2"/>
  </si>
  <si>
    <t>MVBLK-AMW-2MC-XWZ9M</t>
  </si>
  <si>
    <t>■SETA0064-X01(ﾍﾞｰｽﾌﾟﾚﾄ)</t>
  </si>
  <si>
    <t>MVBLK-AMW-2LW-XY1DG</t>
  </si>
  <si>
    <t>■SETA0064-X02(ﾚｰﾙA)</t>
  </si>
  <si>
    <t>MVBLK-AMW-2LW-GA39W</t>
  </si>
  <si>
    <t>■SETA0064-X03(ﾚｰﾙB)</t>
  </si>
  <si>
    <t>MVBLK-AMW-2LW-PZWKN</t>
  </si>
  <si>
    <t>■SETA0064-X04(ﾚｰﾙC)</t>
  </si>
  <si>
    <t>MVBLK-AMW-2MC-346X7</t>
  </si>
  <si>
    <t>■SETA0064-X05(ﾚｰﾙD)</t>
  </si>
  <si>
    <t>MVBLK-AMW-2LW-M2LCM</t>
  </si>
  <si>
    <t>■SETA0064-Z02(ｶｰﾄﾘｯｼﾞﾌﾟﾚｰﾄ)</t>
  </si>
  <si>
    <t>MVSHM-3N02050029032-2MC-CC2R1</t>
  </si>
  <si>
    <t>■SETA0064-Z03(ﾚｷﾞｭｰﾚｰﾀｰﾌﾟﾚｰﾄ)</t>
  </si>
  <si>
    <t>MVSHM-3N02052013031-2LW-NN37B</t>
  </si>
  <si>
    <t>■SETA0064-Z04(ﾊﾟｰｼﾞﾌﾟﾚｰﾄ)</t>
  </si>
  <si>
    <t>MVSHM-3N01000004006-2LW-97P2C</t>
  </si>
  <si>
    <t>■SETA0064-Z05(ｶｯﾌﾟﾌﾟﾚｰﾄ)</t>
    <phoneticPr fontId="2"/>
  </si>
  <si>
    <t>MVSHM-3N02058001019-2MC-6SG1F</t>
  </si>
  <si>
    <t>■SETA0064-Z06(ｻﾎﾟｰﾄ)</t>
  </si>
  <si>
    <t>ARP20-01</t>
  </si>
  <si>
    <t>G46E-2-01M-C2</t>
  </si>
  <si>
    <t>KQ2Z04-01AS</t>
  </si>
  <si>
    <t>M2BJ-BH24D-D</t>
  </si>
  <si>
    <t>MSHRT3</t>
  </si>
  <si>
    <t>NCLSS3-5-15.0</t>
  </si>
  <si>
    <t>SKTGLK6-1</t>
  </si>
  <si>
    <t>SKTGLK6-2</t>
  </si>
  <si>
    <t>WSSS10-5-8</t>
  </si>
  <si>
    <t>MISUMI</t>
    <phoneticPr fontId="10"/>
  </si>
  <si>
    <t xml:space="preserve">Oリング </t>
    <phoneticPr fontId="10"/>
  </si>
  <si>
    <t>TAISHO</t>
    <phoneticPr fontId="10"/>
  </si>
  <si>
    <t>SC40309</t>
    <phoneticPr fontId="10"/>
  </si>
  <si>
    <t>トップキャップ</t>
    <phoneticPr fontId="10"/>
  </si>
  <si>
    <t xml:space="preserve">SC40310 </t>
    <phoneticPr fontId="10"/>
  </si>
  <si>
    <t>シールキャップ</t>
    <phoneticPr fontId="10"/>
  </si>
  <si>
    <t>SC40311</t>
    <phoneticPr fontId="10"/>
  </si>
  <si>
    <t>シールナット</t>
    <phoneticPr fontId="10"/>
  </si>
  <si>
    <t>SC40312</t>
    <phoneticPr fontId="10"/>
  </si>
  <si>
    <t>パッド</t>
    <phoneticPr fontId="10"/>
  </si>
  <si>
    <t>■SETA0064-Z01(ｶｰﾄﾘｯｼﾞﾎﾙﾀﾞ)</t>
  </si>
  <si>
    <t>エア・ウォータ・マッハ</t>
    <phoneticPr fontId="10"/>
  </si>
  <si>
    <t>JASO （1022 1種A）</t>
    <phoneticPr fontId="10"/>
  </si>
  <si>
    <t>SMC</t>
    <phoneticPr fontId="10"/>
  </si>
  <si>
    <t>CDJ2B16-200Z-C73CS-B</t>
    <phoneticPr fontId="10"/>
  </si>
  <si>
    <t>エアシリンダー</t>
    <phoneticPr fontId="10"/>
  </si>
  <si>
    <t>■SETA0064-Y05(ﾊﾞﾙﾌﾞﾎﾙﾀﾞ)</t>
    <phoneticPr fontId="2"/>
  </si>
  <si>
    <t>MVBLK-AMW-2MC-FNAXK</t>
  </si>
  <si>
    <t>MVSHM-3N02002006013-2MC-MB2XR</t>
  </si>
  <si>
    <t>■SETA0064-Y06(ﾊﾞﾙﾌﾞｽﾃｰ)</t>
    <phoneticPr fontId="2"/>
  </si>
  <si>
    <t>SY3320T-5MZE-C4-F2</t>
  </si>
  <si>
    <t>制御機材</t>
    <rPh sb="0" eb="4">
      <t>セイギョキザイ</t>
    </rPh>
    <phoneticPr fontId="2"/>
  </si>
  <si>
    <t>電磁弁</t>
    <rPh sb="0" eb="3">
      <t>デンジベン</t>
    </rPh>
    <phoneticPr fontId="2"/>
  </si>
  <si>
    <t>KQ2H06-M5A</t>
  </si>
  <si>
    <t>AS1311F-M5-04-J</t>
  </si>
  <si>
    <t>MSQB20A-M9NVL</t>
  </si>
  <si>
    <t>ﾛｰﾀﾘｰｱｸﾁｭｴｰﾀｰ</t>
    <phoneticPr fontId="2"/>
  </si>
  <si>
    <t>■SETA0064-Y07(ﾂｰﾙﾌﾟﾚｰﾄ)</t>
    <phoneticPr fontId="2"/>
  </si>
  <si>
    <t>MVBLK-AMW-2MC-7N2JF</t>
  </si>
  <si>
    <t>ドロップインアダプタ</t>
    <phoneticPr fontId="10"/>
  </si>
  <si>
    <t>圧力計</t>
    <rPh sb="0" eb="3">
      <t>アツリョクケイ</t>
    </rPh>
    <phoneticPr fontId="2"/>
  </si>
  <si>
    <t>MVBLK-AMW-2MC-J8JP4</t>
  </si>
  <si>
    <t>NPB5</t>
  </si>
  <si>
    <t>FWRBN-D51-V32-T2</t>
  </si>
  <si>
    <t>NPB10</t>
  </si>
  <si>
    <t>MPLGN</t>
  </si>
  <si>
    <t>MSSL5</t>
  </si>
  <si>
    <t>MNCNL6-M5</t>
  </si>
  <si>
    <t>SMC ｾｲﾐﾂﾚｷﾞﾕﾚｰﾀ ARPｼﾘｰｽﾞ</t>
  </si>
  <si>
    <t>SMC ﾜﾝﾀｯﾁﾂｷﾞﾃ KQ2Zｼﾘｰｽﾞ</t>
  </si>
  <si>
    <t>SIGNAL BUZZER</t>
  </si>
  <si>
    <t>ｼｭﾄﾞｳｷﾘｶｴﾍﾞﾝ(MSHRT)</t>
  </si>
  <si>
    <t>ｷﾝｿﾞｸｶﾗｰ NCLSS</t>
  </si>
  <si>
    <t>ｽﾃﾝﾚｽｶﾝﾂｷﾞﾃ (SKTGLK)</t>
  </si>
  <si>
    <t>ｷﾝｿﾞｸﾜｯｼｬ SUS (WSSS)</t>
  </si>
  <si>
    <t>Oﾘﾝｸﾞ NPB</t>
  </si>
  <si>
    <t>ｺﾞﾑﾜｯｼｬ FWRBN</t>
  </si>
  <si>
    <t>ｶﾝﾂｷﾞﾃ MPLG</t>
  </si>
  <si>
    <t>ｻｲﾚﾝｻ (MSS_)</t>
  </si>
  <si>
    <t>ﾐﾆﾁｭｱﾜﾝﾀｯﾁﾂｷﾞﾃ (MNCNL)</t>
  </si>
  <si>
    <t>SMC ﾐﾘﾜﾝﾀｯﾁﾂｷﾞﾃKQ2</t>
  </si>
  <si>
    <t>SMC ｽﾋﾟｰﾄﾞｺﾝﾄﾛｰﾗ ASｼﾘｰｽﾞ</t>
  </si>
  <si>
    <t>Web発注済</t>
    <rPh sb="3" eb="6">
      <t>ハッチュウスミ</t>
    </rPh>
    <phoneticPr fontId="2"/>
  </si>
  <si>
    <t>SY3320T-5MZE-C4-F2</t>
    <phoneticPr fontId="2"/>
  </si>
  <si>
    <t>電磁弁</t>
    <rPh sb="0" eb="3">
      <t>デンジベン</t>
    </rPh>
    <phoneticPr fontId="2"/>
  </si>
  <si>
    <t>TL-W20ME1 2M</t>
    <phoneticPr fontId="2"/>
  </si>
  <si>
    <t>フラット型近接センサ TL-W</t>
    <phoneticPr fontId="2"/>
  </si>
  <si>
    <t>NCLM20-40-20</t>
    <phoneticPr fontId="2"/>
  </si>
  <si>
    <t>金属カラー　　並級・精密級</t>
    <phoneticPr fontId="2"/>
  </si>
  <si>
    <t>SCB5-22</t>
    <phoneticPr fontId="2"/>
  </si>
  <si>
    <t>ネジ</t>
    <phoneticPr fontId="2"/>
  </si>
  <si>
    <t>MVBLK-AMW-2PS-J5ALK</t>
  </si>
  <si>
    <t>加工品</t>
    <rPh sb="0" eb="3">
      <t>カコウヒン</t>
    </rPh>
    <phoneticPr fontId="2"/>
  </si>
  <si>
    <t>TAISHO</t>
    <phoneticPr fontId="2"/>
  </si>
  <si>
    <t>SC40312-A</t>
    <phoneticPr fontId="2"/>
  </si>
  <si>
    <t>発注願います</t>
    <rPh sb="0" eb="3">
      <t>ハッチュウネガ</t>
    </rPh>
    <phoneticPr fontId="2"/>
  </si>
  <si>
    <t>8/5神奈川(営)</t>
    <rPh sb="3" eb="9">
      <t>カナガワエイ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</si>
</sst>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  <numFmt numFmtId="181" formatCode="0.0_ 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u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9" fontId="8" fillId="4" borderId="1" xfId="0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0" xfId="0" applyFont="1">
      <alignment vertical="center"/>
    </xf>
    <xf numFmtId="176" fontId="5" fillId="0" borderId="1" xfId="0" applyNumberFormat="1" applyFont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38" fontId="0" fillId="0" borderId="0" xfId="0" applyNumberFormat="1" applyFon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/>
    </xf>
    <xf numFmtId="180" fontId="0" fillId="0" borderId="0" xfId="0" applyNumberFormat="1" applyFont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center"/>
    </xf>
    <xf numFmtId="0" fontId="9" fillId="0" borderId="3" xfId="0" applyFont="1" applyFill="1" applyBorder="1" applyAlignment="1">
      <alignment horizontal="right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181" fontId="0" fillId="0" borderId="0" xfId="0" applyNumberFormat="1">
      <alignment vertical="center"/>
    </xf>
    <xf numFmtId="18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49" fontId="1" fillId="5" borderId="8" xfId="0" applyNumberFormat="1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right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>
      <alignment vertical="center"/>
    </xf>
    <xf numFmtId="56" fontId="0" fillId="0" borderId="1" xfId="0" applyNumberFormat="1" applyBorder="1" applyAlignment="1">
      <alignment horizontal="center" vertical="center"/>
    </xf>
    <xf numFmtId="56" fontId="6" fillId="0" borderId="1" xfId="0" applyNumberFormat="1" applyFont="1" applyBorder="1" applyAlignment="1">
      <alignment horizontal="center" vertical="center"/>
    </xf>
    <xf numFmtId="38" fontId="9" fillId="0" borderId="1" xfId="0" applyNumberFormat="1" applyFont="1" applyBorder="1" applyAlignment="1">
      <alignment horizontal="right" vertical="center"/>
    </xf>
    <xf numFmtId="0" fontId="0" fillId="0" borderId="2" xfId="0" applyBorder="1">
      <alignment vertical="center"/>
    </xf>
    <xf numFmtId="17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1" xfId="0" applyFont="1" applyBorder="1" applyAlignment="1"/>
    <xf numFmtId="0" fontId="6" fillId="0" borderId="1" xfId="0" applyFont="1" applyBorder="1" applyAlignment="1">
      <alignment horizontal="center" vertical="center"/>
    </xf>
    <xf numFmtId="38" fontId="8" fillId="6" borderId="3" xfId="0" applyNumberFormat="1" applyFont="1" applyFill="1" applyBorder="1" applyAlignment="1">
      <alignment horizontal="right" vertical="center"/>
    </xf>
    <xf numFmtId="0" fontId="0" fillId="6" borderId="1" xfId="0" applyFill="1" applyBorder="1">
      <alignment vertical="center"/>
    </xf>
    <xf numFmtId="56" fontId="0" fillId="0" borderId="1" xfId="0" applyNumberFormat="1" applyBorder="1" applyAlignment="1">
      <alignment horizontal="right" vertical="center"/>
    </xf>
    <xf numFmtId="178" fontId="0" fillId="0" borderId="0" xfId="0" applyNumberFormat="1" applyFont="1" applyAlignment="1">
      <alignment horizontal="center" vertical="center"/>
    </xf>
    <xf numFmtId="179" fontId="0" fillId="0" borderId="0" xfId="0" applyNumberFormat="1" applyFont="1" applyAlignment="1">
      <alignment horizontal="right" vertical="center"/>
    </xf>
    <xf numFmtId="179" fontId="0" fillId="0" borderId="1" xfId="0" applyNumberFormat="1" applyFont="1" applyFill="1" applyBorder="1" applyAlignment="1">
      <alignment horizontal="right" vertical="center"/>
    </xf>
    <xf numFmtId="179" fontId="0" fillId="0" borderId="1" xfId="0" applyNumberFormat="1" applyBorder="1" applyAlignment="1">
      <alignment horizontal="right" vertical="center"/>
    </xf>
    <xf numFmtId="179" fontId="0" fillId="0" borderId="2" xfId="0" applyNumberFormat="1" applyBorder="1" applyAlignment="1">
      <alignment horizontal="right" vertical="center"/>
    </xf>
    <xf numFmtId="179" fontId="6" fillId="0" borderId="1" xfId="0" applyNumberFormat="1" applyFont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9" fillId="0" borderId="1" xfId="0" applyFont="1" applyBorder="1">
      <alignment vertical="center"/>
    </xf>
    <xf numFmtId="0" fontId="9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63"/>
  <sheetViews>
    <sheetView tabSelected="1" zoomScale="86" zoomScaleNormal="86" workbookViewId="0">
      <pane xSplit="10" ySplit="9" topLeftCell="L46" activePane="bottomRight" state="frozen"/>
      <selection pane="topRight" activeCell="K1" sqref="K1"/>
      <selection pane="bottomLeft" activeCell="A9" sqref="A9"/>
      <selection pane="bottomRight" activeCell="P64" sqref="P64"/>
    </sheetView>
  </sheetViews>
  <sheetFormatPr defaultColWidth="9" defaultRowHeight="13.5" x14ac:dyDescent="0.15"/>
  <cols>
    <col min="1" max="1" width="2.625" style="11" customWidth="1"/>
    <col min="2" max="2" width="20.125" style="18" bestFit="1" customWidth="1"/>
    <col min="3" max="3" width="14.375" style="11" bestFit="1" customWidth="1"/>
    <col min="4" max="4" width="13.125" style="11" bestFit="1" customWidth="1"/>
    <col min="5" max="5" width="40.625" style="11" customWidth="1"/>
    <col min="6" max="6" width="6.25" style="11" customWidth="1"/>
    <col min="7" max="8" width="9.875" style="11" bestFit="1" customWidth="1"/>
    <col min="9" max="9" width="5.75" style="16" customWidth="1"/>
    <col min="10" max="10" width="35.25" style="11" bestFit="1" customWidth="1"/>
    <col min="11" max="11" width="34.625" style="11" bestFit="1" customWidth="1"/>
    <col min="12" max="12" width="16.375" style="18" customWidth="1"/>
    <col min="13" max="13" width="13.75" style="15" customWidth="1"/>
    <col min="14" max="14" width="6.375" style="11" customWidth="1"/>
    <col min="15" max="15" width="13.25" style="16" customWidth="1"/>
    <col min="16" max="16" width="14.5" style="68" customWidth="1"/>
    <col min="17" max="17" width="15.625" style="67" customWidth="1"/>
    <col min="18" max="16384" width="9" style="11"/>
  </cols>
  <sheetData>
    <row r="2" spans="2:17" ht="20.100000000000001" customHeight="1" x14ac:dyDescent="0.15">
      <c r="B2" s="79" t="s">
        <v>11</v>
      </c>
      <c r="C2" s="79"/>
      <c r="D2" s="79"/>
      <c r="E2" s="10" t="s">
        <v>57</v>
      </c>
      <c r="G2" s="80" t="s">
        <v>15</v>
      </c>
      <c r="H2" s="81"/>
      <c r="I2" s="82"/>
      <c r="J2" s="12">
        <f>SUM(H:H)</f>
        <v>276679</v>
      </c>
      <c r="K2" s="13"/>
      <c r="L2" s="14"/>
    </row>
    <row r="3" spans="2:17" ht="20.100000000000001" customHeight="1" x14ac:dyDescent="0.15">
      <c r="B3" s="79" t="s">
        <v>10</v>
      </c>
      <c r="C3" s="79"/>
      <c r="D3" s="79"/>
      <c r="E3" s="17" t="s">
        <v>39</v>
      </c>
    </row>
    <row r="4" spans="2:17" ht="20.100000000000001" customHeight="1" x14ac:dyDescent="0.15">
      <c r="B4" s="79" t="s">
        <v>12</v>
      </c>
      <c r="C4" s="79"/>
      <c r="D4" s="79"/>
      <c r="E4" s="17">
        <v>186734</v>
      </c>
      <c r="J4" s="19"/>
    </row>
    <row r="5" spans="2:17" ht="20.100000000000001" customHeight="1" x14ac:dyDescent="0.15">
      <c r="B5" s="79" t="s">
        <v>13</v>
      </c>
      <c r="C5" s="79"/>
      <c r="D5" s="79"/>
      <c r="E5" s="20"/>
      <c r="J5" s="19"/>
    </row>
    <row r="6" spans="2:17" ht="20.100000000000001" customHeight="1" x14ac:dyDescent="0.15">
      <c r="B6" s="79" t="s">
        <v>14</v>
      </c>
      <c r="C6" s="79"/>
      <c r="D6" s="79"/>
      <c r="E6" s="20">
        <v>44357</v>
      </c>
      <c r="J6" s="19"/>
    </row>
    <row r="7" spans="2:17" ht="20.100000000000001" customHeight="1" x14ac:dyDescent="0.15">
      <c r="B7" s="21"/>
      <c r="C7" s="21"/>
      <c r="D7" s="21"/>
      <c r="E7" s="22"/>
      <c r="J7" s="19"/>
      <c r="L7" s="23"/>
    </row>
    <row r="9" spans="2:17" s="29" customFormat="1" ht="19.7" customHeight="1" x14ac:dyDescent="0.15">
      <c r="B9" s="24" t="s">
        <v>4</v>
      </c>
      <c r="C9" s="24" t="s">
        <v>9</v>
      </c>
      <c r="D9" s="24" t="s">
        <v>5</v>
      </c>
      <c r="E9" s="25" t="s">
        <v>8</v>
      </c>
      <c r="F9" s="25" t="s">
        <v>0</v>
      </c>
      <c r="G9" s="25" t="s">
        <v>1</v>
      </c>
      <c r="H9" s="26" t="s">
        <v>2</v>
      </c>
      <c r="I9" s="26" t="s">
        <v>18</v>
      </c>
      <c r="J9" s="25" t="s">
        <v>3</v>
      </c>
      <c r="K9" s="25" t="s">
        <v>17</v>
      </c>
      <c r="L9" s="25" t="s">
        <v>16</v>
      </c>
      <c r="M9" s="27" t="s">
        <v>6</v>
      </c>
      <c r="N9" s="24" t="s">
        <v>19</v>
      </c>
      <c r="O9" s="25" t="s">
        <v>7</v>
      </c>
      <c r="P9" s="69" t="s">
        <v>20</v>
      </c>
      <c r="Q9" s="28" t="s">
        <v>21</v>
      </c>
    </row>
    <row r="10" spans="2:17" s="29" customFormat="1" ht="19.7" customHeight="1" x14ac:dyDescent="0.15">
      <c r="B10" s="24">
        <v>1</v>
      </c>
      <c r="C10" s="24" t="s">
        <v>47</v>
      </c>
      <c r="D10" s="24" t="s">
        <v>47</v>
      </c>
      <c r="E10" s="30" t="s">
        <v>58</v>
      </c>
      <c r="F10" s="32">
        <v>1</v>
      </c>
      <c r="G10" s="25"/>
      <c r="H10" s="26"/>
      <c r="I10" s="26"/>
      <c r="J10" s="30" t="s">
        <v>52</v>
      </c>
      <c r="K10" s="25" t="s">
        <v>59</v>
      </c>
      <c r="L10" s="25"/>
      <c r="M10" s="27"/>
      <c r="N10" s="24"/>
      <c r="O10" s="25"/>
      <c r="P10" s="69"/>
      <c r="Q10" s="28"/>
    </row>
    <row r="11" spans="2:17" s="29" customFormat="1" ht="19.7" customHeight="1" x14ac:dyDescent="0.15">
      <c r="B11" s="24">
        <v>2</v>
      </c>
      <c r="C11" s="24" t="s">
        <v>47</v>
      </c>
      <c r="D11" s="24" t="s">
        <v>47</v>
      </c>
      <c r="E11" s="35" t="s">
        <v>48</v>
      </c>
      <c r="F11" s="32">
        <v>1</v>
      </c>
      <c r="G11" s="32"/>
      <c r="H11" s="33"/>
      <c r="I11" s="34"/>
      <c r="J11" s="36" t="s">
        <v>53</v>
      </c>
      <c r="K11" s="25" t="s">
        <v>60</v>
      </c>
      <c r="L11" s="25"/>
      <c r="M11" s="27"/>
      <c r="N11" s="24"/>
      <c r="O11" s="25"/>
      <c r="P11" s="69"/>
      <c r="Q11" s="28"/>
    </row>
    <row r="12" spans="2:17" s="29" customFormat="1" ht="19.7" customHeight="1" x14ac:dyDescent="0.15">
      <c r="B12" s="24">
        <v>3</v>
      </c>
      <c r="C12" s="24" t="s">
        <v>47</v>
      </c>
      <c r="D12" s="24" t="s">
        <v>47</v>
      </c>
      <c r="E12" s="35" t="s">
        <v>49</v>
      </c>
      <c r="F12" s="32">
        <v>1</v>
      </c>
      <c r="G12" s="32"/>
      <c r="H12" s="33"/>
      <c r="I12" s="34"/>
      <c r="J12" s="36" t="s">
        <v>54</v>
      </c>
      <c r="K12" s="25"/>
      <c r="L12" s="25"/>
      <c r="M12" s="27">
        <v>44323</v>
      </c>
      <c r="N12" s="24"/>
      <c r="O12" s="25"/>
      <c r="P12" s="69"/>
      <c r="Q12" s="28"/>
    </row>
    <row r="13" spans="2:17" s="29" customFormat="1" ht="19.7" customHeight="1" x14ac:dyDescent="0.15">
      <c r="B13" s="24">
        <v>6</v>
      </c>
      <c r="C13" s="24" t="s">
        <v>47</v>
      </c>
      <c r="D13" s="24" t="s">
        <v>47</v>
      </c>
      <c r="E13" s="35" t="s">
        <v>50</v>
      </c>
      <c r="F13" s="32">
        <v>1</v>
      </c>
      <c r="G13" s="43"/>
      <c r="H13" s="43"/>
      <c r="I13" s="31"/>
      <c r="J13" s="36" t="s">
        <v>55</v>
      </c>
      <c r="K13" s="25"/>
      <c r="L13" s="25"/>
      <c r="M13" s="27">
        <v>44323</v>
      </c>
      <c r="N13" s="24"/>
      <c r="O13" s="25"/>
      <c r="P13" s="69"/>
      <c r="Q13" s="28"/>
    </row>
    <row r="14" spans="2:17" s="29" customFormat="1" ht="19.7" customHeight="1" x14ac:dyDescent="0.15">
      <c r="B14" s="24">
        <v>7</v>
      </c>
      <c r="C14" s="24" t="s">
        <v>47</v>
      </c>
      <c r="D14" s="24" t="s">
        <v>47</v>
      </c>
      <c r="E14" s="38" t="s">
        <v>51</v>
      </c>
      <c r="F14" s="43">
        <v>1</v>
      </c>
      <c r="G14" s="43"/>
      <c r="H14" s="43"/>
      <c r="I14" s="31"/>
      <c r="J14" s="36" t="s">
        <v>56</v>
      </c>
      <c r="K14" s="25" t="s">
        <v>61</v>
      </c>
      <c r="L14" s="25"/>
      <c r="M14" s="27"/>
      <c r="N14" s="24"/>
      <c r="O14" s="25"/>
      <c r="P14" s="69"/>
      <c r="Q14" s="28"/>
    </row>
    <row r="15" spans="2:17" s="46" customFormat="1" ht="19.7" customHeight="1" x14ac:dyDescent="0.15">
      <c r="B15" s="47"/>
      <c r="C15" s="48" t="s">
        <v>62</v>
      </c>
      <c r="D15" s="47" t="s">
        <v>47</v>
      </c>
      <c r="E15" s="49" t="s">
        <v>63</v>
      </c>
      <c r="F15" s="43">
        <v>1</v>
      </c>
      <c r="G15" s="43"/>
      <c r="H15" s="43"/>
      <c r="I15" s="50"/>
      <c r="J15" s="49" t="s">
        <v>64</v>
      </c>
      <c r="K15" s="41"/>
      <c r="L15" s="41"/>
      <c r="M15" s="51"/>
      <c r="N15" s="47"/>
      <c r="O15" s="41"/>
      <c r="P15" s="70"/>
      <c r="Q15" s="52"/>
    </row>
    <row r="16" spans="2:17" s="46" customFormat="1" ht="19.7" customHeight="1" x14ac:dyDescent="0.15">
      <c r="B16" s="47"/>
      <c r="C16" s="48" t="s">
        <v>62</v>
      </c>
      <c r="D16" s="47" t="s">
        <v>47</v>
      </c>
      <c r="E16" s="49" t="s">
        <v>65</v>
      </c>
      <c r="F16" s="43">
        <v>1</v>
      </c>
      <c r="G16" s="43"/>
      <c r="H16" s="43"/>
      <c r="I16" s="50"/>
      <c r="J16" s="62" t="s">
        <v>126</v>
      </c>
      <c r="K16" s="53"/>
      <c r="L16" s="41"/>
      <c r="M16" s="51"/>
      <c r="N16" s="47"/>
      <c r="O16" s="41"/>
      <c r="P16" s="70"/>
      <c r="Q16" s="52"/>
    </row>
    <row r="17" spans="2:17" s="46" customFormat="1" ht="19.7" customHeight="1" x14ac:dyDescent="0.15">
      <c r="B17" s="47">
        <v>5</v>
      </c>
      <c r="C17" s="54" t="s">
        <v>66</v>
      </c>
      <c r="D17" s="54" t="s">
        <v>66</v>
      </c>
      <c r="E17" s="43" t="s">
        <v>67</v>
      </c>
      <c r="F17" s="43">
        <v>1</v>
      </c>
      <c r="G17" s="43">
        <v>17631</v>
      </c>
      <c r="H17" s="43">
        <v>17631</v>
      </c>
      <c r="I17" s="42"/>
      <c r="J17" s="55" t="s">
        <v>68</v>
      </c>
      <c r="K17" s="47" t="s">
        <v>149</v>
      </c>
      <c r="L17" s="41"/>
      <c r="M17" s="51"/>
      <c r="N17" s="47"/>
      <c r="O17" s="56"/>
      <c r="P17" s="66"/>
      <c r="Q17" s="52">
        <v>44340</v>
      </c>
    </row>
    <row r="18" spans="2:17" s="46" customFormat="1" ht="19.7" customHeight="1" x14ac:dyDescent="0.15">
      <c r="B18" s="47">
        <v>5</v>
      </c>
      <c r="C18" s="54" t="s">
        <v>66</v>
      </c>
      <c r="D18" s="54" t="s">
        <v>66</v>
      </c>
      <c r="E18" s="43" t="s">
        <v>69</v>
      </c>
      <c r="F18" s="43">
        <v>2</v>
      </c>
      <c r="G18" s="43">
        <v>7335</v>
      </c>
      <c r="H18" s="43">
        <v>14670</v>
      </c>
      <c r="I18" s="42"/>
      <c r="J18" s="55" t="s">
        <v>70</v>
      </c>
      <c r="K18" s="47" t="s">
        <v>149</v>
      </c>
      <c r="L18" s="41"/>
      <c r="M18" s="51"/>
      <c r="N18" s="47"/>
      <c r="O18" s="56"/>
      <c r="P18" s="66"/>
      <c r="Q18" s="52">
        <v>44340</v>
      </c>
    </row>
    <row r="19" spans="2:17" s="46" customFormat="1" ht="19.7" customHeight="1" x14ac:dyDescent="0.15">
      <c r="B19" s="47">
        <v>5</v>
      </c>
      <c r="C19" s="54" t="s">
        <v>66</v>
      </c>
      <c r="D19" s="54" t="s">
        <v>66</v>
      </c>
      <c r="E19" s="43" t="s">
        <v>71</v>
      </c>
      <c r="F19" s="43">
        <v>2</v>
      </c>
      <c r="G19" s="43">
        <v>7026</v>
      </c>
      <c r="H19" s="43">
        <v>14052</v>
      </c>
      <c r="I19" s="42"/>
      <c r="J19" s="55" t="s">
        <v>72</v>
      </c>
      <c r="K19" s="47" t="s">
        <v>149</v>
      </c>
      <c r="L19" s="41"/>
      <c r="M19" s="51"/>
      <c r="N19" s="47"/>
      <c r="O19" s="56"/>
      <c r="P19" s="66"/>
      <c r="Q19" s="52">
        <v>44340</v>
      </c>
    </row>
    <row r="20" spans="2:17" s="46" customFormat="1" ht="19.7" customHeight="1" x14ac:dyDescent="0.15">
      <c r="B20" s="47">
        <v>5</v>
      </c>
      <c r="C20" s="54" t="s">
        <v>66</v>
      </c>
      <c r="D20" s="54" t="s">
        <v>66</v>
      </c>
      <c r="E20" s="43" t="s">
        <v>73</v>
      </c>
      <c r="F20" s="43">
        <v>4</v>
      </c>
      <c r="G20" s="43">
        <v>2792</v>
      </c>
      <c r="H20" s="43">
        <v>11168</v>
      </c>
      <c r="I20" s="42"/>
      <c r="J20" s="55" t="s">
        <v>74</v>
      </c>
      <c r="K20" s="47" t="s">
        <v>149</v>
      </c>
      <c r="L20" s="41"/>
      <c r="M20" s="51"/>
      <c r="N20" s="47"/>
      <c r="O20" s="57"/>
      <c r="P20" s="66"/>
      <c r="Q20" s="52">
        <v>44340</v>
      </c>
    </row>
    <row r="21" spans="2:17" s="46" customFormat="1" ht="19.7" customHeight="1" x14ac:dyDescent="0.15">
      <c r="B21" s="47">
        <v>5</v>
      </c>
      <c r="C21" s="54" t="s">
        <v>66</v>
      </c>
      <c r="D21" s="54" t="s">
        <v>66</v>
      </c>
      <c r="E21" s="43" t="s">
        <v>75</v>
      </c>
      <c r="F21" s="43">
        <v>4</v>
      </c>
      <c r="G21" s="43">
        <v>2998</v>
      </c>
      <c r="H21" s="43">
        <v>11992</v>
      </c>
      <c r="I21" s="42"/>
      <c r="J21" s="55" t="s">
        <v>76</v>
      </c>
      <c r="K21" s="47" t="s">
        <v>149</v>
      </c>
      <c r="L21" s="41"/>
      <c r="M21" s="51"/>
      <c r="N21" s="47"/>
      <c r="O21" s="41"/>
      <c r="P21" s="70"/>
      <c r="Q21" s="52">
        <v>44340</v>
      </c>
    </row>
    <row r="22" spans="2:17" s="46" customFormat="1" ht="19.7" customHeight="1" x14ac:dyDescent="0.15">
      <c r="B22" s="47">
        <v>4</v>
      </c>
      <c r="C22" s="54" t="s">
        <v>66</v>
      </c>
      <c r="D22" s="54" t="s">
        <v>66</v>
      </c>
      <c r="E22" s="43" t="s">
        <v>128</v>
      </c>
      <c r="F22" s="43">
        <v>1</v>
      </c>
      <c r="G22" s="43">
        <v>6484</v>
      </c>
      <c r="H22" s="43">
        <v>6484</v>
      </c>
      <c r="I22" s="42"/>
      <c r="J22" s="55" t="s">
        <v>113</v>
      </c>
      <c r="K22" s="47" t="s">
        <v>149</v>
      </c>
      <c r="L22" s="41"/>
      <c r="M22" s="51"/>
      <c r="N22" s="47"/>
      <c r="O22" s="56"/>
      <c r="P22" s="70"/>
      <c r="Q22" s="52">
        <v>44340</v>
      </c>
    </row>
    <row r="23" spans="2:17" s="46" customFormat="1" ht="19.7" customHeight="1" x14ac:dyDescent="0.15">
      <c r="B23" s="47">
        <v>4</v>
      </c>
      <c r="C23" s="54" t="s">
        <v>66</v>
      </c>
      <c r="D23" s="54" t="s">
        <v>66</v>
      </c>
      <c r="E23" s="43" t="s">
        <v>114</v>
      </c>
      <c r="F23" s="43">
        <v>1</v>
      </c>
      <c r="G23" s="43">
        <v>3433</v>
      </c>
      <c r="H23" s="43">
        <v>3433</v>
      </c>
      <c r="I23" s="42"/>
      <c r="J23" s="55" t="s">
        <v>113</v>
      </c>
      <c r="K23" s="47" t="s">
        <v>149</v>
      </c>
      <c r="L23" s="41"/>
      <c r="M23" s="51"/>
      <c r="N23" s="47"/>
      <c r="O23" s="57"/>
      <c r="P23" s="66"/>
      <c r="Q23" s="52">
        <v>44340</v>
      </c>
    </row>
    <row r="24" spans="2:17" s="46" customFormat="1" ht="19.7" customHeight="1" x14ac:dyDescent="0.15">
      <c r="B24" s="47">
        <v>4</v>
      </c>
      <c r="C24" s="54" t="s">
        <v>66</v>
      </c>
      <c r="D24" s="54" t="s">
        <v>66</v>
      </c>
      <c r="E24" s="43" t="s">
        <v>115</v>
      </c>
      <c r="F24" s="43">
        <v>1</v>
      </c>
      <c r="G24" s="43">
        <v>1950</v>
      </c>
      <c r="H24" s="43">
        <v>1950</v>
      </c>
      <c r="I24" s="42"/>
      <c r="J24" s="55" t="s">
        <v>116</v>
      </c>
      <c r="K24" s="47" t="s">
        <v>149</v>
      </c>
      <c r="L24" s="41"/>
      <c r="M24" s="51"/>
      <c r="N24" s="47"/>
      <c r="O24" s="57"/>
      <c r="P24" s="66"/>
      <c r="Q24" s="52">
        <v>44340</v>
      </c>
    </row>
    <row r="25" spans="2:17" s="46" customFormat="1" ht="19.7" customHeight="1" x14ac:dyDescent="0.15">
      <c r="B25" s="47">
        <v>4</v>
      </c>
      <c r="C25" s="54" t="s">
        <v>66</v>
      </c>
      <c r="D25" s="54" t="s">
        <v>66</v>
      </c>
      <c r="E25" s="43" t="s">
        <v>125</v>
      </c>
      <c r="F25" s="43">
        <v>1</v>
      </c>
      <c r="G25" s="43">
        <v>9078</v>
      </c>
      <c r="H25" s="43">
        <v>9078</v>
      </c>
      <c r="I25" s="42"/>
      <c r="J25" s="55" t="s">
        <v>124</v>
      </c>
      <c r="K25" s="47" t="s">
        <v>149</v>
      </c>
      <c r="L25" s="41"/>
      <c r="M25" s="51"/>
      <c r="N25" s="47"/>
      <c r="O25" s="57"/>
      <c r="P25" s="66"/>
      <c r="Q25" s="52">
        <v>44340</v>
      </c>
    </row>
    <row r="26" spans="2:17" s="46" customFormat="1" ht="19.7" customHeight="1" x14ac:dyDescent="0.15">
      <c r="B26" s="47">
        <v>8</v>
      </c>
      <c r="C26" s="54" t="s">
        <v>66</v>
      </c>
      <c r="D26" s="54" t="s">
        <v>66</v>
      </c>
      <c r="E26" s="43" t="s">
        <v>77</v>
      </c>
      <c r="F26" s="43">
        <v>1</v>
      </c>
      <c r="G26" s="43">
        <v>6450</v>
      </c>
      <c r="H26" s="43">
        <v>6450</v>
      </c>
      <c r="I26" s="42"/>
      <c r="J26" s="55" t="s">
        <v>78</v>
      </c>
      <c r="K26" s="47" t="s">
        <v>149</v>
      </c>
      <c r="L26" s="41"/>
      <c r="M26" s="51"/>
      <c r="N26" s="47"/>
      <c r="O26" s="41"/>
      <c r="P26" s="70"/>
      <c r="Q26" s="52">
        <v>44340</v>
      </c>
    </row>
    <row r="27" spans="2:17" s="46" customFormat="1" ht="19.7" customHeight="1" x14ac:dyDescent="0.15">
      <c r="B27" s="47">
        <v>8</v>
      </c>
      <c r="C27" s="54" t="s">
        <v>66</v>
      </c>
      <c r="D27" s="54" t="s">
        <v>66</v>
      </c>
      <c r="E27" s="43" t="s">
        <v>79</v>
      </c>
      <c r="F27" s="43">
        <v>1</v>
      </c>
      <c r="G27" s="43">
        <v>5020</v>
      </c>
      <c r="H27" s="43">
        <v>5020</v>
      </c>
      <c r="I27" s="42"/>
      <c r="J27" s="55" t="s">
        <v>80</v>
      </c>
      <c r="K27" s="47" t="s">
        <v>149</v>
      </c>
      <c r="L27" s="41"/>
      <c r="M27" s="51"/>
      <c r="N27" s="47"/>
      <c r="O27" s="41"/>
      <c r="P27" s="70"/>
      <c r="Q27" s="52">
        <v>44340</v>
      </c>
    </row>
    <row r="28" spans="2:17" s="46" customFormat="1" ht="19.7" customHeight="1" x14ac:dyDescent="0.15">
      <c r="B28" s="47">
        <v>5</v>
      </c>
      <c r="C28" s="54" t="s">
        <v>66</v>
      </c>
      <c r="D28" s="54" t="s">
        <v>66</v>
      </c>
      <c r="E28" s="43" t="s">
        <v>81</v>
      </c>
      <c r="F28" s="43">
        <v>1</v>
      </c>
      <c r="G28" s="43">
        <v>3400</v>
      </c>
      <c r="H28" s="43">
        <v>3400</v>
      </c>
      <c r="I28" s="42"/>
      <c r="J28" s="55" t="s">
        <v>82</v>
      </c>
      <c r="K28" s="47" t="s">
        <v>149</v>
      </c>
      <c r="L28" s="41"/>
      <c r="M28" s="51"/>
      <c r="N28" s="47"/>
      <c r="O28" s="41"/>
      <c r="P28" s="70"/>
      <c r="Q28" s="52">
        <v>44340</v>
      </c>
    </row>
    <row r="29" spans="2:17" s="46" customFormat="1" ht="19.7" customHeight="1" x14ac:dyDescent="0.15">
      <c r="B29" s="47">
        <v>5</v>
      </c>
      <c r="C29" s="54" t="s">
        <v>66</v>
      </c>
      <c r="D29" s="54" t="s">
        <v>66</v>
      </c>
      <c r="E29" s="43" t="s">
        <v>83</v>
      </c>
      <c r="F29" s="43">
        <v>1</v>
      </c>
      <c r="G29" s="43">
        <v>1840</v>
      </c>
      <c r="H29" s="43">
        <v>1840</v>
      </c>
      <c r="I29" s="42"/>
      <c r="J29" s="55" t="s">
        <v>84</v>
      </c>
      <c r="K29" s="47" t="s">
        <v>149</v>
      </c>
      <c r="L29" s="41"/>
      <c r="M29" s="51"/>
      <c r="N29" s="47"/>
      <c r="O29" s="41"/>
      <c r="P29" s="70"/>
      <c r="Q29" s="52">
        <v>44340</v>
      </c>
    </row>
    <row r="30" spans="2:17" s="46" customFormat="1" ht="19.7" customHeight="1" x14ac:dyDescent="0.15">
      <c r="B30" s="47">
        <v>5</v>
      </c>
      <c r="C30" s="54" t="s">
        <v>66</v>
      </c>
      <c r="D30" s="54" t="s">
        <v>66</v>
      </c>
      <c r="E30" s="43" t="s">
        <v>85</v>
      </c>
      <c r="F30" s="43">
        <v>3</v>
      </c>
      <c r="G30" s="43">
        <v>1840</v>
      </c>
      <c r="H30" s="43">
        <v>5520</v>
      </c>
      <c r="I30" s="42"/>
      <c r="J30" s="55" t="s">
        <v>86</v>
      </c>
      <c r="K30" s="47" t="s">
        <v>149</v>
      </c>
      <c r="L30" s="41"/>
      <c r="M30" s="51"/>
      <c r="N30" s="47"/>
      <c r="O30" s="41"/>
      <c r="P30" s="70"/>
      <c r="Q30" s="52">
        <v>44340</v>
      </c>
    </row>
    <row r="31" spans="2:17" s="46" customFormat="1" ht="19.7" customHeight="1" x14ac:dyDescent="0.15">
      <c r="B31" s="47">
        <v>8</v>
      </c>
      <c r="C31" s="54" t="s">
        <v>66</v>
      </c>
      <c r="D31" s="54" t="s">
        <v>66</v>
      </c>
      <c r="E31" s="43" t="s">
        <v>87</v>
      </c>
      <c r="F31" s="43">
        <v>2</v>
      </c>
      <c r="G31" s="43">
        <v>5489</v>
      </c>
      <c r="H31" s="43">
        <v>10978</v>
      </c>
      <c r="I31" s="42"/>
      <c r="J31" s="43" t="s">
        <v>135</v>
      </c>
      <c r="K31" s="47" t="s">
        <v>149</v>
      </c>
      <c r="L31" s="41"/>
      <c r="M31" s="51"/>
      <c r="N31" s="47"/>
      <c r="O31" s="41"/>
      <c r="P31" s="70"/>
      <c r="Q31" s="52">
        <v>44340</v>
      </c>
    </row>
    <row r="32" spans="2:17" customFormat="1" ht="19.5" customHeight="1" x14ac:dyDescent="0.15">
      <c r="B32" s="41">
        <v>8</v>
      </c>
      <c r="C32" s="54" t="s">
        <v>66</v>
      </c>
      <c r="D32" s="54" t="s">
        <v>66</v>
      </c>
      <c r="E32" s="43" t="s">
        <v>89</v>
      </c>
      <c r="F32" s="43">
        <v>2</v>
      </c>
      <c r="G32" s="43">
        <v>468</v>
      </c>
      <c r="H32" s="43">
        <v>936</v>
      </c>
      <c r="I32" s="50"/>
      <c r="J32" s="43" t="s">
        <v>136</v>
      </c>
      <c r="K32" s="47" t="s">
        <v>149</v>
      </c>
      <c r="L32" s="41"/>
      <c r="M32" s="51"/>
      <c r="N32" s="43"/>
      <c r="O32" s="50"/>
      <c r="P32" s="70"/>
      <c r="Q32" s="52">
        <v>44340</v>
      </c>
    </row>
    <row r="33" spans="2:17" customFormat="1" ht="19.5" customHeight="1" x14ac:dyDescent="0.15">
      <c r="B33" s="41">
        <v>8</v>
      </c>
      <c r="C33" s="54" t="s">
        <v>66</v>
      </c>
      <c r="D33" s="54" t="s">
        <v>66</v>
      </c>
      <c r="E33" s="43" t="s">
        <v>90</v>
      </c>
      <c r="F33" s="43">
        <v>1</v>
      </c>
      <c r="G33" s="43">
        <v>2789</v>
      </c>
      <c r="H33" s="43">
        <v>2789</v>
      </c>
      <c r="I33" s="50"/>
      <c r="J33" s="43" t="s">
        <v>137</v>
      </c>
      <c r="K33" s="47" t="s">
        <v>149</v>
      </c>
      <c r="L33" s="41"/>
      <c r="M33" s="51"/>
      <c r="N33" s="43"/>
      <c r="O33" s="50"/>
      <c r="P33" s="70"/>
      <c r="Q33" s="52">
        <v>44340</v>
      </c>
    </row>
    <row r="34" spans="2:17" customFormat="1" ht="19.5" customHeight="1" x14ac:dyDescent="0.15">
      <c r="B34" s="41">
        <v>8</v>
      </c>
      <c r="C34" s="54" t="s">
        <v>66</v>
      </c>
      <c r="D34" s="54" t="s">
        <v>66</v>
      </c>
      <c r="E34" s="43" t="s">
        <v>91</v>
      </c>
      <c r="F34" s="43">
        <v>2</v>
      </c>
      <c r="G34" s="43">
        <v>2830</v>
      </c>
      <c r="H34" s="43">
        <v>5660</v>
      </c>
      <c r="I34" s="50"/>
      <c r="J34" s="43" t="s">
        <v>138</v>
      </c>
      <c r="K34" s="47" t="s">
        <v>149</v>
      </c>
      <c r="L34" s="41"/>
      <c r="M34" s="51"/>
      <c r="N34" s="43"/>
      <c r="O34" s="50"/>
      <c r="P34" s="70"/>
      <c r="Q34" s="52">
        <v>44340</v>
      </c>
    </row>
    <row r="35" spans="2:17" customFormat="1" ht="19.5" customHeight="1" x14ac:dyDescent="0.15">
      <c r="B35" s="41">
        <v>8</v>
      </c>
      <c r="C35" s="54" t="s">
        <v>66</v>
      </c>
      <c r="D35" s="54" t="s">
        <v>66</v>
      </c>
      <c r="E35" s="43" t="s">
        <v>92</v>
      </c>
      <c r="F35" s="43">
        <v>6</v>
      </c>
      <c r="G35" s="43">
        <v>280</v>
      </c>
      <c r="H35" s="43">
        <v>1680</v>
      </c>
      <c r="I35" s="50"/>
      <c r="J35" s="43" t="s">
        <v>139</v>
      </c>
      <c r="K35" s="47" t="s">
        <v>149</v>
      </c>
      <c r="L35" s="41"/>
      <c r="M35" s="51"/>
      <c r="N35" s="43"/>
      <c r="O35" s="50"/>
      <c r="P35" s="70"/>
      <c r="Q35" s="52">
        <v>44340</v>
      </c>
    </row>
    <row r="36" spans="2:17" customFormat="1" ht="19.5" customHeight="1" x14ac:dyDescent="0.15">
      <c r="B36" s="41">
        <v>8</v>
      </c>
      <c r="C36" s="54" t="s">
        <v>66</v>
      </c>
      <c r="D36" s="54" t="s">
        <v>66</v>
      </c>
      <c r="E36" s="43" t="s">
        <v>93</v>
      </c>
      <c r="F36" s="43">
        <v>1</v>
      </c>
      <c r="G36" s="43">
        <v>1650</v>
      </c>
      <c r="H36" s="43">
        <v>1650</v>
      </c>
      <c r="I36" s="50"/>
      <c r="J36" s="43" t="s">
        <v>140</v>
      </c>
      <c r="K36" s="47" t="s">
        <v>149</v>
      </c>
      <c r="L36" s="41"/>
      <c r="M36" s="51"/>
      <c r="N36" s="43"/>
      <c r="O36" s="50"/>
      <c r="P36" s="70"/>
      <c r="Q36" s="52">
        <v>44340</v>
      </c>
    </row>
    <row r="37" spans="2:17" customFormat="1" ht="19.5" customHeight="1" x14ac:dyDescent="0.15">
      <c r="B37" s="41">
        <v>8</v>
      </c>
      <c r="C37" s="54" t="s">
        <v>66</v>
      </c>
      <c r="D37" s="54" t="s">
        <v>66</v>
      </c>
      <c r="E37" s="43" t="s">
        <v>94</v>
      </c>
      <c r="F37" s="43">
        <v>1</v>
      </c>
      <c r="G37" s="43">
        <v>1770</v>
      </c>
      <c r="H37" s="43">
        <v>1770</v>
      </c>
      <c r="I37" s="50"/>
      <c r="J37" s="43" t="s">
        <v>140</v>
      </c>
      <c r="K37" s="47" t="s">
        <v>149</v>
      </c>
      <c r="L37" s="41"/>
      <c r="M37" s="51"/>
      <c r="N37" s="43"/>
      <c r="O37" s="50"/>
      <c r="P37" s="70"/>
      <c r="Q37" s="52">
        <v>44340</v>
      </c>
    </row>
    <row r="38" spans="2:17" customFormat="1" ht="19.5" customHeight="1" x14ac:dyDescent="0.15">
      <c r="B38" s="4">
        <v>8</v>
      </c>
      <c r="C38" s="54" t="s">
        <v>66</v>
      </c>
      <c r="D38" s="54" t="s">
        <v>66</v>
      </c>
      <c r="E38" s="43" t="s">
        <v>95</v>
      </c>
      <c r="F38" s="43">
        <v>2</v>
      </c>
      <c r="G38" s="43">
        <v>220</v>
      </c>
      <c r="H38" s="43">
        <v>440</v>
      </c>
      <c r="I38" s="50"/>
      <c r="J38" s="43" t="s">
        <v>141</v>
      </c>
      <c r="K38" s="47" t="s">
        <v>149</v>
      </c>
      <c r="L38" s="41"/>
      <c r="M38" s="60"/>
      <c r="N38" s="59"/>
      <c r="O38" s="61"/>
      <c r="P38" s="71"/>
      <c r="Q38" s="52">
        <v>44340</v>
      </c>
    </row>
    <row r="39" spans="2:17" customFormat="1" ht="19.5" customHeight="1" x14ac:dyDescent="0.15">
      <c r="B39" s="41">
        <v>8</v>
      </c>
      <c r="C39" s="48" t="s">
        <v>96</v>
      </c>
      <c r="D39" s="54" t="s">
        <v>66</v>
      </c>
      <c r="E39" s="43" t="s">
        <v>129</v>
      </c>
      <c r="F39" s="43">
        <v>1</v>
      </c>
      <c r="G39" s="43">
        <v>66</v>
      </c>
      <c r="H39" s="43">
        <v>66</v>
      </c>
      <c r="I39" s="50"/>
      <c r="J39" s="43" t="s">
        <v>142</v>
      </c>
      <c r="K39" s="47" t="s">
        <v>149</v>
      </c>
      <c r="L39" s="41"/>
      <c r="M39" s="51"/>
      <c r="N39" s="43"/>
      <c r="O39" s="50"/>
      <c r="P39" s="70"/>
      <c r="Q39" s="52">
        <v>44340</v>
      </c>
    </row>
    <row r="40" spans="2:17" customFormat="1" ht="19.5" customHeight="1" x14ac:dyDescent="0.15">
      <c r="B40" s="41">
        <v>8</v>
      </c>
      <c r="C40" s="48" t="s">
        <v>96</v>
      </c>
      <c r="D40" s="54" t="s">
        <v>66</v>
      </c>
      <c r="E40" s="43" t="s">
        <v>130</v>
      </c>
      <c r="F40" s="43">
        <v>1</v>
      </c>
      <c r="G40" s="43">
        <v>460</v>
      </c>
      <c r="H40" s="43">
        <v>460</v>
      </c>
      <c r="I40" s="50"/>
      <c r="J40" s="43" t="s">
        <v>143</v>
      </c>
      <c r="K40" s="47" t="s">
        <v>149</v>
      </c>
      <c r="L40" s="41"/>
      <c r="M40" s="51"/>
      <c r="N40" s="43"/>
      <c r="O40" s="50"/>
      <c r="P40" s="70"/>
      <c r="Q40" s="52">
        <v>44340</v>
      </c>
    </row>
    <row r="41" spans="2:17" customFormat="1" ht="19.5" customHeight="1" x14ac:dyDescent="0.15">
      <c r="B41" s="41">
        <v>8</v>
      </c>
      <c r="C41" s="48" t="s">
        <v>96</v>
      </c>
      <c r="D41" s="54" t="s">
        <v>66</v>
      </c>
      <c r="E41" s="43" t="s">
        <v>131</v>
      </c>
      <c r="F41" s="43">
        <v>1</v>
      </c>
      <c r="G41" s="43">
        <v>72</v>
      </c>
      <c r="H41" s="43">
        <v>72</v>
      </c>
      <c r="I41" s="50"/>
      <c r="J41" s="43" t="s">
        <v>142</v>
      </c>
      <c r="K41" s="47" t="s">
        <v>149</v>
      </c>
      <c r="L41" s="41"/>
      <c r="M41" s="51"/>
      <c r="N41" s="43"/>
      <c r="O41" s="50"/>
      <c r="P41" s="70"/>
      <c r="Q41" s="52">
        <v>44340</v>
      </c>
    </row>
    <row r="42" spans="2:17" customFormat="1" ht="19.5" customHeight="1" x14ac:dyDescent="0.15">
      <c r="B42" s="41">
        <v>8</v>
      </c>
      <c r="C42" s="48" t="s">
        <v>96</v>
      </c>
      <c r="D42" s="54" t="s">
        <v>66</v>
      </c>
      <c r="E42" s="43" t="s">
        <v>132</v>
      </c>
      <c r="F42" s="43">
        <v>1</v>
      </c>
      <c r="G42" s="43">
        <v>130</v>
      </c>
      <c r="H42" s="43">
        <v>130</v>
      </c>
      <c r="I42" s="50"/>
      <c r="J42" s="43" t="s">
        <v>144</v>
      </c>
      <c r="K42" s="47" t="s">
        <v>149</v>
      </c>
      <c r="L42" s="41"/>
      <c r="M42" s="51"/>
      <c r="N42" s="43"/>
      <c r="O42" s="50"/>
      <c r="P42" s="70"/>
      <c r="Q42" s="52">
        <v>44340</v>
      </c>
    </row>
    <row r="43" spans="2:17" customFormat="1" ht="19.5" customHeight="1" x14ac:dyDescent="0.15">
      <c r="B43" s="41">
        <v>8</v>
      </c>
      <c r="C43" s="48" t="s">
        <v>96</v>
      </c>
      <c r="D43" s="54" t="s">
        <v>66</v>
      </c>
      <c r="E43" s="43" t="s">
        <v>133</v>
      </c>
      <c r="F43" s="43">
        <v>1</v>
      </c>
      <c r="G43" s="43">
        <v>280</v>
      </c>
      <c r="H43" s="43">
        <v>280</v>
      </c>
      <c r="I43" s="50"/>
      <c r="J43" s="43" t="s">
        <v>145</v>
      </c>
      <c r="K43" s="47" t="s">
        <v>149</v>
      </c>
      <c r="L43" s="41"/>
      <c r="M43" s="51"/>
      <c r="N43" s="43"/>
      <c r="O43" s="50"/>
      <c r="P43" s="70"/>
      <c r="Q43" s="52">
        <v>44340</v>
      </c>
    </row>
    <row r="44" spans="2:17" customFormat="1" ht="19.5" customHeight="1" x14ac:dyDescent="0.15">
      <c r="B44" s="41">
        <v>8</v>
      </c>
      <c r="C44" s="48" t="s">
        <v>96</v>
      </c>
      <c r="D44" s="54" t="s">
        <v>66</v>
      </c>
      <c r="E44" s="43" t="s">
        <v>134</v>
      </c>
      <c r="F44" s="43">
        <v>2</v>
      </c>
      <c r="G44" s="43">
        <v>270</v>
      </c>
      <c r="H44" s="43">
        <v>540</v>
      </c>
      <c r="I44" s="50"/>
      <c r="J44" s="43" t="s">
        <v>146</v>
      </c>
      <c r="K44" s="47" t="s">
        <v>149</v>
      </c>
      <c r="L44" s="41"/>
      <c r="M44" s="51"/>
      <c r="N44" s="43"/>
      <c r="O44" s="50"/>
      <c r="P44" s="70"/>
      <c r="Q44" s="52">
        <v>44340</v>
      </c>
    </row>
    <row r="45" spans="2:17" customFormat="1" ht="19.5" customHeight="1" x14ac:dyDescent="0.15">
      <c r="B45" s="41">
        <v>8</v>
      </c>
      <c r="C45" s="48" t="s">
        <v>96</v>
      </c>
      <c r="D45" s="54" t="s">
        <v>66</v>
      </c>
      <c r="E45" s="43" t="s">
        <v>120</v>
      </c>
      <c r="F45" s="43">
        <v>5</v>
      </c>
      <c r="G45" s="43">
        <v>209</v>
      </c>
      <c r="H45" s="43">
        <v>1045</v>
      </c>
      <c r="I45" s="50"/>
      <c r="J45" s="43" t="s">
        <v>147</v>
      </c>
      <c r="K45" s="47" t="s">
        <v>149</v>
      </c>
      <c r="L45" s="41"/>
      <c r="M45" s="51"/>
      <c r="N45" s="43"/>
      <c r="O45" s="50"/>
      <c r="P45" s="70"/>
      <c r="Q45" s="52">
        <v>44340</v>
      </c>
    </row>
    <row r="46" spans="2:17" customFormat="1" ht="19.5" customHeight="1" x14ac:dyDescent="0.15">
      <c r="B46" s="41">
        <v>8</v>
      </c>
      <c r="C46" s="48" t="s">
        <v>96</v>
      </c>
      <c r="D46" s="54" t="s">
        <v>66</v>
      </c>
      <c r="E46" s="43" t="s">
        <v>121</v>
      </c>
      <c r="F46" s="43">
        <v>2</v>
      </c>
      <c r="G46" s="43">
        <v>786</v>
      </c>
      <c r="H46" s="43">
        <v>1572</v>
      </c>
      <c r="I46" s="50"/>
      <c r="J46" s="43" t="s">
        <v>148</v>
      </c>
      <c r="K46" s="47" t="s">
        <v>149</v>
      </c>
      <c r="L46" s="41"/>
      <c r="M46" s="51"/>
      <c r="N46" s="43"/>
      <c r="O46" s="50"/>
      <c r="P46" s="70"/>
      <c r="Q46" s="52">
        <v>44340</v>
      </c>
    </row>
    <row r="47" spans="2:17" customFormat="1" ht="19.5" customHeight="1" x14ac:dyDescent="0.15">
      <c r="B47" s="41">
        <v>8</v>
      </c>
      <c r="C47" s="48" t="s">
        <v>98</v>
      </c>
      <c r="D47" s="48" t="s">
        <v>98</v>
      </c>
      <c r="E47" s="49" t="s">
        <v>99</v>
      </c>
      <c r="F47" s="43">
        <v>1</v>
      </c>
      <c r="G47" s="43">
        <v>16100</v>
      </c>
      <c r="H47" s="43">
        <f>F47*G47</f>
        <v>16100</v>
      </c>
      <c r="I47" s="50"/>
      <c r="J47" s="49" t="s">
        <v>100</v>
      </c>
      <c r="K47" s="63"/>
      <c r="L47" s="41"/>
      <c r="M47" s="51">
        <v>44329</v>
      </c>
      <c r="N47" s="43"/>
      <c r="O47" s="50"/>
      <c r="P47" s="70"/>
      <c r="Q47" s="52">
        <v>44342</v>
      </c>
    </row>
    <row r="48" spans="2:17" customFormat="1" ht="19.5" customHeight="1" x14ac:dyDescent="0.15">
      <c r="B48" s="41">
        <v>8</v>
      </c>
      <c r="C48" s="48" t="s">
        <v>98</v>
      </c>
      <c r="D48" s="48" t="s">
        <v>98</v>
      </c>
      <c r="E48" s="49" t="s">
        <v>101</v>
      </c>
      <c r="F48" s="43">
        <v>1</v>
      </c>
      <c r="G48" s="43">
        <v>11500</v>
      </c>
      <c r="H48" s="43">
        <f t="shared" ref="H48:H52" si="0">F48*G48</f>
        <v>11500</v>
      </c>
      <c r="I48" s="50"/>
      <c r="J48" s="49" t="s">
        <v>102</v>
      </c>
      <c r="K48" s="63"/>
      <c r="L48" s="41"/>
      <c r="M48" s="51">
        <v>44329</v>
      </c>
      <c r="N48" s="43"/>
      <c r="O48" s="50"/>
      <c r="P48" s="70"/>
      <c r="Q48" s="52">
        <v>44342</v>
      </c>
    </row>
    <row r="49" spans="2:17" customFormat="1" ht="19.5" customHeight="1" x14ac:dyDescent="0.15">
      <c r="B49" s="41">
        <v>8</v>
      </c>
      <c r="C49" s="48" t="s">
        <v>98</v>
      </c>
      <c r="D49" s="48" t="s">
        <v>98</v>
      </c>
      <c r="E49" s="49" t="s">
        <v>103</v>
      </c>
      <c r="F49" s="43">
        <v>1</v>
      </c>
      <c r="G49" s="43">
        <v>6800</v>
      </c>
      <c r="H49" s="43">
        <f t="shared" si="0"/>
        <v>6800</v>
      </c>
      <c r="I49" s="50"/>
      <c r="J49" s="49" t="s">
        <v>104</v>
      </c>
      <c r="K49" s="63"/>
      <c r="L49" s="41"/>
      <c r="M49" s="51">
        <v>44329</v>
      </c>
      <c r="N49" s="43"/>
      <c r="O49" s="50"/>
      <c r="P49" s="70"/>
      <c r="Q49" s="52">
        <v>44342</v>
      </c>
    </row>
    <row r="50" spans="2:17" customFormat="1" ht="19.5" customHeight="1" x14ac:dyDescent="0.15">
      <c r="B50" s="41">
        <v>8</v>
      </c>
      <c r="C50" s="48" t="s">
        <v>98</v>
      </c>
      <c r="D50" s="48" t="s">
        <v>98</v>
      </c>
      <c r="E50" s="49" t="s">
        <v>105</v>
      </c>
      <c r="F50" s="43">
        <v>1</v>
      </c>
      <c r="G50" s="43">
        <v>3000</v>
      </c>
      <c r="H50" s="43">
        <f t="shared" si="0"/>
        <v>3000</v>
      </c>
      <c r="I50" s="50"/>
      <c r="J50" s="49" t="s">
        <v>106</v>
      </c>
      <c r="K50" s="63"/>
      <c r="L50" s="41"/>
      <c r="M50" s="51">
        <v>44329</v>
      </c>
      <c r="N50" s="43"/>
      <c r="O50" s="50"/>
      <c r="P50" s="70"/>
      <c r="Q50" s="52">
        <v>44342</v>
      </c>
    </row>
    <row r="51" spans="2:17" customFormat="1" ht="19.5" customHeight="1" x14ac:dyDescent="0.15">
      <c r="B51" s="41">
        <v>8</v>
      </c>
      <c r="C51" s="48" t="s">
        <v>98</v>
      </c>
      <c r="D51" s="48" t="s">
        <v>98</v>
      </c>
      <c r="E51" s="55" t="s">
        <v>107</v>
      </c>
      <c r="F51" s="43">
        <v>1</v>
      </c>
      <c r="G51" s="43">
        <v>18300</v>
      </c>
      <c r="H51" s="43">
        <f t="shared" si="0"/>
        <v>18300</v>
      </c>
      <c r="I51" s="42"/>
      <c r="J51" s="55" t="s">
        <v>107</v>
      </c>
      <c r="K51" s="63"/>
      <c r="L51" s="41"/>
      <c r="M51" s="51">
        <v>44329</v>
      </c>
      <c r="N51" s="43"/>
      <c r="O51" s="50"/>
      <c r="P51" s="70"/>
      <c r="Q51" s="52">
        <v>44342</v>
      </c>
    </row>
    <row r="52" spans="2:17" customFormat="1" ht="19.5" customHeight="1" x14ac:dyDescent="0.15">
      <c r="B52" s="41">
        <v>8</v>
      </c>
      <c r="C52" s="48" t="s">
        <v>108</v>
      </c>
      <c r="D52" s="43"/>
      <c r="E52" s="49" t="s">
        <v>109</v>
      </c>
      <c r="F52" s="43">
        <v>1</v>
      </c>
      <c r="G52" s="43">
        <v>7</v>
      </c>
      <c r="H52" s="43">
        <f t="shared" si="0"/>
        <v>7</v>
      </c>
      <c r="I52" s="50"/>
      <c r="J52" s="49" t="s">
        <v>97</v>
      </c>
      <c r="K52" s="63"/>
      <c r="L52" s="41"/>
      <c r="M52" s="51">
        <v>44329</v>
      </c>
      <c r="N52" s="43"/>
      <c r="O52" s="66">
        <v>44340</v>
      </c>
      <c r="P52" s="70"/>
      <c r="Q52" s="52">
        <v>44333</v>
      </c>
    </row>
    <row r="53" spans="2:17" customFormat="1" ht="19.5" customHeight="1" x14ac:dyDescent="0.15">
      <c r="B53" s="41">
        <v>8</v>
      </c>
      <c r="C53" s="48" t="s">
        <v>110</v>
      </c>
      <c r="D53" s="43" t="s">
        <v>118</v>
      </c>
      <c r="E53" s="49" t="s">
        <v>111</v>
      </c>
      <c r="F53" s="43">
        <v>1</v>
      </c>
      <c r="G53" s="43">
        <v>5000</v>
      </c>
      <c r="H53" s="64">
        <f t="shared" ref="H53:H57" si="1">F53*G53</f>
        <v>5000</v>
      </c>
      <c r="I53" s="50"/>
      <c r="J53" s="49" t="s">
        <v>112</v>
      </c>
      <c r="K53" s="63"/>
      <c r="L53" s="41"/>
      <c r="M53" s="51">
        <v>44329</v>
      </c>
      <c r="N53" s="43"/>
      <c r="O53" s="66">
        <v>44340</v>
      </c>
      <c r="P53" s="70">
        <v>44340</v>
      </c>
      <c r="Q53" s="52">
        <v>44337</v>
      </c>
    </row>
    <row r="54" spans="2:17" s="46" customFormat="1" ht="19.5" customHeight="1" x14ac:dyDescent="0.15">
      <c r="B54" s="47">
        <v>8</v>
      </c>
      <c r="C54" s="48" t="s">
        <v>110</v>
      </c>
      <c r="D54" s="43" t="s">
        <v>118</v>
      </c>
      <c r="E54" s="44" t="s">
        <v>88</v>
      </c>
      <c r="F54" s="43">
        <v>2</v>
      </c>
      <c r="G54" s="58">
        <v>2140</v>
      </c>
      <c r="H54" s="64">
        <f t="shared" si="1"/>
        <v>4280</v>
      </c>
      <c r="I54" s="42"/>
      <c r="J54" s="43" t="s">
        <v>127</v>
      </c>
      <c r="K54" s="63"/>
      <c r="L54" s="41"/>
      <c r="M54" s="51">
        <v>44329</v>
      </c>
      <c r="N54" s="47"/>
      <c r="O54" s="66">
        <v>44340</v>
      </c>
      <c r="P54" s="70">
        <v>44340</v>
      </c>
      <c r="Q54" s="52">
        <v>44337</v>
      </c>
    </row>
    <row r="55" spans="2:17" customFormat="1" ht="19.5" customHeight="1" x14ac:dyDescent="0.15">
      <c r="B55" s="41">
        <v>4</v>
      </c>
      <c r="C55" s="48" t="s">
        <v>110</v>
      </c>
      <c r="D55" s="43" t="s">
        <v>118</v>
      </c>
      <c r="E55" s="43" t="s">
        <v>117</v>
      </c>
      <c r="F55" s="43">
        <v>1</v>
      </c>
      <c r="G55" s="43">
        <v>8060</v>
      </c>
      <c r="H55" s="64">
        <f t="shared" si="1"/>
        <v>8060</v>
      </c>
      <c r="I55" s="50"/>
      <c r="J55" s="43" t="s">
        <v>119</v>
      </c>
      <c r="K55" s="63"/>
      <c r="L55" s="41"/>
      <c r="M55" s="51">
        <v>44329</v>
      </c>
      <c r="N55" s="43"/>
      <c r="O55" s="66">
        <v>44340</v>
      </c>
      <c r="P55" s="72">
        <v>44350</v>
      </c>
      <c r="Q55" s="52">
        <v>44349</v>
      </c>
    </row>
    <row r="56" spans="2:17" customFormat="1" ht="19.5" customHeight="1" x14ac:dyDescent="0.15">
      <c r="B56" s="41">
        <v>4</v>
      </c>
      <c r="C56" s="48" t="s">
        <v>110</v>
      </c>
      <c r="D56" s="43" t="s">
        <v>118</v>
      </c>
      <c r="E56" s="43" t="s">
        <v>122</v>
      </c>
      <c r="F56" s="43">
        <v>1</v>
      </c>
      <c r="G56" s="43">
        <v>30480</v>
      </c>
      <c r="H56" s="64">
        <f t="shared" si="1"/>
        <v>30480</v>
      </c>
      <c r="I56" s="50"/>
      <c r="J56" s="43" t="s">
        <v>123</v>
      </c>
      <c r="K56" s="63"/>
      <c r="L56" s="41"/>
      <c r="M56" s="51">
        <v>44329</v>
      </c>
      <c r="N56" s="43"/>
      <c r="O56" s="66">
        <v>44340</v>
      </c>
      <c r="P56" s="70">
        <v>44340</v>
      </c>
      <c r="Q56" s="52">
        <v>44337</v>
      </c>
    </row>
    <row r="57" spans="2:17" customFormat="1" ht="19.5" customHeight="1" x14ac:dyDescent="0.15">
      <c r="B57" s="41">
        <v>4</v>
      </c>
      <c r="C57" s="48" t="s">
        <v>110</v>
      </c>
      <c r="D57" s="43" t="s">
        <v>118</v>
      </c>
      <c r="E57" s="43" t="s">
        <v>150</v>
      </c>
      <c r="F57" s="43">
        <v>1</v>
      </c>
      <c r="G57" s="43">
        <v>8060</v>
      </c>
      <c r="H57" s="65">
        <f t="shared" si="1"/>
        <v>8060</v>
      </c>
      <c r="I57" s="50"/>
      <c r="J57" s="43" t="s">
        <v>151</v>
      </c>
      <c r="K57" s="43"/>
      <c r="L57" s="41"/>
      <c r="M57" s="51">
        <v>44348</v>
      </c>
      <c r="N57" s="43"/>
      <c r="O57" s="66">
        <v>44355</v>
      </c>
      <c r="P57" s="70"/>
      <c r="Q57" s="52">
        <v>44355</v>
      </c>
    </row>
    <row r="58" spans="2:17" s="46" customFormat="1" ht="19.7" customHeight="1" x14ac:dyDescent="0.15">
      <c r="B58" s="47"/>
      <c r="C58" s="47"/>
      <c r="D58" s="47"/>
      <c r="E58" s="41"/>
      <c r="F58" s="41"/>
      <c r="G58" s="41"/>
      <c r="H58" s="73"/>
      <c r="I58" s="73"/>
      <c r="J58" s="41"/>
      <c r="K58" s="41"/>
      <c r="L58" s="41"/>
      <c r="M58" s="51"/>
      <c r="N58" s="47"/>
      <c r="O58" s="41"/>
      <c r="P58" s="51"/>
      <c r="Q58" s="52"/>
    </row>
    <row r="59" spans="2:17" s="46" customFormat="1" ht="19.7" customHeight="1" x14ac:dyDescent="0.15">
      <c r="B59" s="47">
        <v>8</v>
      </c>
      <c r="C59" s="47" t="s">
        <v>66</v>
      </c>
      <c r="D59" s="47" t="s">
        <v>66</v>
      </c>
      <c r="E59" s="74" t="s">
        <v>152</v>
      </c>
      <c r="F59" s="75">
        <v>1</v>
      </c>
      <c r="G59" s="50">
        <v>5590</v>
      </c>
      <c r="H59" s="76">
        <f>F59*G59</f>
        <v>5590</v>
      </c>
      <c r="I59" s="73"/>
      <c r="J59" s="74" t="s">
        <v>153</v>
      </c>
      <c r="K59" s="47" t="s">
        <v>149</v>
      </c>
      <c r="L59" s="41"/>
      <c r="M59" s="51">
        <v>44403</v>
      </c>
      <c r="N59" s="47"/>
      <c r="O59" s="41"/>
      <c r="P59" s="51"/>
      <c r="Q59" s="52"/>
    </row>
    <row r="60" spans="2:17" s="46" customFormat="1" ht="19.7" customHeight="1" x14ac:dyDescent="0.15">
      <c r="B60" s="47">
        <v>8</v>
      </c>
      <c r="C60" s="47" t="s">
        <v>66</v>
      </c>
      <c r="D60" s="47" t="s">
        <v>66</v>
      </c>
      <c r="E60" s="77" t="s">
        <v>154</v>
      </c>
      <c r="F60" s="75">
        <v>1</v>
      </c>
      <c r="G60" s="75">
        <v>880</v>
      </c>
      <c r="H60" s="76">
        <f t="shared" ref="H60:H63" si="2">F60*G60</f>
        <v>880</v>
      </c>
      <c r="I60" s="78"/>
      <c r="J60" s="37" t="s">
        <v>155</v>
      </c>
      <c r="K60" s="47" t="s">
        <v>149</v>
      </c>
      <c r="L60" s="41"/>
      <c r="M60" s="51">
        <v>44403</v>
      </c>
      <c r="N60" s="47"/>
      <c r="O60" s="41"/>
      <c r="P60" s="51"/>
      <c r="Q60" s="52"/>
    </row>
    <row r="61" spans="2:17" s="46" customFormat="1" ht="19.7" customHeight="1" x14ac:dyDescent="0.15">
      <c r="B61" s="47">
        <v>8</v>
      </c>
      <c r="C61" s="47" t="s">
        <v>66</v>
      </c>
      <c r="D61" s="47" t="s">
        <v>66</v>
      </c>
      <c r="E61" s="77" t="s">
        <v>156</v>
      </c>
      <c r="F61" s="75">
        <v>2</v>
      </c>
      <c r="G61" s="75">
        <v>226</v>
      </c>
      <c r="H61" s="76">
        <f t="shared" si="2"/>
        <v>452</v>
      </c>
      <c r="I61" s="78"/>
      <c r="J61" s="37" t="s">
        <v>157</v>
      </c>
      <c r="K61" s="47" t="s">
        <v>149</v>
      </c>
      <c r="L61" s="41"/>
      <c r="M61" s="51">
        <v>44403</v>
      </c>
      <c r="N61" s="47"/>
      <c r="O61" s="41"/>
      <c r="P61" s="51"/>
      <c r="Q61" s="52"/>
    </row>
    <row r="62" spans="2:17" s="46" customFormat="1" ht="19.7" customHeight="1" x14ac:dyDescent="0.15">
      <c r="B62" s="47">
        <v>8</v>
      </c>
      <c r="C62" s="47" t="s">
        <v>66</v>
      </c>
      <c r="D62" s="47" t="s">
        <v>66</v>
      </c>
      <c r="E62" s="77" t="s">
        <v>158</v>
      </c>
      <c r="F62" s="75">
        <v>1</v>
      </c>
      <c r="G62" s="43">
        <v>9914</v>
      </c>
      <c r="H62" s="76">
        <f t="shared" si="2"/>
        <v>9914</v>
      </c>
      <c r="I62" s="42"/>
      <c r="J62" s="37" t="s">
        <v>159</v>
      </c>
      <c r="K62" s="47" t="s">
        <v>149</v>
      </c>
      <c r="L62" s="41"/>
      <c r="M62" s="51">
        <v>44403</v>
      </c>
      <c r="N62" s="47"/>
      <c r="O62" s="41"/>
      <c r="P62" s="51"/>
      <c r="Q62" s="52"/>
    </row>
    <row r="63" spans="2:17" s="46" customFormat="1" ht="19.7" customHeight="1" x14ac:dyDescent="0.15">
      <c r="B63" s="47">
        <v>8</v>
      </c>
      <c r="C63" s="47" t="s">
        <v>160</v>
      </c>
      <c r="D63" s="47" t="s">
        <v>160</v>
      </c>
      <c r="E63" s="74" t="s">
        <v>161</v>
      </c>
      <c r="F63" s="75">
        <v>1</v>
      </c>
      <c r="G63" s="43">
        <v>5500</v>
      </c>
      <c r="H63" s="76">
        <f t="shared" si="2"/>
        <v>5500</v>
      </c>
      <c r="I63" s="73"/>
      <c r="J63" s="74" t="s">
        <v>161</v>
      </c>
      <c r="K63" s="63" t="s">
        <v>162</v>
      </c>
      <c r="L63" s="41"/>
      <c r="M63" s="51">
        <v>44403</v>
      </c>
      <c r="N63" s="47"/>
      <c r="O63" s="41"/>
      <c r="P63" s="51" t="s">
        <v>163</v>
      </c>
      <c r="Q63" s="52"/>
    </row>
  </sheetData>
  <autoFilter ref="B9:O31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9"/>
  <sheetViews>
    <sheetView workbookViewId="0">
      <selection activeCell="F17" sqref="F17"/>
    </sheetView>
  </sheetViews>
  <sheetFormatPr defaultRowHeight="13.5" x14ac:dyDescent="0.15"/>
  <cols>
    <col min="1" max="1" width="5.625" customWidth="1"/>
    <col min="2" max="2" width="3.5" bestFit="1" customWidth="1"/>
    <col min="3" max="3" width="17.625" customWidth="1"/>
    <col min="4" max="4" width="25.75" bestFit="1" customWidth="1"/>
    <col min="5" max="5" width="5.875" bestFit="1" customWidth="1"/>
    <col min="6" max="6" width="15.625" customWidth="1"/>
  </cols>
  <sheetData>
    <row r="2" spans="1:6" x14ac:dyDescent="0.15">
      <c r="D2" s="1"/>
      <c r="F2" s="1" t="s">
        <v>36</v>
      </c>
    </row>
    <row r="3" spans="1:6" x14ac:dyDescent="0.15">
      <c r="A3" s="3" t="s">
        <v>35</v>
      </c>
    </row>
    <row r="5" spans="1:6" x14ac:dyDescent="0.15">
      <c r="B5" s="4" t="s">
        <v>25</v>
      </c>
      <c r="C5" s="4" t="s">
        <v>23</v>
      </c>
      <c r="D5" s="4" t="s">
        <v>22</v>
      </c>
      <c r="E5" s="4" t="s">
        <v>24</v>
      </c>
      <c r="F5" s="5" t="s">
        <v>26</v>
      </c>
    </row>
    <row r="6" spans="1:6" ht="20.100000000000001" customHeight="1" x14ac:dyDescent="0.15">
      <c r="B6" s="7">
        <v>1</v>
      </c>
      <c r="C6" s="8" t="s">
        <v>29</v>
      </c>
      <c r="D6" s="8" t="s">
        <v>30</v>
      </c>
      <c r="E6" s="7">
        <v>2</v>
      </c>
      <c r="F6" s="83" t="s">
        <v>33</v>
      </c>
    </row>
    <row r="7" spans="1:6" ht="20.100000000000001" customHeight="1" x14ac:dyDescent="0.15">
      <c r="B7" s="7">
        <v>2</v>
      </c>
      <c r="C7" s="9" t="s">
        <v>27</v>
      </c>
      <c r="D7" s="8" t="s">
        <v>28</v>
      </c>
      <c r="E7" s="7">
        <v>2</v>
      </c>
      <c r="F7" s="84"/>
    </row>
    <row r="8" spans="1:6" ht="20.100000000000001" customHeight="1" x14ac:dyDescent="0.15">
      <c r="B8" s="7">
        <v>3</v>
      </c>
      <c r="C8" s="8" t="s">
        <v>37</v>
      </c>
      <c r="D8" s="8" t="s">
        <v>38</v>
      </c>
      <c r="E8" s="7">
        <v>2</v>
      </c>
      <c r="F8" s="85"/>
    </row>
    <row r="9" spans="1:6" ht="20.100000000000001" customHeight="1" x14ac:dyDescent="0.15">
      <c r="B9" s="2">
        <v>4</v>
      </c>
      <c r="C9" s="6" t="s">
        <v>32</v>
      </c>
      <c r="D9" s="6" t="s">
        <v>31</v>
      </c>
      <c r="E9" s="2">
        <v>2</v>
      </c>
      <c r="F9" s="2" t="s">
        <v>34</v>
      </c>
    </row>
  </sheetData>
  <mergeCells count="1">
    <mergeCell ref="F6:F8"/>
  </mergeCells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7E6C-8164-4F52-8047-992D6F23DC29}">
  <dimension ref="A1:B5"/>
  <sheetViews>
    <sheetView view="pageBreakPreview" zoomScaleNormal="100" zoomScaleSheetLayoutView="100" workbookViewId="0">
      <selection activeCell="B13" sqref="B13"/>
    </sheetView>
  </sheetViews>
  <sheetFormatPr defaultRowHeight="13.5" x14ac:dyDescent="0.15"/>
  <cols>
    <col min="1" max="1" width="12.125" bestFit="1" customWidth="1"/>
    <col min="2" max="2" width="26.5" bestFit="1" customWidth="1"/>
  </cols>
  <sheetData>
    <row r="1" spans="1:2" ht="17.25" x14ac:dyDescent="0.15">
      <c r="A1" s="45" t="s">
        <v>11</v>
      </c>
      <c r="B1" s="10" t="s">
        <v>57</v>
      </c>
    </row>
    <row r="2" spans="1:2" ht="17.25" x14ac:dyDescent="0.15">
      <c r="A2" s="45" t="s">
        <v>10</v>
      </c>
      <c r="B2" s="17" t="s">
        <v>39</v>
      </c>
    </row>
    <row r="3" spans="1:2" ht="17.25" x14ac:dyDescent="0.15">
      <c r="A3" s="45" t="s">
        <v>12</v>
      </c>
      <c r="B3" s="17">
        <v>186734</v>
      </c>
    </row>
    <row r="4" spans="1:2" ht="17.25" x14ac:dyDescent="0.15">
      <c r="A4" s="45" t="s">
        <v>13</v>
      </c>
      <c r="B4" s="20"/>
    </row>
    <row r="5" spans="1:2" ht="17.25" x14ac:dyDescent="0.15">
      <c r="A5" s="45" t="s">
        <v>14</v>
      </c>
      <c r="B5" s="20">
        <v>44357</v>
      </c>
    </row>
  </sheetData>
  <phoneticPr fontId="10"/>
  <pageMargins left="0.7" right="0.7" top="0.75" bottom="0.75" header="0.3" footer="0.3"/>
  <pageSetup paperSize="9" scale="23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6:E10"/>
  <sheetViews>
    <sheetView workbookViewId="0">
      <selection activeCell="C6" sqref="C6:E10"/>
    </sheetView>
  </sheetViews>
  <sheetFormatPr defaultRowHeight="13.5" x14ac:dyDescent="0.15"/>
  <cols>
    <col min="3" max="3" width="9" style="39"/>
    <col min="4" max="4" width="27.375" bestFit="1" customWidth="1"/>
  </cols>
  <sheetData>
    <row r="6" spans="3:5" x14ac:dyDescent="0.15">
      <c r="C6" s="40" t="s">
        <v>40</v>
      </c>
      <c r="D6" s="41" t="s">
        <v>41</v>
      </c>
      <c r="E6" s="41" t="s">
        <v>42</v>
      </c>
    </row>
    <row r="7" spans="3:5" x14ac:dyDescent="0.15">
      <c r="C7" s="40">
        <v>10</v>
      </c>
      <c r="D7" s="37" t="s">
        <v>43</v>
      </c>
      <c r="E7" s="31">
        <v>2</v>
      </c>
    </row>
    <row r="8" spans="3:5" x14ac:dyDescent="0.15">
      <c r="C8" s="40">
        <v>22.5</v>
      </c>
      <c r="D8" s="37" t="s">
        <v>44</v>
      </c>
      <c r="E8" s="42">
        <v>2</v>
      </c>
    </row>
    <row r="9" spans="3:5" x14ac:dyDescent="0.15">
      <c r="C9" s="40">
        <v>30</v>
      </c>
      <c r="D9" s="37" t="s">
        <v>45</v>
      </c>
      <c r="E9" s="42">
        <v>2</v>
      </c>
    </row>
    <row r="10" spans="3:5" x14ac:dyDescent="0.15">
      <c r="C10" s="40">
        <v>35</v>
      </c>
      <c r="D10" s="37" t="s">
        <v>46</v>
      </c>
      <c r="E10" s="42">
        <v>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原価表</vt:lpstr>
      <vt:lpstr>治具手配数量</vt:lpstr>
      <vt:lpstr>表紙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2021-05-10T06:24:52Z</cp:lastPrinted>
  <dcterms:created xsi:type="dcterms:W3CDTF">2011-12-13T06:48:43Z</dcterms:created>
  <dcterms:modified xsi:type="dcterms:W3CDTF">2021-08-02T06:12:13Z</dcterms:modified>
</cp:coreProperties>
</file>