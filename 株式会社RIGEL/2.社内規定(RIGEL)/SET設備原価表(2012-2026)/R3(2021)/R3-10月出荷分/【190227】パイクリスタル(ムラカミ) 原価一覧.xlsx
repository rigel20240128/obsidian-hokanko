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87A5AFF-2284-47D5-A76E-189815311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29" i="1" l="1"/>
  <c r="H28" i="1"/>
  <c r="H27" i="1"/>
  <c r="H26" i="1"/>
  <c r="H25" i="1"/>
  <c r="H24" i="1"/>
  <c r="H23" i="1"/>
  <c r="H12" i="1" l="1"/>
  <c r="H13" i="1" l="1"/>
  <c r="H14" i="1"/>
  <c r="H34" i="1" l="1"/>
  <c r="H33" i="1"/>
  <c r="H32" i="1"/>
  <c r="H31" i="1"/>
  <c r="H30" i="1"/>
  <c r="H21" i="1"/>
  <c r="H20" i="1"/>
  <c r="H19" i="1"/>
  <c r="H18" i="1"/>
  <c r="H17" i="1"/>
  <c r="H15" i="1"/>
  <c r="H16" i="1"/>
  <c r="H9" i="1"/>
  <c r="J2" i="1" l="1"/>
</calcChain>
</file>

<file path=xl/sharedStrings.xml><?xml version="1.0" encoding="utf-8"?>
<sst xmlns="http://schemas.openxmlformats.org/spreadsheetml/2006/main" count="105" uniqueCount="70">
  <si>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</si>
  <si>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</si>
  <si>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</si>
  <si>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</si>
  <si>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</si>
  <si>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</si>
  <si>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</si>
  <si>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</si>
  <si>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</si>
  <si>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</si>
  <si>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</si>
  <si>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</si>
  <si>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</si>
  <si>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</si>
  <si>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</si>
  <si>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</si>
  <si>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</si>
  <si>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</si>
  <si>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</si>
  <si>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</si>
  <si>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</si>
  <si>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蛇の目</t>
    <rPh sb="0" eb="1">
      <t>ジャ</t>
    </rPh>
    <rPh sb="2" eb="3">
      <t>メ</t>
    </rPh>
    <phoneticPr fontId="1"/>
  </si>
  <si>
    <t>増渕</t>
    <rPh sb="0" eb="2">
      <t>マスブチ</t>
    </rPh>
    <phoneticPr fontId="1"/>
  </si>
  <si>
    <t xml:space="preserve">パイクリスタル(ムラカミ) </t>
    <phoneticPr fontId="1"/>
  </si>
  <si>
    <t>数量</t>
    <rPh sb="0" eb="2">
      <t>スウリョウ</t>
    </rPh>
    <phoneticPr fontId="1"/>
  </si>
  <si>
    <t>軸数:3軸/タイプ：両持/駆動範囲：400x400x100mm/Z軸最大可搬質量:8kg /I/O極性:NPN/I/O電源:外部供給/</t>
    <phoneticPr fontId="1"/>
  </si>
  <si>
    <t>システムソフト:塗布仕様/本体接続ケ-プル:3m制御電源仕様:単相AC90-240V/動力電源仕様:DC48V/クリ-ン度：ISO規格クラス3 (FED規格クラス1相当)</t>
    <phoneticPr fontId="1"/>
  </si>
  <si>
    <t>←客先直送になる可能性があります。</t>
    <rPh sb="1" eb="3">
      <t>キャクサキ</t>
    </rPh>
    <rPh sb="3" eb="5">
      <t>チョクソウ</t>
    </rPh>
    <rPh sb="8" eb="11">
      <t>カノウセイ</t>
    </rPh>
    <phoneticPr fontId="1"/>
  </si>
  <si>
    <t>ロボット本体</t>
    <rPh sb="4" eb="6">
      <t>ホンタイ</t>
    </rPh>
    <phoneticPr fontId="1"/>
  </si>
  <si>
    <t>荷造運賃</t>
    <rPh sb="0" eb="2">
      <t>ニツクリ</t>
    </rPh>
    <rPh sb="2" eb="4">
      <t>ウンチン</t>
    </rPh>
    <phoneticPr fontId="1"/>
  </si>
  <si>
    <t>JC-3A00-0H3404010 クリ-ンル-ム仕様</t>
    <phoneticPr fontId="1"/>
  </si>
  <si>
    <t>ミスミ</t>
    <phoneticPr fontId="1"/>
  </si>
  <si>
    <t>Dsubコネクタ付ケーブル(37Pin)</t>
    <phoneticPr fontId="1"/>
  </si>
  <si>
    <t>190227(SAITO-TETSU)で発注済</t>
    <rPh sb="20" eb="22">
      <t>ハッチュウ</t>
    </rPh>
    <rPh sb="22" eb="23">
      <t>スミ</t>
    </rPh>
    <phoneticPr fontId="1"/>
  </si>
  <si>
    <t>IO-SYSケーブル</t>
    <phoneticPr fontId="1"/>
  </si>
  <si>
    <t>NEDJ-ST-JS-25-5</t>
    <phoneticPr fontId="1"/>
  </si>
  <si>
    <t>Dsubコネクタ付ケーブル(25Pin)</t>
    <phoneticPr fontId="1"/>
  </si>
  <si>
    <t>NEDU-PT-JS-9-5</t>
    <phoneticPr fontId="1"/>
  </si>
  <si>
    <t>Dsubコネクタ付ケーブル(9Pin)</t>
    <phoneticPr fontId="1"/>
  </si>
  <si>
    <t>SVC620S用IOケーブル</t>
    <rPh sb="7" eb="8">
      <t>ヨウ</t>
    </rPh>
    <phoneticPr fontId="1"/>
  </si>
  <si>
    <t>ツールユニット</t>
    <phoneticPr fontId="1"/>
  </si>
  <si>
    <t>タイショー</t>
    <phoneticPr fontId="1"/>
  </si>
  <si>
    <t>NEDJ-PT-JS-37-5</t>
    <phoneticPr fontId="1"/>
  </si>
  <si>
    <t>ミスミ</t>
    <phoneticPr fontId="1"/>
  </si>
  <si>
    <t>IO-1ケーブル</t>
    <phoneticPr fontId="1"/>
  </si>
  <si>
    <t>ミスミ</t>
    <phoneticPr fontId="1"/>
  </si>
  <si>
    <t>MVBLK-AMW-2S8-9WHSC</t>
    <phoneticPr fontId="1"/>
  </si>
  <si>
    <t>メビィー加工品(ツール板)</t>
    <phoneticPr fontId="1"/>
  </si>
  <si>
    <t>タイショー</t>
    <phoneticPr fontId="1"/>
  </si>
  <si>
    <t>130172-Y02</t>
    <phoneticPr fontId="1"/>
  </si>
  <si>
    <t>バルブホルダ</t>
    <phoneticPr fontId="1"/>
  </si>
  <si>
    <t>ツールユニット</t>
    <phoneticPr fontId="1"/>
  </si>
  <si>
    <t>ミスミ</t>
    <phoneticPr fontId="1"/>
  </si>
  <si>
    <t xml:space="preserve">NWC5E-STP1-Y-GY-2 </t>
  </si>
  <si>
    <t>CAT5e STP （より線） やわらか LANケーブル</t>
  </si>
  <si>
    <t>PCソフト接続ケーブル</t>
    <rPh sb="5" eb="7">
      <t>セツゾク</t>
    </rPh>
    <phoneticPr fontId="1"/>
  </si>
  <si>
    <t>I/0用内蔵電源増設【実装オプション】</t>
    <rPh sb="11" eb="13">
      <t>ジッソウ</t>
    </rPh>
    <phoneticPr fontId="1"/>
  </si>
  <si>
    <t>初期化・オプション・モード切替SW付</t>
    <rPh sb="17" eb="18">
      <t>ツ</t>
    </rPh>
    <phoneticPr fontId="1"/>
  </si>
  <si>
    <t>スイッチボックス(2m) 【オプション】</t>
    <phoneticPr fontId="1"/>
  </si>
  <si>
    <t>ケーブルキャリアX軸用 【オプション】</t>
    <phoneticPr fontId="1"/>
  </si>
  <si>
    <t>ストローク：400㎜用</t>
    <rPh sb="10" eb="11">
      <t>ヨウ</t>
    </rPh>
    <phoneticPr fontId="1"/>
  </si>
  <si>
    <t>ケーブルキャリアY軸用 【オプション】</t>
    <phoneticPr fontId="1"/>
  </si>
  <si>
    <t>48V電源【オプション】</t>
    <rPh sb="3" eb="5">
      <t>デンゲン</t>
    </rPh>
    <phoneticPr fontId="1"/>
  </si>
  <si>
    <t>見積No：21DO-0314</t>
    <rPh sb="0" eb="2">
      <t>ミツモリ</t>
    </rPh>
    <phoneticPr fontId="1"/>
  </si>
  <si>
    <t xml:space="preserve">PCソフト JR C-Points2       </t>
    <phoneticPr fontId="1"/>
  </si>
  <si>
    <r>
      <t xml:space="preserve">PCソフト     </t>
    </r>
    <r>
      <rPr>
        <sz val="11"/>
        <color rgb="FFFF0000"/>
        <rFont val="ＭＳ Ｐゴシック"/>
        <family val="3"/>
        <charset val="128"/>
        <scheme val="minor"/>
      </rPr>
      <t>JC3-Cpts</t>
    </r>
  </si>
  <si>
    <r>
      <t xml:space="preserve">非常停止SW付 </t>
    </r>
    <r>
      <rPr>
        <sz val="11"/>
        <color rgb="FFFF0000"/>
        <rFont val="ＭＳ Ｐゴシック"/>
        <family val="3"/>
        <charset val="128"/>
        <scheme val="minor"/>
      </rPr>
      <t xml:space="preserve"> JC3-TB</t>
    </r>
    <rPh sb="0" eb="4">
      <t>ヒジョウテイシ</t>
    </rPh>
    <rPh sb="6" eb="7">
      <t>ツ</t>
    </rPh>
    <phoneticPr fontId="1"/>
  </si>
  <si>
    <r>
      <t>ティーチングペンダントⅡ(2m) 【オプション】→</t>
    </r>
    <r>
      <rPr>
        <sz val="11"/>
        <color rgb="FFFF0000"/>
        <rFont val="ＭＳ Ｐゴシック"/>
        <family val="3"/>
        <charset val="128"/>
        <scheme val="minor"/>
      </rPr>
      <t>（3ｍ）に変更して発注</t>
    </r>
    <rPh sb="30" eb="32">
      <t>ヘンコウ</t>
    </rPh>
    <rPh sb="34" eb="36">
      <t>ハッチュウ</t>
    </rPh>
    <phoneticPr fontId="1"/>
  </si>
  <si>
    <t>見積No:HQ21-0535　Rev.02</t>
    <phoneticPr fontId="1"/>
  </si>
  <si>
    <t>見積No:HQ21-0535　Rev.02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</si>
</sst>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0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7" xfId="0" applyFill="1" applyBorder="1" applyAlignment="1">
      <alignment horizontal="center" vertical="center"/>
    </xf>
    <xf numFmtId="179" fontId="7" fillId="0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Fill="1" applyBorder="1" applyAlignment="1">
      <alignment horizontal="center" vertical="center"/>
    </xf>
    <xf numFmtId="56" fontId="7" fillId="0" borderId="7" xfId="0" applyNumberFormat="1" applyFont="1" applyFill="1" applyBorder="1" applyAlignment="1">
      <alignment horizontal="center" vertical="center"/>
    </xf>
    <xf numFmtId="178" fontId="7" fillId="0" borderId="7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180" fontId="5" fillId="3" borderId="1" xfId="0" applyNumberFormat="1" applyFont="1" applyFill="1" applyBorder="1" applyAlignment="1">
      <alignment horizontal="right" vertical="center"/>
    </xf>
    <xf numFmtId="38" fontId="7" fillId="3" borderId="1" xfId="0" applyNumberFormat="1" applyFont="1" applyFill="1" applyBorder="1" applyAlignment="1">
      <alignment horizontal="right" vertical="center"/>
    </xf>
    <xf numFmtId="38" fontId="5" fillId="3" borderId="1" xfId="0" applyNumberFormat="1" applyFont="1" applyFill="1" applyBorder="1">
      <alignment vertical="center"/>
    </xf>
    <xf numFmtId="0" fontId="7" fillId="3" borderId="7" xfId="0" applyFont="1" applyFill="1" applyBorder="1" applyAlignment="1">
      <alignment horizontal="left" vertical="center"/>
    </xf>
    <xf numFmtId="38" fontId="7" fillId="0" borderId="1" xfId="0" applyNumberFormat="1" applyFont="1" applyFill="1" applyBorder="1" applyAlignment="1">
      <alignment horizontal="right" vertical="center"/>
    </xf>
    <xf numFmtId="38" fontId="7" fillId="0" borderId="1" xfId="0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80" fontId="7" fillId="3" borderId="1" xfId="0" applyNumberFormat="1" applyFont="1" applyFill="1" applyBorder="1" applyAlignment="1">
      <alignment horizontal="right" vertical="center"/>
    </xf>
    <xf numFmtId="38" fontId="7" fillId="0" borderId="1" xfId="0" applyNumberFormat="1" applyFont="1" applyBorder="1" applyAlignment="1">
      <alignment horizontal="right" vertical="center"/>
    </xf>
    <xf numFmtId="38" fontId="5" fillId="0" borderId="1" xfId="0" applyNumberFormat="1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80" fontId="7" fillId="0" borderId="1" xfId="0" applyNumberFormat="1" applyFont="1" applyBorder="1" applyAlignment="1">
      <alignment horizontal="right" vertical="center"/>
    </xf>
    <xf numFmtId="38" fontId="7" fillId="0" borderId="1" xfId="0" applyNumberFormat="1" applyFont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49" fontId="5" fillId="3" borderId="1" xfId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80" fontId="7" fillId="0" borderId="1" xfId="1" applyNumberFormat="1" applyFont="1" applyBorder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80" fontId="7" fillId="3" borderId="1" xfId="0" applyNumberFormat="1" applyFont="1" applyFill="1" applyBorder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56" fontId="7" fillId="0" borderId="7" xfId="0" applyNumberFormat="1" applyFont="1" applyFill="1" applyBorder="1" applyAlignment="1">
      <alignment horizontal="center" vertical="center"/>
    </xf>
    <xf numFmtId="179" fontId="7" fillId="0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56" fontId="7" fillId="0" borderId="7" xfId="0" applyNumberFormat="1" applyFont="1" applyFill="1" applyBorder="1" applyAlignment="1">
      <alignment horizontal="center" vertical="center"/>
    </xf>
    <xf numFmtId="56" fontId="7" fillId="0" borderId="5" xfId="0" applyNumberFormat="1" applyFont="1" applyFill="1" applyBorder="1" applyAlignment="1">
      <alignment horizontal="center" vertical="center"/>
    </xf>
    <xf numFmtId="56" fontId="7" fillId="0" borderId="6" xfId="0" applyNumberFormat="1" applyFont="1" applyFill="1" applyBorder="1" applyAlignment="1">
      <alignment horizontal="center" vertical="center"/>
    </xf>
    <xf numFmtId="56" fontId="7" fillId="0" borderId="7" xfId="0" applyNumberFormat="1" applyFont="1" applyFill="1" applyBorder="1" applyAlignment="1">
      <alignment horizontal="center" vertical="center"/>
    </xf>
    <xf numFmtId="178" fontId="7" fillId="0" borderId="5" xfId="0" applyNumberFormat="1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center" vertical="center"/>
    </xf>
    <xf numFmtId="178" fontId="7" fillId="0" borderId="7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9" fontId="7" fillId="0" borderId="5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79" fontId="7" fillId="0" borderId="7" xfId="0" applyNumberFormat="1" applyFont="1" applyFill="1" applyBorder="1" applyAlignment="1">
      <alignment horizontal="center" vertical="center"/>
    </xf>
    <xf numFmtId="3" fontId="7" fillId="0" borderId="6" xfId="0" applyNumberFormat="1" applyFont="1" applyFill="1" applyBorder="1" applyAlignment="1">
      <alignment horizontal="center" vertical="center"/>
    </xf>
    <xf numFmtId="3" fontId="7" fillId="0" borderId="7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38" fontId="7" fillId="0" borderId="5" xfId="0" applyNumberFormat="1" applyFont="1" applyFill="1" applyBorder="1" applyAlignment="1">
      <alignment horizontal="right" vertical="center"/>
    </xf>
    <xf numFmtId="38" fontId="7" fillId="0" borderId="6" xfId="0" applyNumberFormat="1" applyFont="1" applyBorder="1" applyAlignment="1">
      <alignment horizontal="right" vertical="center"/>
    </xf>
    <xf numFmtId="38" fontId="7" fillId="0" borderId="7" xfId="0" applyNumberFormat="1" applyFont="1" applyBorder="1" applyAlignment="1">
      <alignment horizontal="right" vertical="center"/>
    </xf>
    <xf numFmtId="38" fontId="7" fillId="0" borderId="5" xfId="0" applyNumberFormat="1" applyFont="1" applyFill="1" applyBorder="1" applyAlignment="1">
      <alignment vertical="center"/>
    </xf>
    <xf numFmtId="38" fontId="7" fillId="0" borderId="6" xfId="0" applyNumberFormat="1" applyFont="1" applyBorder="1" applyAlignment="1">
      <alignment vertical="center"/>
    </xf>
    <xf numFmtId="38" fontId="7" fillId="0" borderId="7" xfId="0" applyNumberFormat="1" applyFont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73"/>
  <sheetViews>
    <sheetView tabSelected="1" zoomScale="85" zoomScaleNormal="85" workbookViewId="0">
      <selection activeCell="E7" sqref="E7"/>
    </sheetView>
  </sheetViews>
  <sheetFormatPr defaultRowHeight="13.5" x14ac:dyDescent="0.15"/>
  <cols>
    <col min="1" max="1" width="2.625" customWidth="1"/>
    <col min="2" max="2" width="5.75" style="4" customWidth="1"/>
    <col min="3" max="4" width="20.75" customWidth="1"/>
    <col min="5" max="5" width="115.625" customWidth="1"/>
    <col min="6" max="6" width="6.25" customWidth="1"/>
    <col min="7" max="8" width="9.875" bestFit="1" customWidth="1"/>
    <col min="9" max="9" width="5.75" style="10" customWidth="1"/>
    <col min="10" max="10" width="35.625" customWidth="1"/>
    <col min="11" max="11" width="30.625" customWidth="1"/>
    <col min="12" max="12" width="40.75" style="4" customWidth="1"/>
    <col min="13" max="13" width="13.75" style="12" customWidth="1"/>
    <col min="14" max="14" width="6.375" customWidth="1"/>
    <col min="15" max="15" width="13.25" style="10" customWidth="1"/>
    <col min="16" max="16" width="14.5" style="16" customWidth="1"/>
    <col min="17" max="17" width="15.625" style="17" customWidth="1"/>
  </cols>
  <sheetData>
    <row r="2" spans="2:17" ht="20.100000000000001" customHeight="1" x14ac:dyDescent="0.15">
      <c r="B2" s="101" t="s">
        <v>10</v>
      </c>
      <c r="C2" s="101"/>
      <c r="D2" s="101"/>
      <c r="E2" s="11" t="s">
        <v>23</v>
      </c>
      <c r="G2" s="102" t="s">
        <v>14</v>
      </c>
      <c r="H2" s="103"/>
      <c r="I2" s="104"/>
      <c r="J2" s="9">
        <f>SUM(H:H)</f>
        <v>1015866</v>
      </c>
      <c r="K2" s="5"/>
      <c r="L2" s="6"/>
    </row>
    <row r="3" spans="2:17" ht="20.100000000000001" customHeight="1" x14ac:dyDescent="0.15">
      <c r="B3" s="101" t="s">
        <v>9</v>
      </c>
      <c r="C3" s="101"/>
      <c r="D3" s="101"/>
      <c r="E3" s="7" t="s">
        <v>22</v>
      </c>
    </row>
    <row r="4" spans="2:17" ht="20.100000000000001" customHeight="1" x14ac:dyDescent="0.15">
      <c r="B4" s="101" t="s">
        <v>11</v>
      </c>
      <c r="C4" s="101"/>
      <c r="D4" s="101"/>
      <c r="E4" s="7">
        <v>190227</v>
      </c>
    </row>
    <row r="5" spans="2:17" ht="20.100000000000001" customHeight="1" x14ac:dyDescent="0.15">
      <c r="B5" s="101" t="s">
        <v>12</v>
      </c>
      <c r="C5" s="101"/>
      <c r="D5" s="101"/>
      <c r="E5" s="8">
        <v>44510</v>
      </c>
      <c r="F5" s="30" t="s">
        <v>27</v>
      </c>
    </row>
    <row r="6" spans="2:17" ht="20.100000000000001" customHeight="1" x14ac:dyDescent="0.15">
      <c r="B6" s="101" t="s">
        <v>13</v>
      </c>
      <c r="C6" s="101"/>
      <c r="D6" s="101"/>
      <c r="E6" s="8">
        <v>44491</v>
      </c>
    </row>
    <row r="7" spans="2:17" x14ac:dyDescent="0.15">
      <c r="F7" s="1"/>
    </row>
    <row r="8" spans="2:17" s="2" customFormat="1" ht="19.899999999999999" customHeight="1" x14ac:dyDescent="0.15">
      <c r="B8" s="20" t="s">
        <v>3</v>
      </c>
      <c r="C8" s="20" t="s">
        <v>8</v>
      </c>
      <c r="D8" s="20" t="s">
        <v>4</v>
      </c>
      <c r="E8" s="21" t="s">
        <v>7</v>
      </c>
      <c r="F8" s="21" t="s">
        <v>24</v>
      </c>
      <c r="G8" s="21" t="s">
        <v>0</v>
      </c>
      <c r="H8" s="47" t="s">
        <v>1</v>
      </c>
      <c r="I8" s="47" t="s">
        <v>17</v>
      </c>
      <c r="J8" s="21" t="s">
        <v>2</v>
      </c>
      <c r="K8" s="1" t="s">
        <v>16</v>
      </c>
      <c r="L8" s="1" t="s">
        <v>15</v>
      </c>
      <c r="M8" s="13" t="s">
        <v>5</v>
      </c>
      <c r="N8" s="3" t="s">
        <v>18</v>
      </c>
      <c r="O8" s="1" t="s">
        <v>6</v>
      </c>
      <c r="P8" s="13" t="s">
        <v>19</v>
      </c>
      <c r="Q8" s="18" t="s">
        <v>20</v>
      </c>
    </row>
    <row r="9" spans="2:17" s="2" customFormat="1" ht="19.899999999999999" customHeight="1" x14ac:dyDescent="0.15">
      <c r="B9" s="77">
        <v>1</v>
      </c>
      <c r="C9" s="77" t="s">
        <v>21</v>
      </c>
      <c r="D9" s="77" t="s">
        <v>21</v>
      </c>
      <c r="E9" s="36" t="s">
        <v>30</v>
      </c>
      <c r="F9" s="91">
        <v>1</v>
      </c>
      <c r="G9" s="94">
        <v>808000</v>
      </c>
      <c r="H9" s="97">
        <f t="shared" ref="H9:H32" si="0">F9*G9</f>
        <v>808000</v>
      </c>
      <c r="I9" s="100"/>
      <c r="J9" s="80" t="s">
        <v>28</v>
      </c>
      <c r="K9" s="80" t="s">
        <v>68</v>
      </c>
      <c r="L9" s="83"/>
      <c r="M9" s="86">
        <v>44449</v>
      </c>
      <c r="N9" s="77"/>
      <c r="O9" s="71">
        <v>44510</v>
      </c>
      <c r="P9" s="71">
        <v>44494</v>
      </c>
      <c r="Q9" s="74"/>
    </row>
    <row r="10" spans="2:17" s="2" customFormat="1" ht="19.899999999999999" customHeight="1" x14ac:dyDescent="0.15">
      <c r="B10" s="78"/>
      <c r="C10" s="78"/>
      <c r="D10" s="78"/>
      <c r="E10" s="37" t="s">
        <v>25</v>
      </c>
      <c r="F10" s="92"/>
      <c r="G10" s="95"/>
      <c r="H10" s="98"/>
      <c r="I10" s="78"/>
      <c r="J10" s="81"/>
      <c r="K10" s="81"/>
      <c r="L10" s="84"/>
      <c r="M10" s="87"/>
      <c r="N10" s="89"/>
      <c r="O10" s="72"/>
      <c r="P10" s="72"/>
      <c r="Q10" s="75"/>
    </row>
    <row r="11" spans="2:17" s="2" customFormat="1" ht="19.899999999999999" customHeight="1" x14ac:dyDescent="0.15">
      <c r="B11" s="79"/>
      <c r="C11" s="79"/>
      <c r="D11" s="79"/>
      <c r="E11" s="38" t="s">
        <v>26</v>
      </c>
      <c r="F11" s="93"/>
      <c r="G11" s="96"/>
      <c r="H11" s="99"/>
      <c r="I11" s="79"/>
      <c r="J11" s="82"/>
      <c r="K11" s="82"/>
      <c r="L11" s="85"/>
      <c r="M11" s="88"/>
      <c r="N11" s="90"/>
      <c r="O11" s="73"/>
      <c r="P11" s="73"/>
      <c r="Q11" s="76"/>
    </row>
    <row r="12" spans="2:17" s="2" customFormat="1" ht="19.899999999999999" customHeight="1" x14ac:dyDescent="0.15">
      <c r="B12" s="48">
        <v>2</v>
      </c>
      <c r="C12" s="20" t="s">
        <v>21</v>
      </c>
      <c r="D12" s="20" t="s">
        <v>21</v>
      </c>
      <c r="E12" s="49" t="s">
        <v>29</v>
      </c>
      <c r="F12" s="50">
        <v>1</v>
      </c>
      <c r="G12" s="51">
        <v>5000</v>
      </c>
      <c r="H12" s="52">
        <f t="shared" ref="H12" si="1">F12*G12</f>
        <v>5000</v>
      </c>
      <c r="I12" s="53"/>
      <c r="J12" s="49"/>
      <c r="K12" s="19" t="s">
        <v>69</v>
      </c>
      <c r="L12" s="31"/>
      <c r="M12" s="32">
        <v>44449</v>
      </c>
      <c r="N12" s="33"/>
      <c r="O12" s="34">
        <v>44510</v>
      </c>
      <c r="P12" s="34">
        <v>44494</v>
      </c>
      <c r="Q12" s="35"/>
    </row>
    <row r="13" spans="2:17" s="2" customFormat="1" ht="19.899999999999999" customHeight="1" x14ac:dyDescent="0.15">
      <c r="B13" s="20">
        <v>2</v>
      </c>
      <c r="C13" s="20" t="s">
        <v>21</v>
      </c>
      <c r="D13" s="20" t="s">
        <v>21</v>
      </c>
      <c r="E13" s="40" t="s">
        <v>56</v>
      </c>
      <c r="F13" s="54">
        <v>1</v>
      </c>
      <c r="G13" s="45">
        <v>7000</v>
      </c>
      <c r="H13" s="46">
        <f t="shared" si="0"/>
        <v>7000</v>
      </c>
      <c r="I13" s="47"/>
      <c r="J13" s="19"/>
      <c r="K13" s="19" t="s">
        <v>69</v>
      </c>
      <c r="L13" s="1"/>
      <c r="M13" s="68">
        <v>44449</v>
      </c>
      <c r="N13" s="20"/>
      <c r="O13" s="67">
        <v>44510</v>
      </c>
      <c r="P13" s="70">
        <v>44494</v>
      </c>
      <c r="Q13" s="22"/>
    </row>
    <row r="14" spans="2:17" s="2" customFormat="1" ht="19.899999999999999" customHeight="1" x14ac:dyDescent="0.15">
      <c r="B14" s="20">
        <v>5</v>
      </c>
      <c r="C14" s="20" t="s">
        <v>21</v>
      </c>
      <c r="D14" s="20" t="s">
        <v>21</v>
      </c>
      <c r="E14" s="19" t="s">
        <v>58</v>
      </c>
      <c r="F14" s="54">
        <v>1</v>
      </c>
      <c r="G14" s="45">
        <v>42000</v>
      </c>
      <c r="H14" s="46">
        <f t="shared" si="0"/>
        <v>42000</v>
      </c>
      <c r="I14" s="47"/>
      <c r="J14" s="19" t="s">
        <v>57</v>
      </c>
      <c r="K14" s="19" t="s">
        <v>69</v>
      </c>
      <c r="L14" s="1"/>
      <c r="M14" s="68">
        <v>44449</v>
      </c>
      <c r="N14" s="20"/>
      <c r="O14" s="67">
        <v>44510</v>
      </c>
      <c r="P14" s="70">
        <v>44494</v>
      </c>
      <c r="Q14" s="22"/>
    </row>
    <row r="15" spans="2:17" s="2" customFormat="1" ht="19.899999999999999" customHeight="1" x14ac:dyDescent="0.15">
      <c r="B15" s="20">
        <v>7</v>
      </c>
      <c r="C15" s="20" t="s">
        <v>21</v>
      </c>
      <c r="D15" s="20" t="s">
        <v>21</v>
      </c>
      <c r="E15" s="19" t="s">
        <v>59</v>
      </c>
      <c r="F15" s="54">
        <v>1</v>
      </c>
      <c r="G15" s="45">
        <v>9100</v>
      </c>
      <c r="H15" s="45">
        <f t="shared" si="0"/>
        <v>9100</v>
      </c>
      <c r="I15" s="47"/>
      <c r="J15" s="19" t="s">
        <v>60</v>
      </c>
      <c r="K15" s="19" t="s">
        <v>69</v>
      </c>
      <c r="L15" s="1"/>
      <c r="M15" s="68">
        <v>44449</v>
      </c>
      <c r="N15" s="20"/>
      <c r="O15" s="67">
        <v>44510</v>
      </c>
      <c r="P15" s="70">
        <v>44494</v>
      </c>
      <c r="Q15" s="22"/>
    </row>
    <row r="16" spans="2:17" s="2" customFormat="1" ht="19.899999999999999" customHeight="1" x14ac:dyDescent="0.15">
      <c r="B16" s="20">
        <v>8</v>
      </c>
      <c r="C16" s="20" t="s">
        <v>21</v>
      </c>
      <c r="D16" s="20" t="s">
        <v>21</v>
      </c>
      <c r="E16" s="19" t="s">
        <v>61</v>
      </c>
      <c r="F16" s="54">
        <v>1</v>
      </c>
      <c r="G16" s="45">
        <v>9100</v>
      </c>
      <c r="H16" s="45">
        <f t="shared" si="0"/>
        <v>9100</v>
      </c>
      <c r="I16" s="47"/>
      <c r="J16" s="19" t="s">
        <v>60</v>
      </c>
      <c r="K16" s="19" t="s">
        <v>69</v>
      </c>
      <c r="L16" s="1"/>
      <c r="M16" s="68">
        <v>44449</v>
      </c>
      <c r="N16" s="20"/>
      <c r="O16" s="67">
        <v>44510</v>
      </c>
      <c r="P16" s="70">
        <v>44494</v>
      </c>
      <c r="Q16" s="22"/>
    </row>
    <row r="17" spans="2:17" s="4" customFormat="1" ht="19.899999999999999" customHeight="1" x14ac:dyDescent="0.15">
      <c r="B17" s="55">
        <v>4</v>
      </c>
      <c r="C17" s="20" t="s">
        <v>21</v>
      </c>
      <c r="D17" s="20" t="s">
        <v>21</v>
      </c>
      <c r="E17" s="56" t="s">
        <v>67</v>
      </c>
      <c r="F17" s="57">
        <v>1</v>
      </c>
      <c r="G17" s="58">
        <v>56000</v>
      </c>
      <c r="H17" s="58">
        <f t="shared" si="0"/>
        <v>56000</v>
      </c>
      <c r="I17" s="53"/>
      <c r="J17" s="49" t="s">
        <v>66</v>
      </c>
      <c r="K17" s="19" t="s">
        <v>69</v>
      </c>
      <c r="L17" s="26"/>
      <c r="M17" s="68">
        <v>44449</v>
      </c>
      <c r="N17" s="25"/>
      <c r="O17" s="67">
        <v>44510</v>
      </c>
      <c r="P17" s="70">
        <v>44494</v>
      </c>
      <c r="Q17" s="28"/>
    </row>
    <row r="18" spans="2:17" s="4" customFormat="1" ht="19.899999999999999" customHeight="1" x14ac:dyDescent="0.15">
      <c r="B18" s="48">
        <v>3</v>
      </c>
      <c r="C18" s="20" t="s">
        <v>21</v>
      </c>
      <c r="D18" s="20" t="s">
        <v>21</v>
      </c>
      <c r="E18" s="40" t="s">
        <v>62</v>
      </c>
      <c r="F18" s="50">
        <v>1</v>
      </c>
      <c r="G18" s="42">
        <v>16500</v>
      </c>
      <c r="H18" s="58">
        <f t="shared" si="0"/>
        <v>16500</v>
      </c>
      <c r="I18" s="59"/>
      <c r="J18" s="60"/>
      <c r="K18" s="19" t="s">
        <v>69</v>
      </c>
      <c r="L18" s="26"/>
      <c r="M18" s="68">
        <v>44449</v>
      </c>
      <c r="N18" s="25"/>
      <c r="O18" s="67">
        <v>44510</v>
      </c>
      <c r="P18" s="70">
        <v>44494</v>
      </c>
      <c r="Q18" s="28"/>
    </row>
    <row r="19" spans="2:17" s="4" customFormat="1" ht="19.899999999999999" customHeight="1" x14ac:dyDescent="0.15">
      <c r="B19" s="48">
        <v>6</v>
      </c>
      <c r="C19" s="20" t="s">
        <v>21</v>
      </c>
      <c r="D19" s="20" t="s">
        <v>21</v>
      </c>
      <c r="E19" s="61" t="s">
        <v>64</v>
      </c>
      <c r="F19" s="50">
        <v>1</v>
      </c>
      <c r="G19" s="42">
        <v>30000</v>
      </c>
      <c r="H19" s="58">
        <f t="shared" si="0"/>
        <v>30000</v>
      </c>
      <c r="I19" s="59"/>
      <c r="J19" s="60" t="s">
        <v>65</v>
      </c>
      <c r="K19" s="19" t="s">
        <v>69</v>
      </c>
      <c r="L19" s="26"/>
      <c r="M19" s="68">
        <v>44449</v>
      </c>
      <c r="N19" s="25"/>
      <c r="O19" s="67">
        <v>44510</v>
      </c>
      <c r="P19" s="70">
        <v>44494</v>
      </c>
      <c r="Q19" s="28"/>
    </row>
    <row r="20" spans="2:17" s="4" customFormat="1" ht="19.899999999999999" customHeight="1" x14ac:dyDescent="0.15">
      <c r="B20" s="48"/>
      <c r="C20" s="62"/>
      <c r="D20" s="62"/>
      <c r="E20" s="49"/>
      <c r="F20" s="63"/>
      <c r="G20" s="51"/>
      <c r="H20" s="52">
        <f t="shared" si="0"/>
        <v>0</v>
      </c>
      <c r="I20" s="53"/>
      <c r="J20" s="49"/>
      <c r="K20" s="26"/>
      <c r="L20" s="26"/>
      <c r="M20" s="27"/>
      <c r="N20" s="25"/>
      <c r="O20" s="26"/>
      <c r="P20" s="27"/>
      <c r="Q20" s="28"/>
    </row>
    <row r="21" spans="2:17" s="4" customFormat="1" ht="19.899999999999999" customHeight="1" x14ac:dyDescent="0.15">
      <c r="B21" s="48"/>
      <c r="C21" s="55"/>
      <c r="D21" s="55"/>
      <c r="E21" s="40"/>
      <c r="F21" s="50"/>
      <c r="G21" s="42"/>
      <c r="H21" s="58">
        <f t="shared" si="0"/>
        <v>0</v>
      </c>
      <c r="I21" s="59"/>
      <c r="J21" s="60"/>
      <c r="K21" s="26"/>
      <c r="L21" s="29"/>
      <c r="M21" s="27"/>
      <c r="N21" s="25"/>
      <c r="O21" s="26"/>
      <c r="P21" s="27"/>
      <c r="Q21" s="28"/>
    </row>
    <row r="22" spans="2:17" s="4" customFormat="1" ht="19.899999999999999" customHeight="1" x14ac:dyDescent="0.15">
      <c r="B22" s="48">
        <v>6</v>
      </c>
      <c r="C22" s="20" t="s">
        <v>31</v>
      </c>
      <c r="D22" s="20" t="s">
        <v>52</v>
      </c>
      <c r="E22" s="40" t="s">
        <v>53</v>
      </c>
      <c r="F22" s="41">
        <v>1</v>
      </c>
      <c r="G22" s="42">
        <v>830</v>
      </c>
      <c r="H22" s="46">
        <f t="shared" si="0"/>
        <v>830</v>
      </c>
      <c r="I22" s="43"/>
      <c r="J22" s="44" t="s">
        <v>54</v>
      </c>
      <c r="K22" s="39" t="s">
        <v>33</v>
      </c>
      <c r="L22" s="29" t="s">
        <v>55</v>
      </c>
      <c r="M22" s="27">
        <v>44448</v>
      </c>
      <c r="N22" s="25"/>
      <c r="O22" s="26"/>
      <c r="P22" s="27">
        <v>44463</v>
      </c>
      <c r="Q22" s="28">
        <v>44463</v>
      </c>
    </row>
    <row r="23" spans="2:17" s="4" customFormat="1" ht="19.899999999999999" customHeight="1" x14ac:dyDescent="0.15">
      <c r="B23" s="48">
        <v>10</v>
      </c>
      <c r="C23" s="62" t="s">
        <v>31</v>
      </c>
      <c r="D23" s="62" t="s">
        <v>31</v>
      </c>
      <c r="E23" s="49" t="s">
        <v>42</v>
      </c>
      <c r="F23" s="63">
        <v>1</v>
      </c>
      <c r="G23" s="51">
        <v>6666</v>
      </c>
      <c r="H23" s="52">
        <f t="shared" si="0"/>
        <v>6666</v>
      </c>
      <c r="I23" s="53"/>
      <c r="J23" s="49" t="s">
        <v>32</v>
      </c>
      <c r="K23" s="39" t="s">
        <v>33</v>
      </c>
      <c r="L23" s="26" t="s">
        <v>34</v>
      </c>
      <c r="M23" s="27">
        <v>44448</v>
      </c>
      <c r="N23" s="25"/>
      <c r="O23" s="26"/>
      <c r="P23" s="27">
        <v>44463</v>
      </c>
      <c r="Q23" s="28">
        <v>44463</v>
      </c>
    </row>
    <row r="24" spans="2:17" s="4" customFormat="1" ht="19.899999999999999" customHeight="1" x14ac:dyDescent="0.15">
      <c r="B24" s="48">
        <v>11</v>
      </c>
      <c r="C24" s="62" t="s">
        <v>31</v>
      </c>
      <c r="D24" s="62" t="s">
        <v>43</v>
      </c>
      <c r="E24" s="40" t="s">
        <v>35</v>
      </c>
      <c r="F24" s="50">
        <v>1</v>
      </c>
      <c r="G24" s="42">
        <v>4927</v>
      </c>
      <c r="H24" s="58">
        <f t="shared" si="0"/>
        <v>4927</v>
      </c>
      <c r="I24" s="59"/>
      <c r="J24" s="49" t="s">
        <v>36</v>
      </c>
      <c r="K24" s="39" t="s">
        <v>33</v>
      </c>
      <c r="L24" s="26" t="s">
        <v>44</v>
      </c>
      <c r="M24" s="27">
        <v>44448</v>
      </c>
      <c r="N24" s="25"/>
      <c r="O24" s="26"/>
      <c r="P24" s="27">
        <v>44463</v>
      </c>
      <c r="Q24" s="28">
        <v>44463</v>
      </c>
    </row>
    <row r="25" spans="2:17" s="4" customFormat="1" ht="19.899999999999999" customHeight="1" x14ac:dyDescent="0.15">
      <c r="B25" s="48">
        <v>19</v>
      </c>
      <c r="C25" s="62" t="s">
        <v>45</v>
      </c>
      <c r="D25" s="62" t="s">
        <v>31</v>
      </c>
      <c r="E25" s="40" t="s">
        <v>37</v>
      </c>
      <c r="F25" s="50">
        <v>1</v>
      </c>
      <c r="G25" s="42">
        <v>2892</v>
      </c>
      <c r="H25" s="58">
        <f t="shared" si="0"/>
        <v>2892</v>
      </c>
      <c r="I25" s="59"/>
      <c r="J25" s="49" t="s">
        <v>38</v>
      </c>
      <c r="K25" s="39" t="s">
        <v>33</v>
      </c>
      <c r="L25" s="29" t="s">
        <v>39</v>
      </c>
      <c r="M25" s="27">
        <v>44448</v>
      </c>
      <c r="N25" s="25"/>
      <c r="O25" s="26"/>
      <c r="P25" s="27">
        <v>44463</v>
      </c>
      <c r="Q25" s="28">
        <v>44463</v>
      </c>
    </row>
    <row r="26" spans="2:17" s="4" customFormat="1" ht="19.899999999999999" customHeight="1" x14ac:dyDescent="0.15">
      <c r="B26" s="48">
        <v>9</v>
      </c>
      <c r="C26" s="62" t="s">
        <v>45</v>
      </c>
      <c r="D26" s="62" t="s">
        <v>43</v>
      </c>
      <c r="E26" s="40" t="s">
        <v>46</v>
      </c>
      <c r="F26" s="50">
        <v>1</v>
      </c>
      <c r="G26" s="42">
        <v>9851</v>
      </c>
      <c r="H26" s="58">
        <f t="shared" si="0"/>
        <v>9851</v>
      </c>
      <c r="I26" s="59"/>
      <c r="J26" s="60" t="s">
        <v>47</v>
      </c>
      <c r="K26" s="39" t="s">
        <v>33</v>
      </c>
      <c r="L26" s="29" t="s">
        <v>40</v>
      </c>
      <c r="M26" s="27">
        <v>44448</v>
      </c>
      <c r="N26" s="25"/>
      <c r="O26" s="26"/>
      <c r="P26" s="27">
        <v>44463</v>
      </c>
      <c r="Q26" s="28">
        <v>44463</v>
      </c>
    </row>
    <row r="27" spans="2:17" s="4" customFormat="1" ht="19.899999999999999" customHeight="1" x14ac:dyDescent="0.15">
      <c r="B27" s="48"/>
      <c r="C27" s="55"/>
      <c r="D27" s="55"/>
      <c r="E27" s="40"/>
      <c r="F27" s="50"/>
      <c r="G27" s="51"/>
      <c r="H27" s="58">
        <f t="shared" si="0"/>
        <v>0</v>
      </c>
      <c r="I27" s="59"/>
      <c r="J27" s="60"/>
      <c r="K27" s="26"/>
      <c r="L27" s="29"/>
      <c r="M27" s="27"/>
      <c r="N27" s="25"/>
      <c r="O27" s="26"/>
      <c r="P27" s="27"/>
      <c r="Q27" s="28"/>
    </row>
    <row r="28" spans="2:17" s="4" customFormat="1" ht="19.899999999999999" customHeight="1" x14ac:dyDescent="0.15">
      <c r="B28" s="48"/>
      <c r="C28" s="55"/>
      <c r="D28" s="55"/>
      <c r="E28" s="40"/>
      <c r="F28" s="50"/>
      <c r="G28" s="51"/>
      <c r="H28" s="58">
        <f t="shared" si="0"/>
        <v>0</v>
      </c>
      <c r="I28" s="59"/>
      <c r="J28" s="60"/>
      <c r="K28" s="26"/>
      <c r="L28" s="29"/>
      <c r="M28" s="27"/>
      <c r="N28" s="25"/>
      <c r="O28" s="26"/>
      <c r="P28" s="27"/>
      <c r="Q28" s="28"/>
    </row>
    <row r="29" spans="2:17" s="4" customFormat="1" ht="19.899999999999999" customHeight="1" x14ac:dyDescent="0.15">
      <c r="B29" s="48">
        <v>9</v>
      </c>
      <c r="C29" s="55" t="s">
        <v>48</v>
      </c>
      <c r="D29" s="55" t="s">
        <v>41</v>
      </c>
      <c r="E29" s="40" t="s">
        <v>49</v>
      </c>
      <c r="F29" s="50">
        <v>1</v>
      </c>
      <c r="G29" s="42">
        <v>8000</v>
      </c>
      <c r="H29" s="58">
        <f t="shared" si="0"/>
        <v>8000</v>
      </c>
      <c r="I29" s="59"/>
      <c r="J29" s="60" t="s">
        <v>50</v>
      </c>
      <c r="K29" s="69" t="s">
        <v>63</v>
      </c>
      <c r="L29" s="29" t="s">
        <v>51</v>
      </c>
      <c r="M29" s="27">
        <v>44449</v>
      </c>
      <c r="N29" s="25"/>
      <c r="O29" s="26"/>
      <c r="P29" s="27">
        <v>44463</v>
      </c>
      <c r="Q29" s="28">
        <v>44463</v>
      </c>
    </row>
    <row r="30" spans="2:17" s="4" customFormat="1" ht="19.899999999999999" customHeight="1" x14ac:dyDescent="0.15">
      <c r="B30" s="48"/>
      <c r="C30" s="55"/>
      <c r="D30" s="55"/>
      <c r="E30" s="64"/>
      <c r="F30" s="50"/>
      <c r="G30" s="42"/>
      <c r="H30" s="58">
        <f t="shared" si="0"/>
        <v>0</v>
      </c>
      <c r="I30" s="59"/>
      <c r="J30" s="60"/>
      <c r="K30" s="26"/>
      <c r="L30" s="26"/>
      <c r="M30" s="27"/>
      <c r="N30" s="25"/>
      <c r="O30" s="26"/>
      <c r="P30" s="27"/>
      <c r="Q30" s="28"/>
    </row>
    <row r="31" spans="2:17" s="4" customFormat="1" ht="19.899999999999999" customHeight="1" x14ac:dyDescent="0.15">
      <c r="B31" s="48"/>
      <c r="C31" s="55"/>
      <c r="D31" s="55"/>
      <c r="E31" s="61"/>
      <c r="F31" s="50"/>
      <c r="G31" s="42"/>
      <c r="H31" s="58">
        <f t="shared" si="0"/>
        <v>0</v>
      </c>
      <c r="I31" s="59"/>
      <c r="J31" s="60"/>
      <c r="K31" s="26"/>
      <c r="L31" s="26"/>
      <c r="M31" s="27"/>
      <c r="N31" s="25"/>
      <c r="O31" s="26"/>
      <c r="P31" s="27"/>
      <c r="Q31" s="28"/>
    </row>
    <row r="32" spans="2:17" s="4" customFormat="1" ht="19.899999999999999" customHeight="1" x14ac:dyDescent="0.15">
      <c r="B32" s="48"/>
      <c r="C32" s="55"/>
      <c r="D32" s="55"/>
      <c r="E32" s="60"/>
      <c r="F32" s="65"/>
      <c r="G32" s="51"/>
      <c r="H32" s="58">
        <f t="shared" si="0"/>
        <v>0</v>
      </c>
      <c r="I32" s="53"/>
      <c r="J32" s="40"/>
      <c r="K32" s="26"/>
      <c r="L32" s="26"/>
      <c r="M32" s="27"/>
      <c r="N32" s="25"/>
      <c r="O32" s="26"/>
      <c r="P32" s="27"/>
      <c r="Q32" s="28"/>
    </row>
    <row r="33" spans="2:17" s="4" customFormat="1" ht="19.899999999999999" customHeight="1" x14ac:dyDescent="0.15">
      <c r="B33" s="48"/>
      <c r="C33" s="55"/>
      <c r="D33" s="55"/>
      <c r="E33" s="66"/>
      <c r="F33" s="50"/>
      <c r="G33" s="42"/>
      <c r="H33" s="58">
        <f>F33*G33</f>
        <v>0</v>
      </c>
      <c r="I33" s="59"/>
      <c r="J33" s="60"/>
      <c r="K33" s="26"/>
      <c r="L33" s="26"/>
      <c r="M33" s="27"/>
      <c r="N33" s="25"/>
      <c r="O33" s="26"/>
      <c r="P33" s="27"/>
      <c r="Q33" s="28"/>
    </row>
    <row r="34" spans="2:17" s="4" customFormat="1" ht="19.899999999999999" customHeight="1" x14ac:dyDescent="0.15">
      <c r="B34" s="48"/>
      <c r="C34" s="55"/>
      <c r="D34" s="55"/>
      <c r="E34" s="66"/>
      <c r="F34" s="50"/>
      <c r="G34" s="42"/>
      <c r="H34" s="58">
        <f>F34*G34</f>
        <v>0</v>
      </c>
      <c r="I34" s="59"/>
      <c r="J34" s="60"/>
      <c r="K34" s="26"/>
      <c r="L34" s="26"/>
      <c r="M34" s="27"/>
      <c r="N34" s="25"/>
      <c r="O34" s="26"/>
      <c r="P34" s="27"/>
      <c r="Q34" s="28"/>
    </row>
    <row r="38" spans="2:17" x14ac:dyDescent="0.15">
      <c r="M38" s="14"/>
    </row>
    <row r="39" spans="2:17" x14ac:dyDescent="0.15">
      <c r="M39" s="15"/>
    </row>
    <row r="40" spans="2:17" x14ac:dyDescent="0.15">
      <c r="M40" s="14"/>
    </row>
    <row r="41" spans="2:17" x14ac:dyDescent="0.15">
      <c r="H41" s="24"/>
      <c r="M41" s="15"/>
    </row>
    <row r="42" spans="2:17" x14ac:dyDescent="0.15">
      <c r="H42" s="24"/>
    </row>
    <row r="43" spans="2:17" x14ac:dyDescent="0.15">
      <c r="H43" s="24"/>
    </row>
    <row r="44" spans="2:17" x14ac:dyDescent="0.15">
      <c r="H44" s="24"/>
    </row>
    <row r="45" spans="2:17" x14ac:dyDescent="0.15">
      <c r="H45" s="24"/>
    </row>
    <row r="46" spans="2:17" x14ac:dyDescent="0.15">
      <c r="H46" s="24"/>
    </row>
    <row r="47" spans="2:17" x14ac:dyDescent="0.15">
      <c r="H47" s="24"/>
    </row>
    <row r="48" spans="2:17" x14ac:dyDescent="0.15">
      <c r="H48" s="24"/>
    </row>
    <row r="49" spans="8:8" x14ac:dyDescent="0.15">
      <c r="H49" s="24"/>
    </row>
    <row r="50" spans="8:8" x14ac:dyDescent="0.15">
      <c r="H50" s="24"/>
    </row>
    <row r="51" spans="8:8" x14ac:dyDescent="0.15">
      <c r="H51" s="24"/>
    </row>
    <row r="52" spans="8:8" x14ac:dyDescent="0.15">
      <c r="H52" s="24"/>
    </row>
    <row r="53" spans="8:8" x14ac:dyDescent="0.15">
      <c r="H53" s="24"/>
    </row>
    <row r="54" spans="8:8" x14ac:dyDescent="0.15">
      <c r="H54" s="24"/>
    </row>
    <row r="55" spans="8:8" x14ac:dyDescent="0.15">
      <c r="H55" s="24"/>
    </row>
    <row r="56" spans="8:8" x14ac:dyDescent="0.15">
      <c r="H56" s="24"/>
    </row>
    <row r="57" spans="8:8" x14ac:dyDescent="0.15">
      <c r="H57" s="24"/>
    </row>
    <row r="58" spans="8:8" x14ac:dyDescent="0.15">
      <c r="H58" s="24"/>
    </row>
    <row r="59" spans="8:8" x14ac:dyDescent="0.15">
      <c r="H59" s="24"/>
    </row>
    <row r="60" spans="8:8" x14ac:dyDescent="0.15">
      <c r="H60" s="24"/>
    </row>
    <row r="61" spans="8:8" x14ac:dyDescent="0.15">
      <c r="H61" s="24"/>
    </row>
    <row r="62" spans="8:8" x14ac:dyDescent="0.15">
      <c r="H62" s="24"/>
    </row>
    <row r="63" spans="8:8" x14ac:dyDescent="0.15">
      <c r="H63" s="24"/>
    </row>
    <row r="64" spans="8:8" x14ac:dyDescent="0.15">
      <c r="H64" s="24"/>
    </row>
    <row r="65" spans="8:8" x14ac:dyDescent="0.15">
      <c r="H65" s="24"/>
    </row>
    <row r="66" spans="8:8" x14ac:dyDescent="0.15">
      <c r="H66" s="24"/>
    </row>
    <row r="67" spans="8:8" x14ac:dyDescent="0.15">
      <c r="H67" s="24"/>
    </row>
    <row r="68" spans="8:8" x14ac:dyDescent="0.15">
      <c r="H68" s="24"/>
    </row>
    <row r="69" spans="8:8" x14ac:dyDescent="0.15">
      <c r="H69" s="24"/>
    </row>
    <row r="70" spans="8:8" x14ac:dyDescent="0.15">
      <c r="H70" s="24"/>
    </row>
    <row r="71" spans="8:8" x14ac:dyDescent="0.15">
      <c r="H71" s="24"/>
    </row>
    <row r="72" spans="8:8" x14ac:dyDescent="0.15">
      <c r="H72" s="24"/>
    </row>
    <row r="73" spans="8:8" x14ac:dyDescent="0.15">
      <c r="H73" s="23"/>
    </row>
  </sheetData>
  <autoFilter ref="B8:O34" xr:uid="{00000000-0009-0000-0000-000000000000}"/>
  <mergeCells count="21">
    <mergeCell ref="B6:D6"/>
    <mergeCell ref="G2:I2"/>
    <mergeCell ref="B2:D2"/>
    <mergeCell ref="B3:D3"/>
    <mergeCell ref="B4:D4"/>
    <mergeCell ref="B5:D5"/>
    <mergeCell ref="P9:P11"/>
    <mergeCell ref="Q9:Q11"/>
    <mergeCell ref="C9:C11"/>
    <mergeCell ref="D9:D11"/>
    <mergeCell ref="B9:B11"/>
    <mergeCell ref="K9:K11"/>
    <mergeCell ref="L9:L11"/>
    <mergeCell ref="M9:M11"/>
    <mergeCell ref="N9:N11"/>
    <mergeCell ref="O9:O11"/>
    <mergeCell ref="F9:F11"/>
    <mergeCell ref="G9:G11"/>
    <mergeCell ref="H9:H11"/>
    <mergeCell ref="I9:I11"/>
    <mergeCell ref="J9:J11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2012-01-12T04:44:33Z</cp:lastPrinted>
  <dcterms:created xsi:type="dcterms:W3CDTF">2011-12-13T06:48:43Z</dcterms:created>
  <dcterms:modified xsi:type="dcterms:W3CDTF">2021-10-25T06:26:45Z</dcterms:modified>
</cp:coreProperties>
</file>