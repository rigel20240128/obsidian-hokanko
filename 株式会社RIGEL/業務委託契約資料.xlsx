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株式会社 RIGEL\Documents\保管庫\RIGEL\"/>
    </mc:Choice>
  </mc:AlternateContent>
  <xr:revisionPtr revIDLastSave="0" documentId="8_{B6D3B92C-F6CE-461E-A7DA-C98A207DF40F}" xr6:coauthVersionLast="47" xr6:coauthVersionMax="47" xr10:uidLastSave="{00000000-0000-0000-0000-000000000000}"/>
  <bookViews>
    <workbookView xWindow="-28920" yWindow="1815" windowWidth="29040" windowHeight="17520" activeTab="2" xr2:uid="{24D03508-1974-4503-B086-7F5BD6A4D4DC}"/>
  </bookViews>
  <sheets>
    <sheet name="出勤カレンダー" sheetId="1" r:id="rId1"/>
    <sheet name="業務委託契約書" sheetId="2" r:id="rId2"/>
    <sheet name="秘密保持契約書" sheetId="3" r:id="rId3"/>
    <sheet name="外注時時間単価算出表" sheetId="5" r:id="rId4"/>
  </sheets>
  <definedNames>
    <definedName name="_xlnm.Print_Area" localSheetId="1">業務委託契約書!$A$1:$M$56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13" i="5" l="1"/>
  <c r="U14" i="5"/>
  <c r="U8" i="5"/>
  <c r="R7" i="5"/>
  <c r="R5" i="5"/>
  <c r="E13" i="5"/>
  <c r="H8" i="5"/>
  <c r="E7" i="5"/>
  <c r="H6" i="5"/>
  <c r="E5" i="5"/>
  <c r="H5" i="5" s="1"/>
  <c r="E22" i="5"/>
  <c r="H13" i="5"/>
  <c r="H12" i="5"/>
  <c r="H11" i="5"/>
  <c r="H10" i="5"/>
  <c r="H9" i="5"/>
  <c r="H4" i="5"/>
  <c r="R22" i="5"/>
  <c r="U12" i="5"/>
  <c r="U5" i="5"/>
  <c r="U4" i="5"/>
  <c r="U10" i="5"/>
  <c r="U11" i="5"/>
  <c r="U15" i="5"/>
  <c r="U16" i="5"/>
  <c r="U9" i="5"/>
  <c r="U6" i="5"/>
  <c r="A51" i="3"/>
  <c r="T1" i="1"/>
  <c r="E23" i="1"/>
  <c r="E26" i="1"/>
  <c r="E25" i="1"/>
  <c r="E30" i="1" s="1"/>
  <c r="E32" i="1" s="1"/>
  <c r="E22" i="1"/>
  <c r="S7" i="1"/>
  <c r="T7" i="1" s="1"/>
  <c r="U7" i="1" s="1"/>
  <c r="V7" i="1" s="1"/>
  <c r="W7" i="1" s="1"/>
  <c r="X7" i="1" s="1"/>
  <c r="R8" i="1" s="1"/>
  <c r="S8" i="1" s="1"/>
  <c r="T8" i="1" s="1"/>
  <c r="U8" i="1" s="1"/>
  <c r="V8" i="1" s="1"/>
  <c r="W8" i="1" s="1"/>
  <c r="X8" i="1" s="1"/>
  <c r="R9" i="1" s="1"/>
  <c r="S9" i="1" s="1"/>
  <c r="T9" i="1" s="1"/>
  <c r="U9" i="1" s="1"/>
  <c r="V9" i="1" s="1"/>
  <c r="W9" i="1" s="1"/>
  <c r="X9" i="1" s="1"/>
  <c r="R10" i="1" s="1"/>
  <c r="S10" i="1" s="1"/>
  <c r="T10" i="1" s="1"/>
  <c r="U10" i="1" s="1"/>
  <c r="V10" i="1" s="1"/>
  <c r="W10" i="1" s="1"/>
  <c r="X10" i="1" s="1"/>
  <c r="R11" i="1" s="1"/>
  <c r="S11" i="1" s="1"/>
  <c r="T11" i="1" s="1"/>
  <c r="O7" i="1"/>
  <c r="P7" i="1" s="1"/>
  <c r="J8" i="1" s="1"/>
  <c r="K8" i="1" s="1"/>
  <c r="L8" i="1" s="1"/>
  <c r="M8" i="1" s="1"/>
  <c r="N8" i="1" s="1"/>
  <c r="O8" i="1" s="1"/>
  <c r="P8" i="1" s="1"/>
  <c r="J9" i="1" s="1"/>
  <c r="K9" i="1" s="1"/>
  <c r="L9" i="1" s="1"/>
  <c r="M9" i="1" s="1"/>
  <c r="N9" i="1" s="1"/>
  <c r="O9" i="1" s="1"/>
  <c r="P9" i="1" s="1"/>
  <c r="J10" i="1" s="1"/>
  <c r="K10" i="1" s="1"/>
  <c r="L10" i="1" s="1"/>
  <c r="M10" i="1" s="1"/>
  <c r="N10" i="1" s="1"/>
  <c r="O10" i="1" s="1"/>
  <c r="P10" i="1" s="1"/>
  <c r="J11" i="1" s="1"/>
  <c r="K11" i="1" s="1"/>
  <c r="L11" i="1" s="1"/>
  <c r="M11" i="1" s="1"/>
  <c r="N11" i="1" s="1"/>
  <c r="O11" i="1" s="1"/>
  <c r="P11" i="1" s="1"/>
  <c r="J12" i="1" s="1"/>
  <c r="E7" i="1"/>
  <c r="F7" i="1" s="1"/>
  <c r="G7" i="1" s="1"/>
  <c r="H7" i="1" s="1"/>
  <c r="B8" i="1" s="1"/>
  <c r="C8" i="1" s="1"/>
  <c r="D8" i="1" s="1"/>
  <c r="E8" i="1" s="1"/>
  <c r="F8" i="1" s="1"/>
  <c r="G8" i="1" s="1"/>
  <c r="H8" i="1" s="1"/>
  <c r="B9" i="1" s="1"/>
  <c r="C9" i="1" s="1"/>
  <c r="D9" i="1" s="1"/>
  <c r="E9" i="1" s="1"/>
  <c r="F9" i="1" s="1"/>
  <c r="H17" i="5" l="1"/>
  <c r="E23" i="5" s="1"/>
  <c r="G9" i="1"/>
  <c r="H9" i="1" s="1"/>
  <c r="B10" i="1" s="1"/>
  <c r="C10" i="1" s="1"/>
  <c r="D10" i="1" s="1"/>
  <c r="E10" i="1" s="1"/>
  <c r="F10" i="1" s="1"/>
  <c r="G10" i="1" s="1"/>
  <c r="H10" i="1" s="1"/>
  <c r="B11" i="1" s="1"/>
  <c r="C11" i="1" s="1"/>
  <c r="D11" i="1" s="1"/>
  <c r="E11" i="1" s="1"/>
  <c r="F11" i="1" s="1"/>
  <c r="U17" i="5"/>
  <c r="R23" i="5" s="1"/>
</calcChain>
</file>

<file path=xl/sharedStrings.xml><?xml version="1.0" encoding="utf-8"?>
<sst xmlns="http://schemas.openxmlformats.org/spreadsheetml/2006/main" count="223" uniqueCount="150">
  <si>
    <t>月</t>
    <rPh sb="0" eb="1">
      <t>ゲツ</t>
    </rPh>
    <phoneticPr fontId="1"/>
  </si>
  <si>
    <t>火</t>
    <rPh sb="0" eb="1">
      <t>ヒ</t>
    </rPh>
    <phoneticPr fontId="1"/>
  </si>
  <si>
    <t>水</t>
    <rPh sb="0" eb="1">
      <t>スイ</t>
    </rPh>
    <phoneticPr fontId="1"/>
  </si>
  <si>
    <t>木</t>
    <rPh sb="0" eb="1">
      <t>モク</t>
    </rPh>
    <phoneticPr fontId="1"/>
  </si>
  <si>
    <t>金</t>
    <rPh sb="0" eb="1">
      <t>キン</t>
    </rPh>
    <phoneticPr fontId="1"/>
  </si>
  <si>
    <t>土</t>
    <rPh sb="0" eb="1">
      <t>ド</t>
    </rPh>
    <phoneticPr fontId="1"/>
  </si>
  <si>
    <t>日</t>
    <rPh sb="0" eb="1">
      <t>ニチ</t>
    </rPh>
    <phoneticPr fontId="1"/>
  </si>
  <si>
    <t>7月</t>
    <rPh sb="1" eb="2">
      <t>ガツ</t>
    </rPh>
    <phoneticPr fontId="1"/>
  </si>
  <si>
    <t>8月</t>
    <rPh sb="1" eb="2">
      <t>ガツ</t>
    </rPh>
    <phoneticPr fontId="1"/>
  </si>
  <si>
    <t>9月</t>
    <rPh sb="1" eb="2">
      <t>ガツ</t>
    </rPh>
    <phoneticPr fontId="1"/>
  </si>
  <si>
    <t>退職日</t>
    <rPh sb="0" eb="3">
      <t>タイショクヒ</t>
    </rPh>
    <phoneticPr fontId="1"/>
  </si>
  <si>
    <t>開始日</t>
    <rPh sb="0" eb="3">
      <t>カイシビ</t>
    </rPh>
    <phoneticPr fontId="1"/>
  </si>
  <si>
    <t>残有給日数</t>
    <rPh sb="0" eb="3">
      <t>ノコユウキュウ</t>
    </rPh>
    <rPh sb="3" eb="5">
      <t>ニッスウ</t>
    </rPh>
    <phoneticPr fontId="1"/>
  </si>
  <si>
    <t>残出勤日</t>
    <rPh sb="0" eb="4">
      <t>ザンシュッキンビ</t>
    </rPh>
    <phoneticPr fontId="1"/>
  </si>
  <si>
    <t>夏休み</t>
    <rPh sb="0" eb="2">
      <t>ナツヤス</t>
    </rPh>
    <phoneticPr fontId="1"/>
  </si>
  <si>
    <t>出勤日</t>
    <phoneticPr fontId="1"/>
  </si>
  <si>
    <t>有給消化日</t>
    <phoneticPr fontId="1"/>
  </si>
  <si>
    <t>夏休み</t>
    <phoneticPr fontId="1"/>
  </si>
  <si>
    <t>有給日数</t>
    <rPh sb="0" eb="2">
      <t>ユウキュウ</t>
    </rPh>
    <rPh sb="1" eb="3">
      <t>ニッスウ</t>
    </rPh>
    <phoneticPr fontId="1"/>
  </si>
  <si>
    <t>社用車返却</t>
    <rPh sb="0" eb="3">
      <t>シャヨウシャ</t>
    </rPh>
    <rPh sb="3" eb="5">
      <t>ヘンキャク</t>
    </rPh>
    <phoneticPr fontId="1"/>
  </si>
  <si>
    <t>PC返却日</t>
    <rPh sb="2" eb="5">
      <t>ヘンキャクヒ</t>
    </rPh>
    <phoneticPr fontId="1"/>
  </si>
  <si>
    <t>携帯返却日</t>
    <rPh sb="0" eb="2">
      <t>ケイタイ</t>
    </rPh>
    <rPh sb="2" eb="5">
      <t>ヘンキャクヒ</t>
    </rPh>
    <phoneticPr fontId="1"/>
  </si>
  <si>
    <t>出勤カレンダー</t>
    <rPh sb="0" eb="2">
      <t>シュッキン</t>
    </rPh>
    <phoneticPr fontId="1"/>
  </si>
  <si>
    <t>出勤日程</t>
    <rPh sb="0" eb="2">
      <t>シュッキン</t>
    </rPh>
    <rPh sb="2" eb="4">
      <t>ニッテイ</t>
    </rPh>
    <phoneticPr fontId="1"/>
  </si>
  <si>
    <t>貸与品返却日</t>
    <rPh sb="0" eb="3">
      <t>タイヨヒン</t>
    </rPh>
    <rPh sb="3" eb="6">
      <t>ヘンキャクヒ</t>
    </rPh>
    <phoneticPr fontId="1"/>
  </si>
  <si>
    <t>平日通常対応(9:00-18:00)</t>
    <rPh sb="0" eb="2">
      <t>ヘイジツ</t>
    </rPh>
    <rPh sb="2" eb="4">
      <t>ツウジョウ</t>
    </rPh>
    <rPh sb="4" eb="6">
      <t>タイオウ</t>
    </rPh>
    <phoneticPr fontId="1"/>
  </si>
  <si>
    <t>■支払条件</t>
    <rPh sb="1" eb="3">
      <t>シハラ</t>
    </rPh>
    <rPh sb="3" eb="5">
      <t>ジョウケン</t>
    </rPh>
    <phoneticPr fontId="1"/>
  </si>
  <si>
    <t>作業単価(時間)</t>
    <phoneticPr fontId="1"/>
  </si>
  <si>
    <t>第1条（業務内容）</t>
    <phoneticPr fontId="1"/>
  </si>
  <si>
    <t>甲は乙に対し、以下の業務を委託し、乙はこれを受託する。　</t>
    <phoneticPr fontId="1"/>
  </si>
  <si>
    <t>・3D CADモデリング（iCAD SX）</t>
    <phoneticPr fontId="1"/>
  </si>
  <si>
    <t>・機械設計支援および構想設計</t>
    <phoneticPr fontId="1"/>
  </si>
  <si>
    <t>・部品図・組立図の作成</t>
    <phoneticPr fontId="1"/>
  </si>
  <si>
    <t>・図面修正・改訂業務</t>
    <phoneticPr fontId="1"/>
  </si>
  <si>
    <t>・部品構成表（BOM）の作成</t>
    <phoneticPr fontId="1"/>
  </si>
  <si>
    <t>・設計レビューおよび技術支援業務</t>
    <phoneticPr fontId="1"/>
  </si>
  <si>
    <t>第2条（契約形態）</t>
  </si>
  <si>
    <t>第3条（報酬）</t>
    <phoneticPr fontId="1"/>
  </si>
  <si>
    <t>第4条（最低課金単位）</t>
    <phoneticPr fontId="1"/>
  </si>
  <si>
    <t>第5条（作業時間の定義）</t>
    <phoneticPr fontId="1"/>
  </si>
  <si>
    <t>作業時間には以下を含む。</t>
    <phoneticPr fontId="1"/>
  </si>
  <si>
    <t>・CAD作業時間</t>
    <phoneticPr fontId="1"/>
  </si>
  <si>
    <t>・設計検討時間</t>
    <phoneticPr fontId="1"/>
  </si>
  <si>
    <t>・仕様確認・調整時間</t>
    <phoneticPr fontId="1"/>
  </si>
  <si>
    <t>・修正対応時間</t>
    <phoneticPr fontId="1"/>
  </si>
  <si>
    <t>・打合せ時間（オンライン含む）</t>
    <phoneticPr fontId="1"/>
  </si>
  <si>
    <t>第6条（対応時間帯）</t>
    <phoneticPr fontId="1"/>
  </si>
  <si>
    <t>乙は業務上知り得た情報を第三者に漏洩してはならない。</t>
    <phoneticPr fontId="1"/>
  </si>
  <si>
    <t>甲または乙は、事前通知により本契約を解除できるものとする。</t>
    <phoneticPr fontId="1"/>
  </si>
  <si>
    <t>本契約に定めのない事項または疑義が生じた場合は、甲乙誠実に協議の上解決する。</t>
    <phoneticPr fontId="1"/>
  </si>
  <si>
    <t>本契約は、甲および乙間における業務委託に関連して開示される秘密情報の取扱いについて定めるものである。</t>
  </si>
  <si>
    <t>第1条（目的）</t>
  </si>
  <si>
    <t>本契約は、甲および乙が業務遂行に関連して開示または知り得た情報の機密性を保持し、第三者への漏洩および不正使用を防止することを目的とする。</t>
  </si>
  <si>
    <t>第2条（秘密情報の定義）</t>
  </si>
  <si>
    <t>本契約における秘密情報とは、以下に該当する情報をいう。</t>
  </si>
  <si>
    <t>ただし、以下の情報は秘密情報に含まれないものとする。</t>
  </si>
  <si>
    <t>第3条（秘密保持義務）</t>
  </si>
  <si>
    <t>甲および乙は、秘密情報を第三者に開示または漏洩してはならない。また、本契約の目的以外に使用してはならない。</t>
  </si>
  <si>
    <t>第4条（目的外使用の禁止）</t>
  </si>
  <si>
    <t>秘密情報は、本契約に基づく業務遂行以外の目的で使用してはならない。</t>
  </si>
  <si>
    <t>第5条（再委託および第三者提供の禁止）</t>
  </si>
  <si>
    <t>甲および乙は、相手方の事前承諾なく秘密情報を第三者に開示し、または業務を再委託してはならない。</t>
  </si>
  <si>
    <t>第6条（管理義務）</t>
  </si>
  <si>
    <t>甲および乙は、秘密情報を適切に管理し、漏洩・紛失・不正アクセス等が生じないよう合理的な安全管理措置を講じるものとする。</t>
  </si>
  <si>
    <t>第7条（契約終了後の取扱い）</t>
  </si>
  <si>
    <t>本契約終了後においても、本契約に基づく秘密保持義務は存続するものとする。</t>
  </si>
  <si>
    <t>また、乙は甲から提供された秘密情報について、甲の指示に従い速やかに返却または消去するものとする。</t>
  </si>
  <si>
    <t>第8条（損害賠償）</t>
  </si>
  <si>
    <t>本契約に違反し秘密情報を漏洩または不正使用した場合、違反当事者はこれにより生じた損害を賠償する責任を負う。</t>
  </si>
  <si>
    <t>第9条（契約期間）</t>
  </si>
  <si>
    <t>本契約の有効期間は契約締結日から業務委託契約の終了日までとする。ただし、第7条（契約終了後の秘密保持義務）は終了後も有効とする。</t>
  </si>
  <si>
    <t>第10条（協議事項）</t>
  </si>
  <si>
    <t>本契約に定めのない事項または疑義が生じた場合は、甲乙誠実に協議し解決するものとする。</t>
  </si>
  <si>
    <t>第11条（準拠法および管轄）</t>
  </si>
  <si>
    <t>本契約は日本法を準拠法とし、本契約に関する紛争については、甲の所在地を管轄する地方裁判所を第一審の専属的合意管轄裁判所とする。</t>
  </si>
  <si>
    <t>署名欄</t>
  </si>
  <si>
    <t>本契約締結の証として、本書2通を作成し、甲乙記名押印の上、各1通を保有する。</t>
  </si>
  <si>
    <t>甲（発注者）</t>
  </si>
  <si>
    <t>乙（受注者）</t>
  </si>
  <si>
    <t>・図面、3D CADデータ（iCAD SX等を含む）</t>
    <phoneticPr fontId="1"/>
  </si>
  <si>
    <t>・製品仕様書、設計仕様書</t>
    <phoneticPr fontId="1"/>
  </si>
  <si>
    <t>・技術資料および設計ノウハウ</t>
    <phoneticPr fontId="1"/>
  </si>
  <si>
    <t>・部品構成情報（BOM等）</t>
    <phoneticPr fontId="1"/>
  </si>
  <si>
    <t>・業務上知り得た製造・開発情報</t>
    <phoneticPr fontId="1"/>
  </si>
  <si>
    <t>・その他、甲または乙が秘密であると明示した情報</t>
    <phoneticPr fontId="1"/>
  </si>
  <si>
    <t>・公知となっている情報</t>
    <phoneticPr fontId="1"/>
  </si>
  <si>
    <t>・正当な権限を有する第三者から適法に取得した情報</t>
    <phoneticPr fontId="1"/>
  </si>
  <si>
    <t>・秘密情報によらず独自に開発された情報</t>
    <phoneticPr fontId="1"/>
  </si>
  <si>
    <t>法人名</t>
    <phoneticPr fontId="1"/>
  </si>
  <si>
    <t>住所</t>
    <phoneticPr fontId="1"/>
  </si>
  <si>
    <t>代表者名　　　　　</t>
    <phoneticPr fontId="1"/>
  </si>
  <si>
    <t>：</t>
    <phoneticPr fontId="1"/>
  </si>
  <si>
    <t>印</t>
    <rPh sb="0" eb="1">
      <t>イン</t>
    </rPh>
    <phoneticPr fontId="1"/>
  </si>
  <si>
    <t>千葉県柏市柏7-1-15</t>
    <rPh sb="0" eb="6">
      <t>277-0005</t>
    </rPh>
    <phoneticPr fontId="1"/>
  </si>
  <si>
    <t>株式会社サンエイテック</t>
    <rPh sb="0" eb="4">
      <t>カブシキガイシャ</t>
    </rPh>
    <phoneticPr fontId="1"/>
  </si>
  <si>
    <t>神谷  雄太郎</t>
    <rPh sb="0" eb="2">
      <t>カミヤ</t>
    </rPh>
    <rPh sb="4" eb="7">
      <t>ユウタロウ</t>
    </rPh>
    <phoneticPr fontId="1"/>
  </si>
  <si>
    <t>第7条（納期および業務遂行）</t>
    <phoneticPr fontId="1"/>
  </si>
  <si>
    <t>第8条（成果物の扱い）</t>
    <phoneticPr fontId="1"/>
  </si>
  <si>
    <t>第9条（機密保持）</t>
    <phoneticPr fontId="1"/>
  </si>
  <si>
    <t>第10条（契約解除）</t>
    <phoneticPr fontId="1"/>
  </si>
  <si>
    <t>第11条（協議事項）</t>
    <phoneticPr fontId="1"/>
  </si>
  <si>
    <t>本契約は、(株)サンエイテック（以下「甲」）とRIGEL（以下「乙」）との間で設計業務に関する業務委託について以下の通り締結する。</t>
    <rPh sb="5" eb="15">
      <t>サン</t>
    </rPh>
    <phoneticPr fontId="1"/>
  </si>
  <si>
    <t>勤務日数</t>
    <rPh sb="0" eb="4">
      <t>キンムニッスウ</t>
    </rPh>
    <phoneticPr fontId="1"/>
  </si>
  <si>
    <t>勤務時間</t>
    <rPh sb="0" eb="4">
      <t>キンムジカン</t>
    </rPh>
    <phoneticPr fontId="1"/>
  </si>
  <si>
    <t>年間勤務</t>
    <rPh sb="0" eb="2">
      <t>ネンカン</t>
    </rPh>
    <rPh sb="2" eb="4">
      <t>キンム</t>
    </rPh>
    <phoneticPr fontId="1"/>
  </si>
  <si>
    <t>時間単価</t>
    <rPh sb="0" eb="4">
      <t>ジカンタンカ</t>
    </rPh>
    <phoneticPr fontId="1"/>
  </si>
  <si>
    <t>社会保険料</t>
    <rPh sb="0" eb="5">
      <t>シャカイホケンリョウ</t>
    </rPh>
    <phoneticPr fontId="1"/>
  </si>
  <si>
    <t>パソコン</t>
    <phoneticPr fontId="1"/>
  </si>
  <si>
    <t>携帯・Wifi</t>
    <rPh sb="0" eb="2">
      <t>ケイタイ</t>
    </rPh>
    <phoneticPr fontId="1"/>
  </si>
  <si>
    <t>営業車</t>
    <rPh sb="0" eb="3">
      <t>エイギョウシャ</t>
    </rPh>
    <phoneticPr fontId="1"/>
  </si>
  <si>
    <t>保守契約</t>
    <rPh sb="0" eb="4">
      <t>ホシュケイヤク</t>
    </rPh>
    <phoneticPr fontId="1"/>
  </si>
  <si>
    <t>CADソフト（購入）</t>
    <rPh sb="7" eb="9">
      <t>コウニュウ</t>
    </rPh>
    <phoneticPr fontId="1"/>
  </si>
  <si>
    <t>項目</t>
    <rPh sb="0" eb="2">
      <t>コウモク</t>
    </rPh>
    <phoneticPr fontId="1"/>
  </si>
  <si>
    <t>年間費用</t>
    <rPh sb="0" eb="2">
      <t>ネンカン</t>
    </rPh>
    <rPh sb="2" eb="4">
      <t>ヒヨウ</t>
    </rPh>
    <phoneticPr fontId="1"/>
  </si>
  <si>
    <t>減価償却期間　：　</t>
    <rPh sb="4" eb="6">
      <t>キカン</t>
    </rPh>
    <phoneticPr fontId="1"/>
  </si>
  <si>
    <t>駐車場</t>
    <rPh sb="0" eb="3">
      <t>チュウシャジョウ</t>
    </rPh>
    <phoneticPr fontId="1"/>
  </si>
  <si>
    <t>事務所費用</t>
    <rPh sb="0" eb="2">
      <t>ジム</t>
    </rPh>
    <rPh sb="2" eb="3">
      <t>ショ</t>
    </rPh>
    <rPh sb="3" eb="5">
      <t>ヒヨウ</t>
    </rPh>
    <phoneticPr fontId="1"/>
  </si>
  <si>
    <t>税理士費用</t>
    <rPh sb="0" eb="3">
      <t>ゼイリシ</t>
    </rPh>
    <rPh sb="3" eb="5">
      <t>ヒヨウ</t>
    </rPh>
    <phoneticPr fontId="1"/>
  </si>
  <si>
    <t>その他</t>
    <rPh sb="2" eb="3">
      <t>タ</t>
    </rPh>
    <phoneticPr fontId="1"/>
  </si>
  <si>
    <t>備考</t>
    <rPh sb="0" eb="2">
      <t>ビコウ</t>
    </rPh>
    <phoneticPr fontId="1"/>
  </si>
  <si>
    <t>減価償却</t>
    <rPh sb="0" eb="4">
      <t>ゲンカショウキャク</t>
    </rPh>
    <phoneticPr fontId="1"/>
  </si>
  <si>
    <t>給与</t>
    <rPh sb="0" eb="2">
      <t>キュウヨ</t>
    </rPh>
    <phoneticPr fontId="1"/>
  </si>
  <si>
    <t>単年処理</t>
    <rPh sb="0" eb="1">
      <t>タン</t>
    </rPh>
    <rPh sb="1" eb="2">
      <t>ネン</t>
    </rPh>
    <rPh sb="2" eb="4">
      <t>ショリ</t>
    </rPh>
    <phoneticPr fontId="1"/>
  </si>
  <si>
    <t>費用</t>
    <rPh sb="0" eb="2">
      <t>ヒヨウ</t>
    </rPh>
    <phoneticPr fontId="1"/>
  </si>
  <si>
    <t>有給買取</t>
    <rPh sb="0" eb="2">
      <t>ユウキュウ</t>
    </rPh>
    <rPh sb="2" eb="4">
      <t>カイトリ</t>
    </rPh>
    <phoneticPr fontId="1"/>
  </si>
  <si>
    <t>買取単価</t>
    <rPh sb="0" eb="2">
      <t>カイトリ</t>
    </rPh>
    <rPh sb="2" eb="4">
      <t>タンカ</t>
    </rPh>
    <phoneticPr fontId="1"/>
  </si>
  <si>
    <t>買取金額</t>
    <rPh sb="0" eb="4">
      <t>カイトリキンガク</t>
    </rPh>
    <phoneticPr fontId="1"/>
  </si>
  <si>
    <t>佐藤　貴久</t>
    <rPh sb="0" eb="2">
      <t>サトウ</t>
    </rPh>
    <rPh sb="3" eb="5">
      <t>タカヒサ</t>
    </rPh>
    <phoneticPr fontId="1"/>
  </si>
  <si>
    <t>平日対応（月曜日から金曜日まで。ただし、祝日を除く）</t>
  </si>
  <si>
    <t>時間外対応（18:00から24:00まで）</t>
  </si>
  <si>
    <t>深夜対応（24:00から翌9:00まで）</t>
  </si>
  <si>
    <t>休日対応（土曜日、日曜日および祝日）</t>
  </si>
  <si>
    <t>なお、時間外、深夜および休日対応については、甲乙協議の上実施するものとし、乙は当該割増料金を請求できるものとする。</t>
    <phoneticPr fontId="1"/>
  </si>
  <si>
    <t>・月末締め、翌月末現金振込</t>
    <phoneticPr fontId="1"/>
  </si>
  <si>
    <t>成果物の著作権および使用権は、報酬の支払いが完了した時点で、甲に帰属するものとする。</t>
    <phoneticPr fontId="1"/>
  </si>
  <si>
    <t>納期は個別契約書にて乙と甲が協議の上で決定する。</t>
    <phoneticPr fontId="1"/>
  </si>
  <si>
    <t>乙は、別途定める範囲において本業務を遂行するものとする。</t>
    <phoneticPr fontId="1"/>
  </si>
  <si>
    <t>標準単価を適用する。</t>
    <rPh sb="0" eb="2">
      <t>ヒョウジュン</t>
    </rPh>
    <phoneticPr fontId="1"/>
  </si>
  <si>
    <t>標準単価に対し25％を加算した単価を適用する。</t>
    <phoneticPr fontId="1"/>
  </si>
  <si>
    <t>標準単価に対し50％を加算した単価を適用する。</t>
    <phoneticPr fontId="1"/>
  </si>
  <si>
    <t>乙が甲の依頼に基づき業務を実施する場合の対応時間帯および適用単価は、以下のとおりとする。</t>
    <phoneticPr fontId="1"/>
  </si>
  <si>
    <t>作業時間は1時間単位で算定するものとし、1時間未満の作業が生じた場合であっても、これを1時間として請求する。</t>
    <phoneticPr fontId="1"/>
  </si>
  <si>
    <t>本契約は準委任契約とし、成果物の完成を保証するものではなく、乙は業務遂行を目的として本業務を行うものとする。</t>
    <phoneticPr fontId="1"/>
  </si>
  <si>
    <t>在職時経費</t>
    <rPh sb="0" eb="3">
      <t>ザイショクジ</t>
    </rPh>
    <rPh sb="3" eb="5">
      <t>ケイヒ</t>
    </rPh>
    <phoneticPr fontId="1"/>
  </si>
  <si>
    <t>月間費用</t>
    <rPh sb="0" eb="2">
      <t>ゲッカン</t>
    </rPh>
    <rPh sb="2" eb="4">
      <t>ヒヨウ</t>
    </rPh>
    <phoneticPr fontId="1"/>
  </si>
  <si>
    <t>ガソリン代</t>
    <rPh sb="4" eb="5">
      <t>ダイ</t>
    </rPh>
    <phoneticPr fontId="1"/>
  </si>
  <si>
    <t>間接部門費</t>
    <rPh sb="0" eb="2">
      <t>カンセツ</t>
    </rPh>
    <rPh sb="2" eb="4">
      <t>ブモン</t>
    </rPh>
    <rPh sb="4" eb="5">
      <t>ヒ</t>
    </rPh>
    <phoneticPr fontId="1"/>
  </si>
  <si>
    <t>独立時経費</t>
    <rPh sb="0" eb="2">
      <t>ドクリツ</t>
    </rPh>
    <rPh sb="2" eb="3">
      <t>ジ</t>
    </rPh>
    <rPh sb="3" eb="5">
      <t>ケイヒ</t>
    </rPh>
    <phoneticPr fontId="1"/>
  </si>
  <si>
    <t>千葉県柏市みどり台</t>
    <rPh sb="0" eb="9">
      <t>277-0884</t>
    </rPh>
    <phoneticPr fontId="1"/>
  </si>
  <si>
    <t>株式会社RIGEL</t>
    <rPh sb="0" eb="4">
      <t>カブシキガイシャ</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</si>
</sst>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quot;日&quot;"/>
    <numFmt numFmtId="177" formatCode="yyyy&quot;年&quot;m&quot;月&quot;d&quot;日&quot;;@"/>
    <numFmt numFmtId="178" formatCode="0,000&quot;円(税別)&quot;"/>
    <numFmt numFmtId="179" formatCode="0&quot;年&quot;"/>
    <numFmt numFmtId="180" formatCode="0&quot;円&quot;"/>
    <numFmt numFmtId="181" formatCode="0_ "/>
  </numFmts>
  <fonts count="7" x14ac:knownFonts="1">
    <font>
      <sz val="11"/>
      <color theme="1"/>
      <name val="游ゴシック"/>
      <family val="2"/>
      <charset val="128"/>
      <scheme val="minor"/>
    </font>
    <font>
      <sz val="6"/>
      <name val="游ゴシック"/>
      <family val="2"/>
      <charset val="128"/>
      <scheme val="minor"/>
    </font>
    <font>
      <b/>
      <sz val="11"/>
      <color rgb="FFFF0000"/>
      <name val="游ゴシック"/>
      <family val="3"/>
      <charset val="128"/>
      <scheme val="minor"/>
    </font>
    <font>
      <b/>
      <sz val="14"/>
      <color theme="1"/>
      <name val="游ゴシック"/>
      <family val="3"/>
      <charset val="128"/>
      <scheme val="minor"/>
    </font>
    <font>
      <sz val="14"/>
      <color theme="1"/>
      <name val="游ゴシック"/>
      <family val="3"/>
      <charset val="128"/>
      <scheme val="minor"/>
    </font>
    <font>
      <b/>
      <sz val="11"/>
      <color theme="1"/>
      <name val="游ゴシック"/>
      <family val="3"/>
      <charset val="128"/>
      <scheme val="minor"/>
    </font>
    <font>
      <sz val="11"/>
      <color theme="1"/>
      <name val="游ゴシック"/>
      <family val="3"/>
      <charset val="128"/>
      <scheme val="minor"/>
    </font>
  </fonts>
  <fills count="7">
    <fill>
      <patternFill patternType="none"/>
    </fill>
    <fill>
      <patternFill patternType="gray125"/>
    </fill>
    <fill>
      <patternFill patternType="solid">
        <fgColor theme="0" tint="-0.14999847407452621"/>
        <bgColor indexed="64"/>
      </patternFill>
    </fill>
    <fill>
      <patternFill patternType="solid">
        <fgColor rgb="FF00B0F0"/>
        <bgColor indexed="64"/>
      </patternFill>
    </fill>
    <fill>
      <patternFill patternType="solid">
        <fgColor theme="9" tint="0.39997558519241921"/>
        <bgColor indexed="64"/>
      </patternFill>
    </fill>
    <fill>
      <patternFill patternType="solid">
        <fgColor rgb="FFFFFF00"/>
        <bgColor indexed="64"/>
      </patternFill>
    </fill>
    <fill>
      <patternFill patternType="solid">
        <fgColor theme="9"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right/>
      <top/>
      <bottom style="thin">
        <color indexed="64"/>
      </bottom>
      <diagonal/>
    </border>
  </borders>
  <cellStyleXfs count="1">
    <xf numFmtId="0" fontId="0" fillId="0" borderId="0">
      <alignment vertical="center"/>
    </xf>
  </cellStyleXfs>
  <cellXfs count="49">
    <xf numFmtId="0" fontId="0" fillId="0" borderId="0" xfId="0">
      <alignment vertical="center"/>
    </xf>
    <xf numFmtId="0" fontId="0" fillId="0" borderId="1" xfId="0" applyBorder="1">
      <alignment vertical="center"/>
    </xf>
    <xf numFmtId="0" fontId="0" fillId="2" borderId="1" xfId="0" applyFill="1" applyBorder="1">
      <alignment vertical="center"/>
    </xf>
    <xf numFmtId="0" fontId="0" fillId="3" borderId="1" xfId="0" applyFill="1" applyBorder="1">
      <alignment vertical="center"/>
    </xf>
    <xf numFmtId="0" fontId="0" fillId="5" borderId="1" xfId="0" applyFill="1" applyBorder="1">
      <alignment vertical="center"/>
    </xf>
    <xf numFmtId="0" fontId="4" fillId="0" borderId="0" xfId="0" applyFont="1">
      <alignment vertical="center"/>
    </xf>
    <xf numFmtId="0" fontId="0" fillId="0" borderId="5" xfId="0" applyBorder="1">
      <alignment vertical="center"/>
    </xf>
    <xf numFmtId="176" fontId="0" fillId="0" borderId="0" xfId="0" applyNumberFormat="1" applyAlignment="1">
      <alignment horizontal="center" vertical="center"/>
    </xf>
    <xf numFmtId="0" fontId="0" fillId="0" borderId="0" xfId="0" applyAlignment="1">
      <alignment horizontal="center" vertical="center"/>
    </xf>
    <xf numFmtId="0" fontId="5" fillId="0" borderId="0" xfId="0" applyFont="1">
      <alignment vertical="center"/>
    </xf>
    <xf numFmtId="0" fontId="6" fillId="0" borderId="0" xfId="0" applyFont="1">
      <alignment vertical="center"/>
    </xf>
    <xf numFmtId="0" fontId="6" fillId="0" borderId="0" xfId="0" applyFont="1" applyAlignment="1">
      <alignment horizontal="left" vertical="center" indent="1"/>
    </xf>
    <xf numFmtId="0" fontId="6" fillId="0" borderId="0" xfId="0" applyFont="1" applyAlignment="1">
      <alignment horizontal="center" vertical="center"/>
    </xf>
    <xf numFmtId="0" fontId="6" fillId="0" borderId="0" xfId="0" applyFont="1" applyAlignment="1">
      <alignment horizontal="left" vertical="center"/>
    </xf>
    <xf numFmtId="3" fontId="0" fillId="0" borderId="0" xfId="0" applyNumberFormat="1">
      <alignment vertical="center"/>
    </xf>
    <xf numFmtId="3" fontId="0" fillId="0" borderId="0" xfId="0" applyNumberFormat="1" applyAlignment="1">
      <alignment horizontal="right" vertical="center"/>
    </xf>
    <xf numFmtId="179" fontId="0" fillId="0" borderId="0" xfId="0" applyNumberFormat="1" applyAlignment="1">
      <alignment horizontal="center" vertical="center"/>
    </xf>
    <xf numFmtId="0" fontId="2" fillId="5" borderId="1" xfId="0" applyFont="1" applyFill="1" applyBorder="1">
      <alignment vertical="center"/>
    </xf>
    <xf numFmtId="49" fontId="0" fillId="0" borderId="0" xfId="0" applyNumberFormat="1" applyAlignment="1">
      <alignment horizontal="center" vertical="center"/>
    </xf>
    <xf numFmtId="0" fontId="0" fillId="0" borderId="1" xfId="0" applyBorder="1" applyAlignment="1">
      <alignment horizontal="left" vertical="center"/>
    </xf>
    <xf numFmtId="0" fontId="0" fillId="0" borderId="1" xfId="0" applyBorder="1" applyAlignment="1">
      <alignment horizontal="center" vertical="center"/>
    </xf>
    <xf numFmtId="178" fontId="0" fillId="0" borderId="1" xfId="0" applyNumberFormat="1" applyBorder="1" applyAlignment="1">
      <alignment horizontal="center" vertical="center"/>
    </xf>
    <xf numFmtId="181" fontId="0" fillId="0" borderId="1" xfId="0" applyNumberFormat="1" applyBorder="1" applyAlignment="1">
      <alignment horizontal="right"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180" fontId="0" fillId="0" borderId="1" xfId="0" applyNumberFormat="1" applyBorder="1" applyAlignment="1">
      <alignment horizontal="right" vertical="center"/>
    </xf>
    <xf numFmtId="0" fontId="3" fillId="0" borderId="0" xfId="0" applyFont="1" applyAlignment="1">
      <alignment horizontal="left" vertical="center"/>
    </xf>
    <xf numFmtId="177" fontId="0" fillId="0" borderId="0" xfId="0" applyNumberFormat="1" applyAlignment="1">
      <alignment horizontal="right" vertical="center"/>
    </xf>
    <xf numFmtId="176" fontId="0" fillId="0" borderId="2" xfId="0" applyNumberFormat="1" applyBorder="1" applyAlignment="1">
      <alignment horizontal="right" vertical="center"/>
    </xf>
    <xf numFmtId="176" fontId="0" fillId="0" borderId="3" xfId="0" applyNumberFormat="1" applyBorder="1" applyAlignment="1">
      <alignment horizontal="right" vertical="center"/>
    </xf>
    <xf numFmtId="176" fontId="0" fillId="0" borderId="4" xfId="0" applyNumberFormat="1" applyBorder="1" applyAlignment="1">
      <alignment horizontal="right" vertical="center"/>
    </xf>
    <xf numFmtId="177" fontId="0" fillId="0" borderId="1" xfId="0" applyNumberFormat="1" applyBorder="1" applyAlignment="1">
      <alignment horizontal="right" vertical="center"/>
    </xf>
    <xf numFmtId="0" fontId="0" fillId="4" borderId="1" xfId="0" applyFill="1" applyBorder="1" applyAlignment="1">
      <alignment horizontal="center" vertical="center"/>
    </xf>
    <xf numFmtId="176" fontId="0" fillId="0" borderId="1" xfId="0" applyNumberFormat="1" applyBorder="1" applyAlignment="1">
      <alignment horizontal="center" vertical="center"/>
    </xf>
    <xf numFmtId="176" fontId="0" fillId="0" borderId="1" xfId="0" applyNumberFormat="1" applyBorder="1" applyAlignment="1">
      <alignment horizontal="right" vertical="center"/>
    </xf>
    <xf numFmtId="0" fontId="0" fillId="5" borderId="1" xfId="0" applyFill="1" applyBorder="1" applyAlignment="1">
      <alignment horizontal="center" vertical="center"/>
    </xf>
    <xf numFmtId="0" fontId="0" fillId="3" borderId="1" xfId="0" applyFill="1" applyBorder="1" applyAlignment="1">
      <alignment horizontal="center" vertical="center"/>
    </xf>
    <xf numFmtId="177" fontId="6" fillId="0" borderId="0" xfId="0" applyNumberFormat="1" applyFont="1" applyAlignment="1">
      <alignment horizontal="left" vertical="center"/>
    </xf>
    <xf numFmtId="0" fontId="6" fillId="0" borderId="0" xfId="0" applyFont="1" applyAlignment="1">
      <alignment horizontal="left" vertical="center"/>
    </xf>
    <xf numFmtId="3" fontId="0" fillId="0" borderId="1" xfId="0" applyNumberFormat="1" applyBorder="1" applyAlignment="1">
      <alignment horizontal="right" vertical="center"/>
    </xf>
    <xf numFmtId="3" fontId="0" fillId="6" borderId="1" xfId="0" applyNumberFormat="1" applyFill="1" applyBorder="1" applyAlignment="1">
      <alignment horizontal="right" vertical="center"/>
    </xf>
    <xf numFmtId="3" fontId="0" fillId="0" borderId="6" xfId="0" applyNumberFormat="1" applyBorder="1" applyAlignment="1">
      <alignment horizontal="right" vertical="center"/>
    </xf>
    <xf numFmtId="3" fontId="0" fillId="0" borderId="1" xfId="0" applyNumberFormat="1" applyBorder="1" applyAlignment="1">
      <alignment horizontal="center" vertical="center"/>
    </xf>
    <xf numFmtId="0" fontId="0" fillId="6" borderId="1" xfId="0" applyFill="1" applyBorder="1" applyAlignment="1">
      <alignment horizontal="center" vertical="center"/>
    </xf>
    <xf numFmtId="3" fontId="0" fillId="0" borderId="2" xfId="0" applyNumberFormat="1" applyBorder="1" applyAlignment="1">
      <alignment horizontal="right" vertical="center"/>
    </xf>
    <xf numFmtId="3" fontId="0" fillId="0" borderId="3" xfId="0" applyNumberFormat="1" applyBorder="1" applyAlignment="1">
      <alignment horizontal="right" vertical="center"/>
    </xf>
    <xf numFmtId="3" fontId="0" fillId="0" borderId="4" xfId="0" applyNumberFormat="1" applyBorder="1" applyAlignment="1">
      <alignment horizontal="right" vertical="center"/>
    </xf>
    <xf numFmtId="3" fontId="0" fillId="5" borderId="1" xfId="0" applyNumberFormat="1" applyFill="1" applyBorder="1" applyAlignment="1">
      <alignment horizontal="righ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D46E3-32DF-4ABC-9B42-B7D9A68FA137}">
  <sheetPr>
    <pageSetUpPr fitToPage="1"/>
  </sheetPr>
  <dimension ref="B1:X32"/>
  <sheetViews>
    <sheetView topLeftCell="A14" zoomScale="115" zoomScaleNormal="115" workbookViewId="0">
      <selection activeCell="P32" sqref="P32"/>
    </sheetView>
  </sheetViews>
  <sheetFormatPr defaultRowHeight="18.75" x14ac:dyDescent="0.4"/>
  <cols>
    <col min="1" max="8" width="4.125" customWidth="1"/>
    <col min="10" max="16" width="4.125" customWidth="1"/>
    <col min="18" max="24" width="4.125" customWidth="1"/>
  </cols>
  <sheetData>
    <row r="1" spans="2:24" x14ac:dyDescent="0.4">
      <c r="T1" s="28">
        <f ca="1">TODAY()</f>
        <v>46228</v>
      </c>
      <c r="U1" s="28"/>
      <c r="V1" s="28"/>
      <c r="W1" s="28"/>
      <c r="X1" s="28"/>
    </row>
    <row r="2" spans="2:24" ht="5.0999999999999996" customHeight="1" x14ac:dyDescent="0.4"/>
    <row r="3" spans="2:24" ht="24" x14ac:dyDescent="0.4">
      <c r="B3" s="27" t="s">
        <v>22</v>
      </c>
      <c r="C3" s="27"/>
      <c r="D3" s="27"/>
      <c r="E3" s="27"/>
      <c r="F3" s="27"/>
      <c r="G3" s="27"/>
      <c r="H3" s="27"/>
    </row>
    <row r="4" spans="2:24" ht="5.0999999999999996" customHeight="1" x14ac:dyDescent="0.4"/>
    <row r="5" spans="2:24" x14ac:dyDescent="0.4">
      <c r="B5" s="20" t="s">
        <v>7</v>
      </c>
      <c r="C5" s="20"/>
      <c r="D5" s="20"/>
      <c r="E5" s="20"/>
      <c r="F5" s="20"/>
      <c r="G5" s="20"/>
      <c r="H5" s="20"/>
      <c r="J5" s="20" t="s">
        <v>8</v>
      </c>
      <c r="K5" s="20"/>
      <c r="L5" s="20"/>
      <c r="M5" s="20"/>
      <c r="N5" s="20"/>
      <c r="O5" s="20"/>
      <c r="P5" s="20"/>
      <c r="R5" s="20" t="s">
        <v>9</v>
      </c>
      <c r="S5" s="20"/>
      <c r="T5" s="20"/>
      <c r="U5" s="20"/>
      <c r="V5" s="20"/>
      <c r="W5" s="20"/>
      <c r="X5" s="20"/>
    </row>
    <row r="6" spans="2:24" x14ac:dyDescent="0.4">
      <c r="B6" s="1" t="s">
        <v>0</v>
      </c>
      <c r="C6" s="1" t="s">
        <v>1</v>
      </c>
      <c r="D6" s="1" t="s">
        <v>2</v>
      </c>
      <c r="E6" s="1" t="s">
        <v>3</v>
      </c>
      <c r="F6" s="1" t="s">
        <v>4</v>
      </c>
      <c r="G6" s="2" t="s">
        <v>5</v>
      </c>
      <c r="H6" s="2" t="s">
        <v>6</v>
      </c>
      <c r="J6" s="1" t="s">
        <v>0</v>
      </c>
      <c r="K6" s="1" t="s">
        <v>1</v>
      </c>
      <c r="L6" s="1" t="s">
        <v>2</v>
      </c>
      <c r="M6" s="1" t="s">
        <v>3</v>
      </c>
      <c r="N6" s="1" t="s">
        <v>4</v>
      </c>
      <c r="O6" s="2" t="s">
        <v>5</v>
      </c>
      <c r="P6" s="2" t="s">
        <v>6</v>
      </c>
      <c r="R6" s="1" t="s">
        <v>0</v>
      </c>
      <c r="S6" s="1" t="s">
        <v>1</v>
      </c>
      <c r="T6" s="1" t="s">
        <v>2</v>
      </c>
      <c r="U6" s="1" t="s">
        <v>3</v>
      </c>
      <c r="V6" s="1" t="s">
        <v>4</v>
      </c>
      <c r="W6" s="2" t="s">
        <v>5</v>
      </c>
      <c r="X6" s="2" t="s">
        <v>6</v>
      </c>
    </row>
    <row r="7" spans="2:24" x14ac:dyDescent="0.4">
      <c r="B7" s="1"/>
      <c r="C7" s="1"/>
      <c r="D7" s="4">
        <v>1</v>
      </c>
      <c r="E7" s="4">
        <f>D7+1</f>
        <v>2</v>
      </c>
      <c r="F7" s="4">
        <f t="shared" ref="F7:H7" si="0">E7+1</f>
        <v>3</v>
      </c>
      <c r="G7" s="2">
        <f t="shared" si="0"/>
        <v>4</v>
      </c>
      <c r="H7" s="2">
        <f t="shared" si="0"/>
        <v>5</v>
      </c>
      <c r="J7" s="1"/>
      <c r="K7" s="1"/>
      <c r="L7" s="1"/>
      <c r="M7" s="1"/>
      <c r="N7" s="1"/>
      <c r="O7" s="2">
        <f t="shared" ref="O7:P7" si="1">N7+1</f>
        <v>1</v>
      </c>
      <c r="P7" s="2">
        <f t="shared" si="1"/>
        <v>2</v>
      </c>
      <c r="R7" s="1"/>
      <c r="S7" s="4">
        <f t="shared" ref="S7:U7" si="2">R7+1</f>
        <v>1</v>
      </c>
      <c r="T7" s="4">
        <f t="shared" si="2"/>
        <v>2</v>
      </c>
      <c r="U7" s="4">
        <f t="shared" si="2"/>
        <v>3</v>
      </c>
      <c r="V7" s="17">
        <f t="shared" ref="V7:X7" si="3">U7+1</f>
        <v>4</v>
      </c>
      <c r="W7" s="2">
        <f t="shared" si="3"/>
        <v>5</v>
      </c>
      <c r="X7" s="2">
        <f t="shared" si="3"/>
        <v>6</v>
      </c>
    </row>
    <row r="8" spans="2:24" x14ac:dyDescent="0.4">
      <c r="B8" s="4">
        <f>H7+1</f>
        <v>6</v>
      </c>
      <c r="C8" s="4">
        <f>B8+1</f>
        <v>7</v>
      </c>
      <c r="D8" s="4">
        <f t="shared" ref="D8:H9" si="4">C8+1</f>
        <v>8</v>
      </c>
      <c r="E8" s="4">
        <f t="shared" si="4"/>
        <v>9</v>
      </c>
      <c r="F8" s="4">
        <f t="shared" si="4"/>
        <v>10</v>
      </c>
      <c r="G8" s="2">
        <f t="shared" si="4"/>
        <v>11</v>
      </c>
      <c r="H8" s="2">
        <f t="shared" si="4"/>
        <v>12</v>
      </c>
      <c r="J8" s="4">
        <f>P7+1</f>
        <v>3</v>
      </c>
      <c r="K8" s="4">
        <f>J8+1</f>
        <v>4</v>
      </c>
      <c r="L8" s="4">
        <f t="shared" ref="L8:P8" si="5">K8+1</f>
        <v>5</v>
      </c>
      <c r="M8" s="4">
        <f t="shared" si="5"/>
        <v>6</v>
      </c>
      <c r="N8" s="4">
        <f t="shared" si="5"/>
        <v>7</v>
      </c>
      <c r="O8" s="2">
        <f t="shared" si="5"/>
        <v>8</v>
      </c>
      <c r="P8" s="2">
        <f t="shared" si="5"/>
        <v>9</v>
      </c>
      <c r="R8" s="4">
        <f>X7+1</f>
        <v>7</v>
      </c>
      <c r="S8" s="4">
        <f>R8+1</f>
        <v>8</v>
      </c>
      <c r="T8" s="4">
        <f t="shared" ref="T8:X8" si="6">S8+1</f>
        <v>9</v>
      </c>
      <c r="U8" s="4">
        <f t="shared" si="6"/>
        <v>10</v>
      </c>
      <c r="V8" s="17">
        <f t="shared" si="6"/>
        <v>11</v>
      </c>
      <c r="W8" s="2">
        <f t="shared" si="6"/>
        <v>12</v>
      </c>
      <c r="X8" s="2">
        <f t="shared" si="6"/>
        <v>13</v>
      </c>
    </row>
    <row r="9" spans="2:24" x14ac:dyDescent="0.4">
      <c r="B9" s="4">
        <f t="shared" ref="B9:B11" si="7">H8+1</f>
        <v>13</v>
      </c>
      <c r="C9" s="4">
        <f t="shared" ref="C9:H9" si="8">B9+1</f>
        <v>14</v>
      </c>
      <c r="D9" s="4">
        <f t="shared" si="8"/>
        <v>15</v>
      </c>
      <c r="E9" s="4">
        <f t="shared" si="4"/>
        <v>16</v>
      </c>
      <c r="F9" s="4">
        <f t="shared" si="4"/>
        <v>17</v>
      </c>
      <c r="G9" s="2">
        <f t="shared" si="8"/>
        <v>18</v>
      </c>
      <c r="H9" s="2">
        <f t="shared" si="8"/>
        <v>19</v>
      </c>
      <c r="J9" s="2">
        <f t="shared" ref="J9:J11" si="9">P8+1</f>
        <v>10</v>
      </c>
      <c r="K9" s="2">
        <f t="shared" ref="K9:P9" si="10">J9+1</f>
        <v>11</v>
      </c>
      <c r="L9" s="2">
        <f t="shared" si="10"/>
        <v>12</v>
      </c>
      <c r="M9" s="4">
        <f t="shared" si="10"/>
        <v>13</v>
      </c>
      <c r="N9" s="4">
        <f t="shared" si="10"/>
        <v>14</v>
      </c>
      <c r="O9" s="2">
        <f t="shared" si="10"/>
        <v>15</v>
      </c>
      <c r="P9" s="2">
        <f t="shared" si="10"/>
        <v>16</v>
      </c>
      <c r="R9" s="4">
        <f t="shared" ref="R9:R11" si="11">X8+1</f>
        <v>14</v>
      </c>
      <c r="S9" s="4">
        <f t="shared" ref="S9:X9" si="12">R9+1</f>
        <v>15</v>
      </c>
      <c r="T9" s="4">
        <f t="shared" si="12"/>
        <v>16</v>
      </c>
      <c r="U9" s="4">
        <f t="shared" si="12"/>
        <v>17</v>
      </c>
      <c r="V9" s="17">
        <f t="shared" si="12"/>
        <v>18</v>
      </c>
      <c r="W9" s="2">
        <f t="shared" si="12"/>
        <v>19</v>
      </c>
      <c r="X9" s="2">
        <f t="shared" si="12"/>
        <v>20</v>
      </c>
    </row>
    <row r="10" spans="2:24" x14ac:dyDescent="0.4">
      <c r="B10" s="2">
        <f t="shared" si="7"/>
        <v>20</v>
      </c>
      <c r="C10" s="4">
        <f t="shared" ref="C10:H10" si="13">B10+1</f>
        <v>21</v>
      </c>
      <c r="D10" s="4">
        <f t="shared" si="13"/>
        <v>22</v>
      </c>
      <c r="E10" s="4">
        <f t="shared" si="13"/>
        <v>23</v>
      </c>
      <c r="F10" s="4">
        <f t="shared" si="13"/>
        <v>24</v>
      </c>
      <c r="G10" s="2">
        <f t="shared" si="13"/>
        <v>25</v>
      </c>
      <c r="H10" s="2">
        <f t="shared" si="13"/>
        <v>26</v>
      </c>
      <c r="J10" s="4">
        <f t="shared" si="9"/>
        <v>17</v>
      </c>
      <c r="K10" s="4">
        <f t="shared" ref="K10:P10" si="14">J10+1</f>
        <v>18</v>
      </c>
      <c r="L10" s="4">
        <f t="shared" si="14"/>
        <v>19</v>
      </c>
      <c r="M10" s="4">
        <f t="shared" si="14"/>
        <v>20</v>
      </c>
      <c r="N10" s="4">
        <f t="shared" si="14"/>
        <v>21</v>
      </c>
      <c r="O10" s="2">
        <f t="shared" si="14"/>
        <v>22</v>
      </c>
      <c r="P10" s="2">
        <f t="shared" si="14"/>
        <v>23</v>
      </c>
      <c r="R10" s="2">
        <f t="shared" si="11"/>
        <v>21</v>
      </c>
      <c r="S10" s="2">
        <f t="shared" ref="S10:X10" si="15">R10+1</f>
        <v>22</v>
      </c>
      <c r="T10" s="2">
        <f t="shared" si="15"/>
        <v>23</v>
      </c>
      <c r="U10" s="4">
        <f t="shared" si="15"/>
        <v>24</v>
      </c>
      <c r="V10" s="4">
        <f t="shared" si="15"/>
        <v>25</v>
      </c>
      <c r="W10" s="2">
        <f t="shared" si="15"/>
        <v>26</v>
      </c>
      <c r="X10" s="2">
        <f t="shared" si="15"/>
        <v>27</v>
      </c>
    </row>
    <row r="11" spans="2:24" x14ac:dyDescent="0.4">
      <c r="B11" s="4">
        <f t="shared" si="7"/>
        <v>27</v>
      </c>
      <c r="C11" s="4">
        <f t="shared" ref="C11:F11" si="16">B11+1</f>
        <v>28</v>
      </c>
      <c r="D11" s="4">
        <f t="shared" si="16"/>
        <v>29</v>
      </c>
      <c r="E11" s="4">
        <f t="shared" si="16"/>
        <v>30</v>
      </c>
      <c r="F11" s="4">
        <f t="shared" si="16"/>
        <v>31</v>
      </c>
      <c r="G11" s="1"/>
      <c r="H11" s="1"/>
      <c r="J11" s="3">
        <f t="shared" si="9"/>
        <v>24</v>
      </c>
      <c r="K11" s="3">
        <f t="shared" ref="K11:P11" si="17">J11+1</f>
        <v>25</v>
      </c>
      <c r="L11" s="4">
        <f t="shared" si="17"/>
        <v>26</v>
      </c>
      <c r="M11" s="4">
        <f t="shared" si="17"/>
        <v>27</v>
      </c>
      <c r="N11" s="4">
        <f t="shared" si="17"/>
        <v>28</v>
      </c>
      <c r="O11" s="2">
        <f t="shared" si="17"/>
        <v>29</v>
      </c>
      <c r="P11" s="2">
        <f t="shared" si="17"/>
        <v>30</v>
      </c>
      <c r="R11" s="4">
        <f t="shared" si="11"/>
        <v>28</v>
      </c>
      <c r="S11" s="4">
        <f t="shared" ref="S11:T11" si="18">R11+1</f>
        <v>29</v>
      </c>
      <c r="T11" s="6">
        <f t="shared" si="18"/>
        <v>30</v>
      </c>
      <c r="U11" s="1"/>
      <c r="V11" s="1"/>
      <c r="W11" s="1"/>
      <c r="X11" s="1"/>
    </row>
    <row r="12" spans="2:24" x14ac:dyDescent="0.4">
      <c r="J12" s="4">
        <f t="shared" ref="J12" si="19">P11+1</f>
        <v>31</v>
      </c>
      <c r="K12" s="1"/>
      <c r="L12" s="1"/>
      <c r="M12" s="1"/>
      <c r="N12" s="1"/>
      <c r="O12" s="1"/>
      <c r="P12" s="1"/>
    </row>
    <row r="13" spans="2:24" ht="9.9499999999999993" customHeight="1" x14ac:dyDescent="0.4"/>
    <row r="14" spans="2:24" x14ac:dyDescent="0.4">
      <c r="B14" s="33" t="s">
        <v>15</v>
      </c>
      <c r="C14" s="33"/>
      <c r="D14" s="33"/>
      <c r="E14" s="34">
        <v>22</v>
      </c>
      <c r="F14" s="34"/>
      <c r="G14" s="34"/>
      <c r="H14" s="34"/>
      <c r="J14" s="33" t="s">
        <v>15</v>
      </c>
      <c r="K14" s="33"/>
      <c r="L14" s="33"/>
      <c r="M14" s="34">
        <v>16</v>
      </c>
      <c r="N14" s="34"/>
      <c r="O14" s="34"/>
      <c r="P14" s="34"/>
      <c r="R14" s="33" t="s">
        <v>15</v>
      </c>
      <c r="S14" s="33"/>
      <c r="T14" s="33"/>
      <c r="U14" s="34">
        <v>18</v>
      </c>
      <c r="V14" s="34"/>
      <c r="W14" s="34"/>
      <c r="X14" s="34"/>
    </row>
    <row r="15" spans="2:24" x14ac:dyDescent="0.4">
      <c r="B15" s="36" t="s">
        <v>16</v>
      </c>
      <c r="C15" s="36"/>
      <c r="D15" s="36"/>
      <c r="E15" s="34">
        <v>0</v>
      </c>
      <c r="F15" s="34"/>
      <c r="G15" s="34"/>
      <c r="H15" s="34"/>
      <c r="J15" s="36" t="s">
        <v>16</v>
      </c>
      <c r="K15" s="36"/>
      <c r="L15" s="36"/>
      <c r="M15" s="34">
        <v>0</v>
      </c>
      <c r="N15" s="34"/>
      <c r="O15" s="34"/>
      <c r="P15" s="34"/>
      <c r="R15" s="36" t="s">
        <v>16</v>
      </c>
      <c r="S15" s="36"/>
      <c r="T15" s="36"/>
      <c r="U15" s="34">
        <v>0</v>
      </c>
      <c r="V15" s="34"/>
      <c r="W15" s="34"/>
      <c r="X15" s="34"/>
    </row>
    <row r="16" spans="2:24" x14ac:dyDescent="0.4">
      <c r="J16" s="37" t="s">
        <v>17</v>
      </c>
      <c r="K16" s="37"/>
      <c r="L16" s="37"/>
      <c r="M16" s="34">
        <v>2</v>
      </c>
      <c r="N16" s="34"/>
      <c r="O16" s="34"/>
      <c r="P16" s="34"/>
    </row>
    <row r="17" spans="2:16" x14ac:dyDescent="0.4">
      <c r="N17" s="7"/>
      <c r="O17" s="7"/>
      <c r="P17" s="7"/>
    </row>
    <row r="19" spans="2:16" s="5" customFormat="1" ht="24" x14ac:dyDescent="0.4">
      <c r="B19" s="27" t="s">
        <v>23</v>
      </c>
      <c r="C19" s="27"/>
      <c r="D19" s="27"/>
      <c r="E19" s="27"/>
      <c r="F19" s="27"/>
      <c r="G19" s="27"/>
      <c r="H19" s="27"/>
      <c r="J19" s="27" t="s">
        <v>24</v>
      </c>
      <c r="K19" s="27"/>
      <c r="L19" s="27"/>
      <c r="M19" s="27"/>
      <c r="N19" s="27"/>
      <c r="O19" s="27"/>
      <c r="P19" s="27"/>
    </row>
    <row r="20" spans="2:16" ht="5.0999999999999996" customHeight="1" x14ac:dyDescent="0.4"/>
    <row r="21" spans="2:16" x14ac:dyDescent="0.4">
      <c r="B21" s="19" t="s">
        <v>10</v>
      </c>
      <c r="C21" s="19"/>
      <c r="D21" s="19"/>
      <c r="E21" s="32">
        <v>46294</v>
      </c>
      <c r="F21" s="32"/>
      <c r="G21" s="32"/>
      <c r="H21" s="32"/>
      <c r="J21" s="19" t="s">
        <v>19</v>
      </c>
      <c r="K21" s="19"/>
      <c r="L21" s="19"/>
      <c r="M21" s="32">
        <v>46269</v>
      </c>
      <c r="N21" s="32"/>
      <c r="O21" s="32"/>
      <c r="P21" s="32"/>
    </row>
    <row r="22" spans="2:16" x14ac:dyDescent="0.4">
      <c r="B22" s="19" t="s">
        <v>11</v>
      </c>
      <c r="C22" s="19"/>
      <c r="D22" s="19"/>
      <c r="E22" s="32">
        <f ca="1">TODAY()</f>
        <v>46228</v>
      </c>
      <c r="F22" s="32"/>
      <c r="G22" s="32"/>
      <c r="H22" s="32"/>
      <c r="J22" s="19" t="s">
        <v>20</v>
      </c>
      <c r="K22" s="19"/>
      <c r="L22" s="19"/>
      <c r="M22" s="32">
        <v>46276</v>
      </c>
      <c r="N22" s="32"/>
      <c r="O22" s="32"/>
      <c r="P22" s="32"/>
    </row>
    <row r="23" spans="2:16" x14ac:dyDescent="0.4">
      <c r="B23" s="19" t="s">
        <v>13</v>
      </c>
      <c r="C23" s="19"/>
      <c r="D23" s="19"/>
      <c r="E23" s="35">
        <f>E14+M14+U14</f>
        <v>56</v>
      </c>
      <c r="F23" s="35"/>
      <c r="G23" s="35"/>
      <c r="H23" s="35"/>
      <c r="J23" s="19" t="s">
        <v>21</v>
      </c>
      <c r="K23" s="19"/>
      <c r="L23" s="19"/>
      <c r="M23" s="32">
        <v>46283</v>
      </c>
      <c r="N23" s="32"/>
      <c r="O23" s="32"/>
      <c r="P23" s="32"/>
    </row>
    <row r="24" spans="2:16" x14ac:dyDescent="0.4">
      <c r="B24" s="19" t="s">
        <v>18</v>
      </c>
      <c r="C24" s="19"/>
      <c r="D24" s="19"/>
      <c r="E24" s="35">
        <v>38</v>
      </c>
      <c r="F24" s="35"/>
      <c r="G24" s="35"/>
      <c r="H24" s="35"/>
    </row>
    <row r="25" spans="2:16" x14ac:dyDescent="0.4">
      <c r="B25" s="19" t="s">
        <v>12</v>
      </c>
      <c r="C25" s="19"/>
      <c r="D25" s="19"/>
      <c r="E25" s="35">
        <f>E24-(E15+M15+U15)</f>
        <v>38</v>
      </c>
      <c r="F25" s="35"/>
      <c r="G25" s="35"/>
      <c r="H25" s="35"/>
    </row>
    <row r="26" spans="2:16" x14ac:dyDescent="0.4">
      <c r="B26" s="23" t="s">
        <v>14</v>
      </c>
      <c r="C26" s="24"/>
      <c r="D26" s="25"/>
      <c r="E26" s="29">
        <f>M16</f>
        <v>2</v>
      </c>
      <c r="F26" s="30"/>
      <c r="G26" s="30"/>
      <c r="H26" s="31"/>
    </row>
    <row r="28" spans="2:16" s="5" customFormat="1" ht="24" x14ac:dyDescent="0.4">
      <c r="B28" s="27" t="s">
        <v>124</v>
      </c>
      <c r="C28" s="27"/>
      <c r="D28" s="27"/>
      <c r="E28" s="27"/>
      <c r="F28" s="27"/>
      <c r="G28" s="27"/>
      <c r="H28" s="27"/>
      <c r="J28" s="27" t="s">
        <v>24</v>
      </c>
      <c r="K28" s="27"/>
      <c r="L28" s="27"/>
      <c r="M28" s="27"/>
      <c r="N28" s="27"/>
      <c r="O28" s="27"/>
      <c r="P28" s="27"/>
    </row>
    <row r="29" spans="2:16" ht="5.0999999999999996" customHeight="1" x14ac:dyDescent="0.4"/>
    <row r="30" spans="2:16" x14ac:dyDescent="0.4">
      <c r="B30" s="19" t="s">
        <v>18</v>
      </c>
      <c r="C30" s="19"/>
      <c r="D30" s="19"/>
      <c r="E30" s="22">
        <f>E25</f>
        <v>38</v>
      </c>
      <c r="F30" s="22"/>
      <c r="G30" s="22"/>
      <c r="H30" s="22"/>
    </row>
    <row r="31" spans="2:16" x14ac:dyDescent="0.4">
      <c r="B31" s="19" t="s">
        <v>125</v>
      </c>
      <c r="C31" s="19"/>
      <c r="D31" s="19"/>
      <c r="E31" s="22">
        <v>38571</v>
      </c>
      <c r="F31" s="22"/>
      <c r="G31" s="22"/>
      <c r="H31" s="22"/>
    </row>
    <row r="32" spans="2:16" x14ac:dyDescent="0.4">
      <c r="B32" s="23" t="s">
        <v>126</v>
      </c>
      <c r="C32" s="24"/>
      <c r="D32" s="25"/>
      <c r="E32" s="26">
        <f>E31*E30</f>
        <v>1465698</v>
      </c>
      <c r="F32" s="26"/>
      <c r="G32" s="26"/>
      <c r="H32" s="26"/>
    </row>
  </sheetData>
  <mergeCells count="47">
    <mergeCell ref="B5:H5"/>
    <mergeCell ref="B14:D14"/>
    <mergeCell ref="B15:D15"/>
    <mergeCell ref="E14:H14"/>
    <mergeCell ref="R15:T15"/>
    <mergeCell ref="U15:X15"/>
    <mergeCell ref="B24:D24"/>
    <mergeCell ref="E24:H24"/>
    <mergeCell ref="J5:P5"/>
    <mergeCell ref="R5:X5"/>
    <mergeCell ref="B21:D21"/>
    <mergeCell ref="E21:H21"/>
    <mergeCell ref="B22:D22"/>
    <mergeCell ref="E22:H22"/>
    <mergeCell ref="J14:L14"/>
    <mergeCell ref="M14:P14"/>
    <mergeCell ref="J15:L15"/>
    <mergeCell ref="M15:P15"/>
    <mergeCell ref="J16:L16"/>
    <mergeCell ref="M16:P16"/>
    <mergeCell ref="E25:H25"/>
    <mergeCell ref="B23:D23"/>
    <mergeCell ref="E23:H23"/>
    <mergeCell ref="B28:H28"/>
    <mergeCell ref="E15:H15"/>
    <mergeCell ref="J28:P28"/>
    <mergeCell ref="B3:H3"/>
    <mergeCell ref="T1:X1"/>
    <mergeCell ref="B19:H19"/>
    <mergeCell ref="J19:P19"/>
    <mergeCell ref="E26:H26"/>
    <mergeCell ref="B26:D26"/>
    <mergeCell ref="J21:L21"/>
    <mergeCell ref="M21:P21"/>
    <mergeCell ref="J22:L22"/>
    <mergeCell ref="M22:P22"/>
    <mergeCell ref="J23:L23"/>
    <mergeCell ref="M23:P23"/>
    <mergeCell ref="R14:T14"/>
    <mergeCell ref="U14:X14"/>
    <mergeCell ref="B25:D25"/>
    <mergeCell ref="B30:D30"/>
    <mergeCell ref="E30:H30"/>
    <mergeCell ref="B31:D31"/>
    <mergeCell ref="E31:H31"/>
    <mergeCell ref="B32:D32"/>
    <mergeCell ref="E32:H32"/>
  </mergeCells>
  <phoneticPr fontId="1"/>
  <pageMargins left="0.25" right="0.25" top="0.75" bottom="0.75" header="0.3" footer="0.3"/>
  <pageSetup paperSize="9" fitToWidth="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E6779-2735-4237-83A0-6EC254D38917}">
  <sheetPr>
    <pageSetUpPr fitToPage="1"/>
  </sheetPr>
  <dimension ref="A2:I56"/>
  <sheetViews>
    <sheetView topLeftCell="A28" zoomScaleNormal="100" workbookViewId="0">
      <selection activeCell="G52" sqref="G52"/>
    </sheetView>
  </sheetViews>
  <sheetFormatPr defaultRowHeight="18.75" x14ac:dyDescent="0.4"/>
  <cols>
    <col min="1" max="2" width="9.5" customWidth="1"/>
  </cols>
  <sheetData>
    <row r="2" spans="1:1" x14ac:dyDescent="0.4">
      <c r="A2" t="s">
        <v>101</v>
      </c>
    </row>
    <row r="4" spans="1:1" x14ac:dyDescent="0.4">
      <c r="A4" s="9" t="s">
        <v>28</v>
      </c>
    </row>
    <row r="5" spans="1:1" x14ac:dyDescent="0.4">
      <c r="A5" t="s">
        <v>29</v>
      </c>
    </row>
    <row r="6" spans="1:1" x14ac:dyDescent="0.4">
      <c r="A6" t="s">
        <v>30</v>
      </c>
    </row>
    <row r="7" spans="1:1" x14ac:dyDescent="0.4">
      <c r="A7" t="s">
        <v>31</v>
      </c>
    </row>
    <row r="8" spans="1:1" x14ac:dyDescent="0.4">
      <c r="A8" t="s">
        <v>32</v>
      </c>
    </row>
    <row r="9" spans="1:1" x14ac:dyDescent="0.4">
      <c r="A9" t="s">
        <v>33</v>
      </c>
    </row>
    <row r="10" spans="1:1" x14ac:dyDescent="0.4">
      <c r="A10" t="s">
        <v>34</v>
      </c>
    </row>
    <row r="11" spans="1:1" x14ac:dyDescent="0.4">
      <c r="A11" t="s">
        <v>35</v>
      </c>
    </row>
    <row r="13" spans="1:1" x14ac:dyDescent="0.4">
      <c r="A13" s="9" t="s">
        <v>36</v>
      </c>
    </row>
    <row r="14" spans="1:1" x14ac:dyDescent="0.4">
      <c r="A14" t="s">
        <v>142</v>
      </c>
    </row>
    <row r="16" spans="1:1" x14ac:dyDescent="0.4">
      <c r="A16" s="9" t="s">
        <v>37</v>
      </c>
    </row>
    <row r="17" spans="1:6" s="8" customFormat="1" x14ac:dyDescent="0.4">
      <c r="A17" s="20"/>
      <c r="B17" s="20"/>
      <c r="C17" s="20"/>
      <c r="D17" s="20" t="s">
        <v>27</v>
      </c>
      <c r="E17" s="20"/>
      <c r="F17" s="20"/>
    </row>
    <row r="18" spans="1:6" x14ac:dyDescent="0.4">
      <c r="A18" s="19" t="s">
        <v>25</v>
      </c>
      <c r="B18" s="19"/>
      <c r="C18" s="19"/>
      <c r="D18" s="21">
        <v>12000</v>
      </c>
      <c r="E18" s="21"/>
      <c r="F18" s="21"/>
    </row>
    <row r="20" spans="1:6" x14ac:dyDescent="0.4">
      <c r="A20" s="9" t="s">
        <v>38</v>
      </c>
    </row>
    <row r="21" spans="1:6" x14ac:dyDescent="0.4">
      <c r="A21" t="s">
        <v>141</v>
      </c>
    </row>
    <row r="23" spans="1:6" x14ac:dyDescent="0.4">
      <c r="A23" s="9" t="s">
        <v>39</v>
      </c>
    </row>
    <row r="24" spans="1:6" x14ac:dyDescent="0.4">
      <c r="A24" t="s">
        <v>40</v>
      </c>
    </row>
    <row r="25" spans="1:6" x14ac:dyDescent="0.4">
      <c r="A25" t="s">
        <v>41</v>
      </c>
    </row>
    <row r="26" spans="1:6" x14ac:dyDescent="0.4">
      <c r="A26" t="s">
        <v>42</v>
      </c>
    </row>
    <row r="27" spans="1:6" x14ac:dyDescent="0.4">
      <c r="A27" t="s">
        <v>43</v>
      </c>
    </row>
    <row r="28" spans="1:6" x14ac:dyDescent="0.4">
      <c r="A28" t="s">
        <v>44</v>
      </c>
    </row>
    <row r="29" spans="1:6" x14ac:dyDescent="0.4">
      <c r="A29" t="s">
        <v>45</v>
      </c>
    </row>
    <row r="31" spans="1:6" x14ac:dyDescent="0.4">
      <c r="A31" s="9" t="s">
        <v>46</v>
      </c>
    </row>
    <row r="32" spans="1:6" x14ac:dyDescent="0.4">
      <c r="A32" s="10" t="s">
        <v>140</v>
      </c>
    </row>
    <row r="33" spans="1:9" x14ac:dyDescent="0.4">
      <c r="A33" t="s">
        <v>128</v>
      </c>
      <c r="D33" s="8"/>
      <c r="G33" s="8" t="s">
        <v>91</v>
      </c>
      <c r="I33" t="s">
        <v>137</v>
      </c>
    </row>
    <row r="34" spans="1:9" x14ac:dyDescent="0.4">
      <c r="A34" t="s">
        <v>129</v>
      </c>
      <c r="D34" s="8"/>
      <c r="E34" s="18"/>
      <c r="G34" s="8" t="s">
        <v>91</v>
      </c>
      <c r="I34" t="s">
        <v>138</v>
      </c>
    </row>
    <row r="35" spans="1:9" x14ac:dyDescent="0.4">
      <c r="A35" t="s">
        <v>130</v>
      </c>
      <c r="D35" s="8"/>
      <c r="E35" s="18"/>
      <c r="G35" s="8" t="s">
        <v>91</v>
      </c>
      <c r="I35" t="s">
        <v>139</v>
      </c>
    </row>
    <row r="36" spans="1:9" x14ac:dyDescent="0.4">
      <c r="A36" t="s">
        <v>131</v>
      </c>
      <c r="D36" s="8"/>
      <c r="E36" s="18"/>
      <c r="G36" s="8" t="s">
        <v>91</v>
      </c>
      <c r="I36" t="s">
        <v>138</v>
      </c>
    </row>
    <row r="37" spans="1:9" x14ac:dyDescent="0.4">
      <c r="A37" t="s">
        <v>132</v>
      </c>
      <c r="D37" s="8"/>
      <c r="E37" s="18"/>
      <c r="G37" s="8"/>
    </row>
    <row r="39" spans="1:9" ht="18" customHeight="1" x14ac:dyDescent="0.4">
      <c r="A39" s="9" t="s">
        <v>96</v>
      </c>
    </row>
    <row r="40" spans="1:9" ht="18" customHeight="1" x14ac:dyDescent="0.4">
      <c r="A40" t="s">
        <v>135</v>
      </c>
    </row>
    <row r="41" spans="1:9" ht="18" customHeight="1" x14ac:dyDescent="0.4">
      <c r="A41" t="s">
        <v>136</v>
      </c>
    </row>
    <row r="42" spans="1:9" ht="18" customHeight="1" x14ac:dyDescent="0.4"/>
    <row r="43" spans="1:9" ht="18" customHeight="1" x14ac:dyDescent="0.4">
      <c r="A43" s="9" t="s">
        <v>97</v>
      </c>
    </row>
    <row r="44" spans="1:9" x14ac:dyDescent="0.4">
      <c r="A44" t="s">
        <v>134</v>
      </c>
    </row>
    <row r="46" spans="1:9" x14ac:dyDescent="0.4">
      <c r="A46" s="9" t="s">
        <v>98</v>
      </c>
    </row>
    <row r="47" spans="1:9" x14ac:dyDescent="0.4">
      <c r="A47" t="s">
        <v>47</v>
      </c>
    </row>
    <row r="49" spans="1:1" x14ac:dyDescent="0.4">
      <c r="A49" s="9" t="s">
        <v>99</v>
      </c>
    </row>
    <row r="50" spans="1:1" x14ac:dyDescent="0.4">
      <c r="A50" t="s">
        <v>48</v>
      </c>
    </row>
    <row r="52" spans="1:1" x14ac:dyDescent="0.4">
      <c r="A52" s="9" t="s">
        <v>100</v>
      </c>
    </row>
    <row r="53" spans="1:1" x14ac:dyDescent="0.4">
      <c r="A53" t="s">
        <v>49</v>
      </c>
    </row>
    <row r="55" spans="1:1" x14ac:dyDescent="0.4">
      <c r="A55" t="s">
        <v>26</v>
      </c>
    </row>
    <row r="56" spans="1:1" x14ac:dyDescent="0.4">
      <c r="A56" t="s">
        <v>133</v>
      </c>
    </row>
  </sheetData>
  <mergeCells count="4">
    <mergeCell ref="A18:C18"/>
    <mergeCell ref="D17:F17"/>
    <mergeCell ref="A17:C17"/>
    <mergeCell ref="D18:F18"/>
  </mergeCells>
  <phoneticPr fontId="1"/>
  <pageMargins left="0.25" right="0.25" top="0.75" bottom="0.75" header="0.3" footer="0.3"/>
  <pageSetup paperSize="9" scale="71" fitToWidth="0" orientation="portrait" r:id="rId1"/>
  <headerFooter>
    <oddHeader>&amp;C&amp;A</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E971E-D59C-42DC-9C99-B94BA00E7FD7}">
  <sheetPr>
    <pageSetUpPr fitToPage="1"/>
  </sheetPr>
  <dimension ref="A2:N55"/>
  <sheetViews>
    <sheetView tabSelected="1" topLeftCell="A4" zoomScaleNormal="100" workbookViewId="0">
      <selection activeCell="H60" sqref="H60"/>
    </sheetView>
  </sheetViews>
  <sheetFormatPr defaultRowHeight="18.75" x14ac:dyDescent="0.4"/>
  <cols>
    <col min="1" max="16384" width="9" style="10"/>
  </cols>
  <sheetData>
    <row r="2" spans="1:1" x14ac:dyDescent="0.4">
      <c r="A2" s="10" t="s">
        <v>50</v>
      </c>
    </row>
    <row r="4" spans="1:1" x14ac:dyDescent="0.4">
      <c r="A4" s="9" t="s">
        <v>51</v>
      </c>
    </row>
    <row r="5" spans="1:1" x14ac:dyDescent="0.4">
      <c r="A5" s="10" t="s">
        <v>52</v>
      </c>
    </row>
    <row r="7" spans="1:1" x14ac:dyDescent="0.4">
      <c r="A7" s="9" t="s">
        <v>53</v>
      </c>
    </row>
    <row r="8" spans="1:1" x14ac:dyDescent="0.4">
      <c r="A8" s="10" t="s">
        <v>54</v>
      </c>
    </row>
    <row r="9" spans="1:1" x14ac:dyDescent="0.4">
      <c r="A9" s="11" t="s">
        <v>79</v>
      </c>
    </row>
    <row r="10" spans="1:1" x14ac:dyDescent="0.4">
      <c r="A10" s="11" t="s">
        <v>80</v>
      </c>
    </row>
    <row r="11" spans="1:1" x14ac:dyDescent="0.4">
      <c r="A11" s="11" t="s">
        <v>81</v>
      </c>
    </row>
    <row r="12" spans="1:1" x14ac:dyDescent="0.4">
      <c r="A12" s="11" t="s">
        <v>82</v>
      </c>
    </row>
    <row r="13" spans="1:1" x14ac:dyDescent="0.4">
      <c r="A13" s="11" t="s">
        <v>83</v>
      </c>
    </row>
    <row r="14" spans="1:1" x14ac:dyDescent="0.4">
      <c r="A14" s="11" t="s">
        <v>84</v>
      </c>
    </row>
    <row r="15" spans="1:1" x14ac:dyDescent="0.4">
      <c r="A15" s="10" t="s">
        <v>55</v>
      </c>
    </row>
    <row r="16" spans="1:1" x14ac:dyDescent="0.4">
      <c r="A16" s="11" t="s">
        <v>85</v>
      </c>
    </row>
    <row r="17" spans="1:1" x14ac:dyDescent="0.4">
      <c r="A17" s="11" t="s">
        <v>86</v>
      </c>
    </row>
    <row r="18" spans="1:1" x14ac:dyDescent="0.4">
      <c r="A18" s="11" t="s">
        <v>87</v>
      </c>
    </row>
    <row r="20" spans="1:1" x14ac:dyDescent="0.4">
      <c r="A20" s="9" t="s">
        <v>56</v>
      </c>
    </row>
    <row r="21" spans="1:1" x14ac:dyDescent="0.4">
      <c r="A21" s="10" t="s">
        <v>57</v>
      </c>
    </row>
    <row r="23" spans="1:1" x14ac:dyDescent="0.4">
      <c r="A23" s="9" t="s">
        <v>58</v>
      </c>
    </row>
    <row r="24" spans="1:1" x14ac:dyDescent="0.4">
      <c r="A24" s="10" t="s">
        <v>59</v>
      </c>
    </row>
    <row r="26" spans="1:1" x14ac:dyDescent="0.4">
      <c r="A26" s="9" t="s">
        <v>60</v>
      </c>
    </row>
    <row r="27" spans="1:1" x14ac:dyDescent="0.4">
      <c r="A27" s="10" t="s">
        <v>61</v>
      </c>
    </row>
    <row r="29" spans="1:1" x14ac:dyDescent="0.4">
      <c r="A29" s="9" t="s">
        <v>62</v>
      </c>
    </row>
    <row r="30" spans="1:1" x14ac:dyDescent="0.4">
      <c r="A30" s="10" t="s">
        <v>63</v>
      </c>
    </row>
    <row r="32" spans="1:1" x14ac:dyDescent="0.4">
      <c r="A32" s="9" t="s">
        <v>64</v>
      </c>
    </row>
    <row r="33" spans="1:1" x14ac:dyDescent="0.4">
      <c r="A33" s="10" t="s">
        <v>65</v>
      </c>
    </row>
    <row r="34" spans="1:1" x14ac:dyDescent="0.4">
      <c r="A34" s="10" t="s">
        <v>66</v>
      </c>
    </row>
    <row r="36" spans="1:1" x14ac:dyDescent="0.4">
      <c r="A36" s="9" t="s">
        <v>67</v>
      </c>
    </row>
    <row r="37" spans="1:1" x14ac:dyDescent="0.4">
      <c r="A37" s="10" t="s">
        <v>68</v>
      </c>
    </row>
    <row r="39" spans="1:1" x14ac:dyDescent="0.4">
      <c r="A39" s="9" t="s">
        <v>69</v>
      </c>
    </row>
    <row r="40" spans="1:1" x14ac:dyDescent="0.4">
      <c r="A40" s="10" t="s">
        <v>70</v>
      </c>
    </row>
    <row r="42" spans="1:1" x14ac:dyDescent="0.4">
      <c r="A42" s="9" t="s">
        <v>71</v>
      </c>
    </row>
    <row r="43" spans="1:1" x14ac:dyDescent="0.4">
      <c r="A43" s="10" t="s">
        <v>72</v>
      </c>
    </row>
    <row r="45" spans="1:1" x14ac:dyDescent="0.4">
      <c r="A45" s="9" t="s">
        <v>73</v>
      </c>
    </row>
    <row r="46" spans="1:1" x14ac:dyDescent="0.4">
      <c r="A46" s="10" t="s">
        <v>74</v>
      </c>
    </row>
    <row r="48" spans="1:1" x14ac:dyDescent="0.4">
      <c r="A48" s="9" t="s">
        <v>75</v>
      </c>
    </row>
    <row r="49" spans="1:14" x14ac:dyDescent="0.4">
      <c r="A49" s="10" t="s">
        <v>76</v>
      </c>
    </row>
    <row r="51" spans="1:14" x14ac:dyDescent="0.4">
      <c r="A51" s="38">
        <f ca="1">TODAY()</f>
        <v>46228</v>
      </c>
      <c r="B51" s="38"/>
    </row>
    <row r="52" spans="1:14" x14ac:dyDescent="0.4">
      <c r="A52" s="10" t="s">
        <v>77</v>
      </c>
      <c r="H52" s="10" t="s">
        <v>78</v>
      </c>
    </row>
    <row r="53" spans="1:14" x14ac:dyDescent="0.4">
      <c r="A53" s="13" t="s">
        <v>89</v>
      </c>
      <c r="B53" s="12" t="s">
        <v>91</v>
      </c>
      <c r="C53" s="39" t="s">
        <v>93</v>
      </c>
      <c r="D53" s="39"/>
      <c r="E53" s="39"/>
      <c r="F53" s="39"/>
      <c r="G53" s="39"/>
      <c r="H53" s="13" t="s">
        <v>89</v>
      </c>
      <c r="I53" s="12" t="s">
        <v>91</v>
      </c>
      <c r="J53" s="39" t="s">
        <v>148</v>
      </c>
      <c r="K53" s="39"/>
      <c r="L53" s="39"/>
      <c r="M53" s="39"/>
      <c r="N53" s="39"/>
    </row>
    <row r="54" spans="1:14" x14ac:dyDescent="0.4">
      <c r="A54" s="13" t="s">
        <v>88</v>
      </c>
      <c r="B54" s="12" t="s">
        <v>91</v>
      </c>
      <c r="C54" s="39" t="s">
        <v>94</v>
      </c>
      <c r="D54" s="39"/>
      <c r="E54" s="39"/>
      <c r="F54" s="39"/>
      <c r="G54" s="39"/>
      <c r="H54" s="13" t="s">
        <v>88</v>
      </c>
      <c r="I54" s="12" t="s">
        <v>91</v>
      </c>
      <c r="J54" s="39" t="s">
        <v>149</v>
      </c>
      <c r="K54" s="39"/>
      <c r="L54" s="39"/>
      <c r="M54" s="39"/>
      <c r="N54" s="39"/>
    </row>
    <row r="55" spans="1:14" x14ac:dyDescent="0.4">
      <c r="A55" s="13" t="s">
        <v>90</v>
      </c>
      <c r="B55" s="12" t="s">
        <v>91</v>
      </c>
      <c r="C55" s="39" t="s">
        <v>95</v>
      </c>
      <c r="D55" s="39"/>
      <c r="E55" s="39"/>
      <c r="F55" s="12" t="s">
        <v>92</v>
      </c>
      <c r="H55" s="13" t="s">
        <v>90</v>
      </c>
      <c r="I55" s="12" t="s">
        <v>91</v>
      </c>
      <c r="J55" s="39" t="s">
        <v>127</v>
      </c>
      <c r="K55" s="39"/>
      <c r="L55" s="39"/>
      <c r="M55" s="12" t="s">
        <v>92</v>
      </c>
    </row>
  </sheetData>
  <mergeCells count="7">
    <mergeCell ref="A51:B51"/>
    <mergeCell ref="C55:E55"/>
    <mergeCell ref="C53:G53"/>
    <mergeCell ref="C54:G54"/>
    <mergeCell ref="J53:N53"/>
    <mergeCell ref="J54:N54"/>
    <mergeCell ref="J55:L55"/>
  </mergeCells>
  <phoneticPr fontId="1"/>
  <pageMargins left="0.23622047244094491" right="0.23622047244094491" top="0.74803149606299213" bottom="0.74803149606299213" header="0.31496062992125984" footer="0.31496062992125984"/>
  <pageSetup paperSize="9" scale="73" fitToHeight="0" orientation="portrait" r:id="rId1"/>
  <headerFooter scaleWithDoc="0" alignWithMargins="0">
    <oddHeader>&amp;C&amp;A</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586B8-5E38-433E-9529-CE21BFF295DD}">
  <dimension ref="B2:Z23"/>
  <sheetViews>
    <sheetView zoomScale="85" zoomScaleNormal="85" workbookViewId="0"/>
  </sheetViews>
  <sheetFormatPr defaultRowHeight="18.75" x14ac:dyDescent="0.4"/>
  <cols>
    <col min="5" max="7" width="9" style="14"/>
    <col min="18" max="20" width="9" style="14"/>
  </cols>
  <sheetData>
    <row r="2" spans="2:26" x14ac:dyDescent="0.4">
      <c r="B2" t="s">
        <v>143</v>
      </c>
      <c r="G2"/>
      <c r="H2" s="14"/>
      <c r="I2" s="14"/>
      <c r="J2" s="42" t="s">
        <v>114</v>
      </c>
      <c r="K2" s="42"/>
      <c r="L2" s="42"/>
      <c r="M2" s="16">
        <v>3</v>
      </c>
      <c r="O2" t="s">
        <v>147</v>
      </c>
      <c r="T2"/>
      <c r="U2" s="14"/>
      <c r="V2" s="14"/>
      <c r="W2" s="42" t="s">
        <v>114</v>
      </c>
      <c r="X2" s="42"/>
      <c r="Y2" s="42"/>
      <c r="Z2" s="16">
        <v>3</v>
      </c>
    </row>
    <row r="3" spans="2:26" s="8" customFormat="1" x14ac:dyDescent="0.4">
      <c r="B3" s="20" t="s">
        <v>112</v>
      </c>
      <c r="C3" s="20"/>
      <c r="D3" s="20"/>
      <c r="E3" s="43" t="s">
        <v>144</v>
      </c>
      <c r="F3" s="43"/>
      <c r="G3" s="43"/>
      <c r="H3" s="43" t="s">
        <v>113</v>
      </c>
      <c r="I3" s="43"/>
      <c r="J3" s="43"/>
      <c r="K3" s="43" t="s">
        <v>119</v>
      </c>
      <c r="L3" s="43"/>
      <c r="M3" s="43"/>
      <c r="O3" s="20" t="s">
        <v>112</v>
      </c>
      <c r="P3" s="20"/>
      <c r="Q3" s="20"/>
      <c r="R3" s="43" t="s">
        <v>123</v>
      </c>
      <c r="S3" s="43"/>
      <c r="T3" s="43"/>
      <c r="U3" s="43" t="s">
        <v>113</v>
      </c>
      <c r="V3" s="43"/>
      <c r="W3" s="43"/>
      <c r="X3" s="43" t="s">
        <v>119</v>
      </c>
      <c r="Y3" s="43"/>
      <c r="Z3" s="43"/>
    </row>
    <row r="4" spans="2:26" x14ac:dyDescent="0.4">
      <c r="B4" s="20" t="s">
        <v>121</v>
      </c>
      <c r="C4" s="20"/>
      <c r="D4" s="20"/>
      <c r="E4" s="40">
        <v>800000</v>
      </c>
      <c r="F4" s="40"/>
      <c r="G4" s="40"/>
      <c r="H4" s="40">
        <f>E4*12</f>
        <v>9600000</v>
      </c>
      <c r="I4" s="40"/>
      <c r="J4" s="40"/>
      <c r="K4" s="40" t="s">
        <v>122</v>
      </c>
      <c r="L4" s="40"/>
      <c r="M4" s="40"/>
      <c r="O4" s="20" t="s">
        <v>121</v>
      </c>
      <c r="P4" s="20"/>
      <c r="Q4" s="20"/>
      <c r="R4" s="40">
        <v>1000000</v>
      </c>
      <c r="S4" s="40"/>
      <c r="T4" s="40"/>
      <c r="U4" s="40">
        <f>R4*12</f>
        <v>12000000</v>
      </c>
      <c r="V4" s="40"/>
      <c r="W4" s="40"/>
      <c r="X4" s="40" t="s">
        <v>122</v>
      </c>
      <c r="Y4" s="40"/>
      <c r="Z4" s="40"/>
    </row>
    <row r="5" spans="2:26" x14ac:dyDescent="0.4">
      <c r="B5" s="44" t="s">
        <v>106</v>
      </c>
      <c r="C5" s="44"/>
      <c r="D5" s="44"/>
      <c r="E5" s="41">
        <f>E4*0.15</f>
        <v>120000</v>
      </c>
      <c r="F5" s="41"/>
      <c r="G5" s="41"/>
      <c r="H5" s="41">
        <f>E5*12</f>
        <v>1440000</v>
      </c>
      <c r="I5" s="41"/>
      <c r="J5" s="41"/>
      <c r="K5" s="41" t="s">
        <v>120</v>
      </c>
      <c r="L5" s="41"/>
      <c r="M5" s="41"/>
      <c r="O5" s="44" t="s">
        <v>106</v>
      </c>
      <c r="P5" s="44"/>
      <c r="Q5" s="44"/>
      <c r="R5" s="41">
        <f>R4*0.15</f>
        <v>150000</v>
      </c>
      <c r="S5" s="41"/>
      <c r="T5" s="41"/>
      <c r="U5" s="41">
        <f>R5*12</f>
        <v>1800000</v>
      </c>
      <c r="V5" s="41"/>
      <c r="W5" s="41"/>
      <c r="X5" s="41" t="s">
        <v>120</v>
      </c>
      <c r="Y5" s="41"/>
      <c r="Z5" s="41"/>
    </row>
    <row r="6" spans="2:26" x14ac:dyDescent="0.4">
      <c r="B6" s="44" t="s">
        <v>111</v>
      </c>
      <c r="C6" s="44"/>
      <c r="D6" s="44"/>
      <c r="E6" s="41">
        <v>1500000</v>
      </c>
      <c r="F6" s="41"/>
      <c r="G6" s="41"/>
      <c r="H6" s="41">
        <f>E6/$M$2</f>
        <v>500000</v>
      </c>
      <c r="I6" s="41"/>
      <c r="J6" s="41"/>
      <c r="K6" s="41" t="s">
        <v>120</v>
      </c>
      <c r="L6" s="41"/>
      <c r="M6" s="41"/>
      <c r="O6" s="44" t="s">
        <v>111</v>
      </c>
      <c r="P6" s="44"/>
      <c r="Q6" s="44"/>
      <c r="R6" s="41">
        <v>1500000</v>
      </c>
      <c r="S6" s="41"/>
      <c r="T6" s="41"/>
      <c r="U6" s="41">
        <f>R6/$Z$2</f>
        <v>500000</v>
      </c>
      <c r="V6" s="41"/>
      <c r="W6" s="41"/>
      <c r="X6" s="41" t="s">
        <v>120</v>
      </c>
      <c r="Y6" s="41"/>
      <c r="Z6" s="41"/>
    </row>
    <row r="7" spans="2:26" x14ac:dyDescent="0.4">
      <c r="B7" s="44" t="s">
        <v>110</v>
      </c>
      <c r="C7" s="44"/>
      <c r="D7" s="44"/>
      <c r="E7" s="41">
        <f>H7/12</f>
        <v>33333.333333333336</v>
      </c>
      <c r="F7" s="41"/>
      <c r="G7" s="41"/>
      <c r="H7" s="41">
        <v>400000</v>
      </c>
      <c r="I7" s="41"/>
      <c r="J7" s="41"/>
      <c r="K7" s="41" t="s">
        <v>120</v>
      </c>
      <c r="L7" s="41"/>
      <c r="M7" s="41"/>
      <c r="O7" s="44" t="s">
        <v>110</v>
      </c>
      <c r="P7" s="44"/>
      <c r="Q7" s="44"/>
      <c r="R7" s="41">
        <f>U7/12</f>
        <v>33333.333333333336</v>
      </c>
      <c r="S7" s="41"/>
      <c r="T7" s="41"/>
      <c r="U7" s="41">
        <v>400000</v>
      </c>
      <c r="V7" s="41"/>
      <c r="W7" s="41"/>
      <c r="X7" s="41" t="s">
        <v>120</v>
      </c>
      <c r="Y7" s="41"/>
      <c r="Z7" s="41"/>
    </row>
    <row r="8" spans="2:26" x14ac:dyDescent="0.4">
      <c r="B8" s="44" t="s">
        <v>107</v>
      </c>
      <c r="C8" s="44"/>
      <c r="D8" s="44"/>
      <c r="E8" s="41">
        <v>450000</v>
      </c>
      <c r="F8" s="41"/>
      <c r="G8" s="41"/>
      <c r="H8" s="41">
        <f>E8/$M$2</f>
        <v>150000</v>
      </c>
      <c r="I8" s="41"/>
      <c r="J8" s="41"/>
      <c r="K8" s="41" t="s">
        <v>120</v>
      </c>
      <c r="L8" s="41"/>
      <c r="M8" s="41"/>
      <c r="O8" s="44" t="s">
        <v>107</v>
      </c>
      <c r="P8" s="44"/>
      <c r="Q8" s="44"/>
      <c r="R8" s="41">
        <v>450000</v>
      </c>
      <c r="S8" s="41"/>
      <c r="T8" s="41"/>
      <c r="U8" s="41">
        <f>R8/$M$2</f>
        <v>150000</v>
      </c>
      <c r="V8" s="41"/>
      <c r="W8" s="41"/>
      <c r="X8" s="41" t="s">
        <v>120</v>
      </c>
      <c r="Y8" s="41"/>
      <c r="Z8" s="41"/>
    </row>
    <row r="9" spans="2:26" x14ac:dyDescent="0.4">
      <c r="B9" s="20" t="s">
        <v>108</v>
      </c>
      <c r="C9" s="20"/>
      <c r="D9" s="20"/>
      <c r="E9" s="40">
        <v>30000</v>
      </c>
      <c r="F9" s="40"/>
      <c r="G9" s="40"/>
      <c r="H9" s="40">
        <f>E9*12</f>
        <v>360000</v>
      </c>
      <c r="I9" s="40"/>
      <c r="J9" s="40"/>
      <c r="K9" s="40" t="s">
        <v>122</v>
      </c>
      <c r="L9" s="40"/>
      <c r="M9" s="40"/>
      <c r="O9" s="20" t="s">
        <v>108</v>
      </c>
      <c r="P9" s="20"/>
      <c r="Q9" s="20"/>
      <c r="R9" s="40">
        <v>50000</v>
      </c>
      <c r="S9" s="40"/>
      <c r="T9" s="40"/>
      <c r="U9" s="40">
        <f>R9*12</f>
        <v>600000</v>
      </c>
      <c r="V9" s="40"/>
      <c r="W9" s="40"/>
      <c r="X9" s="40" t="s">
        <v>122</v>
      </c>
      <c r="Y9" s="40"/>
      <c r="Z9" s="40"/>
    </row>
    <row r="10" spans="2:26" x14ac:dyDescent="0.4">
      <c r="B10" s="20" t="s">
        <v>109</v>
      </c>
      <c r="C10" s="20"/>
      <c r="D10" s="20"/>
      <c r="E10" s="40">
        <v>150000</v>
      </c>
      <c r="F10" s="40"/>
      <c r="G10" s="40"/>
      <c r="H10" s="40">
        <f t="shared" ref="H10:H16" si="0">E10*12</f>
        <v>1800000</v>
      </c>
      <c r="I10" s="40"/>
      <c r="J10" s="40"/>
      <c r="K10" s="40" t="s">
        <v>122</v>
      </c>
      <c r="L10" s="40"/>
      <c r="M10" s="40"/>
      <c r="O10" s="20" t="s">
        <v>109</v>
      </c>
      <c r="P10" s="20"/>
      <c r="Q10" s="20"/>
      <c r="R10" s="40">
        <v>150000</v>
      </c>
      <c r="S10" s="40"/>
      <c r="T10" s="40"/>
      <c r="U10" s="40">
        <f t="shared" ref="U10:U16" si="1">R10*12</f>
        <v>1800000</v>
      </c>
      <c r="V10" s="40"/>
      <c r="W10" s="40"/>
      <c r="X10" s="40" t="s">
        <v>122</v>
      </c>
      <c r="Y10" s="40"/>
      <c r="Z10" s="40"/>
    </row>
    <row r="11" spans="2:26" x14ac:dyDescent="0.4">
      <c r="B11" s="20" t="s">
        <v>115</v>
      </c>
      <c r="C11" s="20"/>
      <c r="D11" s="20"/>
      <c r="E11" s="40">
        <v>5000</v>
      </c>
      <c r="F11" s="40"/>
      <c r="G11" s="40"/>
      <c r="H11" s="40">
        <f t="shared" si="0"/>
        <v>60000</v>
      </c>
      <c r="I11" s="40"/>
      <c r="J11" s="40"/>
      <c r="K11" s="40" t="s">
        <v>122</v>
      </c>
      <c r="L11" s="40"/>
      <c r="M11" s="40"/>
      <c r="O11" s="20" t="s">
        <v>115</v>
      </c>
      <c r="P11" s="20"/>
      <c r="Q11" s="20"/>
      <c r="R11" s="40">
        <v>5000</v>
      </c>
      <c r="S11" s="40"/>
      <c r="T11" s="40"/>
      <c r="U11" s="40">
        <f t="shared" si="1"/>
        <v>60000</v>
      </c>
      <c r="V11" s="40"/>
      <c r="W11" s="40"/>
      <c r="X11" s="40" t="s">
        <v>122</v>
      </c>
      <c r="Y11" s="40"/>
      <c r="Z11" s="40"/>
    </row>
    <row r="12" spans="2:26" x14ac:dyDescent="0.4">
      <c r="B12" s="20" t="s">
        <v>145</v>
      </c>
      <c r="C12" s="20"/>
      <c r="D12" s="20"/>
      <c r="E12" s="40">
        <v>50000</v>
      </c>
      <c r="F12" s="40"/>
      <c r="G12" s="40"/>
      <c r="H12" s="40">
        <f t="shared" si="0"/>
        <v>600000</v>
      </c>
      <c r="I12" s="40"/>
      <c r="J12" s="40"/>
      <c r="K12" s="40" t="s">
        <v>122</v>
      </c>
      <c r="L12" s="40"/>
      <c r="M12" s="40"/>
      <c r="O12" s="20" t="s">
        <v>145</v>
      </c>
      <c r="P12" s="20"/>
      <c r="Q12" s="20"/>
      <c r="R12" s="40">
        <v>50000</v>
      </c>
      <c r="S12" s="40"/>
      <c r="T12" s="40"/>
      <c r="U12" s="40">
        <f t="shared" ref="U12:U13" si="2">R12*12</f>
        <v>600000</v>
      </c>
      <c r="V12" s="40"/>
      <c r="W12" s="40"/>
      <c r="X12" s="40" t="s">
        <v>122</v>
      </c>
      <c r="Y12" s="40"/>
      <c r="Z12" s="40"/>
    </row>
    <row r="13" spans="2:26" x14ac:dyDescent="0.4">
      <c r="B13" s="20" t="s">
        <v>146</v>
      </c>
      <c r="C13" s="20"/>
      <c r="D13" s="20"/>
      <c r="E13" s="40">
        <f>E4/3</f>
        <v>266666.66666666669</v>
      </c>
      <c r="F13" s="40"/>
      <c r="G13" s="40"/>
      <c r="H13" s="40">
        <f t="shared" si="0"/>
        <v>3200000</v>
      </c>
      <c r="I13" s="40"/>
      <c r="J13" s="40"/>
      <c r="K13" s="40" t="s">
        <v>122</v>
      </c>
      <c r="L13" s="40"/>
      <c r="M13" s="40"/>
      <c r="O13" s="20" t="s">
        <v>146</v>
      </c>
      <c r="P13" s="20"/>
      <c r="Q13" s="20"/>
      <c r="R13" s="40">
        <v>100000</v>
      </c>
      <c r="S13" s="40"/>
      <c r="T13" s="40"/>
      <c r="U13" s="40">
        <f t="shared" si="2"/>
        <v>1200000</v>
      </c>
      <c r="V13" s="40"/>
      <c r="W13" s="40"/>
      <c r="X13" s="40" t="s">
        <v>122</v>
      </c>
      <c r="Y13" s="40"/>
      <c r="Z13" s="40"/>
    </row>
    <row r="14" spans="2:26" x14ac:dyDescent="0.4">
      <c r="B14" s="20"/>
      <c r="C14" s="20"/>
      <c r="D14" s="20"/>
      <c r="E14" s="40"/>
      <c r="F14" s="40"/>
      <c r="G14" s="40"/>
      <c r="H14" s="40"/>
      <c r="I14" s="40"/>
      <c r="J14" s="40"/>
      <c r="K14" s="40"/>
      <c r="L14" s="40"/>
      <c r="M14" s="40"/>
      <c r="O14" s="20" t="s">
        <v>116</v>
      </c>
      <c r="P14" s="20"/>
      <c r="Q14" s="20"/>
      <c r="R14" s="40">
        <v>150000</v>
      </c>
      <c r="S14" s="40"/>
      <c r="T14" s="40"/>
      <c r="U14" s="40">
        <f t="shared" ref="U14" si="3">R14*12</f>
        <v>1800000</v>
      </c>
      <c r="V14" s="40"/>
      <c r="W14" s="40"/>
      <c r="X14" s="40" t="s">
        <v>122</v>
      </c>
      <c r="Y14" s="40"/>
      <c r="Z14" s="40"/>
    </row>
    <row r="15" spans="2:26" x14ac:dyDescent="0.4">
      <c r="B15" s="20"/>
      <c r="C15" s="20"/>
      <c r="D15" s="20"/>
      <c r="E15" s="40"/>
      <c r="F15" s="40"/>
      <c r="G15" s="40"/>
      <c r="H15" s="40"/>
      <c r="I15" s="40"/>
      <c r="J15" s="40"/>
      <c r="K15" s="40"/>
      <c r="L15" s="40"/>
      <c r="M15" s="40"/>
      <c r="O15" s="20" t="s">
        <v>117</v>
      </c>
      <c r="P15" s="20"/>
      <c r="Q15" s="20"/>
      <c r="R15" s="40">
        <v>50000</v>
      </c>
      <c r="S15" s="40"/>
      <c r="T15" s="40"/>
      <c r="U15" s="40">
        <f t="shared" si="1"/>
        <v>600000</v>
      </c>
      <c r="V15" s="40"/>
      <c r="W15" s="40"/>
      <c r="X15" s="40" t="s">
        <v>122</v>
      </c>
      <c r="Y15" s="40"/>
      <c r="Z15" s="40"/>
    </row>
    <row r="16" spans="2:26" x14ac:dyDescent="0.4">
      <c r="B16" s="20"/>
      <c r="C16" s="20"/>
      <c r="D16" s="20"/>
      <c r="E16" s="40"/>
      <c r="F16" s="40"/>
      <c r="G16" s="40"/>
      <c r="H16" s="40"/>
      <c r="I16" s="40"/>
      <c r="J16" s="40"/>
      <c r="K16" s="40"/>
      <c r="L16" s="40"/>
      <c r="M16" s="40"/>
      <c r="O16" s="20" t="s">
        <v>118</v>
      </c>
      <c r="P16" s="20"/>
      <c r="Q16" s="20"/>
      <c r="R16" s="40">
        <v>30000</v>
      </c>
      <c r="S16" s="40"/>
      <c r="T16" s="40"/>
      <c r="U16" s="40">
        <f t="shared" si="1"/>
        <v>360000</v>
      </c>
      <c r="V16" s="40"/>
      <c r="W16" s="40"/>
      <c r="X16" s="40" t="s">
        <v>122</v>
      </c>
      <c r="Y16" s="40"/>
      <c r="Z16" s="40"/>
    </row>
    <row r="17" spans="2:26" x14ac:dyDescent="0.4">
      <c r="B17" s="8"/>
      <c r="C17" s="8"/>
      <c r="D17" s="8"/>
      <c r="E17" s="15"/>
      <c r="F17" s="15"/>
      <c r="G17" s="15"/>
      <c r="H17" s="40">
        <f>SUM(H4:J16)</f>
        <v>18110000</v>
      </c>
      <c r="I17" s="40"/>
      <c r="J17" s="40"/>
      <c r="K17" s="15"/>
      <c r="L17" s="15"/>
      <c r="M17" s="15"/>
      <c r="O17" s="8"/>
      <c r="P17" s="8"/>
      <c r="Q17" s="8"/>
      <c r="R17" s="15"/>
      <c r="S17" s="15"/>
      <c r="T17" s="15"/>
      <c r="U17" s="40">
        <f>SUM(U4:W16)</f>
        <v>21870000</v>
      </c>
      <c r="V17" s="40"/>
      <c r="W17" s="40"/>
      <c r="X17" s="15"/>
      <c r="Y17" s="15"/>
      <c r="Z17" s="15"/>
    </row>
    <row r="18" spans="2:26" x14ac:dyDescent="0.4">
      <c r="B18" s="8"/>
      <c r="C18" s="8"/>
      <c r="D18" s="8"/>
      <c r="E18" s="15"/>
      <c r="F18" s="15"/>
      <c r="G18" s="15"/>
      <c r="H18" s="15"/>
      <c r="I18" s="15"/>
      <c r="J18" s="15"/>
      <c r="O18" s="8"/>
      <c r="P18" s="8"/>
      <c r="Q18" s="8"/>
      <c r="R18" s="15"/>
      <c r="S18" s="15"/>
      <c r="T18" s="15"/>
      <c r="U18" s="15"/>
      <c r="V18" s="15"/>
      <c r="W18" s="15"/>
    </row>
    <row r="20" spans="2:26" x14ac:dyDescent="0.4">
      <c r="B20" s="20" t="s">
        <v>102</v>
      </c>
      <c r="C20" s="20"/>
      <c r="D20" s="20"/>
      <c r="E20" s="40">
        <v>230</v>
      </c>
      <c r="F20" s="40"/>
      <c r="G20" s="40"/>
      <c r="O20" s="20" t="s">
        <v>102</v>
      </c>
      <c r="P20" s="20"/>
      <c r="Q20" s="20"/>
      <c r="R20" s="40">
        <v>230</v>
      </c>
      <c r="S20" s="40"/>
      <c r="T20" s="40"/>
    </row>
    <row r="21" spans="2:26" x14ac:dyDescent="0.4">
      <c r="B21" s="20" t="s">
        <v>103</v>
      </c>
      <c r="C21" s="20"/>
      <c r="D21" s="20"/>
      <c r="E21" s="45">
        <v>8</v>
      </c>
      <c r="F21" s="46"/>
      <c r="G21" s="47"/>
      <c r="O21" s="20" t="s">
        <v>103</v>
      </c>
      <c r="P21" s="20"/>
      <c r="Q21" s="20"/>
      <c r="R21" s="45">
        <v>8</v>
      </c>
      <c r="S21" s="46"/>
      <c r="T21" s="47"/>
    </row>
    <row r="22" spans="2:26" x14ac:dyDescent="0.4">
      <c r="B22" s="20" t="s">
        <v>104</v>
      </c>
      <c r="C22" s="20"/>
      <c r="D22" s="20"/>
      <c r="E22" s="40">
        <f>E20*E21</f>
        <v>1840</v>
      </c>
      <c r="F22" s="40"/>
      <c r="G22" s="40"/>
      <c r="O22" s="20" t="s">
        <v>104</v>
      </c>
      <c r="P22" s="20"/>
      <c r="Q22" s="20"/>
      <c r="R22" s="40">
        <f>R20*R21</f>
        <v>1840</v>
      </c>
      <c r="S22" s="40"/>
      <c r="T22" s="40"/>
    </row>
    <row r="23" spans="2:26" x14ac:dyDescent="0.4">
      <c r="B23" s="20" t="s">
        <v>105</v>
      </c>
      <c r="C23" s="20"/>
      <c r="D23" s="20"/>
      <c r="E23" s="48">
        <f>H17/E22</f>
        <v>9842.391304347826</v>
      </c>
      <c r="F23" s="48"/>
      <c r="G23" s="48"/>
      <c r="O23" s="20" t="s">
        <v>105</v>
      </c>
      <c r="P23" s="20"/>
      <c r="Q23" s="20"/>
      <c r="R23" s="48">
        <f>U17/R22</f>
        <v>11885.869565217392</v>
      </c>
      <c r="S23" s="48"/>
      <c r="T23" s="48"/>
    </row>
  </sheetData>
  <mergeCells count="132">
    <mergeCell ref="H14:J14"/>
    <mergeCell ref="K14:M14"/>
    <mergeCell ref="O14:Q14"/>
    <mergeCell ref="R14:T14"/>
    <mergeCell ref="U14:W14"/>
    <mergeCell ref="B22:D22"/>
    <mergeCell ref="E22:G22"/>
    <mergeCell ref="B23:D23"/>
    <mergeCell ref="E23:G23"/>
    <mergeCell ref="B14:D14"/>
    <mergeCell ref="E14:G14"/>
    <mergeCell ref="H17:J17"/>
    <mergeCell ref="B20:D20"/>
    <mergeCell ref="E20:G20"/>
    <mergeCell ref="B21:D21"/>
    <mergeCell ref="E21:G21"/>
    <mergeCell ref="B15:D15"/>
    <mergeCell ref="E15:G15"/>
    <mergeCell ref="H15:J15"/>
    <mergeCell ref="K15:M15"/>
    <mergeCell ref="B16:D16"/>
    <mergeCell ref="E16:G16"/>
    <mergeCell ref="H16:J16"/>
    <mergeCell ref="K16:M16"/>
    <mergeCell ref="B12:D12"/>
    <mergeCell ref="E12:G12"/>
    <mergeCell ref="H12:J12"/>
    <mergeCell ref="K12:M12"/>
    <mergeCell ref="B13:D13"/>
    <mergeCell ref="E13:G13"/>
    <mergeCell ref="H13:J13"/>
    <mergeCell ref="K13:M13"/>
    <mergeCell ref="B10:D10"/>
    <mergeCell ref="E10:G10"/>
    <mergeCell ref="H10:J10"/>
    <mergeCell ref="K10:M10"/>
    <mergeCell ref="B11:D11"/>
    <mergeCell ref="E11:G11"/>
    <mergeCell ref="H11:J11"/>
    <mergeCell ref="K11:M11"/>
    <mergeCell ref="B8:D8"/>
    <mergeCell ref="E8:G8"/>
    <mergeCell ref="H8:J8"/>
    <mergeCell ref="K8:M8"/>
    <mergeCell ref="B9:D9"/>
    <mergeCell ref="E9:G9"/>
    <mergeCell ref="H9:J9"/>
    <mergeCell ref="K9:M9"/>
    <mergeCell ref="B6:D6"/>
    <mergeCell ref="E6:G6"/>
    <mergeCell ref="H6:J6"/>
    <mergeCell ref="K6:M6"/>
    <mergeCell ref="B7:D7"/>
    <mergeCell ref="E7:G7"/>
    <mergeCell ref="H7:J7"/>
    <mergeCell ref="K7:M7"/>
    <mergeCell ref="B4:D4"/>
    <mergeCell ref="E4:G4"/>
    <mergeCell ref="H4:J4"/>
    <mergeCell ref="K4:M4"/>
    <mergeCell ref="B5:D5"/>
    <mergeCell ref="E5:G5"/>
    <mergeCell ref="H5:J5"/>
    <mergeCell ref="K5:M5"/>
    <mergeCell ref="J2:L2"/>
    <mergeCell ref="B3:D3"/>
    <mergeCell ref="E3:G3"/>
    <mergeCell ref="H3:J3"/>
    <mergeCell ref="K3:M3"/>
    <mergeCell ref="O22:Q22"/>
    <mergeCell ref="O6:Q6"/>
    <mergeCell ref="O8:Q8"/>
    <mergeCell ref="O5:Q5"/>
    <mergeCell ref="O13:Q13"/>
    <mergeCell ref="O23:Q23"/>
    <mergeCell ref="R6:T6"/>
    <mergeCell ref="O11:Q11"/>
    <mergeCell ref="R11:T11"/>
    <mergeCell ref="O7:Q7"/>
    <mergeCell ref="O9:Q9"/>
    <mergeCell ref="O10:Q10"/>
    <mergeCell ref="R20:T20"/>
    <mergeCell ref="R21:T21"/>
    <mergeCell ref="R22:T22"/>
    <mergeCell ref="R23:T23"/>
    <mergeCell ref="R8:T8"/>
    <mergeCell ref="R9:T9"/>
    <mergeCell ref="R10:T10"/>
    <mergeCell ref="O20:Q20"/>
    <mergeCell ref="O21:Q21"/>
    <mergeCell ref="W2:Y2"/>
    <mergeCell ref="R7:T7"/>
    <mergeCell ref="O3:Q3"/>
    <mergeCell ref="R3:T3"/>
    <mergeCell ref="U3:W3"/>
    <mergeCell ref="U6:W6"/>
    <mergeCell ref="U5:W5"/>
    <mergeCell ref="R5:T5"/>
    <mergeCell ref="X3:Z3"/>
    <mergeCell ref="X6:Z6"/>
    <mergeCell ref="X7:Z7"/>
    <mergeCell ref="R16:T16"/>
    <mergeCell ref="U16:W16"/>
    <mergeCell ref="U7:W7"/>
    <mergeCell ref="U8:W8"/>
    <mergeCell ref="U9:W9"/>
    <mergeCell ref="U10:W10"/>
    <mergeCell ref="U11:W11"/>
    <mergeCell ref="X8:Z8"/>
    <mergeCell ref="X9:Z9"/>
    <mergeCell ref="X13:Z13"/>
    <mergeCell ref="X15:Z15"/>
    <mergeCell ref="X16:Z16"/>
    <mergeCell ref="X12:Z12"/>
    <mergeCell ref="X11:Z11"/>
    <mergeCell ref="X14:Z14"/>
    <mergeCell ref="U17:W17"/>
    <mergeCell ref="O4:Q4"/>
    <mergeCell ref="R4:T4"/>
    <mergeCell ref="U4:W4"/>
    <mergeCell ref="X4:Z4"/>
    <mergeCell ref="X5:Z5"/>
    <mergeCell ref="X10:Z10"/>
    <mergeCell ref="R13:T13"/>
    <mergeCell ref="U13:W13"/>
    <mergeCell ref="O15:Q15"/>
    <mergeCell ref="R15:T15"/>
    <mergeCell ref="U15:W15"/>
    <mergeCell ref="O16:Q16"/>
    <mergeCell ref="O12:Q12"/>
    <mergeCell ref="R12:T12"/>
    <mergeCell ref="U12:W12"/>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出勤カレンダー</vt:lpstr>
      <vt:lpstr>業務委託契約書</vt:lpstr>
      <vt:lpstr>秘密保持契約書</vt:lpstr>
      <vt:lpstr>外注時時間単価算出表</vt:lpstr>
      <vt:lpstr>業務委託契約書!Print_Area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佐藤貴久</dc:creator>
  <cp:lastModifiedBy>貴久 佐藤</cp:lastModifiedBy>
  <cp:lastPrinted>2026-07-07T02:47:33Z</cp:lastPrinted>
  <dcterms:created xsi:type="dcterms:W3CDTF">2026-06-30T14:19:14Z</dcterms:created>
  <dcterms:modified xsi:type="dcterms:W3CDTF">2026-07-24T16:26:43Z</dcterms:modified>
</cp:coreProperties>
</file>